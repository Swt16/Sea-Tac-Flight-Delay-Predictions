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tra\OneDrive\Desktop\MSIS 502\Team Project\"/>
    </mc:Choice>
  </mc:AlternateContent>
  <xr:revisionPtr revIDLastSave="0" documentId="13_ncr:9_{DD72739F-363D-432A-9E51-1E52D29FC235}" xr6:coauthVersionLast="47" xr6:coauthVersionMax="47" xr10:uidLastSave="{00000000-0000-0000-0000-000000000000}"/>
  <bookViews>
    <workbookView xWindow="-120" yWindow="-120" windowWidth="29040" windowHeight="15720" xr2:uid="{407C0B18-025A-4E58-8589-D54FAE05917D}"/>
  </bookViews>
  <sheets>
    <sheet name="Focused Carriers" sheetId="4" r:id="rId1"/>
    <sheet name="Pivots" sheetId="3" r:id="rId2"/>
    <sheet name="Carrier Name Rename" sheetId="2" r:id="rId3"/>
    <sheet name="Airline_Delay_Cause" sheetId="1" r:id="rId4"/>
  </sheets>
  <definedNames>
    <definedName name="_xlnm._FilterDatabase" localSheetId="3" hidden="1">Airline_Delay_Cause!$A$1:$X$3152</definedName>
  </definedNames>
  <calcPr calcId="0"/>
  <pivotCaches>
    <pivotCache cacheId="10" r:id="rId5"/>
  </pivotCaches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2" i="1"/>
  <c r="V3" i="1"/>
  <c r="W3" i="1"/>
  <c r="X3" i="1"/>
  <c r="V4" i="1"/>
  <c r="W4" i="1"/>
  <c r="X4" i="1"/>
  <c r="V5" i="1"/>
  <c r="W5" i="1"/>
  <c r="X5" i="1"/>
  <c r="V6" i="1"/>
  <c r="W6" i="1"/>
  <c r="X6" i="1"/>
  <c r="V7" i="1"/>
  <c r="W7" i="1"/>
  <c r="X7" i="1"/>
  <c r="V8" i="1"/>
  <c r="W8" i="1"/>
  <c r="X8" i="1"/>
  <c r="V9" i="1"/>
  <c r="W9" i="1"/>
  <c r="X9" i="1"/>
  <c r="V10" i="1"/>
  <c r="W10" i="1"/>
  <c r="X10" i="1"/>
  <c r="V11" i="1"/>
  <c r="W11" i="1"/>
  <c r="X11" i="1"/>
  <c r="V12" i="1"/>
  <c r="W12" i="1"/>
  <c r="X12" i="1"/>
  <c r="V13" i="1"/>
  <c r="W13" i="1"/>
  <c r="X13" i="1"/>
  <c r="V14" i="1"/>
  <c r="W14" i="1"/>
  <c r="X14" i="1"/>
  <c r="V15" i="1"/>
  <c r="W15" i="1"/>
  <c r="X15" i="1"/>
  <c r="V16" i="1"/>
  <c r="W16" i="1"/>
  <c r="X16" i="1"/>
  <c r="V17" i="1"/>
  <c r="W17" i="1"/>
  <c r="X17" i="1"/>
  <c r="V18" i="1"/>
  <c r="W18" i="1"/>
  <c r="X18" i="1"/>
  <c r="V19" i="1"/>
  <c r="W19" i="1"/>
  <c r="X19" i="1"/>
  <c r="V20" i="1"/>
  <c r="W20" i="1"/>
  <c r="X20" i="1"/>
  <c r="V21" i="1"/>
  <c r="W21" i="1"/>
  <c r="X21" i="1"/>
  <c r="V22" i="1"/>
  <c r="W22" i="1"/>
  <c r="X22" i="1"/>
  <c r="V23" i="1"/>
  <c r="W23" i="1"/>
  <c r="X23" i="1"/>
  <c r="V24" i="1"/>
  <c r="W24" i="1"/>
  <c r="X24" i="1"/>
  <c r="V25" i="1"/>
  <c r="W25" i="1"/>
  <c r="X25" i="1"/>
  <c r="V26" i="1"/>
  <c r="W26" i="1"/>
  <c r="X26" i="1"/>
  <c r="V27" i="1"/>
  <c r="W27" i="1"/>
  <c r="X27" i="1"/>
  <c r="V28" i="1"/>
  <c r="W28" i="1"/>
  <c r="X28" i="1"/>
  <c r="V29" i="1"/>
  <c r="W29" i="1"/>
  <c r="X29" i="1"/>
  <c r="V30" i="1"/>
  <c r="W30" i="1"/>
  <c r="X30" i="1"/>
  <c r="V31" i="1"/>
  <c r="W31" i="1"/>
  <c r="X31" i="1"/>
  <c r="V32" i="1"/>
  <c r="W32" i="1"/>
  <c r="X32" i="1"/>
  <c r="V33" i="1"/>
  <c r="W33" i="1"/>
  <c r="X33" i="1"/>
  <c r="V34" i="1"/>
  <c r="W34" i="1"/>
  <c r="X34" i="1"/>
  <c r="V35" i="1"/>
  <c r="W35" i="1"/>
  <c r="X35" i="1"/>
  <c r="V36" i="1"/>
  <c r="W36" i="1"/>
  <c r="X36" i="1"/>
  <c r="V37" i="1"/>
  <c r="W37" i="1"/>
  <c r="X37" i="1"/>
  <c r="V38" i="1"/>
  <c r="W38" i="1"/>
  <c r="X38" i="1"/>
  <c r="V39" i="1"/>
  <c r="W39" i="1"/>
  <c r="X39" i="1"/>
  <c r="V40" i="1"/>
  <c r="W40" i="1"/>
  <c r="X40" i="1"/>
  <c r="V41" i="1"/>
  <c r="W41" i="1"/>
  <c r="X41" i="1"/>
  <c r="V42" i="1"/>
  <c r="W42" i="1"/>
  <c r="X42" i="1"/>
  <c r="V43" i="1"/>
  <c r="W43" i="1"/>
  <c r="X43" i="1"/>
  <c r="V44" i="1"/>
  <c r="W44" i="1"/>
  <c r="X44" i="1"/>
  <c r="V45" i="1"/>
  <c r="W45" i="1"/>
  <c r="X45" i="1"/>
  <c r="V46" i="1"/>
  <c r="W46" i="1"/>
  <c r="X46" i="1"/>
  <c r="V47" i="1"/>
  <c r="W47" i="1"/>
  <c r="X47" i="1"/>
  <c r="V48" i="1"/>
  <c r="W48" i="1"/>
  <c r="X48" i="1"/>
  <c r="V49" i="1"/>
  <c r="W49" i="1"/>
  <c r="X49" i="1"/>
  <c r="V50" i="1"/>
  <c r="W50" i="1"/>
  <c r="X50" i="1"/>
  <c r="V51" i="1"/>
  <c r="W51" i="1"/>
  <c r="X51" i="1"/>
  <c r="V52" i="1"/>
  <c r="W52" i="1"/>
  <c r="X52" i="1"/>
  <c r="V53" i="1"/>
  <c r="W53" i="1"/>
  <c r="X53" i="1"/>
  <c r="V54" i="1"/>
  <c r="W54" i="1"/>
  <c r="X54" i="1"/>
  <c r="V55" i="1"/>
  <c r="W55" i="1"/>
  <c r="X55" i="1"/>
  <c r="V56" i="1"/>
  <c r="W56" i="1"/>
  <c r="X56" i="1"/>
  <c r="V57" i="1"/>
  <c r="W57" i="1"/>
  <c r="X57" i="1"/>
  <c r="V58" i="1"/>
  <c r="W58" i="1"/>
  <c r="X58" i="1"/>
  <c r="V59" i="1"/>
  <c r="W59" i="1"/>
  <c r="X59" i="1"/>
  <c r="V60" i="1"/>
  <c r="W60" i="1"/>
  <c r="X60" i="1"/>
  <c r="V61" i="1"/>
  <c r="W61" i="1"/>
  <c r="X61" i="1"/>
  <c r="V62" i="1"/>
  <c r="W62" i="1"/>
  <c r="X62" i="1"/>
  <c r="V63" i="1"/>
  <c r="W63" i="1"/>
  <c r="X63" i="1"/>
  <c r="V64" i="1"/>
  <c r="W64" i="1"/>
  <c r="X64" i="1"/>
  <c r="V65" i="1"/>
  <c r="W65" i="1"/>
  <c r="X65" i="1"/>
  <c r="V66" i="1"/>
  <c r="W66" i="1"/>
  <c r="X66" i="1"/>
  <c r="V67" i="1"/>
  <c r="W67" i="1"/>
  <c r="X67" i="1"/>
  <c r="V68" i="1"/>
  <c r="W68" i="1"/>
  <c r="X68" i="1"/>
  <c r="V69" i="1"/>
  <c r="W69" i="1"/>
  <c r="X69" i="1"/>
  <c r="V70" i="1"/>
  <c r="W70" i="1"/>
  <c r="X70" i="1"/>
  <c r="V71" i="1"/>
  <c r="W71" i="1"/>
  <c r="X71" i="1"/>
  <c r="V72" i="1"/>
  <c r="W72" i="1"/>
  <c r="X72" i="1"/>
  <c r="V73" i="1"/>
  <c r="W73" i="1"/>
  <c r="X73" i="1"/>
  <c r="V74" i="1"/>
  <c r="W74" i="1"/>
  <c r="X74" i="1"/>
  <c r="V75" i="1"/>
  <c r="W75" i="1"/>
  <c r="X75" i="1"/>
  <c r="V76" i="1"/>
  <c r="W76" i="1"/>
  <c r="X76" i="1"/>
  <c r="V77" i="1"/>
  <c r="W77" i="1"/>
  <c r="X77" i="1"/>
  <c r="V78" i="1"/>
  <c r="W78" i="1"/>
  <c r="X78" i="1"/>
  <c r="V79" i="1"/>
  <c r="W79" i="1"/>
  <c r="X79" i="1"/>
  <c r="V80" i="1"/>
  <c r="W80" i="1"/>
  <c r="X80" i="1"/>
  <c r="V81" i="1"/>
  <c r="W81" i="1"/>
  <c r="X81" i="1"/>
  <c r="V82" i="1"/>
  <c r="W82" i="1"/>
  <c r="X82" i="1"/>
  <c r="V83" i="1"/>
  <c r="W83" i="1"/>
  <c r="X83" i="1"/>
  <c r="V84" i="1"/>
  <c r="W84" i="1"/>
  <c r="X84" i="1"/>
  <c r="V85" i="1"/>
  <c r="W85" i="1"/>
  <c r="X85" i="1"/>
  <c r="V86" i="1"/>
  <c r="W86" i="1"/>
  <c r="X86" i="1"/>
  <c r="V87" i="1"/>
  <c r="W87" i="1"/>
  <c r="X87" i="1"/>
  <c r="V88" i="1"/>
  <c r="W88" i="1"/>
  <c r="X88" i="1"/>
  <c r="V89" i="1"/>
  <c r="W89" i="1"/>
  <c r="X89" i="1"/>
  <c r="V90" i="1"/>
  <c r="W90" i="1"/>
  <c r="X90" i="1"/>
  <c r="V91" i="1"/>
  <c r="W91" i="1"/>
  <c r="X91" i="1"/>
  <c r="V92" i="1"/>
  <c r="W92" i="1"/>
  <c r="X92" i="1"/>
  <c r="V93" i="1"/>
  <c r="W93" i="1"/>
  <c r="X93" i="1"/>
  <c r="V94" i="1"/>
  <c r="W94" i="1"/>
  <c r="X94" i="1"/>
  <c r="V95" i="1"/>
  <c r="W95" i="1"/>
  <c r="X95" i="1"/>
  <c r="V96" i="1"/>
  <c r="W96" i="1"/>
  <c r="X96" i="1"/>
  <c r="V97" i="1"/>
  <c r="W97" i="1"/>
  <c r="X97" i="1"/>
  <c r="V98" i="1"/>
  <c r="W98" i="1"/>
  <c r="X98" i="1"/>
  <c r="V99" i="1"/>
  <c r="W99" i="1"/>
  <c r="X99" i="1"/>
  <c r="V100" i="1"/>
  <c r="W100" i="1"/>
  <c r="X100" i="1"/>
  <c r="V101" i="1"/>
  <c r="W101" i="1"/>
  <c r="X101" i="1"/>
  <c r="V102" i="1"/>
  <c r="W102" i="1"/>
  <c r="X102" i="1"/>
  <c r="V103" i="1"/>
  <c r="W103" i="1"/>
  <c r="X103" i="1"/>
  <c r="V104" i="1"/>
  <c r="W104" i="1"/>
  <c r="X104" i="1"/>
  <c r="V105" i="1"/>
  <c r="W105" i="1"/>
  <c r="X105" i="1"/>
  <c r="V106" i="1"/>
  <c r="W106" i="1"/>
  <c r="X106" i="1"/>
  <c r="V107" i="1"/>
  <c r="W107" i="1"/>
  <c r="X107" i="1"/>
  <c r="V108" i="1"/>
  <c r="W108" i="1"/>
  <c r="X108" i="1"/>
  <c r="V109" i="1"/>
  <c r="W109" i="1"/>
  <c r="X109" i="1"/>
  <c r="V110" i="1"/>
  <c r="W110" i="1"/>
  <c r="X110" i="1"/>
  <c r="V111" i="1"/>
  <c r="W111" i="1"/>
  <c r="X111" i="1"/>
  <c r="V112" i="1"/>
  <c r="W112" i="1"/>
  <c r="X112" i="1"/>
  <c r="V113" i="1"/>
  <c r="W113" i="1"/>
  <c r="X113" i="1"/>
  <c r="V114" i="1"/>
  <c r="W114" i="1"/>
  <c r="X114" i="1"/>
  <c r="V115" i="1"/>
  <c r="W115" i="1"/>
  <c r="X115" i="1"/>
  <c r="V116" i="1"/>
  <c r="W116" i="1"/>
  <c r="X116" i="1"/>
  <c r="V117" i="1"/>
  <c r="W117" i="1"/>
  <c r="X117" i="1"/>
  <c r="V118" i="1"/>
  <c r="W118" i="1"/>
  <c r="X118" i="1"/>
  <c r="V119" i="1"/>
  <c r="W119" i="1"/>
  <c r="X119" i="1"/>
  <c r="V120" i="1"/>
  <c r="W120" i="1"/>
  <c r="X120" i="1"/>
  <c r="V121" i="1"/>
  <c r="W121" i="1"/>
  <c r="X121" i="1"/>
  <c r="V122" i="1"/>
  <c r="W122" i="1"/>
  <c r="X122" i="1"/>
  <c r="V123" i="1"/>
  <c r="W123" i="1"/>
  <c r="X123" i="1"/>
  <c r="V124" i="1"/>
  <c r="W124" i="1"/>
  <c r="X124" i="1"/>
  <c r="V125" i="1"/>
  <c r="W125" i="1"/>
  <c r="X125" i="1"/>
  <c r="V126" i="1"/>
  <c r="W126" i="1"/>
  <c r="X126" i="1"/>
  <c r="V127" i="1"/>
  <c r="W127" i="1"/>
  <c r="X127" i="1"/>
  <c r="V128" i="1"/>
  <c r="W128" i="1"/>
  <c r="X128" i="1"/>
  <c r="V129" i="1"/>
  <c r="W129" i="1"/>
  <c r="X129" i="1"/>
  <c r="V130" i="1"/>
  <c r="W130" i="1"/>
  <c r="X130" i="1"/>
  <c r="V131" i="1"/>
  <c r="W131" i="1"/>
  <c r="X131" i="1"/>
  <c r="V132" i="1"/>
  <c r="W132" i="1"/>
  <c r="X132" i="1"/>
  <c r="V133" i="1"/>
  <c r="W133" i="1"/>
  <c r="X133" i="1"/>
  <c r="V134" i="1"/>
  <c r="W134" i="1"/>
  <c r="X134" i="1"/>
  <c r="V135" i="1"/>
  <c r="W135" i="1"/>
  <c r="X135" i="1"/>
  <c r="V136" i="1"/>
  <c r="W136" i="1"/>
  <c r="X136" i="1"/>
  <c r="V137" i="1"/>
  <c r="W137" i="1"/>
  <c r="X137" i="1"/>
  <c r="V138" i="1"/>
  <c r="W138" i="1"/>
  <c r="X138" i="1"/>
  <c r="V139" i="1"/>
  <c r="W139" i="1"/>
  <c r="X139" i="1"/>
  <c r="V140" i="1"/>
  <c r="W140" i="1"/>
  <c r="X140" i="1"/>
  <c r="V141" i="1"/>
  <c r="W141" i="1"/>
  <c r="X141" i="1"/>
  <c r="V142" i="1"/>
  <c r="W142" i="1"/>
  <c r="X142" i="1"/>
  <c r="V143" i="1"/>
  <c r="W143" i="1"/>
  <c r="X143" i="1"/>
  <c r="V144" i="1"/>
  <c r="W144" i="1"/>
  <c r="X144" i="1"/>
  <c r="V145" i="1"/>
  <c r="W145" i="1"/>
  <c r="X145" i="1"/>
  <c r="V146" i="1"/>
  <c r="W146" i="1"/>
  <c r="X146" i="1"/>
  <c r="V147" i="1"/>
  <c r="W147" i="1"/>
  <c r="X147" i="1"/>
  <c r="V148" i="1"/>
  <c r="W148" i="1"/>
  <c r="X148" i="1"/>
  <c r="V149" i="1"/>
  <c r="W149" i="1"/>
  <c r="X149" i="1"/>
  <c r="V150" i="1"/>
  <c r="W150" i="1"/>
  <c r="X150" i="1"/>
  <c r="V151" i="1"/>
  <c r="W151" i="1"/>
  <c r="X151" i="1"/>
  <c r="V152" i="1"/>
  <c r="W152" i="1"/>
  <c r="X152" i="1"/>
  <c r="V153" i="1"/>
  <c r="W153" i="1"/>
  <c r="X153" i="1"/>
  <c r="V154" i="1"/>
  <c r="W154" i="1"/>
  <c r="X154" i="1"/>
  <c r="V155" i="1"/>
  <c r="W155" i="1"/>
  <c r="X155" i="1"/>
  <c r="V156" i="1"/>
  <c r="W156" i="1"/>
  <c r="X156" i="1"/>
  <c r="V157" i="1"/>
  <c r="W157" i="1"/>
  <c r="X157" i="1"/>
  <c r="V158" i="1"/>
  <c r="W158" i="1"/>
  <c r="X158" i="1"/>
  <c r="V159" i="1"/>
  <c r="W159" i="1"/>
  <c r="X159" i="1"/>
  <c r="V160" i="1"/>
  <c r="W160" i="1"/>
  <c r="X160" i="1"/>
  <c r="V161" i="1"/>
  <c r="W161" i="1"/>
  <c r="X161" i="1"/>
  <c r="V162" i="1"/>
  <c r="W162" i="1"/>
  <c r="X162" i="1"/>
  <c r="V163" i="1"/>
  <c r="W163" i="1"/>
  <c r="X163" i="1"/>
  <c r="V164" i="1"/>
  <c r="W164" i="1"/>
  <c r="X164" i="1"/>
  <c r="V165" i="1"/>
  <c r="W165" i="1"/>
  <c r="X165" i="1"/>
  <c r="V166" i="1"/>
  <c r="W166" i="1"/>
  <c r="X166" i="1"/>
  <c r="V167" i="1"/>
  <c r="W167" i="1"/>
  <c r="X167" i="1"/>
  <c r="V168" i="1"/>
  <c r="W168" i="1"/>
  <c r="X168" i="1"/>
  <c r="V169" i="1"/>
  <c r="W169" i="1"/>
  <c r="X169" i="1"/>
  <c r="V170" i="1"/>
  <c r="W170" i="1"/>
  <c r="X170" i="1"/>
  <c r="V171" i="1"/>
  <c r="W171" i="1"/>
  <c r="X171" i="1"/>
  <c r="V172" i="1"/>
  <c r="W172" i="1"/>
  <c r="X172" i="1"/>
  <c r="V173" i="1"/>
  <c r="W173" i="1"/>
  <c r="X173" i="1"/>
  <c r="V174" i="1"/>
  <c r="W174" i="1"/>
  <c r="X174" i="1"/>
  <c r="V175" i="1"/>
  <c r="W175" i="1"/>
  <c r="X175" i="1"/>
  <c r="V176" i="1"/>
  <c r="W176" i="1"/>
  <c r="X176" i="1"/>
  <c r="V177" i="1"/>
  <c r="W177" i="1"/>
  <c r="X177" i="1"/>
  <c r="V178" i="1"/>
  <c r="W178" i="1"/>
  <c r="X178" i="1"/>
  <c r="V179" i="1"/>
  <c r="W179" i="1"/>
  <c r="X179" i="1"/>
  <c r="V180" i="1"/>
  <c r="W180" i="1"/>
  <c r="X180" i="1"/>
  <c r="V181" i="1"/>
  <c r="W181" i="1"/>
  <c r="X181" i="1"/>
  <c r="V182" i="1"/>
  <c r="W182" i="1"/>
  <c r="X182" i="1"/>
  <c r="V183" i="1"/>
  <c r="W183" i="1"/>
  <c r="X183" i="1"/>
  <c r="V184" i="1"/>
  <c r="W184" i="1"/>
  <c r="X184" i="1"/>
  <c r="V185" i="1"/>
  <c r="W185" i="1"/>
  <c r="X185" i="1"/>
  <c r="V186" i="1"/>
  <c r="W186" i="1"/>
  <c r="X186" i="1"/>
  <c r="V187" i="1"/>
  <c r="W187" i="1"/>
  <c r="X187" i="1"/>
  <c r="V188" i="1"/>
  <c r="W188" i="1"/>
  <c r="X188" i="1"/>
  <c r="V189" i="1"/>
  <c r="W189" i="1"/>
  <c r="X189" i="1"/>
  <c r="V190" i="1"/>
  <c r="W190" i="1"/>
  <c r="X190" i="1"/>
  <c r="V191" i="1"/>
  <c r="W191" i="1"/>
  <c r="X191" i="1"/>
  <c r="V192" i="1"/>
  <c r="W192" i="1"/>
  <c r="X192" i="1"/>
  <c r="V193" i="1"/>
  <c r="W193" i="1"/>
  <c r="X193" i="1"/>
  <c r="V194" i="1"/>
  <c r="W194" i="1"/>
  <c r="X194" i="1"/>
  <c r="V195" i="1"/>
  <c r="W195" i="1"/>
  <c r="X195" i="1"/>
  <c r="V196" i="1"/>
  <c r="W196" i="1"/>
  <c r="X196" i="1"/>
  <c r="V197" i="1"/>
  <c r="W197" i="1"/>
  <c r="X197" i="1"/>
  <c r="V198" i="1"/>
  <c r="W198" i="1"/>
  <c r="X198" i="1"/>
  <c r="V199" i="1"/>
  <c r="W199" i="1"/>
  <c r="X199" i="1"/>
  <c r="V200" i="1"/>
  <c r="W200" i="1"/>
  <c r="X200" i="1"/>
  <c r="V201" i="1"/>
  <c r="W201" i="1"/>
  <c r="X201" i="1"/>
  <c r="V202" i="1"/>
  <c r="W202" i="1"/>
  <c r="X202" i="1"/>
  <c r="V203" i="1"/>
  <c r="W203" i="1"/>
  <c r="X203" i="1"/>
  <c r="V204" i="1"/>
  <c r="W204" i="1"/>
  <c r="X204" i="1"/>
  <c r="V205" i="1"/>
  <c r="W205" i="1"/>
  <c r="X205" i="1"/>
  <c r="V206" i="1"/>
  <c r="W206" i="1"/>
  <c r="X206" i="1"/>
  <c r="V207" i="1"/>
  <c r="W207" i="1"/>
  <c r="X207" i="1"/>
  <c r="V208" i="1"/>
  <c r="W208" i="1"/>
  <c r="X208" i="1"/>
  <c r="V209" i="1"/>
  <c r="W209" i="1"/>
  <c r="X209" i="1"/>
  <c r="V210" i="1"/>
  <c r="W210" i="1"/>
  <c r="X210" i="1"/>
  <c r="V211" i="1"/>
  <c r="W211" i="1"/>
  <c r="X211" i="1"/>
  <c r="V212" i="1"/>
  <c r="W212" i="1"/>
  <c r="X212" i="1"/>
  <c r="V213" i="1"/>
  <c r="W213" i="1"/>
  <c r="X213" i="1"/>
  <c r="V214" i="1"/>
  <c r="W214" i="1"/>
  <c r="X214" i="1"/>
  <c r="V215" i="1"/>
  <c r="W215" i="1"/>
  <c r="X215" i="1"/>
  <c r="V216" i="1"/>
  <c r="W216" i="1"/>
  <c r="X216" i="1"/>
  <c r="V217" i="1"/>
  <c r="W217" i="1"/>
  <c r="X217" i="1"/>
  <c r="V218" i="1"/>
  <c r="W218" i="1"/>
  <c r="X218" i="1"/>
  <c r="V219" i="1"/>
  <c r="W219" i="1"/>
  <c r="X219" i="1"/>
  <c r="V220" i="1"/>
  <c r="W220" i="1"/>
  <c r="X220" i="1"/>
  <c r="V221" i="1"/>
  <c r="W221" i="1"/>
  <c r="X221" i="1"/>
  <c r="V222" i="1"/>
  <c r="W222" i="1"/>
  <c r="X222" i="1"/>
  <c r="V223" i="1"/>
  <c r="W223" i="1"/>
  <c r="X223" i="1"/>
  <c r="V224" i="1"/>
  <c r="W224" i="1"/>
  <c r="X224" i="1"/>
  <c r="V225" i="1"/>
  <c r="W225" i="1"/>
  <c r="X225" i="1"/>
  <c r="V226" i="1"/>
  <c r="W226" i="1"/>
  <c r="X226" i="1"/>
  <c r="V227" i="1"/>
  <c r="W227" i="1"/>
  <c r="X227" i="1"/>
  <c r="V228" i="1"/>
  <c r="W228" i="1"/>
  <c r="X228" i="1"/>
  <c r="V229" i="1"/>
  <c r="W229" i="1"/>
  <c r="X229" i="1"/>
  <c r="V230" i="1"/>
  <c r="W230" i="1"/>
  <c r="X230" i="1"/>
  <c r="V231" i="1"/>
  <c r="W231" i="1"/>
  <c r="X231" i="1"/>
  <c r="V232" i="1"/>
  <c r="W232" i="1"/>
  <c r="X232" i="1"/>
  <c r="V233" i="1"/>
  <c r="W233" i="1"/>
  <c r="X233" i="1"/>
  <c r="V234" i="1"/>
  <c r="W234" i="1"/>
  <c r="X234" i="1"/>
  <c r="V235" i="1"/>
  <c r="W235" i="1"/>
  <c r="X235" i="1"/>
  <c r="V236" i="1"/>
  <c r="W236" i="1"/>
  <c r="X236" i="1"/>
  <c r="V237" i="1"/>
  <c r="W237" i="1"/>
  <c r="X237" i="1"/>
  <c r="V238" i="1"/>
  <c r="W238" i="1"/>
  <c r="X238" i="1"/>
  <c r="V239" i="1"/>
  <c r="W239" i="1"/>
  <c r="X239" i="1"/>
  <c r="V240" i="1"/>
  <c r="W240" i="1"/>
  <c r="X240" i="1"/>
  <c r="V241" i="1"/>
  <c r="W241" i="1"/>
  <c r="X241" i="1"/>
  <c r="V242" i="1"/>
  <c r="W242" i="1"/>
  <c r="X242" i="1"/>
  <c r="V243" i="1"/>
  <c r="W243" i="1"/>
  <c r="X243" i="1"/>
  <c r="V244" i="1"/>
  <c r="W244" i="1"/>
  <c r="X244" i="1"/>
  <c r="V245" i="1"/>
  <c r="W245" i="1"/>
  <c r="X245" i="1"/>
  <c r="V246" i="1"/>
  <c r="W246" i="1"/>
  <c r="X246" i="1"/>
  <c r="V247" i="1"/>
  <c r="W247" i="1"/>
  <c r="X247" i="1"/>
  <c r="V248" i="1"/>
  <c r="W248" i="1"/>
  <c r="X248" i="1"/>
  <c r="V249" i="1"/>
  <c r="W249" i="1"/>
  <c r="X249" i="1"/>
  <c r="V250" i="1"/>
  <c r="W250" i="1"/>
  <c r="X250" i="1"/>
  <c r="V251" i="1"/>
  <c r="W251" i="1"/>
  <c r="X251" i="1"/>
  <c r="V252" i="1"/>
  <c r="W252" i="1"/>
  <c r="X252" i="1"/>
  <c r="V253" i="1"/>
  <c r="W253" i="1"/>
  <c r="X253" i="1"/>
  <c r="V254" i="1"/>
  <c r="W254" i="1"/>
  <c r="X254" i="1"/>
  <c r="V255" i="1"/>
  <c r="W255" i="1"/>
  <c r="X255" i="1"/>
  <c r="V256" i="1"/>
  <c r="W256" i="1"/>
  <c r="X256" i="1"/>
  <c r="V257" i="1"/>
  <c r="W257" i="1"/>
  <c r="X257" i="1"/>
  <c r="V258" i="1"/>
  <c r="W258" i="1"/>
  <c r="X258" i="1"/>
  <c r="V259" i="1"/>
  <c r="W259" i="1"/>
  <c r="X259" i="1"/>
  <c r="V260" i="1"/>
  <c r="W260" i="1"/>
  <c r="X260" i="1"/>
  <c r="V261" i="1"/>
  <c r="W261" i="1"/>
  <c r="X261" i="1"/>
  <c r="V262" i="1"/>
  <c r="W262" i="1"/>
  <c r="X262" i="1"/>
  <c r="V263" i="1"/>
  <c r="W263" i="1"/>
  <c r="X263" i="1"/>
  <c r="V264" i="1"/>
  <c r="W264" i="1"/>
  <c r="X264" i="1"/>
  <c r="V265" i="1"/>
  <c r="W265" i="1"/>
  <c r="X265" i="1"/>
  <c r="V266" i="1"/>
  <c r="W266" i="1"/>
  <c r="X266" i="1"/>
  <c r="V267" i="1"/>
  <c r="W267" i="1"/>
  <c r="X267" i="1"/>
  <c r="V268" i="1"/>
  <c r="W268" i="1"/>
  <c r="X268" i="1"/>
  <c r="V269" i="1"/>
  <c r="W269" i="1"/>
  <c r="X269" i="1"/>
  <c r="V270" i="1"/>
  <c r="W270" i="1"/>
  <c r="X270" i="1"/>
  <c r="V271" i="1"/>
  <c r="W271" i="1"/>
  <c r="X271" i="1"/>
  <c r="V272" i="1"/>
  <c r="W272" i="1"/>
  <c r="X272" i="1"/>
  <c r="V273" i="1"/>
  <c r="W273" i="1"/>
  <c r="X273" i="1"/>
  <c r="V274" i="1"/>
  <c r="W274" i="1"/>
  <c r="X274" i="1"/>
  <c r="V275" i="1"/>
  <c r="W275" i="1"/>
  <c r="X275" i="1"/>
  <c r="V276" i="1"/>
  <c r="W276" i="1"/>
  <c r="X276" i="1"/>
  <c r="V277" i="1"/>
  <c r="W277" i="1"/>
  <c r="X277" i="1"/>
  <c r="V278" i="1"/>
  <c r="W278" i="1"/>
  <c r="X278" i="1"/>
  <c r="V279" i="1"/>
  <c r="W279" i="1"/>
  <c r="X279" i="1"/>
  <c r="V280" i="1"/>
  <c r="W280" i="1"/>
  <c r="X280" i="1"/>
  <c r="V281" i="1"/>
  <c r="W281" i="1"/>
  <c r="X281" i="1"/>
  <c r="V282" i="1"/>
  <c r="W282" i="1"/>
  <c r="X282" i="1"/>
  <c r="V283" i="1"/>
  <c r="W283" i="1"/>
  <c r="X283" i="1"/>
  <c r="V284" i="1"/>
  <c r="W284" i="1"/>
  <c r="X284" i="1"/>
  <c r="V285" i="1"/>
  <c r="W285" i="1"/>
  <c r="X285" i="1"/>
  <c r="V286" i="1"/>
  <c r="W286" i="1"/>
  <c r="X286" i="1"/>
  <c r="V287" i="1"/>
  <c r="W287" i="1"/>
  <c r="X287" i="1"/>
  <c r="V288" i="1"/>
  <c r="W288" i="1"/>
  <c r="X288" i="1"/>
  <c r="V289" i="1"/>
  <c r="W289" i="1"/>
  <c r="X289" i="1"/>
  <c r="V290" i="1"/>
  <c r="W290" i="1"/>
  <c r="X290" i="1"/>
  <c r="V291" i="1"/>
  <c r="W291" i="1"/>
  <c r="X291" i="1"/>
  <c r="V292" i="1"/>
  <c r="W292" i="1"/>
  <c r="X292" i="1"/>
  <c r="V293" i="1"/>
  <c r="W293" i="1"/>
  <c r="X293" i="1"/>
  <c r="V294" i="1"/>
  <c r="W294" i="1"/>
  <c r="X294" i="1"/>
  <c r="V295" i="1"/>
  <c r="W295" i="1"/>
  <c r="X295" i="1"/>
  <c r="V296" i="1"/>
  <c r="W296" i="1"/>
  <c r="X296" i="1"/>
  <c r="V297" i="1"/>
  <c r="W297" i="1"/>
  <c r="X297" i="1"/>
  <c r="V298" i="1"/>
  <c r="W298" i="1"/>
  <c r="X298" i="1"/>
  <c r="V299" i="1"/>
  <c r="W299" i="1"/>
  <c r="X299" i="1"/>
  <c r="V300" i="1"/>
  <c r="W300" i="1"/>
  <c r="X300" i="1"/>
  <c r="V301" i="1"/>
  <c r="W301" i="1"/>
  <c r="X301" i="1"/>
  <c r="V302" i="1"/>
  <c r="W302" i="1"/>
  <c r="X302" i="1"/>
  <c r="V303" i="1"/>
  <c r="W303" i="1"/>
  <c r="X303" i="1"/>
  <c r="V304" i="1"/>
  <c r="W304" i="1"/>
  <c r="X304" i="1"/>
  <c r="V305" i="1"/>
  <c r="W305" i="1"/>
  <c r="X305" i="1"/>
  <c r="V306" i="1"/>
  <c r="W306" i="1"/>
  <c r="X306" i="1"/>
  <c r="V307" i="1"/>
  <c r="W307" i="1"/>
  <c r="X307" i="1"/>
  <c r="V308" i="1"/>
  <c r="W308" i="1"/>
  <c r="X308" i="1"/>
  <c r="V309" i="1"/>
  <c r="W309" i="1"/>
  <c r="X309" i="1"/>
  <c r="V310" i="1"/>
  <c r="W310" i="1"/>
  <c r="X310" i="1"/>
  <c r="V311" i="1"/>
  <c r="W311" i="1"/>
  <c r="X311" i="1"/>
  <c r="V312" i="1"/>
  <c r="W312" i="1"/>
  <c r="X312" i="1"/>
  <c r="V313" i="1"/>
  <c r="W313" i="1"/>
  <c r="X313" i="1"/>
  <c r="V314" i="1"/>
  <c r="W314" i="1"/>
  <c r="X314" i="1"/>
  <c r="V315" i="1"/>
  <c r="W315" i="1"/>
  <c r="X315" i="1"/>
  <c r="V316" i="1"/>
  <c r="W316" i="1"/>
  <c r="X316" i="1"/>
  <c r="V317" i="1"/>
  <c r="W317" i="1"/>
  <c r="X317" i="1"/>
  <c r="V318" i="1"/>
  <c r="W318" i="1"/>
  <c r="X318" i="1"/>
  <c r="V319" i="1"/>
  <c r="W319" i="1"/>
  <c r="X319" i="1"/>
  <c r="V320" i="1"/>
  <c r="W320" i="1"/>
  <c r="X320" i="1"/>
  <c r="V321" i="1"/>
  <c r="W321" i="1"/>
  <c r="X321" i="1"/>
  <c r="V322" i="1"/>
  <c r="W322" i="1"/>
  <c r="X322" i="1"/>
  <c r="V323" i="1"/>
  <c r="W323" i="1"/>
  <c r="X323" i="1"/>
  <c r="V324" i="1"/>
  <c r="W324" i="1"/>
  <c r="X324" i="1"/>
  <c r="V325" i="1"/>
  <c r="W325" i="1"/>
  <c r="X325" i="1"/>
  <c r="V326" i="1"/>
  <c r="W326" i="1"/>
  <c r="X326" i="1"/>
  <c r="V327" i="1"/>
  <c r="W327" i="1"/>
  <c r="X327" i="1"/>
  <c r="V328" i="1"/>
  <c r="W328" i="1"/>
  <c r="X328" i="1"/>
  <c r="V329" i="1"/>
  <c r="W329" i="1"/>
  <c r="X329" i="1"/>
  <c r="V330" i="1"/>
  <c r="W330" i="1"/>
  <c r="X330" i="1"/>
  <c r="V331" i="1"/>
  <c r="W331" i="1"/>
  <c r="X331" i="1"/>
  <c r="V332" i="1"/>
  <c r="W332" i="1"/>
  <c r="X332" i="1"/>
  <c r="V333" i="1"/>
  <c r="W333" i="1"/>
  <c r="X333" i="1"/>
  <c r="V334" i="1"/>
  <c r="W334" i="1"/>
  <c r="X334" i="1"/>
  <c r="V335" i="1"/>
  <c r="W335" i="1"/>
  <c r="X335" i="1"/>
  <c r="V336" i="1"/>
  <c r="W336" i="1"/>
  <c r="X336" i="1"/>
  <c r="V337" i="1"/>
  <c r="W337" i="1"/>
  <c r="X337" i="1"/>
  <c r="V338" i="1"/>
  <c r="W338" i="1"/>
  <c r="X338" i="1"/>
  <c r="V339" i="1"/>
  <c r="W339" i="1"/>
  <c r="X339" i="1"/>
  <c r="V340" i="1"/>
  <c r="W340" i="1"/>
  <c r="X340" i="1"/>
  <c r="V341" i="1"/>
  <c r="W341" i="1"/>
  <c r="X341" i="1"/>
  <c r="V342" i="1"/>
  <c r="W342" i="1"/>
  <c r="X342" i="1"/>
  <c r="V343" i="1"/>
  <c r="W343" i="1"/>
  <c r="X343" i="1"/>
  <c r="V344" i="1"/>
  <c r="W344" i="1"/>
  <c r="X344" i="1"/>
  <c r="V345" i="1"/>
  <c r="W345" i="1"/>
  <c r="X345" i="1"/>
  <c r="V346" i="1"/>
  <c r="W346" i="1"/>
  <c r="X346" i="1"/>
  <c r="V347" i="1"/>
  <c r="W347" i="1"/>
  <c r="X347" i="1"/>
  <c r="V348" i="1"/>
  <c r="W348" i="1"/>
  <c r="X348" i="1"/>
  <c r="V349" i="1"/>
  <c r="W349" i="1"/>
  <c r="X349" i="1"/>
  <c r="V350" i="1"/>
  <c r="W350" i="1"/>
  <c r="X350" i="1"/>
  <c r="V351" i="1"/>
  <c r="W351" i="1"/>
  <c r="X351" i="1"/>
  <c r="V352" i="1"/>
  <c r="W352" i="1"/>
  <c r="X352" i="1"/>
  <c r="V353" i="1"/>
  <c r="W353" i="1"/>
  <c r="X353" i="1"/>
  <c r="V354" i="1"/>
  <c r="W354" i="1"/>
  <c r="X354" i="1"/>
  <c r="V355" i="1"/>
  <c r="W355" i="1"/>
  <c r="X355" i="1"/>
  <c r="V356" i="1"/>
  <c r="W356" i="1"/>
  <c r="X356" i="1"/>
  <c r="V357" i="1"/>
  <c r="W357" i="1"/>
  <c r="X357" i="1"/>
  <c r="V358" i="1"/>
  <c r="W358" i="1"/>
  <c r="X358" i="1"/>
  <c r="V359" i="1"/>
  <c r="W359" i="1"/>
  <c r="X359" i="1"/>
  <c r="V360" i="1"/>
  <c r="W360" i="1"/>
  <c r="X360" i="1"/>
  <c r="V361" i="1"/>
  <c r="W361" i="1"/>
  <c r="X361" i="1"/>
  <c r="V362" i="1"/>
  <c r="W362" i="1"/>
  <c r="X362" i="1"/>
  <c r="V363" i="1"/>
  <c r="W363" i="1"/>
  <c r="X363" i="1"/>
  <c r="V364" i="1"/>
  <c r="W364" i="1"/>
  <c r="X364" i="1"/>
  <c r="V365" i="1"/>
  <c r="W365" i="1"/>
  <c r="X365" i="1"/>
  <c r="V366" i="1"/>
  <c r="W366" i="1"/>
  <c r="X366" i="1"/>
  <c r="V367" i="1"/>
  <c r="W367" i="1"/>
  <c r="X367" i="1"/>
  <c r="V368" i="1"/>
  <c r="W368" i="1"/>
  <c r="X368" i="1"/>
  <c r="V369" i="1"/>
  <c r="W369" i="1"/>
  <c r="X369" i="1"/>
  <c r="V370" i="1"/>
  <c r="W370" i="1"/>
  <c r="X370" i="1"/>
  <c r="V371" i="1"/>
  <c r="W371" i="1"/>
  <c r="X371" i="1"/>
  <c r="V372" i="1"/>
  <c r="W372" i="1"/>
  <c r="X372" i="1"/>
  <c r="V373" i="1"/>
  <c r="W373" i="1"/>
  <c r="X373" i="1"/>
  <c r="V374" i="1"/>
  <c r="W374" i="1"/>
  <c r="X374" i="1"/>
  <c r="V375" i="1"/>
  <c r="W375" i="1"/>
  <c r="X375" i="1"/>
  <c r="V376" i="1"/>
  <c r="W376" i="1"/>
  <c r="X376" i="1"/>
  <c r="V377" i="1"/>
  <c r="W377" i="1"/>
  <c r="X377" i="1"/>
  <c r="V378" i="1"/>
  <c r="W378" i="1"/>
  <c r="X378" i="1"/>
  <c r="V379" i="1"/>
  <c r="W379" i="1"/>
  <c r="X379" i="1"/>
  <c r="V380" i="1"/>
  <c r="W380" i="1"/>
  <c r="X380" i="1"/>
  <c r="V381" i="1"/>
  <c r="W381" i="1"/>
  <c r="X381" i="1"/>
  <c r="V382" i="1"/>
  <c r="W382" i="1"/>
  <c r="X382" i="1"/>
  <c r="V383" i="1"/>
  <c r="W383" i="1"/>
  <c r="X383" i="1"/>
  <c r="V384" i="1"/>
  <c r="W384" i="1"/>
  <c r="X384" i="1"/>
  <c r="V385" i="1"/>
  <c r="W385" i="1"/>
  <c r="X385" i="1"/>
  <c r="V386" i="1"/>
  <c r="W386" i="1"/>
  <c r="X386" i="1"/>
  <c r="V387" i="1"/>
  <c r="W387" i="1"/>
  <c r="X387" i="1"/>
  <c r="V388" i="1"/>
  <c r="W388" i="1"/>
  <c r="X388" i="1"/>
  <c r="V389" i="1"/>
  <c r="W389" i="1"/>
  <c r="X389" i="1"/>
  <c r="V390" i="1"/>
  <c r="W390" i="1"/>
  <c r="X390" i="1"/>
  <c r="V391" i="1"/>
  <c r="W391" i="1"/>
  <c r="X391" i="1"/>
  <c r="V392" i="1"/>
  <c r="W392" i="1"/>
  <c r="X392" i="1"/>
  <c r="V393" i="1"/>
  <c r="W393" i="1"/>
  <c r="X393" i="1"/>
  <c r="V394" i="1"/>
  <c r="W394" i="1"/>
  <c r="X394" i="1"/>
  <c r="V395" i="1"/>
  <c r="W395" i="1"/>
  <c r="X395" i="1"/>
  <c r="V396" i="1"/>
  <c r="W396" i="1"/>
  <c r="X396" i="1"/>
  <c r="V397" i="1"/>
  <c r="W397" i="1"/>
  <c r="X397" i="1"/>
  <c r="V398" i="1"/>
  <c r="W398" i="1"/>
  <c r="X398" i="1"/>
  <c r="V399" i="1"/>
  <c r="W399" i="1"/>
  <c r="X399" i="1"/>
  <c r="V400" i="1"/>
  <c r="W400" i="1"/>
  <c r="X400" i="1"/>
  <c r="V401" i="1"/>
  <c r="W401" i="1"/>
  <c r="X401" i="1"/>
  <c r="V402" i="1"/>
  <c r="W402" i="1"/>
  <c r="X402" i="1"/>
  <c r="V403" i="1"/>
  <c r="W403" i="1"/>
  <c r="X403" i="1"/>
  <c r="V404" i="1"/>
  <c r="W404" i="1"/>
  <c r="X404" i="1"/>
  <c r="V405" i="1"/>
  <c r="W405" i="1"/>
  <c r="X405" i="1"/>
  <c r="V406" i="1"/>
  <c r="W406" i="1"/>
  <c r="X406" i="1"/>
  <c r="V407" i="1"/>
  <c r="W407" i="1"/>
  <c r="X407" i="1"/>
  <c r="V408" i="1"/>
  <c r="W408" i="1"/>
  <c r="X408" i="1"/>
  <c r="V409" i="1"/>
  <c r="W409" i="1"/>
  <c r="X409" i="1"/>
  <c r="V410" i="1"/>
  <c r="W410" i="1"/>
  <c r="X410" i="1"/>
  <c r="V411" i="1"/>
  <c r="W411" i="1"/>
  <c r="X411" i="1"/>
  <c r="V412" i="1"/>
  <c r="W412" i="1"/>
  <c r="X412" i="1"/>
  <c r="V413" i="1"/>
  <c r="W413" i="1"/>
  <c r="X413" i="1"/>
  <c r="V414" i="1"/>
  <c r="W414" i="1"/>
  <c r="X414" i="1"/>
  <c r="V415" i="1"/>
  <c r="W415" i="1"/>
  <c r="X415" i="1"/>
  <c r="V416" i="1"/>
  <c r="W416" i="1"/>
  <c r="X416" i="1"/>
  <c r="V417" i="1"/>
  <c r="W417" i="1"/>
  <c r="X417" i="1"/>
  <c r="V418" i="1"/>
  <c r="W418" i="1"/>
  <c r="X418" i="1"/>
  <c r="V419" i="1"/>
  <c r="W419" i="1"/>
  <c r="X419" i="1"/>
  <c r="V420" i="1"/>
  <c r="W420" i="1"/>
  <c r="X420" i="1"/>
  <c r="V421" i="1"/>
  <c r="W421" i="1"/>
  <c r="X421" i="1"/>
  <c r="V422" i="1"/>
  <c r="W422" i="1"/>
  <c r="X422" i="1"/>
  <c r="V423" i="1"/>
  <c r="W423" i="1"/>
  <c r="X423" i="1"/>
  <c r="V424" i="1"/>
  <c r="W424" i="1"/>
  <c r="X424" i="1"/>
  <c r="V425" i="1"/>
  <c r="W425" i="1"/>
  <c r="X425" i="1"/>
  <c r="V426" i="1"/>
  <c r="W426" i="1"/>
  <c r="X426" i="1"/>
  <c r="V427" i="1"/>
  <c r="W427" i="1"/>
  <c r="X427" i="1"/>
  <c r="V428" i="1"/>
  <c r="W428" i="1"/>
  <c r="X428" i="1"/>
  <c r="V429" i="1"/>
  <c r="W429" i="1"/>
  <c r="X429" i="1"/>
  <c r="V430" i="1"/>
  <c r="W430" i="1"/>
  <c r="X430" i="1"/>
  <c r="V431" i="1"/>
  <c r="W431" i="1"/>
  <c r="X431" i="1"/>
  <c r="V432" i="1"/>
  <c r="W432" i="1"/>
  <c r="X432" i="1"/>
  <c r="V433" i="1"/>
  <c r="W433" i="1"/>
  <c r="X433" i="1"/>
  <c r="V434" i="1"/>
  <c r="W434" i="1"/>
  <c r="X434" i="1"/>
  <c r="V435" i="1"/>
  <c r="W435" i="1"/>
  <c r="X435" i="1"/>
  <c r="V436" i="1"/>
  <c r="W436" i="1"/>
  <c r="X436" i="1"/>
  <c r="V437" i="1"/>
  <c r="W437" i="1"/>
  <c r="X437" i="1"/>
  <c r="V438" i="1"/>
  <c r="W438" i="1"/>
  <c r="X438" i="1"/>
  <c r="V439" i="1"/>
  <c r="W439" i="1"/>
  <c r="X439" i="1"/>
  <c r="V440" i="1"/>
  <c r="W440" i="1"/>
  <c r="X440" i="1"/>
  <c r="V441" i="1"/>
  <c r="W441" i="1"/>
  <c r="X441" i="1"/>
  <c r="V442" i="1"/>
  <c r="W442" i="1"/>
  <c r="X442" i="1"/>
  <c r="V443" i="1"/>
  <c r="W443" i="1"/>
  <c r="X443" i="1"/>
  <c r="V444" i="1"/>
  <c r="W444" i="1"/>
  <c r="X444" i="1"/>
  <c r="V445" i="1"/>
  <c r="W445" i="1"/>
  <c r="X445" i="1"/>
  <c r="V446" i="1"/>
  <c r="W446" i="1"/>
  <c r="X446" i="1"/>
  <c r="V447" i="1"/>
  <c r="W447" i="1"/>
  <c r="X447" i="1"/>
  <c r="V448" i="1"/>
  <c r="W448" i="1"/>
  <c r="X448" i="1"/>
  <c r="V449" i="1"/>
  <c r="W449" i="1"/>
  <c r="X449" i="1"/>
  <c r="V450" i="1"/>
  <c r="W450" i="1"/>
  <c r="X450" i="1"/>
  <c r="V451" i="1"/>
  <c r="W451" i="1"/>
  <c r="X451" i="1"/>
  <c r="V452" i="1"/>
  <c r="W452" i="1"/>
  <c r="X452" i="1"/>
  <c r="V453" i="1"/>
  <c r="W453" i="1"/>
  <c r="X453" i="1"/>
  <c r="V454" i="1"/>
  <c r="W454" i="1"/>
  <c r="X454" i="1"/>
  <c r="V455" i="1"/>
  <c r="W455" i="1"/>
  <c r="X455" i="1"/>
  <c r="V456" i="1"/>
  <c r="W456" i="1"/>
  <c r="X456" i="1"/>
  <c r="V457" i="1"/>
  <c r="W457" i="1"/>
  <c r="X457" i="1"/>
  <c r="V458" i="1"/>
  <c r="W458" i="1"/>
  <c r="X458" i="1"/>
  <c r="V459" i="1"/>
  <c r="W459" i="1"/>
  <c r="X459" i="1"/>
  <c r="V460" i="1"/>
  <c r="W460" i="1"/>
  <c r="X460" i="1"/>
  <c r="V461" i="1"/>
  <c r="W461" i="1"/>
  <c r="X461" i="1"/>
  <c r="V462" i="1"/>
  <c r="W462" i="1"/>
  <c r="X462" i="1"/>
  <c r="V463" i="1"/>
  <c r="W463" i="1"/>
  <c r="X463" i="1"/>
  <c r="V464" i="1"/>
  <c r="W464" i="1"/>
  <c r="X464" i="1"/>
  <c r="V465" i="1"/>
  <c r="W465" i="1"/>
  <c r="X465" i="1"/>
  <c r="V466" i="1"/>
  <c r="W466" i="1"/>
  <c r="X466" i="1"/>
  <c r="V467" i="1"/>
  <c r="W467" i="1"/>
  <c r="X467" i="1"/>
  <c r="V468" i="1"/>
  <c r="W468" i="1"/>
  <c r="X468" i="1"/>
  <c r="V469" i="1"/>
  <c r="W469" i="1"/>
  <c r="X469" i="1"/>
  <c r="V470" i="1"/>
  <c r="W470" i="1"/>
  <c r="X470" i="1"/>
  <c r="V471" i="1"/>
  <c r="W471" i="1"/>
  <c r="X471" i="1"/>
  <c r="V472" i="1"/>
  <c r="W472" i="1"/>
  <c r="X472" i="1"/>
  <c r="V473" i="1"/>
  <c r="W473" i="1"/>
  <c r="X473" i="1"/>
  <c r="V474" i="1"/>
  <c r="W474" i="1"/>
  <c r="X474" i="1"/>
  <c r="V475" i="1"/>
  <c r="W475" i="1"/>
  <c r="X475" i="1"/>
  <c r="V476" i="1"/>
  <c r="W476" i="1"/>
  <c r="X476" i="1"/>
  <c r="V477" i="1"/>
  <c r="W477" i="1"/>
  <c r="X477" i="1"/>
  <c r="V478" i="1"/>
  <c r="W478" i="1"/>
  <c r="X478" i="1"/>
  <c r="V479" i="1"/>
  <c r="W479" i="1"/>
  <c r="X479" i="1"/>
  <c r="V480" i="1"/>
  <c r="W480" i="1"/>
  <c r="X480" i="1"/>
  <c r="V481" i="1"/>
  <c r="W481" i="1"/>
  <c r="X481" i="1"/>
  <c r="V482" i="1"/>
  <c r="W482" i="1"/>
  <c r="X482" i="1"/>
  <c r="V483" i="1"/>
  <c r="W483" i="1"/>
  <c r="X483" i="1"/>
  <c r="V484" i="1"/>
  <c r="W484" i="1"/>
  <c r="X484" i="1"/>
  <c r="V485" i="1"/>
  <c r="W485" i="1"/>
  <c r="X485" i="1"/>
  <c r="V486" i="1"/>
  <c r="W486" i="1"/>
  <c r="X486" i="1"/>
  <c r="V487" i="1"/>
  <c r="W487" i="1"/>
  <c r="X487" i="1"/>
  <c r="V488" i="1"/>
  <c r="W488" i="1"/>
  <c r="X488" i="1"/>
  <c r="V489" i="1"/>
  <c r="W489" i="1"/>
  <c r="X489" i="1"/>
  <c r="V490" i="1"/>
  <c r="W490" i="1"/>
  <c r="X490" i="1"/>
  <c r="V491" i="1"/>
  <c r="W491" i="1"/>
  <c r="X491" i="1"/>
  <c r="V492" i="1"/>
  <c r="W492" i="1"/>
  <c r="X492" i="1"/>
  <c r="V493" i="1"/>
  <c r="W493" i="1"/>
  <c r="X493" i="1"/>
  <c r="V494" i="1"/>
  <c r="W494" i="1"/>
  <c r="X494" i="1"/>
  <c r="V495" i="1"/>
  <c r="W495" i="1"/>
  <c r="X495" i="1"/>
  <c r="V496" i="1"/>
  <c r="W496" i="1"/>
  <c r="X496" i="1"/>
  <c r="V497" i="1"/>
  <c r="W497" i="1"/>
  <c r="X497" i="1"/>
  <c r="V498" i="1"/>
  <c r="W498" i="1"/>
  <c r="X498" i="1"/>
  <c r="V499" i="1"/>
  <c r="W499" i="1"/>
  <c r="X499" i="1"/>
  <c r="V500" i="1"/>
  <c r="W500" i="1"/>
  <c r="X500" i="1"/>
  <c r="V501" i="1"/>
  <c r="W501" i="1"/>
  <c r="X501" i="1"/>
  <c r="V502" i="1"/>
  <c r="W502" i="1"/>
  <c r="X502" i="1"/>
  <c r="V503" i="1"/>
  <c r="W503" i="1"/>
  <c r="X503" i="1"/>
  <c r="V504" i="1"/>
  <c r="W504" i="1"/>
  <c r="X504" i="1"/>
  <c r="V505" i="1"/>
  <c r="W505" i="1"/>
  <c r="X505" i="1"/>
  <c r="V506" i="1"/>
  <c r="W506" i="1"/>
  <c r="X506" i="1"/>
  <c r="V507" i="1"/>
  <c r="W507" i="1"/>
  <c r="X507" i="1"/>
  <c r="V508" i="1"/>
  <c r="W508" i="1"/>
  <c r="X508" i="1"/>
  <c r="V509" i="1"/>
  <c r="W509" i="1"/>
  <c r="X509" i="1"/>
  <c r="V510" i="1"/>
  <c r="W510" i="1"/>
  <c r="X510" i="1"/>
  <c r="V511" i="1"/>
  <c r="W511" i="1"/>
  <c r="X511" i="1"/>
  <c r="V512" i="1"/>
  <c r="W512" i="1"/>
  <c r="X512" i="1"/>
  <c r="V513" i="1"/>
  <c r="W513" i="1"/>
  <c r="X513" i="1"/>
  <c r="V514" i="1"/>
  <c r="W514" i="1"/>
  <c r="X514" i="1"/>
  <c r="V515" i="1"/>
  <c r="W515" i="1"/>
  <c r="X515" i="1"/>
  <c r="V516" i="1"/>
  <c r="W516" i="1"/>
  <c r="X516" i="1"/>
  <c r="V517" i="1"/>
  <c r="W517" i="1"/>
  <c r="X517" i="1"/>
  <c r="V518" i="1"/>
  <c r="W518" i="1"/>
  <c r="X518" i="1"/>
  <c r="V519" i="1"/>
  <c r="W519" i="1"/>
  <c r="X519" i="1"/>
  <c r="V520" i="1"/>
  <c r="W520" i="1"/>
  <c r="X520" i="1"/>
  <c r="V521" i="1"/>
  <c r="W521" i="1"/>
  <c r="X521" i="1"/>
  <c r="V522" i="1"/>
  <c r="W522" i="1"/>
  <c r="X522" i="1"/>
  <c r="V523" i="1"/>
  <c r="W523" i="1"/>
  <c r="X523" i="1"/>
  <c r="V524" i="1"/>
  <c r="W524" i="1"/>
  <c r="X524" i="1"/>
  <c r="V525" i="1"/>
  <c r="W525" i="1"/>
  <c r="X525" i="1"/>
  <c r="V526" i="1"/>
  <c r="W526" i="1"/>
  <c r="X526" i="1"/>
  <c r="V527" i="1"/>
  <c r="W527" i="1"/>
  <c r="X527" i="1"/>
  <c r="V528" i="1"/>
  <c r="W528" i="1"/>
  <c r="X528" i="1"/>
  <c r="V529" i="1"/>
  <c r="W529" i="1"/>
  <c r="X529" i="1"/>
  <c r="V530" i="1"/>
  <c r="W530" i="1"/>
  <c r="X530" i="1"/>
  <c r="V531" i="1"/>
  <c r="W531" i="1"/>
  <c r="X531" i="1"/>
  <c r="V532" i="1"/>
  <c r="W532" i="1"/>
  <c r="X532" i="1"/>
  <c r="V533" i="1"/>
  <c r="W533" i="1"/>
  <c r="X533" i="1"/>
  <c r="V534" i="1"/>
  <c r="W534" i="1"/>
  <c r="X534" i="1"/>
  <c r="V535" i="1"/>
  <c r="W535" i="1"/>
  <c r="X535" i="1"/>
  <c r="V536" i="1"/>
  <c r="W536" i="1"/>
  <c r="X536" i="1"/>
  <c r="V537" i="1"/>
  <c r="W537" i="1"/>
  <c r="X537" i="1"/>
  <c r="V538" i="1"/>
  <c r="W538" i="1"/>
  <c r="X538" i="1"/>
  <c r="V539" i="1"/>
  <c r="W539" i="1"/>
  <c r="X539" i="1"/>
  <c r="V540" i="1"/>
  <c r="W540" i="1"/>
  <c r="X540" i="1"/>
  <c r="V541" i="1"/>
  <c r="W541" i="1"/>
  <c r="X541" i="1"/>
  <c r="V542" i="1"/>
  <c r="W542" i="1"/>
  <c r="X542" i="1"/>
  <c r="V543" i="1"/>
  <c r="W543" i="1"/>
  <c r="X543" i="1"/>
  <c r="V544" i="1"/>
  <c r="W544" i="1"/>
  <c r="X544" i="1"/>
  <c r="V545" i="1"/>
  <c r="W545" i="1"/>
  <c r="X545" i="1"/>
  <c r="V546" i="1"/>
  <c r="W546" i="1"/>
  <c r="X546" i="1"/>
  <c r="V547" i="1"/>
  <c r="W547" i="1"/>
  <c r="X547" i="1"/>
  <c r="V548" i="1"/>
  <c r="W548" i="1"/>
  <c r="X548" i="1"/>
  <c r="V549" i="1"/>
  <c r="W549" i="1"/>
  <c r="X549" i="1"/>
  <c r="V550" i="1"/>
  <c r="W550" i="1"/>
  <c r="X550" i="1"/>
  <c r="V551" i="1"/>
  <c r="W551" i="1"/>
  <c r="X551" i="1"/>
  <c r="V552" i="1"/>
  <c r="W552" i="1"/>
  <c r="X552" i="1"/>
  <c r="V553" i="1"/>
  <c r="W553" i="1"/>
  <c r="X553" i="1"/>
  <c r="V554" i="1"/>
  <c r="W554" i="1"/>
  <c r="X554" i="1"/>
  <c r="V555" i="1"/>
  <c r="W555" i="1"/>
  <c r="X555" i="1"/>
  <c r="V556" i="1"/>
  <c r="W556" i="1"/>
  <c r="X556" i="1"/>
  <c r="V557" i="1"/>
  <c r="W557" i="1"/>
  <c r="X557" i="1"/>
  <c r="V558" i="1"/>
  <c r="W558" i="1"/>
  <c r="X558" i="1"/>
  <c r="V559" i="1"/>
  <c r="W559" i="1"/>
  <c r="X559" i="1"/>
  <c r="V560" i="1"/>
  <c r="W560" i="1"/>
  <c r="X560" i="1"/>
  <c r="V561" i="1"/>
  <c r="W561" i="1"/>
  <c r="X561" i="1"/>
  <c r="V562" i="1"/>
  <c r="W562" i="1"/>
  <c r="X562" i="1"/>
  <c r="V563" i="1"/>
  <c r="W563" i="1"/>
  <c r="X563" i="1"/>
  <c r="V564" i="1"/>
  <c r="W564" i="1"/>
  <c r="X564" i="1"/>
  <c r="V565" i="1"/>
  <c r="W565" i="1"/>
  <c r="X565" i="1"/>
  <c r="V566" i="1"/>
  <c r="W566" i="1"/>
  <c r="X566" i="1"/>
  <c r="V567" i="1"/>
  <c r="W567" i="1"/>
  <c r="X567" i="1"/>
  <c r="V568" i="1"/>
  <c r="W568" i="1"/>
  <c r="X568" i="1"/>
  <c r="V569" i="1"/>
  <c r="W569" i="1"/>
  <c r="X569" i="1"/>
  <c r="V570" i="1"/>
  <c r="W570" i="1"/>
  <c r="X570" i="1"/>
  <c r="V571" i="1"/>
  <c r="W571" i="1"/>
  <c r="X571" i="1"/>
  <c r="V572" i="1"/>
  <c r="W572" i="1"/>
  <c r="X572" i="1"/>
  <c r="V573" i="1"/>
  <c r="W573" i="1"/>
  <c r="X573" i="1"/>
  <c r="V574" i="1"/>
  <c r="W574" i="1"/>
  <c r="X574" i="1"/>
  <c r="V575" i="1"/>
  <c r="W575" i="1"/>
  <c r="X575" i="1"/>
  <c r="V576" i="1"/>
  <c r="W576" i="1"/>
  <c r="X576" i="1"/>
  <c r="V577" i="1"/>
  <c r="W577" i="1"/>
  <c r="X577" i="1"/>
  <c r="V578" i="1"/>
  <c r="W578" i="1"/>
  <c r="X578" i="1"/>
  <c r="V579" i="1"/>
  <c r="W579" i="1"/>
  <c r="X579" i="1"/>
  <c r="V580" i="1"/>
  <c r="W580" i="1"/>
  <c r="X580" i="1"/>
  <c r="V581" i="1"/>
  <c r="W581" i="1"/>
  <c r="X581" i="1"/>
  <c r="V582" i="1"/>
  <c r="W582" i="1"/>
  <c r="X582" i="1"/>
  <c r="V583" i="1"/>
  <c r="W583" i="1"/>
  <c r="X583" i="1"/>
  <c r="V584" i="1"/>
  <c r="W584" i="1"/>
  <c r="X584" i="1"/>
  <c r="V585" i="1"/>
  <c r="W585" i="1"/>
  <c r="X585" i="1"/>
  <c r="V586" i="1"/>
  <c r="W586" i="1"/>
  <c r="X586" i="1"/>
  <c r="V587" i="1"/>
  <c r="W587" i="1"/>
  <c r="X587" i="1"/>
  <c r="V588" i="1"/>
  <c r="W588" i="1"/>
  <c r="X588" i="1"/>
  <c r="V589" i="1"/>
  <c r="W589" i="1"/>
  <c r="X589" i="1"/>
  <c r="V590" i="1"/>
  <c r="W590" i="1"/>
  <c r="X590" i="1"/>
  <c r="V591" i="1"/>
  <c r="W591" i="1"/>
  <c r="X591" i="1"/>
  <c r="V592" i="1"/>
  <c r="W592" i="1"/>
  <c r="X592" i="1"/>
  <c r="V593" i="1"/>
  <c r="W593" i="1"/>
  <c r="X593" i="1"/>
  <c r="V594" i="1"/>
  <c r="W594" i="1"/>
  <c r="X594" i="1"/>
  <c r="V595" i="1"/>
  <c r="W595" i="1"/>
  <c r="X595" i="1"/>
  <c r="V596" i="1"/>
  <c r="W596" i="1"/>
  <c r="X596" i="1"/>
  <c r="V597" i="1"/>
  <c r="W597" i="1"/>
  <c r="X597" i="1"/>
  <c r="V598" i="1"/>
  <c r="W598" i="1"/>
  <c r="X598" i="1"/>
  <c r="V599" i="1"/>
  <c r="W599" i="1"/>
  <c r="X599" i="1"/>
  <c r="V600" i="1"/>
  <c r="W600" i="1"/>
  <c r="X600" i="1"/>
  <c r="V601" i="1"/>
  <c r="W601" i="1"/>
  <c r="X601" i="1"/>
  <c r="V602" i="1"/>
  <c r="W602" i="1"/>
  <c r="X602" i="1"/>
  <c r="V603" i="1"/>
  <c r="W603" i="1"/>
  <c r="X603" i="1"/>
  <c r="V604" i="1"/>
  <c r="W604" i="1"/>
  <c r="X604" i="1"/>
  <c r="V605" i="1"/>
  <c r="W605" i="1"/>
  <c r="X605" i="1"/>
  <c r="V606" i="1"/>
  <c r="W606" i="1"/>
  <c r="X606" i="1"/>
  <c r="V607" i="1"/>
  <c r="W607" i="1"/>
  <c r="X607" i="1"/>
  <c r="V608" i="1"/>
  <c r="W608" i="1"/>
  <c r="X608" i="1"/>
  <c r="V609" i="1"/>
  <c r="W609" i="1"/>
  <c r="X609" i="1"/>
  <c r="V610" i="1"/>
  <c r="W610" i="1"/>
  <c r="X610" i="1"/>
  <c r="V611" i="1"/>
  <c r="W611" i="1"/>
  <c r="X611" i="1"/>
  <c r="V612" i="1"/>
  <c r="W612" i="1"/>
  <c r="X612" i="1"/>
  <c r="V613" i="1"/>
  <c r="W613" i="1"/>
  <c r="X613" i="1"/>
  <c r="V614" i="1"/>
  <c r="W614" i="1"/>
  <c r="X614" i="1"/>
  <c r="V615" i="1"/>
  <c r="W615" i="1"/>
  <c r="X615" i="1"/>
  <c r="V616" i="1"/>
  <c r="W616" i="1"/>
  <c r="X616" i="1"/>
  <c r="V617" i="1"/>
  <c r="W617" i="1"/>
  <c r="X617" i="1"/>
  <c r="V618" i="1"/>
  <c r="W618" i="1"/>
  <c r="X618" i="1"/>
  <c r="V619" i="1"/>
  <c r="W619" i="1"/>
  <c r="X619" i="1"/>
  <c r="V620" i="1"/>
  <c r="W620" i="1"/>
  <c r="X620" i="1"/>
  <c r="V621" i="1"/>
  <c r="W621" i="1"/>
  <c r="X621" i="1"/>
  <c r="V622" i="1"/>
  <c r="W622" i="1"/>
  <c r="X622" i="1"/>
  <c r="V623" i="1"/>
  <c r="W623" i="1"/>
  <c r="X623" i="1"/>
  <c r="V624" i="1"/>
  <c r="W624" i="1"/>
  <c r="X624" i="1"/>
  <c r="V625" i="1"/>
  <c r="W625" i="1"/>
  <c r="X625" i="1"/>
  <c r="V626" i="1"/>
  <c r="W626" i="1"/>
  <c r="X626" i="1"/>
  <c r="V627" i="1"/>
  <c r="W627" i="1"/>
  <c r="X627" i="1"/>
  <c r="V628" i="1"/>
  <c r="W628" i="1"/>
  <c r="X628" i="1"/>
  <c r="V629" i="1"/>
  <c r="W629" i="1"/>
  <c r="X629" i="1"/>
  <c r="V630" i="1"/>
  <c r="W630" i="1"/>
  <c r="X630" i="1"/>
  <c r="V631" i="1"/>
  <c r="W631" i="1"/>
  <c r="X631" i="1"/>
  <c r="V632" i="1"/>
  <c r="W632" i="1"/>
  <c r="X632" i="1"/>
  <c r="V633" i="1"/>
  <c r="W633" i="1"/>
  <c r="X633" i="1"/>
  <c r="V634" i="1"/>
  <c r="W634" i="1"/>
  <c r="X634" i="1"/>
  <c r="V635" i="1"/>
  <c r="W635" i="1"/>
  <c r="X635" i="1"/>
  <c r="V636" i="1"/>
  <c r="W636" i="1"/>
  <c r="X636" i="1"/>
  <c r="V637" i="1"/>
  <c r="W637" i="1"/>
  <c r="X637" i="1"/>
  <c r="V638" i="1"/>
  <c r="W638" i="1"/>
  <c r="X638" i="1"/>
  <c r="V639" i="1"/>
  <c r="W639" i="1"/>
  <c r="X639" i="1"/>
  <c r="V640" i="1"/>
  <c r="W640" i="1"/>
  <c r="X640" i="1"/>
  <c r="V641" i="1"/>
  <c r="W641" i="1"/>
  <c r="X641" i="1"/>
  <c r="V642" i="1"/>
  <c r="W642" i="1"/>
  <c r="X642" i="1"/>
  <c r="V643" i="1"/>
  <c r="W643" i="1"/>
  <c r="X643" i="1"/>
  <c r="V644" i="1"/>
  <c r="W644" i="1"/>
  <c r="X644" i="1"/>
  <c r="V645" i="1"/>
  <c r="W645" i="1"/>
  <c r="X645" i="1"/>
  <c r="V646" i="1"/>
  <c r="W646" i="1"/>
  <c r="X646" i="1"/>
  <c r="V647" i="1"/>
  <c r="W647" i="1"/>
  <c r="X647" i="1"/>
  <c r="V648" i="1"/>
  <c r="W648" i="1"/>
  <c r="X648" i="1"/>
  <c r="V649" i="1"/>
  <c r="W649" i="1"/>
  <c r="X649" i="1"/>
  <c r="V650" i="1"/>
  <c r="W650" i="1"/>
  <c r="X650" i="1"/>
  <c r="V651" i="1"/>
  <c r="W651" i="1"/>
  <c r="X651" i="1"/>
  <c r="V652" i="1"/>
  <c r="W652" i="1"/>
  <c r="X652" i="1"/>
  <c r="V653" i="1"/>
  <c r="W653" i="1"/>
  <c r="X653" i="1"/>
  <c r="V654" i="1"/>
  <c r="W654" i="1"/>
  <c r="X654" i="1"/>
  <c r="V655" i="1"/>
  <c r="W655" i="1"/>
  <c r="X655" i="1"/>
  <c r="V656" i="1"/>
  <c r="W656" i="1"/>
  <c r="X656" i="1"/>
  <c r="V657" i="1"/>
  <c r="W657" i="1"/>
  <c r="X657" i="1"/>
  <c r="V658" i="1"/>
  <c r="W658" i="1"/>
  <c r="X658" i="1"/>
  <c r="V659" i="1"/>
  <c r="W659" i="1"/>
  <c r="X659" i="1"/>
  <c r="V660" i="1"/>
  <c r="W660" i="1"/>
  <c r="X660" i="1"/>
  <c r="V661" i="1"/>
  <c r="W661" i="1"/>
  <c r="X661" i="1"/>
  <c r="V662" i="1"/>
  <c r="W662" i="1"/>
  <c r="X662" i="1"/>
  <c r="V663" i="1"/>
  <c r="W663" i="1"/>
  <c r="X663" i="1"/>
  <c r="V664" i="1"/>
  <c r="W664" i="1"/>
  <c r="X664" i="1"/>
  <c r="V665" i="1"/>
  <c r="W665" i="1"/>
  <c r="X665" i="1"/>
  <c r="V666" i="1"/>
  <c r="W666" i="1"/>
  <c r="X666" i="1"/>
  <c r="V667" i="1"/>
  <c r="W667" i="1"/>
  <c r="X667" i="1"/>
  <c r="V668" i="1"/>
  <c r="W668" i="1"/>
  <c r="X668" i="1"/>
  <c r="V669" i="1"/>
  <c r="W669" i="1"/>
  <c r="X669" i="1"/>
  <c r="V670" i="1"/>
  <c r="W670" i="1"/>
  <c r="X670" i="1"/>
  <c r="V671" i="1"/>
  <c r="W671" i="1"/>
  <c r="X671" i="1"/>
  <c r="V672" i="1"/>
  <c r="W672" i="1"/>
  <c r="X672" i="1"/>
  <c r="V673" i="1"/>
  <c r="W673" i="1"/>
  <c r="X673" i="1"/>
  <c r="V674" i="1"/>
  <c r="W674" i="1"/>
  <c r="X674" i="1"/>
  <c r="V675" i="1"/>
  <c r="W675" i="1"/>
  <c r="X675" i="1"/>
  <c r="V676" i="1"/>
  <c r="W676" i="1"/>
  <c r="X676" i="1"/>
  <c r="V677" i="1"/>
  <c r="W677" i="1"/>
  <c r="X677" i="1"/>
  <c r="V678" i="1"/>
  <c r="W678" i="1"/>
  <c r="X678" i="1"/>
  <c r="V679" i="1"/>
  <c r="W679" i="1"/>
  <c r="X679" i="1"/>
  <c r="V680" i="1"/>
  <c r="W680" i="1"/>
  <c r="X680" i="1"/>
  <c r="V681" i="1"/>
  <c r="W681" i="1"/>
  <c r="X681" i="1"/>
  <c r="V682" i="1"/>
  <c r="W682" i="1"/>
  <c r="X682" i="1"/>
  <c r="V683" i="1"/>
  <c r="W683" i="1"/>
  <c r="X683" i="1"/>
  <c r="V684" i="1"/>
  <c r="W684" i="1"/>
  <c r="X684" i="1"/>
  <c r="V685" i="1"/>
  <c r="W685" i="1"/>
  <c r="X685" i="1"/>
  <c r="V686" i="1"/>
  <c r="W686" i="1"/>
  <c r="X686" i="1"/>
  <c r="V687" i="1"/>
  <c r="W687" i="1"/>
  <c r="X687" i="1"/>
  <c r="V688" i="1"/>
  <c r="W688" i="1"/>
  <c r="X688" i="1"/>
  <c r="V689" i="1"/>
  <c r="W689" i="1"/>
  <c r="X689" i="1"/>
  <c r="V690" i="1"/>
  <c r="W690" i="1"/>
  <c r="X690" i="1"/>
  <c r="V691" i="1"/>
  <c r="W691" i="1"/>
  <c r="X691" i="1"/>
  <c r="V692" i="1"/>
  <c r="W692" i="1"/>
  <c r="X692" i="1"/>
  <c r="V693" i="1"/>
  <c r="W693" i="1"/>
  <c r="X693" i="1"/>
  <c r="V694" i="1"/>
  <c r="W694" i="1"/>
  <c r="X694" i="1"/>
  <c r="V695" i="1"/>
  <c r="W695" i="1"/>
  <c r="X695" i="1"/>
  <c r="V696" i="1"/>
  <c r="W696" i="1"/>
  <c r="X696" i="1"/>
  <c r="V697" i="1"/>
  <c r="W697" i="1"/>
  <c r="X697" i="1"/>
  <c r="V698" i="1"/>
  <c r="W698" i="1"/>
  <c r="X698" i="1"/>
  <c r="V699" i="1"/>
  <c r="W699" i="1"/>
  <c r="X699" i="1"/>
  <c r="V700" i="1"/>
  <c r="W700" i="1"/>
  <c r="X700" i="1"/>
  <c r="V701" i="1"/>
  <c r="W701" i="1"/>
  <c r="X701" i="1"/>
  <c r="V702" i="1"/>
  <c r="W702" i="1"/>
  <c r="X702" i="1"/>
  <c r="V703" i="1"/>
  <c r="W703" i="1"/>
  <c r="X703" i="1"/>
  <c r="V704" i="1"/>
  <c r="W704" i="1"/>
  <c r="X704" i="1"/>
  <c r="V705" i="1"/>
  <c r="W705" i="1"/>
  <c r="X705" i="1"/>
  <c r="V706" i="1"/>
  <c r="W706" i="1"/>
  <c r="X706" i="1"/>
  <c r="V707" i="1"/>
  <c r="W707" i="1"/>
  <c r="X707" i="1"/>
  <c r="V708" i="1"/>
  <c r="W708" i="1"/>
  <c r="X708" i="1"/>
  <c r="V709" i="1"/>
  <c r="W709" i="1"/>
  <c r="X709" i="1"/>
  <c r="V710" i="1"/>
  <c r="W710" i="1"/>
  <c r="X710" i="1"/>
  <c r="V711" i="1"/>
  <c r="W711" i="1"/>
  <c r="X711" i="1"/>
  <c r="V712" i="1"/>
  <c r="W712" i="1"/>
  <c r="X712" i="1"/>
  <c r="V713" i="1"/>
  <c r="W713" i="1"/>
  <c r="X713" i="1"/>
  <c r="V714" i="1"/>
  <c r="W714" i="1"/>
  <c r="X714" i="1"/>
  <c r="V715" i="1"/>
  <c r="W715" i="1"/>
  <c r="X715" i="1"/>
  <c r="V716" i="1"/>
  <c r="W716" i="1"/>
  <c r="X716" i="1"/>
  <c r="V717" i="1"/>
  <c r="W717" i="1"/>
  <c r="X717" i="1"/>
  <c r="V718" i="1"/>
  <c r="W718" i="1"/>
  <c r="X718" i="1"/>
  <c r="V719" i="1"/>
  <c r="W719" i="1"/>
  <c r="X719" i="1"/>
  <c r="V720" i="1"/>
  <c r="W720" i="1"/>
  <c r="X720" i="1"/>
  <c r="V721" i="1"/>
  <c r="W721" i="1"/>
  <c r="X721" i="1"/>
  <c r="V722" i="1"/>
  <c r="W722" i="1"/>
  <c r="X722" i="1"/>
  <c r="V723" i="1"/>
  <c r="W723" i="1"/>
  <c r="X723" i="1"/>
  <c r="V724" i="1"/>
  <c r="W724" i="1"/>
  <c r="X724" i="1"/>
  <c r="V725" i="1"/>
  <c r="W725" i="1"/>
  <c r="X725" i="1"/>
  <c r="V726" i="1"/>
  <c r="W726" i="1"/>
  <c r="X726" i="1"/>
  <c r="V727" i="1"/>
  <c r="W727" i="1"/>
  <c r="X727" i="1"/>
  <c r="V728" i="1"/>
  <c r="W728" i="1"/>
  <c r="X728" i="1"/>
  <c r="V729" i="1"/>
  <c r="W729" i="1"/>
  <c r="X729" i="1"/>
  <c r="V730" i="1"/>
  <c r="W730" i="1"/>
  <c r="X730" i="1"/>
  <c r="V731" i="1"/>
  <c r="W731" i="1"/>
  <c r="X731" i="1"/>
  <c r="V732" i="1"/>
  <c r="W732" i="1"/>
  <c r="X732" i="1"/>
  <c r="V733" i="1"/>
  <c r="W733" i="1"/>
  <c r="X733" i="1"/>
  <c r="V734" i="1"/>
  <c r="W734" i="1"/>
  <c r="X734" i="1"/>
  <c r="V735" i="1"/>
  <c r="W735" i="1"/>
  <c r="X735" i="1"/>
  <c r="V736" i="1"/>
  <c r="W736" i="1"/>
  <c r="X736" i="1"/>
  <c r="V737" i="1"/>
  <c r="W737" i="1"/>
  <c r="X737" i="1"/>
  <c r="V738" i="1"/>
  <c r="W738" i="1"/>
  <c r="X738" i="1"/>
  <c r="V739" i="1"/>
  <c r="W739" i="1"/>
  <c r="X739" i="1"/>
  <c r="V740" i="1"/>
  <c r="W740" i="1"/>
  <c r="X740" i="1"/>
  <c r="V741" i="1"/>
  <c r="W741" i="1"/>
  <c r="X741" i="1"/>
  <c r="V742" i="1"/>
  <c r="W742" i="1"/>
  <c r="X742" i="1"/>
  <c r="V743" i="1"/>
  <c r="W743" i="1"/>
  <c r="X743" i="1"/>
  <c r="V744" i="1"/>
  <c r="W744" i="1"/>
  <c r="X744" i="1"/>
  <c r="V745" i="1"/>
  <c r="W745" i="1"/>
  <c r="X745" i="1"/>
  <c r="V746" i="1"/>
  <c r="W746" i="1"/>
  <c r="X746" i="1"/>
  <c r="V747" i="1"/>
  <c r="W747" i="1"/>
  <c r="X747" i="1"/>
  <c r="V748" i="1"/>
  <c r="W748" i="1"/>
  <c r="X748" i="1"/>
  <c r="V749" i="1"/>
  <c r="W749" i="1"/>
  <c r="X749" i="1"/>
  <c r="V750" i="1"/>
  <c r="W750" i="1"/>
  <c r="X750" i="1"/>
  <c r="V751" i="1"/>
  <c r="W751" i="1"/>
  <c r="X751" i="1"/>
  <c r="V752" i="1"/>
  <c r="W752" i="1"/>
  <c r="X752" i="1"/>
  <c r="V753" i="1"/>
  <c r="W753" i="1"/>
  <c r="X753" i="1"/>
  <c r="V754" i="1"/>
  <c r="W754" i="1"/>
  <c r="X754" i="1"/>
  <c r="V755" i="1"/>
  <c r="W755" i="1"/>
  <c r="X755" i="1"/>
  <c r="V756" i="1"/>
  <c r="W756" i="1"/>
  <c r="X756" i="1"/>
  <c r="V757" i="1"/>
  <c r="W757" i="1"/>
  <c r="X757" i="1"/>
  <c r="V758" i="1"/>
  <c r="W758" i="1"/>
  <c r="X758" i="1"/>
  <c r="V759" i="1"/>
  <c r="W759" i="1"/>
  <c r="X759" i="1"/>
  <c r="V760" i="1"/>
  <c r="W760" i="1"/>
  <c r="X760" i="1"/>
  <c r="V761" i="1"/>
  <c r="W761" i="1"/>
  <c r="X761" i="1"/>
  <c r="V762" i="1"/>
  <c r="W762" i="1"/>
  <c r="X762" i="1"/>
  <c r="V763" i="1"/>
  <c r="W763" i="1"/>
  <c r="X763" i="1"/>
  <c r="V764" i="1"/>
  <c r="W764" i="1"/>
  <c r="X764" i="1"/>
  <c r="V765" i="1"/>
  <c r="W765" i="1"/>
  <c r="X765" i="1"/>
  <c r="V766" i="1"/>
  <c r="W766" i="1"/>
  <c r="X766" i="1"/>
  <c r="V767" i="1"/>
  <c r="W767" i="1"/>
  <c r="X767" i="1"/>
  <c r="V768" i="1"/>
  <c r="W768" i="1"/>
  <c r="X768" i="1"/>
  <c r="V769" i="1"/>
  <c r="W769" i="1"/>
  <c r="X769" i="1"/>
  <c r="V770" i="1"/>
  <c r="W770" i="1"/>
  <c r="X770" i="1"/>
  <c r="V771" i="1"/>
  <c r="W771" i="1"/>
  <c r="X771" i="1"/>
  <c r="V772" i="1"/>
  <c r="W772" i="1"/>
  <c r="X772" i="1"/>
  <c r="V773" i="1"/>
  <c r="W773" i="1"/>
  <c r="X773" i="1"/>
  <c r="V774" i="1"/>
  <c r="W774" i="1"/>
  <c r="X774" i="1"/>
  <c r="V775" i="1"/>
  <c r="W775" i="1"/>
  <c r="X775" i="1"/>
  <c r="V776" i="1"/>
  <c r="W776" i="1"/>
  <c r="X776" i="1"/>
  <c r="V777" i="1"/>
  <c r="W777" i="1"/>
  <c r="X777" i="1"/>
  <c r="V778" i="1"/>
  <c r="W778" i="1"/>
  <c r="X778" i="1"/>
  <c r="V779" i="1"/>
  <c r="W779" i="1"/>
  <c r="X779" i="1"/>
  <c r="V780" i="1"/>
  <c r="W780" i="1"/>
  <c r="X780" i="1"/>
  <c r="V781" i="1"/>
  <c r="W781" i="1"/>
  <c r="X781" i="1"/>
  <c r="V782" i="1"/>
  <c r="W782" i="1"/>
  <c r="X782" i="1"/>
  <c r="V783" i="1"/>
  <c r="W783" i="1"/>
  <c r="X783" i="1"/>
  <c r="V784" i="1"/>
  <c r="W784" i="1"/>
  <c r="X784" i="1"/>
  <c r="V785" i="1"/>
  <c r="W785" i="1"/>
  <c r="X785" i="1"/>
  <c r="V786" i="1"/>
  <c r="W786" i="1"/>
  <c r="X786" i="1"/>
  <c r="V787" i="1"/>
  <c r="W787" i="1"/>
  <c r="X787" i="1"/>
  <c r="V788" i="1"/>
  <c r="W788" i="1"/>
  <c r="X788" i="1"/>
  <c r="V789" i="1"/>
  <c r="W789" i="1"/>
  <c r="X789" i="1"/>
  <c r="V790" i="1"/>
  <c r="W790" i="1"/>
  <c r="X790" i="1"/>
  <c r="V791" i="1"/>
  <c r="W791" i="1"/>
  <c r="X791" i="1"/>
  <c r="V792" i="1"/>
  <c r="W792" i="1"/>
  <c r="X792" i="1"/>
  <c r="V793" i="1"/>
  <c r="W793" i="1"/>
  <c r="X793" i="1"/>
  <c r="V794" i="1"/>
  <c r="W794" i="1"/>
  <c r="X794" i="1"/>
  <c r="V795" i="1"/>
  <c r="W795" i="1"/>
  <c r="X795" i="1"/>
  <c r="V796" i="1"/>
  <c r="W796" i="1"/>
  <c r="X796" i="1"/>
  <c r="V797" i="1"/>
  <c r="W797" i="1"/>
  <c r="X797" i="1"/>
  <c r="V798" i="1"/>
  <c r="W798" i="1"/>
  <c r="X798" i="1"/>
  <c r="V799" i="1"/>
  <c r="W799" i="1"/>
  <c r="X799" i="1"/>
  <c r="V800" i="1"/>
  <c r="W800" i="1"/>
  <c r="X800" i="1"/>
  <c r="V801" i="1"/>
  <c r="W801" i="1"/>
  <c r="X801" i="1"/>
  <c r="V802" i="1"/>
  <c r="W802" i="1"/>
  <c r="X802" i="1"/>
  <c r="V803" i="1"/>
  <c r="W803" i="1"/>
  <c r="X803" i="1"/>
  <c r="V804" i="1"/>
  <c r="W804" i="1"/>
  <c r="X804" i="1"/>
  <c r="V805" i="1"/>
  <c r="W805" i="1"/>
  <c r="X805" i="1"/>
  <c r="V806" i="1"/>
  <c r="W806" i="1"/>
  <c r="X806" i="1"/>
  <c r="V807" i="1"/>
  <c r="W807" i="1"/>
  <c r="X807" i="1"/>
  <c r="V808" i="1"/>
  <c r="W808" i="1"/>
  <c r="X808" i="1"/>
  <c r="V809" i="1"/>
  <c r="W809" i="1"/>
  <c r="X809" i="1"/>
  <c r="V810" i="1"/>
  <c r="W810" i="1"/>
  <c r="X810" i="1"/>
  <c r="V811" i="1"/>
  <c r="W811" i="1"/>
  <c r="X811" i="1"/>
  <c r="V812" i="1"/>
  <c r="W812" i="1"/>
  <c r="X812" i="1"/>
  <c r="V813" i="1"/>
  <c r="W813" i="1"/>
  <c r="X813" i="1"/>
  <c r="V814" i="1"/>
  <c r="W814" i="1"/>
  <c r="X814" i="1"/>
  <c r="V815" i="1"/>
  <c r="W815" i="1"/>
  <c r="X815" i="1"/>
  <c r="V816" i="1"/>
  <c r="W816" i="1"/>
  <c r="X816" i="1"/>
  <c r="V817" i="1"/>
  <c r="W817" i="1"/>
  <c r="X817" i="1"/>
  <c r="V818" i="1"/>
  <c r="W818" i="1"/>
  <c r="X818" i="1"/>
  <c r="V819" i="1"/>
  <c r="W819" i="1"/>
  <c r="X819" i="1"/>
  <c r="V820" i="1"/>
  <c r="W820" i="1"/>
  <c r="X820" i="1"/>
  <c r="V821" i="1"/>
  <c r="W821" i="1"/>
  <c r="X821" i="1"/>
  <c r="V822" i="1"/>
  <c r="W822" i="1"/>
  <c r="X822" i="1"/>
  <c r="V823" i="1"/>
  <c r="W823" i="1"/>
  <c r="X823" i="1"/>
  <c r="V824" i="1"/>
  <c r="W824" i="1"/>
  <c r="X824" i="1"/>
  <c r="V825" i="1"/>
  <c r="W825" i="1"/>
  <c r="X825" i="1"/>
  <c r="V826" i="1"/>
  <c r="W826" i="1"/>
  <c r="X826" i="1"/>
  <c r="V827" i="1"/>
  <c r="W827" i="1"/>
  <c r="X827" i="1"/>
  <c r="V828" i="1"/>
  <c r="W828" i="1"/>
  <c r="X828" i="1"/>
  <c r="V829" i="1"/>
  <c r="W829" i="1"/>
  <c r="X829" i="1"/>
  <c r="V830" i="1"/>
  <c r="W830" i="1"/>
  <c r="X830" i="1"/>
  <c r="V831" i="1"/>
  <c r="W831" i="1"/>
  <c r="X831" i="1"/>
  <c r="V832" i="1"/>
  <c r="W832" i="1"/>
  <c r="X832" i="1"/>
  <c r="V833" i="1"/>
  <c r="W833" i="1"/>
  <c r="X833" i="1"/>
  <c r="V834" i="1"/>
  <c r="W834" i="1"/>
  <c r="X834" i="1"/>
  <c r="V835" i="1"/>
  <c r="W835" i="1"/>
  <c r="X835" i="1"/>
  <c r="V836" i="1"/>
  <c r="W836" i="1"/>
  <c r="X836" i="1"/>
  <c r="V837" i="1"/>
  <c r="W837" i="1"/>
  <c r="X837" i="1"/>
  <c r="V838" i="1"/>
  <c r="W838" i="1"/>
  <c r="X838" i="1"/>
  <c r="V839" i="1"/>
  <c r="W839" i="1"/>
  <c r="X839" i="1"/>
  <c r="V840" i="1"/>
  <c r="W840" i="1"/>
  <c r="X840" i="1"/>
  <c r="V841" i="1"/>
  <c r="W841" i="1"/>
  <c r="X841" i="1"/>
  <c r="V842" i="1"/>
  <c r="W842" i="1"/>
  <c r="X842" i="1"/>
  <c r="V843" i="1"/>
  <c r="W843" i="1"/>
  <c r="X843" i="1"/>
  <c r="V844" i="1"/>
  <c r="W844" i="1"/>
  <c r="X844" i="1"/>
  <c r="V845" i="1"/>
  <c r="W845" i="1"/>
  <c r="X845" i="1"/>
  <c r="V846" i="1"/>
  <c r="W846" i="1"/>
  <c r="X846" i="1"/>
  <c r="V847" i="1"/>
  <c r="W847" i="1"/>
  <c r="X847" i="1"/>
  <c r="V848" i="1"/>
  <c r="W848" i="1"/>
  <c r="X848" i="1"/>
  <c r="V849" i="1"/>
  <c r="W849" i="1"/>
  <c r="X849" i="1"/>
  <c r="V850" i="1"/>
  <c r="W850" i="1"/>
  <c r="X850" i="1"/>
  <c r="V851" i="1"/>
  <c r="W851" i="1"/>
  <c r="X851" i="1"/>
  <c r="V852" i="1"/>
  <c r="W852" i="1"/>
  <c r="X852" i="1"/>
  <c r="V853" i="1"/>
  <c r="W853" i="1"/>
  <c r="X853" i="1"/>
  <c r="V854" i="1"/>
  <c r="W854" i="1"/>
  <c r="X854" i="1"/>
  <c r="V855" i="1"/>
  <c r="W855" i="1"/>
  <c r="X855" i="1"/>
  <c r="V856" i="1"/>
  <c r="W856" i="1"/>
  <c r="X856" i="1"/>
  <c r="V857" i="1"/>
  <c r="W857" i="1"/>
  <c r="X857" i="1"/>
  <c r="V858" i="1"/>
  <c r="W858" i="1"/>
  <c r="X858" i="1"/>
  <c r="V859" i="1"/>
  <c r="W859" i="1"/>
  <c r="X859" i="1"/>
  <c r="V860" i="1"/>
  <c r="W860" i="1"/>
  <c r="X860" i="1"/>
  <c r="V861" i="1"/>
  <c r="W861" i="1"/>
  <c r="X861" i="1"/>
  <c r="V862" i="1"/>
  <c r="W862" i="1"/>
  <c r="X862" i="1"/>
  <c r="V863" i="1"/>
  <c r="W863" i="1"/>
  <c r="X863" i="1"/>
  <c r="V864" i="1"/>
  <c r="W864" i="1"/>
  <c r="X864" i="1"/>
  <c r="V865" i="1"/>
  <c r="W865" i="1"/>
  <c r="X865" i="1"/>
  <c r="V866" i="1"/>
  <c r="W866" i="1"/>
  <c r="X866" i="1"/>
  <c r="V867" i="1"/>
  <c r="W867" i="1"/>
  <c r="X867" i="1"/>
  <c r="V868" i="1"/>
  <c r="W868" i="1"/>
  <c r="X868" i="1"/>
  <c r="V869" i="1"/>
  <c r="W869" i="1"/>
  <c r="X869" i="1"/>
  <c r="V870" i="1"/>
  <c r="W870" i="1"/>
  <c r="X870" i="1"/>
  <c r="V871" i="1"/>
  <c r="W871" i="1"/>
  <c r="X871" i="1"/>
  <c r="V872" i="1"/>
  <c r="W872" i="1"/>
  <c r="X872" i="1"/>
  <c r="V873" i="1"/>
  <c r="W873" i="1"/>
  <c r="X873" i="1"/>
  <c r="V874" i="1"/>
  <c r="W874" i="1"/>
  <c r="X874" i="1"/>
  <c r="V875" i="1"/>
  <c r="W875" i="1"/>
  <c r="X875" i="1"/>
  <c r="V876" i="1"/>
  <c r="W876" i="1"/>
  <c r="X876" i="1"/>
  <c r="V877" i="1"/>
  <c r="W877" i="1"/>
  <c r="X877" i="1"/>
  <c r="V878" i="1"/>
  <c r="W878" i="1"/>
  <c r="X878" i="1"/>
  <c r="V879" i="1"/>
  <c r="W879" i="1"/>
  <c r="X879" i="1"/>
  <c r="V880" i="1"/>
  <c r="W880" i="1"/>
  <c r="X880" i="1"/>
  <c r="V881" i="1"/>
  <c r="W881" i="1"/>
  <c r="X881" i="1"/>
  <c r="V882" i="1"/>
  <c r="W882" i="1"/>
  <c r="X882" i="1"/>
  <c r="V883" i="1"/>
  <c r="W883" i="1"/>
  <c r="X883" i="1"/>
  <c r="V884" i="1"/>
  <c r="W884" i="1"/>
  <c r="X884" i="1"/>
  <c r="V885" i="1"/>
  <c r="W885" i="1"/>
  <c r="X885" i="1"/>
  <c r="V886" i="1"/>
  <c r="W886" i="1"/>
  <c r="X886" i="1"/>
  <c r="V887" i="1"/>
  <c r="W887" i="1"/>
  <c r="X887" i="1"/>
  <c r="V888" i="1"/>
  <c r="W888" i="1"/>
  <c r="X888" i="1"/>
  <c r="V889" i="1"/>
  <c r="W889" i="1"/>
  <c r="X889" i="1"/>
  <c r="V890" i="1"/>
  <c r="W890" i="1"/>
  <c r="X890" i="1"/>
  <c r="V891" i="1"/>
  <c r="W891" i="1"/>
  <c r="X891" i="1"/>
  <c r="V892" i="1"/>
  <c r="W892" i="1"/>
  <c r="X892" i="1"/>
  <c r="V893" i="1"/>
  <c r="W893" i="1"/>
  <c r="X893" i="1"/>
  <c r="V894" i="1"/>
  <c r="W894" i="1"/>
  <c r="X894" i="1"/>
  <c r="V895" i="1"/>
  <c r="W895" i="1"/>
  <c r="X895" i="1"/>
  <c r="V896" i="1"/>
  <c r="W896" i="1"/>
  <c r="X896" i="1"/>
  <c r="V897" i="1"/>
  <c r="W897" i="1"/>
  <c r="X897" i="1"/>
  <c r="V898" i="1"/>
  <c r="W898" i="1"/>
  <c r="X898" i="1"/>
  <c r="V899" i="1"/>
  <c r="W899" i="1"/>
  <c r="X899" i="1"/>
  <c r="V900" i="1"/>
  <c r="W900" i="1"/>
  <c r="X900" i="1"/>
  <c r="V901" i="1"/>
  <c r="W901" i="1"/>
  <c r="X901" i="1"/>
  <c r="V902" i="1"/>
  <c r="W902" i="1"/>
  <c r="X902" i="1"/>
  <c r="V903" i="1"/>
  <c r="W903" i="1"/>
  <c r="X903" i="1"/>
  <c r="V904" i="1"/>
  <c r="W904" i="1"/>
  <c r="X904" i="1"/>
  <c r="V905" i="1"/>
  <c r="W905" i="1"/>
  <c r="X905" i="1"/>
  <c r="V906" i="1"/>
  <c r="W906" i="1"/>
  <c r="X906" i="1"/>
  <c r="V907" i="1"/>
  <c r="W907" i="1"/>
  <c r="X907" i="1"/>
  <c r="V908" i="1"/>
  <c r="W908" i="1"/>
  <c r="X908" i="1"/>
  <c r="V909" i="1"/>
  <c r="W909" i="1"/>
  <c r="X909" i="1"/>
  <c r="V910" i="1"/>
  <c r="W910" i="1"/>
  <c r="X910" i="1"/>
  <c r="V911" i="1"/>
  <c r="W911" i="1"/>
  <c r="X911" i="1"/>
  <c r="V912" i="1"/>
  <c r="W912" i="1"/>
  <c r="X912" i="1"/>
  <c r="V913" i="1"/>
  <c r="W913" i="1"/>
  <c r="X913" i="1"/>
  <c r="V914" i="1"/>
  <c r="W914" i="1"/>
  <c r="X914" i="1"/>
  <c r="V915" i="1"/>
  <c r="W915" i="1"/>
  <c r="X915" i="1"/>
  <c r="V916" i="1"/>
  <c r="W916" i="1"/>
  <c r="X916" i="1"/>
  <c r="V917" i="1"/>
  <c r="W917" i="1"/>
  <c r="X917" i="1"/>
  <c r="V918" i="1"/>
  <c r="W918" i="1"/>
  <c r="X918" i="1"/>
  <c r="V919" i="1"/>
  <c r="W919" i="1"/>
  <c r="X919" i="1"/>
  <c r="V920" i="1"/>
  <c r="W920" i="1"/>
  <c r="X920" i="1"/>
  <c r="V921" i="1"/>
  <c r="W921" i="1"/>
  <c r="X921" i="1"/>
  <c r="V922" i="1"/>
  <c r="W922" i="1"/>
  <c r="X922" i="1"/>
  <c r="V923" i="1"/>
  <c r="W923" i="1"/>
  <c r="X923" i="1"/>
  <c r="V924" i="1"/>
  <c r="W924" i="1"/>
  <c r="X924" i="1"/>
  <c r="V925" i="1"/>
  <c r="W925" i="1"/>
  <c r="X925" i="1"/>
  <c r="V926" i="1"/>
  <c r="W926" i="1"/>
  <c r="X926" i="1"/>
  <c r="V927" i="1"/>
  <c r="W927" i="1"/>
  <c r="X927" i="1"/>
  <c r="V928" i="1"/>
  <c r="W928" i="1"/>
  <c r="X928" i="1"/>
  <c r="V929" i="1"/>
  <c r="W929" i="1"/>
  <c r="X929" i="1"/>
  <c r="V930" i="1"/>
  <c r="W930" i="1"/>
  <c r="X930" i="1"/>
  <c r="V931" i="1"/>
  <c r="W931" i="1"/>
  <c r="X931" i="1"/>
  <c r="V932" i="1"/>
  <c r="W932" i="1"/>
  <c r="X932" i="1"/>
  <c r="V933" i="1"/>
  <c r="W933" i="1"/>
  <c r="X933" i="1"/>
  <c r="V934" i="1"/>
  <c r="W934" i="1"/>
  <c r="X934" i="1"/>
  <c r="V935" i="1"/>
  <c r="W935" i="1"/>
  <c r="X935" i="1"/>
  <c r="V936" i="1"/>
  <c r="W936" i="1"/>
  <c r="X936" i="1"/>
  <c r="V937" i="1"/>
  <c r="W937" i="1"/>
  <c r="X937" i="1"/>
  <c r="V938" i="1"/>
  <c r="W938" i="1"/>
  <c r="X938" i="1"/>
  <c r="V939" i="1"/>
  <c r="W939" i="1"/>
  <c r="X939" i="1"/>
  <c r="V940" i="1"/>
  <c r="W940" i="1"/>
  <c r="X940" i="1"/>
  <c r="V941" i="1"/>
  <c r="W941" i="1"/>
  <c r="X941" i="1"/>
  <c r="V942" i="1"/>
  <c r="W942" i="1"/>
  <c r="X942" i="1"/>
  <c r="V943" i="1"/>
  <c r="W943" i="1"/>
  <c r="X943" i="1"/>
  <c r="V944" i="1"/>
  <c r="W944" i="1"/>
  <c r="X944" i="1"/>
  <c r="V945" i="1"/>
  <c r="W945" i="1"/>
  <c r="X945" i="1"/>
  <c r="V946" i="1"/>
  <c r="W946" i="1"/>
  <c r="X946" i="1"/>
  <c r="V947" i="1"/>
  <c r="W947" i="1"/>
  <c r="X947" i="1"/>
  <c r="V948" i="1"/>
  <c r="W948" i="1"/>
  <c r="X948" i="1"/>
  <c r="V949" i="1"/>
  <c r="W949" i="1"/>
  <c r="X949" i="1"/>
  <c r="V950" i="1"/>
  <c r="W950" i="1"/>
  <c r="X950" i="1"/>
  <c r="V951" i="1"/>
  <c r="W951" i="1"/>
  <c r="X951" i="1"/>
  <c r="V952" i="1"/>
  <c r="W952" i="1"/>
  <c r="X952" i="1"/>
  <c r="V953" i="1"/>
  <c r="W953" i="1"/>
  <c r="X953" i="1"/>
  <c r="V954" i="1"/>
  <c r="W954" i="1"/>
  <c r="X954" i="1"/>
  <c r="V955" i="1"/>
  <c r="W955" i="1"/>
  <c r="X955" i="1"/>
  <c r="V956" i="1"/>
  <c r="W956" i="1"/>
  <c r="X956" i="1"/>
  <c r="V957" i="1"/>
  <c r="W957" i="1"/>
  <c r="X957" i="1"/>
  <c r="V958" i="1"/>
  <c r="W958" i="1"/>
  <c r="X958" i="1"/>
  <c r="V959" i="1"/>
  <c r="W959" i="1"/>
  <c r="X959" i="1"/>
  <c r="V960" i="1"/>
  <c r="W960" i="1"/>
  <c r="X960" i="1"/>
  <c r="V961" i="1"/>
  <c r="W961" i="1"/>
  <c r="X961" i="1"/>
  <c r="V962" i="1"/>
  <c r="W962" i="1"/>
  <c r="X962" i="1"/>
  <c r="V963" i="1"/>
  <c r="W963" i="1"/>
  <c r="X963" i="1"/>
  <c r="V964" i="1"/>
  <c r="W964" i="1"/>
  <c r="X964" i="1"/>
  <c r="V965" i="1"/>
  <c r="W965" i="1"/>
  <c r="X965" i="1"/>
  <c r="V966" i="1"/>
  <c r="W966" i="1"/>
  <c r="X966" i="1"/>
  <c r="V967" i="1"/>
  <c r="W967" i="1"/>
  <c r="X967" i="1"/>
  <c r="V968" i="1"/>
  <c r="W968" i="1"/>
  <c r="X968" i="1"/>
  <c r="V969" i="1"/>
  <c r="W969" i="1"/>
  <c r="X969" i="1"/>
  <c r="V970" i="1"/>
  <c r="W970" i="1"/>
  <c r="X970" i="1"/>
  <c r="V971" i="1"/>
  <c r="W971" i="1"/>
  <c r="X971" i="1"/>
  <c r="V972" i="1"/>
  <c r="W972" i="1"/>
  <c r="X972" i="1"/>
  <c r="V973" i="1"/>
  <c r="W973" i="1"/>
  <c r="X973" i="1"/>
  <c r="V974" i="1"/>
  <c r="W974" i="1"/>
  <c r="X974" i="1"/>
  <c r="V975" i="1"/>
  <c r="W975" i="1"/>
  <c r="X975" i="1"/>
  <c r="V976" i="1"/>
  <c r="W976" i="1"/>
  <c r="X976" i="1"/>
  <c r="V977" i="1"/>
  <c r="W977" i="1"/>
  <c r="X977" i="1"/>
  <c r="V978" i="1"/>
  <c r="W978" i="1"/>
  <c r="X978" i="1"/>
  <c r="V979" i="1"/>
  <c r="W979" i="1"/>
  <c r="X979" i="1"/>
  <c r="V980" i="1"/>
  <c r="W980" i="1"/>
  <c r="X980" i="1"/>
  <c r="V981" i="1"/>
  <c r="W981" i="1"/>
  <c r="X981" i="1"/>
  <c r="V982" i="1"/>
  <c r="W982" i="1"/>
  <c r="X982" i="1"/>
  <c r="V983" i="1"/>
  <c r="W983" i="1"/>
  <c r="X983" i="1"/>
  <c r="V984" i="1"/>
  <c r="W984" i="1"/>
  <c r="X984" i="1"/>
  <c r="V985" i="1"/>
  <c r="W985" i="1"/>
  <c r="X985" i="1"/>
  <c r="V986" i="1"/>
  <c r="W986" i="1"/>
  <c r="X986" i="1"/>
  <c r="V987" i="1"/>
  <c r="W987" i="1"/>
  <c r="X987" i="1"/>
  <c r="V988" i="1"/>
  <c r="W988" i="1"/>
  <c r="X988" i="1"/>
  <c r="V989" i="1"/>
  <c r="W989" i="1"/>
  <c r="X989" i="1"/>
  <c r="V990" i="1"/>
  <c r="W990" i="1"/>
  <c r="X990" i="1"/>
  <c r="V991" i="1"/>
  <c r="W991" i="1"/>
  <c r="X991" i="1"/>
  <c r="V992" i="1"/>
  <c r="W992" i="1"/>
  <c r="X992" i="1"/>
  <c r="V993" i="1"/>
  <c r="W993" i="1"/>
  <c r="X993" i="1"/>
  <c r="V994" i="1"/>
  <c r="W994" i="1"/>
  <c r="X994" i="1"/>
  <c r="V995" i="1"/>
  <c r="W995" i="1"/>
  <c r="X995" i="1"/>
  <c r="V996" i="1"/>
  <c r="W996" i="1"/>
  <c r="X996" i="1"/>
  <c r="V997" i="1"/>
  <c r="W997" i="1"/>
  <c r="X997" i="1"/>
  <c r="V998" i="1"/>
  <c r="W998" i="1"/>
  <c r="X998" i="1"/>
  <c r="V999" i="1"/>
  <c r="W999" i="1"/>
  <c r="X999" i="1"/>
  <c r="V1000" i="1"/>
  <c r="W1000" i="1"/>
  <c r="X1000" i="1"/>
  <c r="V1001" i="1"/>
  <c r="W1001" i="1"/>
  <c r="X1001" i="1"/>
  <c r="V1002" i="1"/>
  <c r="W1002" i="1"/>
  <c r="X1002" i="1"/>
  <c r="V1003" i="1"/>
  <c r="W1003" i="1"/>
  <c r="X1003" i="1"/>
  <c r="V1004" i="1"/>
  <c r="W1004" i="1"/>
  <c r="X1004" i="1"/>
  <c r="V1005" i="1"/>
  <c r="W1005" i="1"/>
  <c r="X1005" i="1"/>
  <c r="V1006" i="1"/>
  <c r="W1006" i="1"/>
  <c r="X1006" i="1"/>
  <c r="V1007" i="1"/>
  <c r="W1007" i="1"/>
  <c r="X1007" i="1"/>
  <c r="V1008" i="1"/>
  <c r="W1008" i="1"/>
  <c r="X1008" i="1"/>
  <c r="V1009" i="1"/>
  <c r="W1009" i="1"/>
  <c r="X1009" i="1"/>
  <c r="V1010" i="1"/>
  <c r="W1010" i="1"/>
  <c r="X1010" i="1"/>
  <c r="V1011" i="1"/>
  <c r="W1011" i="1"/>
  <c r="X1011" i="1"/>
  <c r="V1012" i="1"/>
  <c r="W1012" i="1"/>
  <c r="X1012" i="1"/>
  <c r="V1013" i="1"/>
  <c r="W1013" i="1"/>
  <c r="X1013" i="1"/>
  <c r="V1014" i="1"/>
  <c r="W1014" i="1"/>
  <c r="X1014" i="1"/>
  <c r="V1015" i="1"/>
  <c r="W1015" i="1"/>
  <c r="X1015" i="1"/>
  <c r="V1016" i="1"/>
  <c r="W1016" i="1"/>
  <c r="X1016" i="1"/>
  <c r="V1017" i="1"/>
  <c r="W1017" i="1"/>
  <c r="X1017" i="1"/>
  <c r="V1018" i="1"/>
  <c r="W1018" i="1"/>
  <c r="X1018" i="1"/>
  <c r="V1019" i="1"/>
  <c r="W1019" i="1"/>
  <c r="X1019" i="1"/>
  <c r="V1020" i="1"/>
  <c r="W1020" i="1"/>
  <c r="X1020" i="1"/>
  <c r="V1021" i="1"/>
  <c r="W1021" i="1"/>
  <c r="X1021" i="1"/>
  <c r="V1022" i="1"/>
  <c r="W1022" i="1"/>
  <c r="X1022" i="1"/>
  <c r="V1023" i="1"/>
  <c r="W1023" i="1"/>
  <c r="X1023" i="1"/>
  <c r="V1024" i="1"/>
  <c r="W1024" i="1"/>
  <c r="X1024" i="1"/>
  <c r="V1025" i="1"/>
  <c r="W1025" i="1"/>
  <c r="X1025" i="1"/>
  <c r="V1026" i="1"/>
  <c r="W1026" i="1"/>
  <c r="X1026" i="1"/>
  <c r="V1027" i="1"/>
  <c r="W1027" i="1"/>
  <c r="X1027" i="1"/>
  <c r="V1028" i="1"/>
  <c r="W1028" i="1"/>
  <c r="X1028" i="1"/>
  <c r="V1029" i="1"/>
  <c r="W1029" i="1"/>
  <c r="X1029" i="1"/>
  <c r="V1030" i="1"/>
  <c r="W1030" i="1"/>
  <c r="X1030" i="1"/>
  <c r="V1031" i="1"/>
  <c r="W1031" i="1"/>
  <c r="X1031" i="1"/>
  <c r="V1032" i="1"/>
  <c r="W1032" i="1"/>
  <c r="X1032" i="1"/>
  <c r="V1033" i="1"/>
  <c r="W1033" i="1"/>
  <c r="X1033" i="1"/>
  <c r="V1034" i="1"/>
  <c r="W1034" i="1"/>
  <c r="X1034" i="1"/>
  <c r="V1035" i="1"/>
  <c r="W1035" i="1"/>
  <c r="X1035" i="1"/>
  <c r="V1036" i="1"/>
  <c r="W1036" i="1"/>
  <c r="X1036" i="1"/>
  <c r="V1037" i="1"/>
  <c r="W1037" i="1"/>
  <c r="X1037" i="1"/>
  <c r="V1038" i="1"/>
  <c r="W1038" i="1"/>
  <c r="X1038" i="1"/>
  <c r="V1039" i="1"/>
  <c r="W1039" i="1"/>
  <c r="X1039" i="1"/>
  <c r="V1040" i="1"/>
  <c r="W1040" i="1"/>
  <c r="X1040" i="1"/>
  <c r="V1041" i="1"/>
  <c r="W1041" i="1"/>
  <c r="X1041" i="1"/>
  <c r="V1042" i="1"/>
  <c r="W1042" i="1"/>
  <c r="X1042" i="1"/>
  <c r="V1043" i="1"/>
  <c r="W1043" i="1"/>
  <c r="X1043" i="1"/>
  <c r="V1044" i="1"/>
  <c r="W1044" i="1"/>
  <c r="X1044" i="1"/>
  <c r="V1045" i="1"/>
  <c r="W1045" i="1"/>
  <c r="X1045" i="1"/>
  <c r="V1046" i="1"/>
  <c r="W1046" i="1"/>
  <c r="X1046" i="1"/>
  <c r="V1047" i="1"/>
  <c r="W1047" i="1"/>
  <c r="X1047" i="1"/>
  <c r="V1048" i="1"/>
  <c r="W1048" i="1"/>
  <c r="X1048" i="1"/>
  <c r="V1049" i="1"/>
  <c r="W1049" i="1"/>
  <c r="X1049" i="1"/>
  <c r="V1050" i="1"/>
  <c r="W1050" i="1"/>
  <c r="X1050" i="1"/>
  <c r="V1051" i="1"/>
  <c r="W1051" i="1"/>
  <c r="X1051" i="1"/>
  <c r="V1052" i="1"/>
  <c r="W1052" i="1"/>
  <c r="X1052" i="1"/>
  <c r="V1053" i="1"/>
  <c r="W1053" i="1"/>
  <c r="X1053" i="1"/>
  <c r="V1054" i="1"/>
  <c r="W1054" i="1"/>
  <c r="X1054" i="1"/>
  <c r="V1055" i="1"/>
  <c r="W1055" i="1"/>
  <c r="X1055" i="1"/>
  <c r="V1056" i="1"/>
  <c r="W1056" i="1"/>
  <c r="X1056" i="1"/>
  <c r="V1057" i="1"/>
  <c r="W1057" i="1"/>
  <c r="X1057" i="1"/>
  <c r="V1058" i="1"/>
  <c r="W1058" i="1"/>
  <c r="X1058" i="1"/>
  <c r="V1059" i="1"/>
  <c r="W1059" i="1"/>
  <c r="X1059" i="1"/>
  <c r="V1060" i="1"/>
  <c r="W1060" i="1"/>
  <c r="X1060" i="1"/>
  <c r="V1061" i="1"/>
  <c r="W1061" i="1"/>
  <c r="X1061" i="1"/>
  <c r="V1062" i="1"/>
  <c r="W1062" i="1"/>
  <c r="X1062" i="1"/>
  <c r="V1063" i="1"/>
  <c r="W1063" i="1"/>
  <c r="X1063" i="1"/>
  <c r="V1064" i="1"/>
  <c r="W1064" i="1"/>
  <c r="X1064" i="1"/>
  <c r="V1065" i="1"/>
  <c r="W1065" i="1"/>
  <c r="X1065" i="1"/>
  <c r="V1066" i="1"/>
  <c r="W1066" i="1"/>
  <c r="X1066" i="1"/>
  <c r="V1067" i="1"/>
  <c r="W1067" i="1"/>
  <c r="X1067" i="1"/>
  <c r="V1068" i="1"/>
  <c r="W1068" i="1"/>
  <c r="X1068" i="1"/>
  <c r="V1069" i="1"/>
  <c r="W1069" i="1"/>
  <c r="X1069" i="1"/>
  <c r="V1070" i="1"/>
  <c r="W1070" i="1"/>
  <c r="X1070" i="1"/>
  <c r="V1071" i="1"/>
  <c r="W1071" i="1"/>
  <c r="X1071" i="1"/>
  <c r="V1072" i="1"/>
  <c r="W1072" i="1"/>
  <c r="X1072" i="1"/>
  <c r="V1073" i="1"/>
  <c r="W1073" i="1"/>
  <c r="X1073" i="1"/>
  <c r="V1074" i="1"/>
  <c r="W1074" i="1"/>
  <c r="X1074" i="1"/>
  <c r="V1075" i="1"/>
  <c r="W1075" i="1"/>
  <c r="X1075" i="1"/>
  <c r="V1076" i="1"/>
  <c r="W1076" i="1"/>
  <c r="X1076" i="1"/>
  <c r="V1077" i="1"/>
  <c r="W1077" i="1"/>
  <c r="X1077" i="1"/>
  <c r="V1078" i="1"/>
  <c r="W1078" i="1"/>
  <c r="X1078" i="1"/>
  <c r="V1079" i="1"/>
  <c r="W1079" i="1"/>
  <c r="X1079" i="1"/>
  <c r="V1080" i="1"/>
  <c r="W1080" i="1"/>
  <c r="X1080" i="1"/>
  <c r="V1081" i="1"/>
  <c r="W1081" i="1"/>
  <c r="X1081" i="1"/>
  <c r="V1082" i="1"/>
  <c r="W1082" i="1"/>
  <c r="X1082" i="1"/>
  <c r="V1083" i="1"/>
  <c r="W1083" i="1"/>
  <c r="X1083" i="1"/>
  <c r="V1084" i="1"/>
  <c r="W1084" i="1"/>
  <c r="X1084" i="1"/>
  <c r="V1085" i="1"/>
  <c r="W1085" i="1"/>
  <c r="X1085" i="1"/>
  <c r="V1086" i="1"/>
  <c r="W1086" i="1"/>
  <c r="X1086" i="1"/>
  <c r="V1087" i="1"/>
  <c r="W1087" i="1"/>
  <c r="X1087" i="1"/>
  <c r="V1088" i="1"/>
  <c r="W1088" i="1"/>
  <c r="X1088" i="1"/>
  <c r="V1089" i="1"/>
  <c r="W1089" i="1"/>
  <c r="X1089" i="1"/>
  <c r="V1090" i="1"/>
  <c r="W1090" i="1"/>
  <c r="X1090" i="1"/>
  <c r="V1091" i="1"/>
  <c r="W1091" i="1"/>
  <c r="X1091" i="1"/>
  <c r="V1092" i="1"/>
  <c r="W1092" i="1"/>
  <c r="X1092" i="1"/>
  <c r="V1093" i="1"/>
  <c r="W1093" i="1"/>
  <c r="X1093" i="1"/>
  <c r="V1094" i="1"/>
  <c r="W1094" i="1"/>
  <c r="X1094" i="1"/>
  <c r="V1095" i="1"/>
  <c r="W1095" i="1"/>
  <c r="X1095" i="1"/>
  <c r="V1096" i="1"/>
  <c r="W1096" i="1"/>
  <c r="X1096" i="1"/>
  <c r="V1097" i="1"/>
  <c r="W1097" i="1"/>
  <c r="X1097" i="1"/>
  <c r="V1098" i="1"/>
  <c r="W1098" i="1"/>
  <c r="X1098" i="1"/>
  <c r="V1099" i="1"/>
  <c r="W1099" i="1"/>
  <c r="X1099" i="1"/>
  <c r="V1100" i="1"/>
  <c r="W1100" i="1"/>
  <c r="X1100" i="1"/>
  <c r="V1101" i="1"/>
  <c r="W1101" i="1"/>
  <c r="X1101" i="1"/>
  <c r="V1102" i="1"/>
  <c r="W1102" i="1"/>
  <c r="X1102" i="1"/>
  <c r="V1103" i="1"/>
  <c r="W1103" i="1"/>
  <c r="X1103" i="1"/>
  <c r="V1104" i="1"/>
  <c r="W1104" i="1"/>
  <c r="X1104" i="1"/>
  <c r="V1105" i="1"/>
  <c r="W1105" i="1"/>
  <c r="X1105" i="1"/>
  <c r="V1106" i="1"/>
  <c r="W1106" i="1"/>
  <c r="X1106" i="1"/>
  <c r="V1107" i="1"/>
  <c r="W1107" i="1"/>
  <c r="X1107" i="1"/>
  <c r="V1108" i="1"/>
  <c r="W1108" i="1"/>
  <c r="X1108" i="1"/>
  <c r="V1109" i="1"/>
  <c r="W1109" i="1"/>
  <c r="X1109" i="1"/>
  <c r="V1110" i="1"/>
  <c r="W1110" i="1"/>
  <c r="X1110" i="1"/>
  <c r="V1111" i="1"/>
  <c r="W1111" i="1"/>
  <c r="X1111" i="1"/>
  <c r="V1112" i="1"/>
  <c r="W1112" i="1"/>
  <c r="X1112" i="1"/>
  <c r="V1113" i="1"/>
  <c r="W1113" i="1"/>
  <c r="X1113" i="1"/>
  <c r="V1114" i="1"/>
  <c r="W1114" i="1"/>
  <c r="X1114" i="1"/>
  <c r="V1115" i="1"/>
  <c r="W1115" i="1"/>
  <c r="X1115" i="1"/>
  <c r="V1116" i="1"/>
  <c r="W1116" i="1"/>
  <c r="X1116" i="1"/>
  <c r="V1117" i="1"/>
  <c r="W1117" i="1"/>
  <c r="X1117" i="1"/>
  <c r="V1118" i="1"/>
  <c r="W1118" i="1"/>
  <c r="X1118" i="1"/>
  <c r="V1119" i="1"/>
  <c r="W1119" i="1"/>
  <c r="X1119" i="1"/>
  <c r="V1120" i="1"/>
  <c r="W1120" i="1"/>
  <c r="X1120" i="1"/>
  <c r="V1121" i="1"/>
  <c r="W1121" i="1"/>
  <c r="X1121" i="1"/>
  <c r="V1122" i="1"/>
  <c r="W1122" i="1"/>
  <c r="X1122" i="1"/>
  <c r="V1123" i="1"/>
  <c r="W1123" i="1"/>
  <c r="X1123" i="1"/>
  <c r="V1124" i="1"/>
  <c r="W1124" i="1"/>
  <c r="X1124" i="1"/>
  <c r="V1125" i="1"/>
  <c r="W1125" i="1"/>
  <c r="X1125" i="1"/>
  <c r="V1126" i="1"/>
  <c r="W1126" i="1"/>
  <c r="X1126" i="1"/>
  <c r="V1127" i="1"/>
  <c r="W1127" i="1"/>
  <c r="X1127" i="1"/>
  <c r="V1128" i="1"/>
  <c r="W1128" i="1"/>
  <c r="X1128" i="1"/>
  <c r="V1129" i="1"/>
  <c r="W1129" i="1"/>
  <c r="X1129" i="1"/>
  <c r="V1130" i="1"/>
  <c r="W1130" i="1"/>
  <c r="X1130" i="1"/>
  <c r="V1131" i="1"/>
  <c r="W1131" i="1"/>
  <c r="X1131" i="1"/>
  <c r="V1132" i="1"/>
  <c r="W1132" i="1"/>
  <c r="X1132" i="1"/>
  <c r="V1133" i="1"/>
  <c r="W1133" i="1"/>
  <c r="X1133" i="1"/>
  <c r="V1134" i="1"/>
  <c r="W1134" i="1"/>
  <c r="X1134" i="1"/>
  <c r="V1135" i="1"/>
  <c r="W1135" i="1"/>
  <c r="X1135" i="1"/>
  <c r="V1136" i="1"/>
  <c r="W1136" i="1"/>
  <c r="X1136" i="1"/>
  <c r="V1137" i="1"/>
  <c r="W1137" i="1"/>
  <c r="X1137" i="1"/>
  <c r="V1138" i="1"/>
  <c r="W1138" i="1"/>
  <c r="X1138" i="1"/>
  <c r="V1139" i="1"/>
  <c r="W1139" i="1"/>
  <c r="X1139" i="1"/>
  <c r="V1140" i="1"/>
  <c r="W1140" i="1"/>
  <c r="X1140" i="1"/>
  <c r="V1141" i="1"/>
  <c r="W1141" i="1"/>
  <c r="X1141" i="1"/>
  <c r="V1142" i="1"/>
  <c r="W1142" i="1"/>
  <c r="X1142" i="1"/>
  <c r="V1143" i="1"/>
  <c r="W1143" i="1"/>
  <c r="X1143" i="1"/>
  <c r="V1144" i="1"/>
  <c r="W1144" i="1"/>
  <c r="X1144" i="1"/>
  <c r="V1145" i="1"/>
  <c r="W1145" i="1"/>
  <c r="X1145" i="1"/>
  <c r="V1146" i="1"/>
  <c r="W1146" i="1"/>
  <c r="X1146" i="1"/>
  <c r="V1147" i="1"/>
  <c r="W1147" i="1"/>
  <c r="X1147" i="1"/>
  <c r="V1148" i="1"/>
  <c r="W1148" i="1"/>
  <c r="X1148" i="1"/>
  <c r="V1149" i="1"/>
  <c r="W1149" i="1"/>
  <c r="X1149" i="1"/>
  <c r="V1150" i="1"/>
  <c r="W1150" i="1"/>
  <c r="X1150" i="1"/>
  <c r="V1151" i="1"/>
  <c r="W1151" i="1"/>
  <c r="X1151" i="1"/>
  <c r="V1152" i="1"/>
  <c r="W1152" i="1"/>
  <c r="X1152" i="1"/>
  <c r="V1153" i="1"/>
  <c r="W1153" i="1"/>
  <c r="X1153" i="1"/>
  <c r="V1154" i="1"/>
  <c r="W1154" i="1"/>
  <c r="X1154" i="1"/>
  <c r="V1155" i="1"/>
  <c r="W1155" i="1"/>
  <c r="X1155" i="1"/>
  <c r="V1156" i="1"/>
  <c r="W1156" i="1"/>
  <c r="X1156" i="1"/>
  <c r="V1157" i="1"/>
  <c r="W1157" i="1"/>
  <c r="X1157" i="1"/>
  <c r="V1158" i="1"/>
  <c r="W1158" i="1"/>
  <c r="X1158" i="1"/>
  <c r="V1159" i="1"/>
  <c r="W1159" i="1"/>
  <c r="X1159" i="1"/>
  <c r="V1160" i="1"/>
  <c r="W1160" i="1"/>
  <c r="X1160" i="1"/>
  <c r="V1161" i="1"/>
  <c r="W1161" i="1"/>
  <c r="X1161" i="1"/>
  <c r="V1162" i="1"/>
  <c r="W1162" i="1"/>
  <c r="X1162" i="1"/>
  <c r="V1163" i="1"/>
  <c r="W1163" i="1"/>
  <c r="X1163" i="1"/>
  <c r="V1164" i="1"/>
  <c r="W1164" i="1"/>
  <c r="X1164" i="1"/>
  <c r="V1165" i="1"/>
  <c r="W1165" i="1"/>
  <c r="X1165" i="1"/>
  <c r="V1166" i="1"/>
  <c r="W1166" i="1"/>
  <c r="X1166" i="1"/>
  <c r="V1167" i="1"/>
  <c r="W1167" i="1"/>
  <c r="X1167" i="1"/>
  <c r="V1168" i="1"/>
  <c r="W1168" i="1"/>
  <c r="X1168" i="1"/>
  <c r="V1169" i="1"/>
  <c r="W1169" i="1"/>
  <c r="X1169" i="1"/>
  <c r="V1170" i="1"/>
  <c r="W1170" i="1"/>
  <c r="X1170" i="1"/>
  <c r="V1171" i="1"/>
  <c r="W1171" i="1"/>
  <c r="X1171" i="1"/>
  <c r="V1172" i="1"/>
  <c r="W1172" i="1"/>
  <c r="X1172" i="1"/>
  <c r="V1173" i="1"/>
  <c r="W1173" i="1"/>
  <c r="X1173" i="1"/>
  <c r="V1174" i="1"/>
  <c r="W1174" i="1"/>
  <c r="X1174" i="1"/>
  <c r="V1175" i="1"/>
  <c r="W1175" i="1"/>
  <c r="X1175" i="1"/>
  <c r="V1176" i="1"/>
  <c r="W1176" i="1"/>
  <c r="X1176" i="1"/>
  <c r="V1177" i="1"/>
  <c r="W1177" i="1"/>
  <c r="X1177" i="1"/>
  <c r="V1178" i="1"/>
  <c r="W1178" i="1"/>
  <c r="X1178" i="1"/>
  <c r="V1179" i="1"/>
  <c r="W1179" i="1"/>
  <c r="X1179" i="1"/>
  <c r="V1180" i="1"/>
  <c r="W1180" i="1"/>
  <c r="X1180" i="1"/>
  <c r="V1181" i="1"/>
  <c r="W1181" i="1"/>
  <c r="X1181" i="1"/>
  <c r="V1182" i="1"/>
  <c r="W1182" i="1"/>
  <c r="X1182" i="1"/>
  <c r="V1183" i="1"/>
  <c r="W1183" i="1"/>
  <c r="X1183" i="1"/>
  <c r="V1184" i="1"/>
  <c r="W1184" i="1"/>
  <c r="X1184" i="1"/>
  <c r="V1185" i="1"/>
  <c r="W1185" i="1"/>
  <c r="X1185" i="1"/>
  <c r="V1186" i="1"/>
  <c r="W1186" i="1"/>
  <c r="X1186" i="1"/>
  <c r="V1187" i="1"/>
  <c r="W1187" i="1"/>
  <c r="X1187" i="1"/>
  <c r="V1188" i="1"/>
  <c r="W1188" i="1"/>
  <c r="X1188" i="1"/>
  <c r="V1189" i="1"/>
  <c r="W1189" i="1"/>
  <c r="X1189" i="1"/>
  <c r="V1190" i="1"/>
  <c r="W1190" i="1"/>
  <c r="X1190" i="1"/>
  <c r="V1191" i="1"/>
  <c r="W1191" i="1"/>
  <c r="X1191" i="1"/>
  <c r="V1192" i="1"/>
  <c r="W1192" i="1"/>
  <c r="X1192" i="1"/>
  <c r="V1193" i="1"/>
  <c r="W1193" i="1"/>
  <c r="X1193" i="1"/>
  <c r="V1194" i="1"/>
  <c r="W1194" i="1"/>
  <c r="X1194" i="1"/>
  <c r="V1195" i="1"/>
  <c r="W1195" i="1"/>
  <c r="X1195" i="1"/>
  <c r="V1196" i="1"/>
  <c r="W1196" i="1"/>
  <c r="X1196" i="1"/>
  <c r="V1197" i="1"/>
  <c r="W1197" i="1"/>
  <c r="X1197" i="1"/>
  <c r="V1198" i="1"/>
  <c r="W1198" i="1"/>
  <c r="X1198" i="1"/>
  <c r="V1199" i="1"/>
  <c r="W1199" i="1"/>
  <c r="X1199" i="1"/>
  <c r="V1200" i="1"/>
  <c r="W1200" i="1"/>
  <c r="X1200" i="1"/>
  <c r="V1201" i="1"/>
  <c r="W1201" i="1"/>
  <c r="X1201" i="1"/>
  <c r="V1202" i="1"/>
  <c r="W1202" i="1"/>
  <c r="X1202" i="1"/>
  <c r="V1203" i="1"/>
  <c r="W1203" i="1"/>
  <c r="X1203" i="1"/>
  <c r="V1204" i="1"/>
  <c r="W1204" i="1"/>
  <c r="X1204" i="1"/>
  <c r="V1205" i="1"/>
  <c r="W1205" i="1"/>
  <c r="X1205" i="1"/>
  <c r="V1206" i="1"/>
  <c r="W1206" i="1"/>
  <c r="X1206" i="1"/>
  <c r="V1207" i="1"/>
  <c r="W1207" i="1"/>
  <c r="X1207" i="1"/>
  <c r="V1208" i="1"/>
  <c r="W1208" i="1"/>
  <c r="X1208" i="1"/>
  <c r="V1209" i="1"/>
  <c r="W1209" i="1"/>
  <c r="X1209" i="1"/>
  <c r="V1210" i="1"/>
  <c r="W1210" i="1"/>
  <c r="X1210" i="1"/>
  <c r="V1211" i="1"/>
  <c r="W1211" i="1"/>
  <c r="X1211" i="1"/>
  <c r="V1212" i="1"/>
  <c r="W1212" i="1"/>
  <c r="X1212" i="1"/>
  <c r="V1213" i="1"/>
  <c r="W1213" i="1"/>
  <c r="X1213" i="1"/>
  <c r="V1214" i="1"/>
  <c r="W1214" i="1"/>
  <c r="X1214" i="1"/>
  <c r="V1215" i="1"/>
  <c r="W1215" i="1"/>
  <c r="X1215" i="1"/>
  <c r="V1216" i="1"/>
  <c r="W1216" i="1"/>
  <c r="X1216" i="1"/>
  <c r="V1217" i="1"/>
  <c r="W1217" i="1"/>
  <c r="X1217" i="1"/>
  <c r="V1218" i="1"/>
  <c r="W1218" i="1"/>
  <c r="X1218" i="1"/>
  <c r="V1219" i="1"/>
  <c r="W1219" i="1"/>
  <c r="X1219" i="1"/>
  <c r="V1220" i="1"/>
  <c r="W1220" i="1"/>
  <c r="X1220" i="1"/>
  <c r="V1221" i="1"/>
  <c r="W1221" i="1"/>
  <c r="X1221" i="1"/>
  <c r="V1222" i="1"/>
  <c r="W1222" i="1"/>
  <c r="X1222" i="1"/>
  <c r="V1223" i="1"/>
  <c r="W1223" i="1"/>
  <c r="X1223" i="1"/>
  <c r="V1224" i="1"/>
  <c r="W1224" i="1"/>
  <c r="X1224" i="1"/>
  <c r="V1225" i="1"/>
  <c r="W1225" i="1"/>
  <c r="X1225" i="1"/>
  <c r="V1226" i="1"/>
  <c r="W1226" i="1"/>
  <c r="X1226" i="1"/>
  <c r="V1227" i="1"/>
  <c r="W1227" i="1"/>
  <c r="X1227" i="1"/>
  <c r="V1228" i="1"/>
  <c r="W1228" i="1"/>
  <c r="X1228" i="1"/>
  <c r="V1229" i="1"/>
  <c r="W1229" i="1"/>
  <c r="X1229" i="1"/>
  <c r="V1230" i="1"/>
  <c r="W1230" i="1"/>
  <c r="X1230" i="1"/>
  <c r="V1231" i="1"/>
  <c r="W1231" i="1"/>
  <c r="X1231" i="1"/>
  <c r="V1232" i="1"/>
  <c r="W1232" i="1"/>
  <c r="X1232" i="1"/>
  <c r="V1233" i="1"/>
  <c r="W1233" i="1"/>
  <c r="X1233" i="1"/>
  <c r="V1234" i="1"/>
  <c r="W1234" i="1"/>
  <c r="X1234" i="1"/>
  <c r="V1235" i="1"/>
  <c r="W1235" i="1"/>
  <c r="X1235" i="1"/>
  <c r="V1236" i="1"/>
  <c r="W1236" i="1"/>
  <c r="X1236" i="1"/>
  <c r="V1237" i="1"/>
  <c r="W1237" i="1"/>
  <c r="X1237" i="1"/>
  <c r="V1238" i="1"/>
  <c r="W1238" i="1"/>
  <c r="X1238" i="1"/>
  <c r="V1239" i="1"/>
  <c r="W1239" i="1"/>
  <c r="X1239" i="1"/>
  <c r="V1240" i="1"/>
  <c r="W1240" i="1"/>
  <c r="X1240" i="1"/>
  <c r="V1241" i="1"/>
  <c r="W1241" i="1"/>
  <c r="X1241" i="1"/>
  <c r="V1242" i="1"/>
  <c r="W1242" i="1"/>
  <c r="X1242" i="1"/>
  <c r="V1243" i="1"/>
  <c r="W1243" i="1"/>
  <c r="X1243" i="1"/>
  <c r="V1244" i="1"/>
  <c r="W1244" i="1"/>
  <c r="X1244" i="1"/>
  <c r="V1245" i="1"/>
  <c r="W1245" i="1"/>
  <c r="X1245" i="1"/>
  <c r="V1246" i="1"/>
  <c r="W1246" i="1"/>
  <c r="X1246" i="1"/>
  <c r="V1247" i="1"/>
  <c r="W1247" i="1"/>
  <c r="X1247" i="1"/>
  <c r="V1248" i="1"/>
  <c r="W1248" i="1"/>
  <c r="X1248" i="1"/>
  <c r="V1249" i="1"/>
  <c r="W1249" i="1"/>
  <c r="X1249" i="1"/>
  <c r="V1250" i="1"/>
  <c r="W1250" i="1"/>
  <c r="X1250" i="1"/>
  <c r="V1251" i="1"/>
  <c r="W1251" i="1"/>
  <c r="X1251" i="1"/>
  <c r="V1252" i="1"/>
  <c r="W1252" i="1"/>
  <c r="X1252" i="1"/>
  <c r="V1253" i="1"/>
  <c r="W1253" i="1"/>
  <c r="X1253" i="1"/>
  <c r="V1254" i="1"/>
  <c r="W1254" i="1"/>
  <c r="X1254" i="1"/>
  <c r="V1255" i="1"/>
  <c r="W1255" i="1"/>
  <c r="X1255" i="1"/>
  <c r="V1256" i="1"/>
  <c r="W1256" i="1"/>
  <c r="X1256" i="1"/>
  <c r="V1257" i="1"/>
  <c r="W1257" i="1"/>
  <c r="X1257" i="1"/>
  <c r="V1258" i="1"/>
  <c r="W1258" i="1"/>
  <c r="X1258" i="1"/>
  <c r="V1259" i="1"/>
  <c r="W1259" i="1"/>
  <c r="X1259" i="1"/>
  <c r="V1260" i="1"/>
  <c r="W1260" i="1"/>
  <c r="X1260" i="1"/>
  <c r="V1261" i="1"/>
  <c r="W1261" i="1"/>
  <c r="X1261" i="1"/>
  <c r="V1262" i="1"/>
  <c r="W1262" i="1"/>
  <c r="X1262" i="1"/>
  <c r="V1263" i="1"/>
  <c r="W1263" i="1"/>
  <c r="X1263" i="1"/>
  <c r="V1264" i="1"/>
  <c r="W1264" i="1"/>
  <c r="X1264" i="1"/>
  <c r="V1265" i="1"/>
  <c r="W1265" i="1"/>
  <c r="X1265" i="1"/>
  <c r="V1266" i="1"/>
  <c r="W1266" i="1"/>
  <c r="X1266" i="1"/>
  <c r="V1267" i="1"/>
  <c r="W1267" i="1"/>
  <c r="X1267" i="1"/>
  <c r="V1268" i="1"/>
  <c r="W1268" i="1"/>
  <c r="X1268" i="1"/>
  <c r="V1269" i="1"/>
  <c r="W1269" i="1"/>
  <c r="X1269" i="1"/>
  <c r="V1270" i="1"/>
  <c r="W1270" i="1"/>
  <c r="X1270" i="1"/>
  <c r="V1271" i="1"/>
  <c r="W1271" i="1"/>
  <c r="X1271" i="1"/>
  <c r="V1272" i="1"/>
  <c r="W1272" i="1"/>
  <c r="X1272" i="1"/>
  <c r="V1273" i="1"/>
  <c r="W1273" i="1"/>
  <c r="X1273" i="1"/>
  <c r="V1274" i="1"/>
  <c r="W1274" i="1"/>
  <c r="X1274" i="1"/>
  <c r="V1275" i="1"/>
  <c r="W1275" i="1"/>
  <c r="X1275" i="1"/>
  <c r="V1276" i="1"/>
  <c r="W1276" i="1"/>
  <c r="X1276" i="1"/>
  <c r="V1277" i="1"/>
  <c r="W1277" i="1"/>
  <c r="X1277" i="1"/>
  <c r="V1278" i="1"/>
  <c r="W1278" i="1"/>
  <c r="X1278" i="1"/>
  <c r="V1279" i="1"/>
  <c r="W1279" i="1"/>
  <c r="X1279" i="1"/>
  <c r="V1280" i="1"/>
  <c r="W1280" i="1"/>
  <c r="X1280" i="1"/>
  <c r="V1281" i="1"/>
  <c r="W1281" i="1"/>
  <c r="X1281" i="1"/>
  <c r="V1282" i="1"/>
  <c r="W1282" i="1"/>
  <c r="X1282" i="1"/>
  <c r="V1283" i="1"/>
  <c r="W1283" i="1"/>
  <c r="X1283" i="1"/>
  <c r="V1284" i="1"/>
  <c r="W1284" i="1"/>
  <c r="X1284" i="1"/>
  <c r="V1285" i="1"/>
  <c r="W1285" i="1"/>
  <c r="X1285" i="1"/>
  <c r="V1286" i="1"/>
  <c r="W1286" i="1"/>
  <c r="X1286" i="1"/>
  <c r="V1287" i="1"/>
  <c r="W1287" i="1"/>
  <c r="X1287" i="1"/>
  <c r="V1288" i="1"/>
  <c r="W1288" i="1"/>
  <c r="X1288" i="1"/>
  <c r="V1289" i="1"/>
  <c r="W1289" i="1"/>
  <c r="X1289" i="1"/>
  <c r="V1290" i="1"/>
  <c r="W1290" i="1"/>
  <c r="X1290" i="1"/>
  <c r="V1291" i="1"/>
  <c r="W1291" i="1"/>
  <c r="X1291" i="1"/>
  <c r="V1292" i="1"/>
  <c r="W1292" i="1"/>
  <c r="X1292" i="1"/>
  <c r="V1293" i="1"/>
  <c r="W1293" i="1"/>
  <c r="X1293" i="1"/>
  <c r="V1294" i="1"/>
  <c r="W1294" i="1"/>
  <c r="X1294" i="1"/>
  <c r="V1295" i="1"/>
  <c r="W1295" i="1"/>
  <c r="X1295" i="1"/>
  <c r="V1296" i="1"/>
  <c r="W1296" i="1"/>
  <c r="X1296" i="1"/>
  <c r="V1297" i="1"/>
  <c r="W1297" i="1"/>
  <c r="X1297" i="1"/>
  <c r="V1298" i="1"/>
  <c r="W1298" i="1"/>
  <c r="X1298" i="1"/>
  <c r="V1299" i="1"/>
  <c r="W1299" i="1"/>
  <c r="X1299" i="1"/>
  <c r="V1300" i="1"/>
  <c r="W1300" i="1"/>
  <c r="X1300" i="1"/>
  <c r="V1301" i="1"/>
  <c r="W1301" i="1"/>
  <c r="X1301" i="1"/>
  <c r="V1302" i="1"/>
  <c r="W1302" i="1"/>
  <c r="X1302" i="1"/>
  <c r="V1303" i="1"/>
  <c r="W1303" i="1"/>
  <c r="X1303" i="1"/>
  <c r="V1304" i="1"/>
  <c r="W1304" i="1"/>
  <c r="X1304" i="1"/>
  <c r="V1305" i="1"/>
  <c r="W1305" i="1"/>
  <c r="X1305" i="1"/>
  <c r="V1306" i="1"/>
  <c r="W1306" i="1"/>
  <c r="X1306" i="1"/>
  <c r="V1307" i="1"/>
  <c r="W1307" i="1"/>
  <c r="X1307" i="1"/>
  <c r="V1308" i="1"/>
  <c r="W1308" i="1"/>
  <c r="X1308" i="1"/>
  <c r="V1309" i="1"/>
  <c r="W1309" i="1"/>
  <c r="X1309" i="1"/>
  <c r="V1310" i="1"/>
  <c r="W1310" i="1"/>
  <c r="X1310" i="1"/>
  <c r="V1311" i="1"/>
  <c r="W1311" i="1"/>
  <c r="X1311" i="1"/>
  <c r="V1312" i="1"/>
  <c r="W1312" i="1"/>
  <c r="X1312" i="1"/>
  <c r="V1313" i="1"/>
  <c r="W1313" i="1"/>
  <c r="X1313" i="1"/>
  <c r="V1314" i="1"/>
  <c r="W1314" i="1"/>
  <c r="X1314" i="1"/>
  <c r="V1315" i="1"/>
  <c r="W1315" i="1"/>
  <c r="X1315" i="1"/>
  <c r="V1316" i="1"/>
  <c r="W1316" i="1"/>
  <c r="X1316" i="1"/>
  <c r="V1317" i="1"/>
  <c r="W1317" i="1"/>
  <c r="X1317" i="1"/>
  <c r="V1318" i="1"/>
  <c r="W1318" i="1"/>
  <c r="X1318" i="1"/>
  <c r="V1319" i="1"/>
  <c r="W1319" i="1"/>
  <c r="X1319" i="1"/>
  <c r="V1320" i="1"/>
  <c r="W1320" i="1"/>
  <c r="X1320" i="1"/>
  <c r="V1321" i="1"/>
  <c r="W1321" i="1"/>
  <c r="X1321" i="1"/>
  <c r="V1322" i="1"/>
  <c r="W1322" i="1"/>
  <c r="X1322" i="1"/>
  <c r="V1323" i="1"/>
  <c r="W1323" i="1"/>
  <c r="X1323" i="1"/>
  <c r="V1324" i="1"/>
  <c r="W1324" i="1"/>
  <c r="X1324" i="1"/>
  <c r="V1325" i="1"/>
  <c r="W1325" i="1"/>
  <c r="X1325" i="1"/>
  <c r="V1326" i="1"/>
  <c r="W1326" i="1"/>
  <c r="X1326" i="1"/>
  <c r="V1327" i="1"/>
  <c r="W1327" i="1"/>
  <c r="X1327" i="1"/>
  <c r="V1328" i="1"/>
  <c r="W1328" i="1"/>
  <c r="X1328" i="1"/>
  <c r="V1329" i="1"/>
  <c r="W1329" i="1"/>
  <c r="X1329" i="1"/>
  <c r="V1330" i="1"/>
  <c r="W1330" i="1"/>
  <c r="X1330" i="1"/>
  <c r="V1331" i="1"/>
  <c r="W1331" i="1"/>
  <c r="X1331" i="1"/>
  <c r="V1332" i="1"/>
  <c r="W1332" i="1"/>
  <c r="X1332" i="1"/>
  <c r="V1333" i="1"/>
  <c r="W1333" i="1"/>
  <c r="X1333" i="1"/>
  <c r="V1334" i="1"/>
  <c r="W1334" i="1"/>
  <c r="X1334" i="1"/>
  <c r="V1335" i="1"/>
  <c r="W1335" i="1"/>
  <c r="X1335" i="1"/>
  <c r="V1336" i="1"/>
  <c r="W1336" i="1"/>
  <c r="X1336" i="1"/>
  <c r="V1337" i="1"/>
  <c r="W1337" i="1"/>
  <c r="X1337" i="1"/>
  <c r="V1338" i="1"/>
  <c r="W1338" i="1"/>
  <c r="X1338" i="1"/>
  <c r="V1339" i="1"/>
  <c r="W1339" i="1"/>
  <c r="X1339" i="1"/>
  <c r="V1340" i="1"/>
  <c r="W1340" i="1"/>
  <c r="X1340" i="1"/>
  <c r="V1341" i="1"/>
  <c r="W1341" i="1"/>
  <c r="X1341" i="1"/>
  <c r="V1342" i="1"/>
  <c r="W1342" i="1"/>
  <c r="X1342" i="1"/>
  <c r="V1343" i="1"/>
  <c r="W1343" i="1"/>
  <c r="X1343" i="1"/>
  <c r="V1344" i="1"/>
  <c r="W1344" i="1"/>
  <c r="X1344" i="1"/>
  <c r="V1345" i="1"/>
  <c r="W1345" i="1"/>
  <c r="X1345" i="1"/>
  <c r="V1346" i="1"/>
  <c r="W1346" i="1"/>
  <c r="X1346" i="1"/>
  <c r="V1347" i="1"/>
  <c r="W1347" i="1"/>
  <c r="X1347" i="1"/>
  <c r="V1348" i="1"/>
  <c r="W1348" i="1"/>
  <c r="X1348" i="1"/>
  <c r="V1349" i="1"/>
  <c r="W1349" i="1"/>
  <c r="X1349" i="1"/>
  <c r="V1350" i="1"/>
  <c r="W1350" i="1"/>
  <c r="X1350" i="1"/>
  <c r="V1351" i="1"/>
  <c r="W1351" i="1"/>
  <c r="X1351" i="1"/>
  <c r="V1352" i="1"/>
  <c r="W1352" i="1"/>
  <c r="X1352" i="1"/>
  <c r="V1353" i="1"/>
  <c r="W1353" i="1"/>
  <c r="X1353" i="1"/>
  <c r="V1354" i="1"/>
  <c r="W1354" i="1"/>
  <c r="X1354" i="1"/>
  <c r="V1355" i="1"/>
  <c r="W1355" i="1"/>
  <c r="X1355" i="1"/>
  <c r="V1356" i="1"/>
  <c r="W1356" i="1"/>
  <c r="X1356" i="1"/>
  <c r="V1357" i="1"/>
  <c r="W1357" i="1"/>
  <c r="X1357" i="1"/>
  <c r="V1358" i="1"/>
  <c r="W1358" i="1"/>
  <c r="X1358" i="1"/>
  <c r="V1359" i="1"/>
  <c r="W1359" i="1"/>
  <c r="X1359" i="1"/>
  <c r="V1360" i="1"/>
  <c r="W1360" i="1"/>
  <c r="X1360" i="1"/>
  <c r="V1361" i="1"/>
  <c r="W1361" i="1"/>
  <c r="X1361" i="1"/>
  <c r="V1362" i="1"/>
  <c r="W1362" i="1"/>
  <c r="X1362" i="1"/>
  <c r="V1363" i="1"/>
  <c r="W1363" i="1"/>
  <c r="X1363" i="1"/>
  <c r="V1364" i="1"/>
  <c r="W1364" i="1"/>
  <c r="X1364" i="1"/>
  <c r="V1365" i="1"/>
  <c r="W1365" i="1"/>
  <c r="X1365" i="1"/>
  <c r="V1366" i="1"/>
  <c r="W1366" i="1"/>
  <c r="X1366" i="1"/>
  <c r="V1367" i="1"/>
  <c r="W1367" i="1"/>
  <c r="X1367" i="1"/>
  <c r="V1368" i="1"/>
  <c r="W1368" i="1"/>
  <c r="X1368" i="1"/>
  <c r="V1369" i="1"/>
  <c r="W1369" i="1"/>
  <c r="X1369" i="1"/>
  <c r="V1370" i="1"/>
  <c r="W1370" i="1"/>
  <c r="X1370" i="1"/>
  <c r="V1371" i="1"/>
  <c r="W1371" i="1"/>
  <c r="X1371" i="1"/>
  <c r="V1372" i="1"/>
  <c r="W1372" i="1"/>
  <c r="X1372" i="1"/>
  <c r="V1373" i="1"/>
  <c r="W1373" i="1"/>
  <c r="X1373" i="1"/>
  <c r="V1374" i="1"/>
  <c r="W1374" i="1"/>
  <c r="X1374" i="1"/>
  <c r="V1375" i="1"/>
  <c r="W1375" i="1"/>
  <c r="X1375" i="1"/>
  <c r="V1376" i="1"/>
  <c r="W1376" i="1"/>
  <c r="X1376" i="1"/>
  <c r="V1377" i="1"/>
  <c r="W1377" i="1"/>
  <c r="X1377" i="1"/>
  <c r="V1378" i="1"/>
  <c r="W1378" i="1"/>
  <c r="X1378" i="1"/>
  <c r="V1379" i="1"/>
  <c r="W1379" i="1"/>
  <c r="X1379" i="1"/>
  <c r="V1380" i="1"/>
  <c r="W1380" i="1"/>
  <c r="X1380" i="1"/>
  <c r="V1381" i="1"/>
  <c r="W1381" i="1"/>
  <c r="X1381" i="1"/>
  <c r="V1382" i="1"/>
  <c r="W1382" i="1"/>
  <c r="X1382" i="1"/>
  <c r="V1383" i="1"/>
  <c r="W1383" i="1"/>
  <c r="X1383" i="1"/>
  <c r="V1384" i="1"/>
  <c r="W1384" i="1"/>
  <c r="X1384" i="1"/>
  <c r="V1385" i="1"/>
  <c r="W1385" i="1"/>
  <c r="X1385" i="1"/>
  <c r="V1386" i="1"/>
  <c r="W1386" i="1"/>
  <c r="X1386" i="1"/>
  <c r="V1387" i="1"/>
  <c r="W1387" i="1"/>
  <c r="X1387" i="1"/>
  <c r="V1388" i="1"/>
  <c r="W1388" i="1"/>
  <c r="X1388" i="1"/>
  <c r="V1389" i="1"/>
  <c r="W1389" i="1"/>
  <c r="X1389" i="1"/>
  <c r="V1390" i="1"/>
  <c r="W1390" i="1"/>
  <c r="X1390" i="1"/>
  <c r="V1391" i="1"/>
  <c r="W1391" i="1"/>
  <c r="X1391" i="1"/>
  <c r="V1392" i="1"/>
  <c r="W1392" i="1"/>
  <c r="X1392" i="1"/>
  <c r="V1393" i="1"/>
  <c r="W1393" i="1"/>
  <c r="X1393" i="1"/>
  <c r="V1394" i="1"/>
  <c r="W1394" i="1"/>
  <c r="X1394" i="1"/>
  <c r="V1395" i="1"/>
  <c r="W1395" i="1"/>
  <c r="X1395" i="1"/>
  <c r="V1396" i="1"/>
  <c r="W1396" i="1"/>
  <c r="X1396" i="1"/>
  <c r="V1397" i="1"/>
  <c r="W1397" i="1"/>
  <c r="X1397" i="1"/>
  <c r="V1398" i="1"/>
  <c r="W1398" i="1"/>
  <c r="X1398" i="1"/>
  <c r="V1399" i="1"/>
  <c r="W1399" i="1"/>
  <c r="X1399" i="1"/>
  <c r="V1400" i="1"/>
  <c r="W1400" i="1"/>
  <c r="X1400" i="1"/>
  <c r="V1401" i="1"/>
  <c r="W1401" i="1"/>
  <c r="X1401" i="1"/>
  <c r="V1402" i="1"/>
  <c r="W1402" i="1"/>
  <c r="X1402" i="1"/>
  <c r="V1403" i="1"/>
  <c r="W1403" i="1"/>
  <c r="X1403" i="1"/>
  <c r="V1404" i="1"/>
  <c r="W1404" i="1"/>
  <c r="X1404" i="1"/>
  <c r="V1405" i="1"/>
  <c r="W1405" i="1"/>
  <c r="X1405" i="1"/>
  <c r="V1406" i="1"/>
  <c r="W1406" i="1"/>
  <c r="X1406" i="1"/>
  <c r="V1407" i="1"/>
  <c r="W1407" i="1"/>
  <c r="X1407" i="1"/>
  <c r="V1408" i="1"/>
  <c r="W1408" i="1"/>
  <c r="X1408" i="1"/>
  <c r="V1409" i="1"/>
  <c r="W1409" i="1"/>
  <c r="X1409" i="1"/>
  <c r="V1410" i="1"/>
  <c r="W1410" i="1"/>
  <c r="X1410" i="1"/>
  <c r="V1411" i="1"/>
  <c r="W1411" i="1"/>
  <c r="X1411" i="1"/>
  <c r="V1412" i="1"/>
  <c r="W1412" i="1"/>
  <c r="X1412" i="1"/>
  <c r="V1413" i="1"/>
  <c r="W1413" i="1"/>
  <c r="X1413" i="1"/>
  <c r="V1414" i="1"/>
  <c r="W1414" i="1"/>
  <c r="X1414" i="1"/>
  <c r="V1415" i="1"/>
  <c r="W1415" i="1"/>
  <c r="X1415" i="1"/>
  <c r="V1416" i="1"/>
  <c r="W1416" i="1"/>
  <c r="X1416" i="1"/>
  <c r="V1417" i="1"/>
  <c r="W1417" i="1"/>
  <c r="X1417" i="1"/>
  <c r="V1418" i="1"/>
  <c r="W1418" i="1"/>
  <c r="X1418" i="1"/>
  <c r="V1419" i="1"/>
  <c r="W1419" i="1"/>
  <c r="X1419" i="1"/>
  <c r="V1420" i="1"/>
  <c r="W1420" i="1"/>
  <c r="X1420" i="1"/>
  <c r="V1421" i="1"/>
  <c r="W1421" i="1"/>
  <c r="X1421" i="1"/>
  <c r="V1422" i="1"/>
  <c r="W1422" i="1"/>
  <c r="X1422" i="1"/>
  <c r="V1423" i="1"/>
  <c r="W1423" i="1"/>
  <c r="X1423" i="1"/>
  <c r="V1424" i="1"/>
  <c r="W1424" i="1"/>
  <c r="X1424" i="1"/>
  <c r="V1425" i="1"/>
  <c r="W1425" i="1"/>
  <c r="X1425" i="1"/>
  <c r="V1426" i="1"/>
  <c r="W1426" i="1"/>
  <c r="X1426" i="1"/>
  <c r="V1427" i="1"/>
  <c r="W1427" i="1"/>
  <c r="X1427" i="1"/>
  <c r="V1428" i="1"/>
  <c r="W1428" i="1"/>
  <c r="X1428" i="1"/>
  <c r="V1429" i="1"/>
  <c r="W1429" i="1"/>
  <c r="X1429" i="1"/>
  <c r="V1430" i="1"/>
  <c r="W1430" i="1"/>
  <c r="X1430" i="1"/>
  <c r="V1431" i="1"/>
  <c r="W1431" i="1"/>
  <c r="X1431" i="1"/>
  <c r="V1432" i="1"/>
  <c r="W1432" i="1"/>
  <c r="X1432" i="1"/>
  <c r="V1433" i="1"/>
  <c r="W1433" i="1"/>
  <c r="X1433" i="1"/>
  <c r="V1434" i="1"/>
  <c r="W1434" i="1"/>
  <c r="X1434" i="1"/>
  <c r="V1435" i="1"/>
  <c r="W1435" i="1"/>
  <c r="X1435" i="1"/>
  <c r="V1436" i="1"/>
  <c r="W1436" i="1"/>
  <c r="X1436" i="1"/>
  <c r="V1437" i="1"/>
  <c r="W1437" i="1"/>
  <c r="X1437" i="1"/>
  <c r="V1438" i="1"/>
  <c r="W1438" i="1"/>
  <c r="X1438" i="1"/>
  <c r="V1439" i="1"/>
  <c r="W1439" i="1"/>
  <c r="X1439" i="1"/>
  <c r="V1440" i="1"/>
  <c r="W1440" i="1"/>
  <c r="X1440" i="1"/>
  <c r="V1441" i="1"/>
  <c r="W1441" i="1"/>
  <c r="X1441" i="1"/>
  <c r="V1442" i="1"/>
  <c r="W1442" i="1"/>
  <c r="X1442" i="1"/>
  <c r="V1443" i="1"/>
  <c r="W1443" i="1"/>
  <c r="X1443" i="1"/>
  <c r="V1444" i="1"/>
  <c r="W1444" i="1"/>
  <c r="X1444" i="1"/>
  <c r="V1445" i="1"/>
  <c r="W1445" i="1"/>
  <c r="X1445" i="1"/>
  <c r="V1446" i="1"/>
  <c r="W1446" i="1"/>
  <c r="X1446" i="1"/>
  <c r="V1447" i="1"/>
  <c r="W1447" i="1"/>
  <c r="X1447" i="1"/>
  <c r="V1448" i="1"/>
  <c r="W1448" i="1"/>
  <c r="X1448" i="1"/>
  <c r="V1449" i="1"/>
  <c r="W1449" i="1"/>
  <c r="X1449" i="1"/>
  <c r="V1450" i="1"/>
  <c r="W1450" i="1"/>
  <c r="X1450" i="1"/>
  <c r="V1451" i="1"/>
  <c r="W1451" i="1"/>
  <c r="X1451" i="1"/>
  <c r="V1452" i="1"/>
  <c r="W1452" i="1"/>
  <c r="X1452" i="1"/>
  <c r="V1453" i="1"/>
  <c r="W1453" i="1"/>
  <c r="X1453" i="1"/>
  <c r="V1454" i="1"/>
  <c r="W1454" i="1"/>
  <c r="X1454" i="1"/>
  <c r="V1455" i="1"/>
  <c r="W1455" i="1"/>
  <c r="X1455" i="1"/>
  <c r="V1456" i="1"/>
  <c r="W1456" i="1"/>
  <c r="X1456" i="1"/>
  <c r="V1457" i="1"/>
  <c r="W1457" i="1"/>
  <c r="X1457" i="1"/>
  <c r="V1458" i="1"/>
  <c r="W1458" i="1"/>
  <c r="X1458" i="1"/>
  <c r="V1459" i="1"/>
  <c r="W1459" i="1"/>
  <c r="X1459" i="1"/>
  <c r="V1460" i="1"/>
  <c r="W1460" i="1"/>
  <c r="X1460" i="1"/>
  <c r="V1461" i="1"/>
  <c r="W1461" i="1"/>
  <c r="X1461" i="1"/>
  <c r="V1462" i="1"/>
  <c r="W1462" i="1"/>
  <c r="X1462" i="1"/>
  <c r="V1463" i="1"/>
  <c r="W1463" i="1"/>
  <c r="X1463" i="1"/>
  <c r="V1464" i="1"/>
  <c r="W1464" i="1"/>
  <c r="X1464" i="1"/>
  <c r="V1465" i="1"/>
  <c r="W1465" i="1"/>
  <c r="X1465" i="1"/>
  <c r="V1466" i="1"/>
  <c r="W1466" i="1"/>
  <c r="X1466" i="1"/>
  <c r="V1467" i="1"/>
  <c r="W1467" i="1"/>
  <c r="X1467" i="1"/>
  <c r="V1468" i="1"/>
  <c r="W1468" i="1"/>
  <c r="X1468" i="1"/>
  <c r="V1469" i="1"/>
  <c r="W1469" i="1"/>
  <c r="X1469" i="1"/>
  <c r="V1470" i="1"/>
  <c r="W1470" i="1"/>
  <c r="X1470" i="1"/>
  <c r="V1471" i="1"/>
  <c r="W1471" i="1"/>
  <c r="X1471" i="1"/>
  <c r="V1472" i="1"/>
  <c r="W1472" i="1"/>
  <c r="X1472" i="1"/>
  <c r="V1473" i="1"/>
  <c r="W1473" i="1"/>
  <c r="X1473" i="1"/>
  <c r="V1474" i="1"/>
  <c r="W1474" i="1"/>
  <c r="X1474" i="1"/>
  <c r="V1475" i="1"/>
  <c r="W1475" i="1"/>
  <c r="X1475" i="1"/>
  <c r="V1476" i="1"/>
  <c r="W1476" i="1"/>
  <c r="X1476" i="1"/>
  <c r="V1477" i="1"/>
  <c r="W1477" i="1"/>
  <c r="X1477" i="1"/>
  <c r="V1478" i="1"/>
  <c r="W1478" i="1"/>
  <c r="X1478" i="1"/>
  <c r="V1479" i="1"/>
  <c r="W1479" i="1"/>
  <c r="X1479" i="1"/>
  <c r="V1480" i="1"/>
  <c r="W1480" i="1"/>
  <c r="X1480" i="1"/>
  <c r="V1481" i="1"/>
  <c r="W1481" i="1"/>
  <c r="X1481" i="1"/>
  <c r="V1482" i="1"/>
  <c r="W1482" i="1"/>
  <c r="X1482" i="1"/>
  <c r="V1483" i="1"/>
  <c r="W1483" i="1"/>
  <c r="X1483" i="1"/>
  <c r="V1484" i="1"/>
  <c r="W1484" i="1"/>
  <c r="X1484" i="1"/>
  <c r="V1485" i="1"/>
  <c r="W1485" i="1"/>
  <c r="X1485" i="1"/>
  <c r="V1486" i="1"/>
  <c r="W1486" i="1"/>
  <c r="X1486" i="1"/>
  <c r="V1487" i="1"/>
  <c r="W1487" i="1"/>
  <c r="X1487" i="1"/>
  <c r="V1488" i="1"/>
  <c r="W1488" i="1"/>
  <c r="X1488" i="1"/>
  <c r="V1489" i="1"/>
  <c r="W1489" i="1"/>
  <c r="X1489" i="1"/>
  <c r="V1490" i="1"/>
  <c r="W1490" i="1"/>
  <c r="X1490" i="1"/>
  <c r="V1491" i="1"/>
  <c r="W1491" i="1"/>
  <c r="X1491" i="1"/>
  <c r="V1492" i="1"/>
  <c r="W1492" i="1"/>
  <c r="X1492" i="1"/>
  <c r="V1493" i="1"/>
  <c r="W1493" i="1"/>
  <c r="X1493" i="1"/>
  <c r="V1494" i="1"/>
  <c r="W1494" i="1"/>
  <c r="X1494" i="1"/>
  <c r="V1495" i="1"/>
  <c r="W1495" i="1"/>
  <c r="X1495" i="1"/>
  <c r="V1496" i="1"/>
  <c r="W1496" i="1"/>
  <c r="X1496" i="1"/>
  <c r="V1497" i="1"/>
  <c r="W1497" i="1"/>
  <c r="X1497" i="1"/>
  <c r="V1498" i="1"/>
  <c r="W1498" i="1"/>
  <c r="X1498" i="1"/>
  <c r="V1499" i="1"/>
  <c r="W1499" i="1"/>
  <c r="X1499" i="1"/>
  <c r="V1500" i="1"/>
  <c r="W1500" i="1"/>
  <c r="X1500" i="1"/>
  <c r="V1501" i="1"/>
  <c r="W1501" i="1"/>
  <c r="X1501" i="1"/>
  <c r="V1502" i="1"/>
  <c r="W1502" i="1"/>
  <c r="X1502" i="1"/>
  <c r="V1503" i="1"/>
  <c r="W1503" i="1"/>
  <c r="X1503" i="1"/>
  <c r="V1504" i="1"/>
  <c r="W1504" i="1"/>
  <c r="X1504" i="1"/>
  <c r="V1505" i="1"/>
  <c r="W1505" i="1"/>
  <c r="X1505" i="1"/>
  <c r="V1506" i="1"/>
  <c r="W1506" i="1"/>
  <c r="X1506" i="1"/>
  <c r="V1507" i="1"/>
  <c r="W1507" i="1"/>
  <c r="X1507" i="1"/>
  <c r="V1508" i="1"/>
  <c r="W1508" i="1"/>
  <c r="X1508" i="1"/>
  <c r="V1509" i="1"/>
  <c r="W1509" i="1"/>
  <c r="X1509" i="1"/>
  <c r="V1510" i="1"/>
  <c r="W1510" i="1"/>
  <c r="X1510" i="1"/>
  <c r="V1511" i="1"/>
  <c r="W1511" i="1"/>
  <c r="X1511" i="1"/>
  <c r="V1512" i="1"/>
  <c r="W1512" i="1"/>
  <c r="X1512" i="1"/>
  <c r="V1513" i="1"/>
  <c r="W1513" i="1"/>
  <c r="X1513" i="1"/>
  <c r="V1514" i="1"/>
  <c r="W1514" i="1"/>
  <c r="X1514" i="1"/>
  <c r="V1515" i="1"/>
  <c r="W1515" i="1"/>
  <c r="X1515" i="1"/>
  <c r="V1516" i="1"/>
  <c r="W1516" i="1"/>
  <c r="X1516" i="1"/>
  <c r="V1517" i="1"/>
  <c r="W1517" i="1"/>
  <c r="X1517" i="1"/>
  <c r="V1518" i="1"/>
  <c r="W1518" i="1"/>
  <c r="X1518" i="1"/>
  <c r="V1519" i="1"/>
  <c r="W1519" i="1"/>
  <c r="X1519" i="1"/>
  <c r="V1520" i="1"/>
  <c r="W1520" i="1"/>
  <c r="X1520" i="1"/>
  <c r="V1521" i="1"/>
  <c r="W1521" i="1"/>
  <c r="X1521" i="1"/>
  <c r="V1522" i="1"/>
  <c r="W1522" i="1"/>
  <c r="X1522" i="1"/>
  <c r="V1523" i="1"/>
  <c r="W1523" i="1"/>
  <c r="X1523" i="1"/>
  <c r="V1524" i="1"/>
  <c r="W1524" i="1"/>
  <c r="X1524" i="1"/>
  <c r="V1525" i="1"/>
  <c r="W1525" i="1"/>
  <c r="X1525" i="1"/>
  <c r="V1526" i="1"/>
  <c r="W1526" i="1"/>
  <c r="X1526" i="1"/>
  <c r="V1527" i="1"/>
  <c r="W1527" i="1"/>
  <c r="X1527" i="1"/>
  <c r="V1528" i="1"/>
  <c r="W1528" i="1"/>
  <c r="X1528" i="1"/>
  <c r="V1529" i="1"/>
  <c r="W1529" i="1"/>
  <c r="X1529" i="1"/>
  <c r="V1530" i="1"/>
  <c r="W1530" i="1"/>
  <c r="X1530" i="1"/>
  <c r="V1531" i="1"/>
  <c r="W1531" i="1"/>
  <c r="X1531" i="1"/>
  <c r="V1532" i="1"/>
  <c r="W1532" i="1"/>
  <c r="X1532" i="1"/>
  <c r="V1533" i="1"/>
  <c r="W1533" i="1"/>
  <c r="X1533" i="1"/>
  <c r="V1534" i="1"/>
  <c r="W1534" i="1"/>
  <c r="X1534" i="1"/>
  <c r="V1535" i="1"/>
  <c r="W1535" i="1"/>
  <c r="X1535" i="1"/>
  <c r="V1536" i="1"/>
  <c r="W1536" i="1"/>
  <c r="X1536" i="1"/>
  <c r="V1537" i="1"/>
  <c r="W1537" i="1"/>
  <c r="X1537" i="1"/>
  <c r="V1538" i="1"/>
  <c r="W1538" i="1"/>
  <c r="X1538" i="1"/>
  <c r="V1539" i="1"/>
  <c r="W1539" i="1"/>
  <c r="X1539" i="1"/>
  <c r="V1540" i="1"/>
  <c r="W1540" i="1"/>
  <c r="X1540" i="1"/>
  <c r="V1541" i="1"/>
  <c r="W1541" i="1"/>
  <c r="X1541" i="1"/>
  <c r="V1542" i="1"/>
  <c r="W1542" i="1"/>
  <c r="X1542" i="1"/>
  <c r="V1543" i="1"/>
  <c r="W1543" i="1"/>
  <c r="X1543" i="1"/>
  <c r="V1544" i="1"/>
  <c r="W1544" i="1"/>
  <c r="X1544" i="1"/>
  <c r="V1545" i="1"/>
  <c r="W1545" i="1"/>
  <c r="X1545" i="1"/>
  <c r="V1546" i="1"/>
  <c r="W1546" i="1"/>
  <c r="X1546" i="1"/>
  <c r="V1547" i="1"/>
  <c r="W1547" i="1"/>
  <c r="X1547" i="1"/>
  <c r="V1548" i="1"/>
  <c r="W1548" i="1"/>
  <c r="X1548" i="1"/>
  <c r="V1549" i="1"/>
  <c r="W1549" i="1"/>
  <c r="X1549" i="1"/>
  <c r="V1550" i="1"/>
  <c r="W1550" i="1"/>
  <c r="X1550" i="1"/>
  <c r="V1551" i="1"/>
  <c r="W1551" i="1"/>
  <c r="X1551" i="1"/>
  <c r="V1552" i="1"/>
  <c r="W1552" i="1"/>
  <c r="X1552" i="1"/>
  <c r="V1553" i="1"/>
  <c r="W1553" i="1"/>
  <c r="X1553" i="1"/>
  <c r="V1554" i="1"/>
  <c r="W1554" i="1"/>
  <c r="X1554" i="1"/>
  <c r="V1555" i="1"/>
  <c r="W1555" i="1"/>
  <c r="X1555" i="1"/>
  <c r="V1556" i="1"/>
  <c r="W1556" i="1"/>
  <c r="X1556" i="1"/>
  <c r="V1557" i="1"/>
  <c r="W1557" i="1"/>
  <c r="X1557" i="1"/>
  <c r="V1558" i="1"/>
  <c r="W1558" i="1"/>
  <c r="X1558" i="1"/>
  <c r="V1559" i="1"/>
  <c r="W1559" i="1"/>
  <c r="X1559" i="1"/>
  <c r="V1560" i="1"/>
  <c r="W1560" i="1"/>
  <c r="X1560" i="1"/>
  <c r="V1561" i="1"/>
  <c r="W1561" i="1"/>
  <c r="X1561" i="1"/>
  <c r="V1562" i="1"/>
  <c r="W1562" i="1"/>
  <c r="X1562" i="1"/>
  <c r="V1563" i="1"/>
  <c r="W1563" i="1"/>
  <c r="X1563" i="1"/>
  <c r="V1564" i="1"/>
  <c r="W1564" i="1"/>
  <c r="X1564" i="1"/>
  <c r="V1565" i="1"/>
  <c r="W1565" i="1"/>
  <c r="X1565" i="1"/>
  <c r="V1566" i="1"/>
  <c r="W1566" i="1"/>
  <c r="X1566" i="1"/>
  <c r="V1567" i="1"/>
  <c r="W1567" i="1"/>
  <c r="X1567" i="1"/>
  <c r="V1568" i="1"/>
  <c r="W1568" i="1"/>
  <c r="X1568" i="1"/>
  <c r="V1569" i="1"/>
  <c r="W1569" i="1"/>
  <c r="X1569" i="1"/>
  <c r="V1570" i="1"/>
  <c r="W1570" i="1"/>
  <c r="X1570" i="1"/>
  <c r="V1571" i="1"/>
  <c r="W1571" i="1"/>
  <c r="X1571" i="1"/>
  <c r="V1572" i="1"/>
  <c r="W1572" i="1"/>
  <c r="X1572" i="1"/>
  <c r="V1573" i="1"/>
  <c r="W1573" i="1"/>
  <c r="X1573" i="1"/>
  <c r="V1574" i="1"/>
  <c r="W1574" i="1"/>
  <c r="X1574" i="1"/>
  <c r="V1575" i="1"/>
  <c r="W1575" i="1"/>
  <c r="X1575" i="1"/>
  <c r="V1576" i="1"/>
  <c r="W1576" i="1"/>
  <c r="X1576" i="1"/>
  <c r="V1577" i="1"/>
  <c r="W1577" i="1"/>
  <c r="X1577" i="1"/>
  <c r="V1578" i="1"/>
  <c r="W1578" i="1"/>
  <c r="X1578" i="1"/>
  <c r="V1579" i="1"/>
  <c r="W1579" i="1"/>
  <c r="X1579" i="1"/>
  <c r="V1580" i="1"/>
  <c r="W1580" i="1"/>
  <c r="X1580" i="1"/>
  <c r="V1581" i="1"/>
  <c r="W1581" i="1"/>
  <c r="X1581" i="1"/>
  <c r="V1582" i="1"/>
  <c r="W1582" i="1"/>
  <c r="X1582" i="1"/>
  <c r="V1583" i="1"/>
  <c r="W1583" i="1"/>
  <c r="X1583" i="1"/>
  <c r="V1584" i="1"/>
  <c r="W1584" i="1"/>
  <c r="X1584" i="1"/>
  <c r="V1585" i="1"/>
  <c r="W1585" i="1"/>
  <c r="X1585" i="1"/>
  <c r="V1586" i="1"/>
  <c r="W1586" i="1"/>
  <c r="X1586" i="1"/>
  <c r="V1587" i="1"/>
  <c r="W1587" i="1"/>
  <c r="X1587" i="1"/>
  <c r="V1588" i="1"/>
  <c r="W1588" i="1"/>
  <c r="X1588" i="1"/>
  <c r="V1589" i="1"/>
  <c r="W1589" i="1"/>
  <c r="X1589" i="1"/>
  <c r="V1590" i="1"/>
  <c r="W1590" i="1"/>
  <c r="X1590" i="1"/>
  <c r="V1591" i="1"/>
  <c r="W1591" i="1"/>
  <c r="X1591" i="1"/>
  <c r="V1592" i="1"/>
  <c r="W1592" i="1"/>
  <c r="X1592" i="1"/>
  <c r="V1593" i="1"/>
  <c r="W1593" i="1"/>
  <c r="X1593" i="1"/>
  <c r="V1594" i="1"/>
  <c r="W1594" i="1"/>
  <c r="X1594" i="1"/>
  <c r="V1595" i="1"/>
  <c r="W1595" i="1"/>
  <c r="X1595" i="1"/>
  <c r="V1596" i="1"/>
  <c r="W1596" i="1"/>
  <c r="X1596" i="1"/>
  <c r="V1597" i="1"/>
  <c r="W1597" i="1"/>
  <c r="X1597" i="1"/>
  <c r="V1598" i="1"/>
  <c r="W1598" i="1"/>
  <c r="X1598" i="1"/>
  <c r="V1599" i="1"/>
  <c r="W1599" i="1"/>
  <c r="X1599" i="1"/>
  <c r="V1600" i="1"/>
  <c r="W1600" i="1"/>
  <c r="X1600" i="1"/>
  <c r="V1601" i="1"/>
  <c r="W1601" i="1"/>
  <c r="X1601" i="1"/>
  <c r="V1602" i="1"/>
  <c r="W1602" i="1"/>
  <c r="X1602" i="1"/>
  <c r="V1603" i="1"/>
  <c r="W1603" i="1"/>
  <c r="X1603" i="1"/>
  <c r="V1604" i="1"/>
  <c r="W1604" i="1"/>
  <c r="X1604" i="1"/>
  <c r="V1605" i="1"/>
  <c r="W1605" i="1"/>
  <c r="X1605" i="1"/>
  <c r="V1606" i="1"/>
  <c r="W1606" i="1"/>
  <c r="X1606" i="1"/>
  <c r="V1607" i="1"/>
  <c r="W1607" i="1"/>
  <c r="X1607" i="1"/>
  <c r="V1608" i="1"/>
  <c r="W1608" i="1"/>
  <c r="X1608" i="1"/>
  <c r="V1609" i="1"/>
  <c r="W1609" i="1"/>
  <c r="X1609" i="1"/>
  <c r="V1610" i="1"/>
  <c r="W1610" i="1"/>
  <c r="X1610" i="1"/>
  <c r="V1611" i="1"/>
  <c r="W1611" i="1"/>
  <c r="X1611" i="1"/>
  <c r="V1612" i="1"/>
  <c r="W1612" i="1"/>
  <c r="X1612" i="1"/>
  <c r="V1613" i="1"/>
  <c r="W1613" i="1"/>
  <c r="X1613" i="1"/>
  <c r="V1614" i="1"/>
  <c r="W1614" i="1"/>
  <c r="X1614" i="1"/>
  <c r="V1615" i="1"/>
  <c r="W1615" i="1"/>
  <c r="X1615" i="1"/>
  <c r="V1616" i="1"/>
  <c r="W1616" i="1"/>
  <c r="X1616" i="1"/>
  <c r="V1617" i="1"/>
  <c r="W1617" i="1"/>
  <c r="X1617" i="1"/>
  <c r="V1618" i="1"/>
  <c r="W1618" i="1"/>
  <c r="X1618" i="1"/>
  <c r="V1619" i="1"/>
  <c r="W1619" i="1"/>
  <c r="X1619" i="1"/>
  <c r="V1620" i="1"/>
  <c r="W1620" i="1"/>
  <c r="X1620" i="1"/>
  <c r="V1621" i="1"/>
  <c r="W1621" i="1"/>
  <c r="X1621" i="1"/>
  <c r="V1622" i="1"/>
  <c r="W1622" i="1"/>
  <c r="X1622" i="1"/>
  <c r="V1623" i="1"/>
  <c r="W1623" i="1"/>
  <c r="X1623" i="1"/>
  <c r="V1624" i="1"/>
  <c r="W1624" i="1"/>
  <c r="X1624" i="1"/>
  <c r="V1625" i="1"/>
  <c r="W1625" i="1"/>
  <c r="X1625" i="1"/>
  <c r="V1626" i="1"/>
  <c r="W1626" i="1"/>
  <c r="X1626" i="1"/>
  <c r="V1627" i="1"/>
  <c r="W1627" i="1"/>
  <c r="X1627" i="1"/>
  <c r="V1628" i="1"/>
  <c r="W1628" i="1"/>
  <c r="X1628" i="1"/>
  <c r="V1629" i="1"/>
  <c r="W1629" i="1"/>
  <c r="X1629" i="1"/>
  <c r="V1630" i="1"/>
  <c r="W1630" i="1"/>
  <c r="X1630" i="1"/>
  <c r="V1631" i="1"/>
  <c r="W1631" i="1"/>
  <c r="X1631" i="1"/>
  <c r="V1632" i="1"/>
  <c r="W1632" i="1"/>
  <c r="X1632" i="1"/>
  <c r="V1633" i="1"/>
  <c r="W1633" i="1"/>
  <c r="X1633" i="1"/>
  <c r="V1634" i="1"/>
  <c r="W1634" i="1"/>
  <c r="X1634" i="1"/>
  <c r="V1635" i="1"/>
  <c r="W1635" i="1"/>
  <c r="X1635" i="1"/>
  <c r="V1636" i="1"/>
  <c r="W1636" i="1"/>
  <c r="X1636" i="1"/>
  <c r="V1637" i="1"/>
  <c r="W1637" i="1"/>
  <c r="X1637" i="1"/>
  <c r="V1638" i="1"/>
  <c r="W1638" i="1"/>
  <c r="X1638" i="1"/>
  <c r="V1639" i="1"/>
  <c r="W1639" i="1"/>
  <c r="X1639" i="1"/>
  <c r="V1640" i="1"/>
  <c r="W1640" i="1"/>
  <c r="X1640" i="1"/>
  <c r="V1641" i="1"/>
  <c r="W1641" i="1"/>
  <c r="X1641" i="1"/>
  <c r="V1642" i="1"/>
  <c r="W1642" i="1"/>
  <c r="X1642" i="1"/>
  <c r="V1643" i="1"/>
  <c r="W1643" i="1"/>
  <c r="X1643" i="1"/>
  <c r="V1644" i="1"/>
  <c r="W1644" i="1"/>
  <c r="X1644" i="1"/>
  <c r="V1645" i="1"/>
  <c r="W1645" i="1"/>
  <c r="X1645" i="1"/>
  <c r="V1646" i="1"/>
  <c r="W1646" i="1"/>
  <c r="X1646" i="1"/>
  <c r="V1647" i="1"/>
  <c r="W1647" i="1"/>
  <c r="X1647" i="1"/>
  <c r="V1648" i="1"/>
  <c r="W1648" i="1"/>
  <c r="X1648" i="1"/>
  <c r="V1649" i="1"/>
  <c r="W1649" i="1"/>
  <c r="X1649" i="1"/>
  <c r="V1650" i="1"/>
  <c r="W1650" i="1"/>
  <c r="X1650" i="1"/>
  <c r="V1651" i="1"/>
  <c r="W1651" i="1"/>
  <c r="X1651" i="1"/>
  <c r="V1652" i="1"/>
  <c r="W1652" i="1"/>
  <c r="X1652" i="1"/>
  <c r="V1653" i="1"/>
  <c r="W1653" i="1"/>
  <c r="X1653" i="1"/>
  <c r="V1654" i="1"/>
  <c r="W1654" i="1"/>
  <c r="X1654" i="1"/>
  <c r="V1655" i="1"/>
  <c r="W1655" i="1"/>
  <c r="X1655" i="1"/>
  <c r="V1656" i="1"/>
  <c r="W1656" i="1"/>
  <c r="X1656" i="1"/>
  <c r="V1657" i="1"/>
  <c r="W1657" i="1"/>
  <c r="X1657" i="1"/>
  <c r="V1658" i="1"/>
  <c r="W1658" i="1"/>
  <c r="X1658" i="1"/>
  <c r="V1659" i="1"/>
  <c r="W1659" i="1"/>
  <c r="X1659" i="1"/>
  <c r="V1660" i="1"/>
  <c r="W1660" i="1"/>
  <c r="X1660" i="1"/>
  <c r="V1661" i="1"/>
  <c r="W1661" i="1"/>
  <c r="X1661" i="1"/>
  <c r="V1662" i="1"/>
  <c r="W1662" i="1"/>
  <c r="X1662" i="1"/>
  <c r="V1663" i="1"/>
  <c r="W1663" i="1"/>
  <c r="X1663" i="1"/>
  <c r="V1664" i="1"/>
  <c r="W1664" i="1"/>
  <c r="X1664" i="1"/>
  <c r="V1665" i="1"/>
  <c r="W1665" i="1"/>
  <c r="X1665" i="1"/>
  <c r="V1666" i="1"/>
  <c r="W1666" i="1"/>
  <c r="X1666" i="1"/>
  <c r="V1667" i="1"/>
  <c r="W1667" i="1"/>
  <c r="X1667" i="1"/>
  <c r="V1668" i="1"/>
  <c r="W1668" i="1"/>
  <c r="X1668" i="1"/>
  <c r="V1669" i="1"/>
  <c r="W1669" i="1"/>
  <c r="X1669" i="1"/>
  <c r="V1670" i="1"/>
  <c r="W1670" i="1"/>
  <c r="X1670" i="1"/>
  <c r="V1671" i="1"/>
  <c r="W1671" i="1"/>
  <c r="X1671" i="1"/>
  <c r="V1672" i="1"/>
  <c r="W1672" i="1"/>
  <c r="X1672" i="1"/>
  <c r="V1673" i="1"/>
  <c r="W1673" i="1"/>
  <c r="X1673" i="1"/>
  <c r="V1674" i="1"/>
  <c r="W1674" i="1"/>
  <c r="X1674" i="1"/>
  <c r="V1675" i="1"/>
  <c r="W1675" i="1"/>
  <c r="X1675" i="1"/>
  <c r="V1676" i="1"/>
  <c r="W1676" i="1"/>
  <c r="X1676" i="1"/>
  <c r="V1677" i="1"/>
  <c r="W1677" i="1"/>
  <c r="X1677" i="1"/>
  <c r="V1678" i="1"/>
  <c r="W1678" i="1"/>
  <c r="X1678" i="1"/>
  <c r="V1679" i="1"/>
  <c r="W1679" i="1"/>
  <c r="X1679" i="1"/>
  <c r="V1680" i="1"/>
  <c r="W1680" i="1"/>
  <c r="X1680" i="1"/>
  <c r="V1681" i="1"/>
  <c r="W1681" i="1"/>
  <c r="X1681" i="1"/>
  <c r="V1682" i="1"/>
  <c r="W1682" i="1"/>
  <c r="X1682" i="1"/>
  <c r="V1683" i="1"/>
  <c r="W1683" i="1"/>
  <c r="X1683" i="1"/>
  <c r="V1684" i="1"/>
  <c r="W1684" i="1"/>
  <c r="X1684" i="1"/>
  <c r="V1685" i="1"/>
  <c r="W1685" i="1"/>
  <c r="X1685" i="1"/>
  <c r="V1686" i="1"/>
  <c r="W1686" i="1"/>
  <c r="X1686" i="1"/>
  <c r="V1687" i="1"/>
  <c r="W1687" i="1"/>
  <c r="X1687" i="1"/>
  <c r="V1688" i="1"/>
  <c r="W1688" i="1"/>
  <c r="X1688" i="1"/>
  <c r="V1689" i="1"/>
  <c r="W1689" i="1"/>
  <c r="X1689" i="1"/>
  <c r="V1690" i="1"/>
  <c r="W1690" i="1"/>
  <c r="X1690" i="1"/>
  <c r="V1691" i="1"/>
  <c r="W1691" i="1"/>
  <c r="X1691" i="1"/>
  <c r="V1692" i="1"/>
  <c r="W1692" i="1"/>
  <c r="X1692" i="1"/>
  <c r="V1693" i="1"/>
  <c r="W1693" i="1"/>
  <c r="X1693" i="1"/>
  <c r="V1694" i="1"/>
  <c r="W1694" i="1"/>
  <c r="X1694" i="1"/>
  <c r="V1695" i="1"/>
  <c r="W1695" i="1"/>
  <c r="X1695" i="1"/>
  <c r="V1696" i="1"/>
  <c r="W1696" i="1"/>
  <c r="X1696" i="1"/>
  <c r="V1697" i="1"/>
  <c r="W1697" i="1"/>
  <c r="X1697" i="1"/>
  <c r="V1698" i="1"/>
  <c r="W1698" i="1"/>
  <c r="X1698" i="1"/>
  <c r="V1699" i="1"/>
  <c r="W1699" i="1"/>
  <c r="X1699" i="1"/>
  <c r="V1700" i="1"/>
  <c r="W1700" i="1"/>
  <c r="X1700" i="1"/>
  <c r="V1701" i="1"/>
  <c r="W1701" i="1"/>
  <c r="X1701" i="1"/>
  <c r="V1702" i="1"/>
  <c r="W1702" i="1"/>
  <c r="X1702" i="1"/>
  <c r="V1703" i="1"/>
  <c r="W1703" i="1"/>
  <c r="X1703" i="1"/>
  <c r="V1704" i="1"/>
  <c r="W1704" i="1"/>
  <c r="X1704" i="1"/>
  <c r="V1705" i="1"/>
  <c r="W1705" i="1"/>
  <c r="X1705" i="1"/>
  <c r="V1706" i="1"/>
  <c r="W1706" i="1"/>
  <c r="X1706" i="1"/>
  <c r="V1707" i="1"/>
  <c r="W1707" i="1"/>
  <c r="X1707" i="1"/>
  <c r="V1708" i="1"/>
  <c r="W1708" i="1"/>
  <c r="X1708" i="1"/>
  <c r="V1709" i="1"/>
  <c r="W1709" i="1"/>
  <c r="X1709" i="1"/>
  <c r="V1710" i="1"/>
  <c r="W1710" i="1"/>
  <c r="X1710" i="1"/>
  <c r="V1711" i="1"/>
  <c r="W1711" i="1"/>
  <c r="X1711" i="1"/>
  <c r="V1712" i="1"/>
  <c r="W1712" i="1"/>
  <c r="X1712" i="1"/>
  <c r="V1713" i="1"/>
  <c r="W1713" i="1"/>
  <c r="X1713" i="1"/>
  <c r="V1714" i="1"/>
  <c r="W1714" i="1"/>
  <c r="X1714" i="1"/>
  <c r="V1715" i="1"/>
  <c r="W1715" i="1"/>
  <c r="X1715" i="1"/>
  <c r="V1716" i="1"/>
  <c r="W1716" i="1"/>
  <c r="X1716" i="1"/>
  <c r="V1717" i="1"/>
  <c r="W1717" i="1"/>
  <c r="X1717" i="1"/>
  <c r="V1718" i="1"/>
  <c r="W1718" i="1"/>
  <c r="X1718" i="1"/>
  <c r="V1719" i="1"/>
  <c r="W1719" i="1"/>
  <c r="X1719" i="1"/>
  <c r="V1720" i="1"/>
  <c r="W1720" i="1"/>
  <c r="X1720" i="1"/>
  <c r="V1721" i="1"/>
  <c r="W1721" i="1"/>
  <c r="X1721" i="1"/>
  <c r="V1722" i="1"/>
  <c r="W1722" i="1"/>
  <c r="X1722" i="1"/>
  <c r="V1723" i="1"/>
  <c r="W1723" i="1"/>
  <c r="X1723" i="1"/>
  <c r="V1724" i="1"/>
  <c r="W1724" i="1"/>
  <c r="X1724" i="1"/>
  <c r="V1725" i="1"/>
  <c r="W1725" i="1"/>
  <c r="X1725" i="1"/>
  <c r="V1726" i="1"/>
  <c r="W1726" i="1"/>
  <c r="X1726" i="1"/>
  <c r="V1727" i="1"/>
  <c r="W1727" i="1"/>
  <c r="X1727" i="1"/>
  <c r="V1728" i="1"/>
  <c r="W1728" i="1"/>
  <c r="X1728" i="1"/>
  <c r="V1729" i="1"/>
  <c r="W1729" i="1"/>
  <c r="X1729" i="1"/>
  <c r="V1730" i="1"/>
  <c r="W1730" i="1"/>
  <c r="X1730" i="1"/>
  <c r="V1731" i="1"/>
  <c r="W1731" i="1"/>
  <c r="X1731" i="1"/>
  <c r="V1732" i="1"/>
  <c r="W1732" i="1"/>
  <c r="X1732" i="1"/>
  <c r="V1733" i="1"/>
  <c r="W1733" i="1"/>
  <c r="X1733" i="1"/>
  <c r="V1734" i="1"/>
  <c r="W1734" i="1"/>
  <c r="X1734" i="1"/>
  <c r="V1735" i="1"/>
  <c r="W1735" i="1"/>
  <c r="X1735" i="1"/>
  <c r="V1736" i="1"/>
  <c r="W1736" i="1"/>
  <c r="X1736" i="1"/>
  <c r="V1737" i="1"/>
  <c r="W1737" i="1"/>
  <c r="X1737" i="1"/>
  <c r="V1738" i="1"/>
  <c r="W1738" i="1"/>
  <c r="X1738" i="1"/>
  <c r="V1739" i="1"/>
  <c r="W1739" i="1"/>
  <c r="X1739" i="1"/>
  <c r="V1740" i="1"/>
  <c r="W1740" i="1"/>
  <c r="X1740" i="1"/>
  <c r="V1741" i="1"/>
  <c r="W1741" i="1"/>
  <c r="X1741" i="1"/>
  <c r="V1742" i="1"/>
  <c r="W1742" i="1"/>
  <c r="X1742" i="1"/>
  <c r="V1743" i="1"/>
  <c r="W1743" i="1"/>
  <c r="X1743" i="1"/>
  <c r="V1744" i="1"/>
  <c r="W1744" i="1"/>
  <c r="X1744" i="1"/>
  <c r="V1745" i="1"/>
  <c r="W1745" i="1"/>
  <c r="X1745" i="1"/>
  <c r="V1746" i="1"/>
  <c r="W1746" i="1"/>
  <c r="X1746" i="1"/>
  <c r="V1747" i="1"/>
  <c r="W1747" i="1"/>
  <c r="X1747" i="1"/>
  <c r="V1748" i="1"/>
  <c r="W1748" i="1"/>
  <c r="X1748" i="1"/>
  <c r="V1749" i="1"/>
  <c r="W1749" i="1"/>
  <c r="X1749" i="1"/>
  <c r="V1750" i="1"/>
  <c r="W1750" i="1"/>
  <c r="X1750" i="1"/>
  <c r="V1751" i="1"/>
  <c r="W1751" i="1"/>
  <c r="X1751" i="1"/>
  <c r="V1752" i="1"/>
  <c r="W1752" i="1"/>
  <c r="X1752" i="1"/>
  <c r="V1753" i="1"/>
  <c r="W1753" i="1"/>
  <c r="X1753" i="1"/>
  <c r="V1754" i="1"/>
  <c r="W1754" i="1"/>
  <c r="X1754" i="1"/>
  <c r="V1755" i="1"/>
  <c r="W1755" i="1"/>
  <c r="X1755" i="1"/>
  <c r="V1756" i="1"/>
  <c r="W1756" i="1"/>
  <c r="X1756" i="1"/>
  <c r="V1757" i="1"/>
  <c r="W1757" i="1"/>
  <c r="X1757" i="1"/>
  <c r="V1758" i="1"/>
  <c r="W1758" i="1"/>
  <c r="X1758" i="1"/>
  <c r="V1759" i="1"/>
  <c r="W1759" i="1"/>
  <c r="X1759" i="1"/>
  <c r="V1760" i="1"/>
  <c r="W1760" i="1"/>
  <c r="X1760" i="1"/>
  <c r="V1761" i="1"/>
  <c r="W1761" i="1"/>
  <c r="X1761" i="1"/>
  <c r="V1762" i="1"/>
  <c r="W1762" i="1"/>
  <c r="X1762" i="1"/>
  <c r="V1763" i="1"/>
  <c r="W1763" i="1"/>
  <c r="X1763" i="1"/>
  <c r="V1764" i="1"/>
  <c r="W1764" i="1"/>
  <c r="X1764" i="1"/>
  <c r="V1765" i="1"/>
  <c r="W1765" i="1"/>
  <c r="X1765" i="1"/>
  <c r="V1766" i="1"/>
  <c r="W1766" i="1"/>
  <c r="X1766" i="1"/>
  <c r="V1767" i="1"/>
  <c r="W1767" i="1"/>
  <c r="X1767" i="1"/>
  <c r="V1768" i="1"/>
  <c r="W1768" i="1"/>
  <c r="X1768" i="1"/>
  <c r="V1769" i="1"/>
  <c r="W1769" i="1"/>
  <c r="X1769" i="1"/>
  <c r="V1770" i="1"/>
  <c r="W1770" i="1"/>
  <c r="X1770" i="1"/>
  <c r="V1771" i="1"/>
  <c r="W1771" i="1"/>
  <c r="X1771" i="1"/>
  <c r="V1772" i="1"/>
  <c r="W1772" i="1"/>
  <c r="X1772" i="1"/>
  <c r="V1773" i="1"/>
  <c r="W1773" i="1"/>
  <c r="X1773" i="1"/>
  <c r="V1774" i="1"/>
  <c r="W1774" i="1"/>
  <c r="X1774" i="1"/>
  <c r="V1775" i="1"/>
  <c r="W1775" i="1"/>
  <c r="X1775" i="1"/>
  <c r="V1776" i="1"/>
  <c r="W1776" i="1"/>
  <c r="X1776" i="1"/>
  <c r="V1777" i="1"/>
  <c r="W1777" i="1"/>
  <c r="X1777" i="1"/>
  <c r="V1778" i="1"/>
  <c r="W1778" i="1"/>
  <c r="X1778" i="1"/>
  <c r="V1779" i="1"/>
  <c r="W1779" i="1"/>
  <c r="X1779" i="1"/>
  <c r="V1780" i="1"/>
  <c r="W1780" i="1"/>
  <c r="X1780" i="1"/>
  <c r="V1781" i="1"/>
  <c r="W1781" i="1"/>
  <c r="X1781" i="1"/>
  <c r="V1782" i="1"/>
  <c r="W1782" i="1"/>
  <c r="X1782" i="1"/>
  <c r="V1783" i="1"/>
  <c r="W1783" i="1"/>
  <c r="X1783" i="1"/>
  <c r="V1784" i="1"/>
  <c r="W1784" i="1"/>
  <c r="X1784" i="1"/>
  <c r="V1785" i="1"/>
  <c r="W1785" i="1"/>
  <c r="X1785" i="1"/>
  <c r="V1786" i="1"/>
  <c r="W1786" i="1"/>
  <c r="X1786" i="1"/>
  <c r="V1787" i="1"/>
  <c r="W1787" i="1"/>
  <c r="X1787" i="1"/>
  <c r="V1788" i="1"/>
  <c r="W1788" i="1"/>
  <c r="X1788" i="1"/>
  <c r="V1789" i="1"/>
  <c r="W1789" i="1"/>
  <c r="X1789" i="1"/>
  <c r="V1790" i="1"/>
  <c r="W1790" i="1"/>
  <c r="X1790" i="1"/>
  <c r="V1791" i="1"/>
  <c r="W1791" i="1"/>
  <c r="X1791" i="1"/>
  <c r="V1792" i="1"/>
  <c r="W1792" i="1"/>
  <c r="X1792" i="1"/>
  <c r="V1793" i="1"/>
  <c r="W1793" i="1"/>
  <c r="X1793" i="1"/>
  <c r="V1794" i="1"/>
  <c r="W1794" i="1"/>
  <c r="X1794" i="1"/>
  <c r="V1795" i="1"/>
  <c r="W1795" i="1"/>
  <c r="X1795" i="1"/>
  <c r="V1796" i="1"/>
  <c r="W1796" i="1"/>
  <c r="X1796" i="1"/>
  <c r="V1797" i="1"/>
  <c r="W1797" i="1"/>
  <c r="X1797" i="1"/>
  <c r="V1798" i="1"/>
  <c r="W1798" i="1"/>
  <c r="X1798" i="1"/>
  <c r="V1799" i="1"/>
  <c r="W1799" i="1"/>
  <c r="X1799" i="1"/>
  <c r="V1800" i="1"/>
  <c r="W1800" i="1"/>
  <c r="X1800" i="1"/>
  <c r="V1801" i="1"/>
  <c r="W1801" i="1"/>
  <c r="X1801" i="1"/>
  <c r="V1802" i="1"/>
  <c r="W1802" i="1"/>
  <c r="X1802" i="1"/>
  <c r="V1803" i="1"/>
  <c r="W1803" i="1"/>
  <c r="X1803" i="1"/>
  <c r="V1804" i="1"/>
  <c r="W1804" i="1"/>
  <c r="X1804" i="1"/>
  <c r="V1805" i="1"/>
  <c r="W1805" i="1"/>
  <c r="X1805" i="1"/>
  <c r="V1806" i="1"/>
  <c r="W1806" i="1"/>
  <c r="X1806" i="1"/>
  <c r="V1807" i="1"/>
  <c r="W1807" i="1"/>
  <c r="X1807" i="1"/>
  <c r="V1808" i="1"/>
  <c r="W1808" i="1"/>
  <c r="X1808" i="1"/>
  <c r="V1809" i="1"/>
  <c r="W1809" i="1"/>
  <c r="X1809" i="1"/>
  <c r="V1810" i="1"/>
  <c r="W1810" i="1"/>
  <c r="X1810" i="1"/>
  <c r="V1811" i="1"/>
  <c r="W1811" i="1"/>
  <c r="X1811" i="1"/>
  <c r="V1812" i="1"/>
  <c r="W1812" i="1"/>
  <c r="X1812" i="1"/>
  <c r="V1813" i="1"/>
  <c r="W1813" i="1"/>
  <c r="X1813" i="1"/>
  <c r="V1814" i="1"/>
  <c r="W1814" i="1"/>
  <c r="X1814" i="1"/>
  <c r="V1815" i="1"/>
  <c r="W1815" i="1"/>
  <c r="X1815" i="1"/>
  <c r="V1816" i="1"/>
  <c r="W1816" i="1"/>
  <c r="X1816" i="1"/>
  <c r="V1817" i="1"/>
  <c r="W1817" i="1"/>
  <c r="X1817" i="1"/>
  <c r="V1818" i="1"/>
  <c r="W1818" i="1"/>
  <c r="X1818" i="1"/>
  <c r="V1819" i="1"/>
  <c r="W1819" i="1"/>
  <c r="X1819" i="1"/>
  <c r="V1820" i="1"/>
  <c r="W1820" i="1"/>
  <c r="X1820" i="1"/>
  <c r="V1821" i="1"/>
  <c r="W1821" i="1"/>
  <c r="X1821" i="1"/>
  <c r="V1822" i="1"/>
  <c r="W1822" i="1"/>
  <c r="X1822" i="1"/>
  <c r="V1823" i="1"/>
  <c r="W1823" i="1"/>
  <c r="X1823" i="1"/>
  <c r="V1824" i="1"/>
  <c r="W1824" i="1"/>
  <c r="X1824" i="1"/>
  <c r="V1825" i="1"/>
  <c r="W1825" i="1"/>
  <c r="X1825" i="1"/>
  <c r="V1826" i="1"/>
  <c r="W1826" i="1"/>
  <c r="X1826" i="1"/>
  <c r="V1827" i="1"/>
  <c r="W1827" i="1"/>
  <c r="X1827" i="1"/>
  <c r="V1828" i="1"/>
  <c r="W1828" i="1"/>
  <c r="X1828" i="1"/>
  <c r="V1829" i="1"/>
  <c r="W1829" i="1"/>
  <c r="X1829" i="1"/>
  <c r="V1830" i="1"/>
  <c r="W1830" i="1"/>
  <c r="X1830" i="1"/>
  <c r="V1831" i="1"/>
  <c r="W1831" i="1"/>
  <c r="X1831" i="1"/>
  <c r="V1832" i="1"/>
  <c r="W1832" i="1"/>
  <c r="X1832" i="1"/>
  <c r="V1833" i="1"/>
  <c r="W1833" i="1"/>
  <c r="X1833" i="1"/>
  <c r="V1834" i="1"/>
  <c r="W1834" i="1"/>
  <c r="X1834" i="1"/>
  <c r="V1835" i="1"/>
  <c r="W1835" i="1"/>
  <c r="X1835" i="1"/>
  <c r="V1836" i="1"/>
  <c r="W1836" i="1"/>
  <c r="X1836" i="1"/>
  <c r="V1837" i="1"/>
  <c r="W1837" i="1"/>
  <c r="X1837" i="1"/>
  <c r="V1838" i="1"/>
  <c r="W1838" i="1"/>
  <c r="X1838" i="1"/>
  <c r="V1839" i="1"/>
  <c r="W1839" i="1"/>
  <c r="X1839" i="1"/>
  <c r="V1840" i="1"/>
  <c r="W1840" i="1"/>
  <c r="X1840" i="1"/>
  <c r="V1841" i="1"/>
  <c r="W1841" i="1"/>
  <c r="X1841" i="1"/>
  <c r="V1842" i="1"/>
  <c r="W1842" i="1"/>
  <c r="X1842" i="1"/>
  <c r="V1843" i="1"/>
  <c r="W1843" i="1"/>
  <c r="X1843" i="1"/>
  <c r="V1844" i="1"/>
  <c r="W1844" i="1"/>
  <c r="X1844" i="1"/>
  <c r="V1845" i="1"/>
  <c r="W1845" i="1"/>
  <c r="X1845" i="1"/>
  <c r="V1846" i="1"/>
  <c r="W1846" i="1"/>
  <c r="X1846" i="1"/>
  <c r="V1847" i="1"/>
  <c r="W1847" i="1"/>
  <c r="X1847" i="1"/>
  <c r="V1848" i="1"/>
  <c r="W1848" i="1"/>
  <c r="X1848" i="1"/>
  <c r="V1849" i="1"/>
  <c r="W1849" i="1"/>
  <c r="X1849" i="1"/>
  <c r="V1850" i="1"/>
  <c r="W1850" i="1"/>
  <c r="X1850" i="1"/>
  <c r="V1851" i="1"/>
  <c r="W1851" i="1"/>
  <c r="X1851" i="1"/>
  <c r="V1852" i="1"/>
  <c r="W1852" i="1"/>
  <c r="X1852" i="1"/>
  <c r="V1853" i="1"/>
  <c r="W1853" i="1"/>
  <c r="X1853" i="1"/>
  <c r="V1854" i="1"/>
  <c r="W1854" i="1"/>
  <c r="X1854" i="1"/>
  <c r="V1855" i="1"/>
  <c r="W1855" i="1"/>
  <c r="X1855" i="1"/>
  <c r="V1856" i="1"/>
  <c r="W1856" i="1"/>
  <c r="X1856" i="1"/>
  <c r="V1857" i="1"/>
  <c r="W1857" i="1"/>
  <c r="X1857" i="1"/>
  <c r="V1858" i="1"/>
  <c r="W1858" i="1"/>
  <c r="X1858" i="1"/>
  <c r="V1859" i="1"/>
  <c r="W1859" i="1"/>
  <c r="X1859" i="1"/>
  <c r="V1860" i="1"/>
  <c r="W1860" i="1"/>
  <c r="X1860" i="1"/>
  <c r="V1861" i="1"/>
  <c r="W1861" i="1"/>
  <c r="X1861" i="1"/>
  <c r="V1862" i="1"/>
  <c r="W1862" i="1"/>
  <c r="X1862" i="1"/>
  <c r="V1863" i="1"/>
  <c r="W1863" i="1"/>
  <c r="X1863" i="1"/>
  <c r="V1864" i="1"/>
  <c r="W1864" i="1"/>
  <c r="X1864" i="1"/>
  <c r="V1865" i="1"/>
  <c r="W1865" i="1"/>
  <c r="X1865" i="1"/>
  <c r="V1866" i="1"/>
  <c r="W1866" i="1"/>
  <c r="X1866" i="1"/>
  <c r="V1867" i="1"/>
  <c r="W1867" i="1"/>
  <c r="X1867" i="1"/>
  <c r="V1868" i="1"/>
  <c r="W1868" i="1"/>
  <c r="X1868" i="1"/>
  <c r="V1869" i="1"/>
  <c r="W1869" i="1"/>
  <c r="X1869" i="1"/>
  <c r="V1870" i="1"/>
  <c r="W1870" i="1"/>
  <c r="X1870" i="1"/>
  <c r="V1871" i="1"/>
  <c r="W1871" i="1"/>
  <c r="X1871" i="1"/>
  <c r="V1872" i="1"/>
  <c r="W1872" i="1"/>
  <c r="X1872" i="1"/>
  <c r="V1873" i="1"/>
  <c r="W1873" i="1"/>
  <c r="X1873" i="1"/>
  <c r="V1874" i="1"/>
  <c r="W1874" i="1"/>
  <c r="X1874" i="1"/>
  <c r="V1875" i="1"/>
  <c r="W1875" i="1"/>
  <c r="X1875" i="1"/>
  <c r="V1876" i="1"/>
  <c r="W1876" i="1"/>
  <c r="X1876" i="1"/>
  <c r="V1877" i="1"/>
  <c r="W1877" i="1"/>
  <c r="X1877" i="1"/>
  <c r="V1878" i="1"/>
  <c r="W1878" i="1"/>
  <c r="X1878" i="1"/>
  <c r="V1879" i="1"/>
  <c r="W1879" i="1"/>
  <c r="X1879" i="1"/>
  <c r="V1880" i="1"/>
  <c r="W1880" i="1"/>
  <c r="X1880" i="1"/>
  <c r="V1881" i="1"/>
  <c r="W1881" i="1"/>
  <c r="X1881" i="1"/>
  <c r="V1882" i="1"/>
  <c r="W1882" i="1"/>
  <c r="X1882" i="1"/>
  <c r="V1883" i="1"/>
  <c r="W1883" i="1"/>
  <c r="X1883" i="1"/>
  <c r="V1884" i="1"/>
  <c r="W1884" i="1"/>
  <c r="X1884" i="1"/>
  <c r="V1885" i="1"/>
  <c r="W1885" i="1"/>
  <c r="X1885" i="1"/>
  <c r="V1886" i="1"/>
  <c r="W1886" i="1"/>
  <c r="X1886" i="1"/>
  <c r="V1887" i="1"/>
  <c r="W1887" i="1"/>
  <c r="X1887" i="1"/>
  <c r="V1888" i="1"/>
  <c r="W1888" i="1"/>
  <c r="X1888" i="1"/>
  <c r="V1889" i="1"/>
  <c r="W1889" i="1"/>
  <c r="X1889" i="1"/>
  <c r="V1890" i="1"/>
  <c r="W1890" i="1"/>
  <c r="X1890" i="1"/>
  <c r="V1891" i="1"/>
  <c r="W1891" i="1"/>
  <c r="X1891" i="1"/>
  <c r="V1892" i="1"/>
  <c r="W1892" i="1"/>
  <c r="X1892" i="1"/>
  <c r="V1893" i="1"/>
  <c r="W1893" i="1"/>
  <c r="X1893" i="1"/>
  <c r="V1894" i="1"/>
  <c r="W1894" i="1"/>
  <c r="X1894" i="1"/>
  <c r="V1895" i="1"/>
  <c r="W1895" i="1"/>
  <c r="X1895" i="1"/>
  <c r="V1896" i="1"/>
  <c r="W1896" i="1"/>
  <c r="X1896" i="1"/>
  <c r="V1897" i="1"/>
  <c r="W1897" i="1"/>
  <c r="X1897" i="1"/>
  <c r="V1898" i="1"/>
  <c r="W1898" i="1"/>
  <c r="X1898" i="1"/>
  <c r="V1899" i="1"/>
  <c r="W1899" i="1"/>
  <c r="X1899" i="1"/>
  <c r="V1900" i="1"/>
  <c r="W1900" i="1"/>
  <c r="X1900" i="1"/>
  <c r="V1901" i="1"/>
  <c r="W1901" i="1"/>
  <c r="X1901" i="1"/>
  <c r="V1902" i="1"/>
  <c r="W1902" i="1"/>
  <c r="X1902" i="1"/>
  <c r="V1903" i="1"/>
  <c r="W1903" i="1"/>
  <c r="X1903" i="1"/>
  <c r="V1904" i="1"/>
  <c r="W1904" i="1"/>
  <c r="X1904" i="1"/>
  <c r="V1905" i="1"/>
  <c r="W1905" i="1"/>
  <c r="X1905" i="1"/>
  <c r="V1906" i="1"/>
  <c r="W1906" i="1"/>
  <c r="X1906" i="1"/>
  <c r="V1907" i="1"/>
  <c r="W1907" i="1"/>
  <c r="X1907" i="1"/>
  <c r="V1908" i="1"/>
  <c r="W1908" i="1"/>
  <c r="X1908" i="1"/>
  <c r="V1909" i="1"/>
  <c r="W1909" i="1"/>
  <c r="X1909" i="1"/>
  <c r="V1910" i="1"/>
  <c r="W1910" i="1"/>
  <c r="X1910" i="1"/>
  <c r="V1911" i="1"/>
  <c r="W1911" i="1"/>
  <c r="X1911" i="1"/>
  <c r="V1912" i="1"/>
  <c r="W1912" i="1"/>
  <c r="X1912" i="1"/>
  <c r="V1913" i="1"/>
  <c r="W1913" i="1"/>
  <c r="X1913" i="1"/>
  <c r="V1914" i="1"/>
  <c r="W1914" i="1"/>
  <c r="X1914" i="1"/>
  <c r="V1915" i="1"/>
  <c r="W1915" i="1"/>
  <c r="X1915" i="1"/>
  <c r="V1916" i="1"/>
  <c r="W1916" i="1"/>
  <c r="X1916" i="1"/>
  <c r="V1917" i="1"/>
  <c r="W1917" i="1"/>
  <c r="X1917" i="1"/>
  <c r="V1918" i="1"/>
  <c r="W1918" i="1"/>
  <c r="X1918" i="1"/>
  <c r="V1919" i="1"/>
  <c r="W1919" i="1"/>
  <c r="X1919" i="1"/>
  <c r="V1920" i="1"/>
  <c r="W1920" i="1"/>
  <c r="X1920" i="1"/>
  <c r="V1921" i="1"/>
  <c r="W1921" i="1"/>
  <c r="X1921" i="1"/>
  <c r="V1922" i="1"/>
  <c r="W1922" i="1"/>
  <c r="X1922" i="1"/>
  <c r="V1923" i="1"/>
  <c r="W1923" i="1"/>
  <c r="X1923" i="1"/>
  <c r="V1924" i="1"/>
  <c r="W1924" i="1"/>
  <c r="X1924" i="1"/>
  <c r="V1925" i="1"/>
  <c r="W1925" i="1"/>
  <c r="X1925" i="1"/>
  <c r="V1926" i="1"/>
  <c r="W1926" i="1"/>
  <c r="X1926" i="1"/>
  <c r="V1927" i="1"/>
  <c r="W1927" i="1"/>
  <c r="X1927" i="1"/>
  <c r="V1928" i="1"/>
  <c r="W1928" i="1"/>
  <c r="X1928" i="1"/>
  <c r="V1929" i="1"/>
  <c r="W1929" i="1"/>
  <c r="X1929" i="1"/>
  <c r="V1930" i="1"/>
  <c r="W1930" i="1"/>
  <c r="X1930" i="1"/>
  <c r="V1931" i="1"/>
  <c r="W1931" i="1"/>
  <c r="X1931" i="1"/>
  <c r="V1932" i="1"/>
  <c r="W1932" i="1"/>
  <c r="X1932" i="1"/>
  <c r="V1933" i="1"/>
  <c r="W1933" i="1"/>
  <c r="X1933" i="1"/>
  <c r="V1934" i="1"/>
  <c r="W1934" i="1"/>
  <c r="X1934" i="1"/>
  <c r="V1935" i="1"/>
  <c r="W1935" i="1"/>
  <c r="X1935" i="1"/>
  <c r="V1936" i="1"/>
  <c r="W1936" i="1"/>
  <c r="X1936" i="1"/>
  <c r="V1937" i="1"/>
  <c r="W1937" i="1"/>
  <c r="X1937" i="1"/>
  <c r="V1938" i="1"/>
  <c r="W1938" i="1"/>
  <c r="X1938" i="1"/>
  <c r="V1939" i="1"/>
  <c r="W1939" i="1"/>
  <c r="X1939" i="1"/>
  <c r="V1940" i="1"/>
  <c r="W1940" i="1"/>
  <c r="X1940" i="1"/>
  <c r="V1941" i="1"/>
  <c r="W1941" i="1"/>
  <c r="X1941" i="1"/>
  <c r="V1942" i="1"/>
  <c r="W1942" i="1"/>
  <c r="X1942" i="1"/>
  <c r="V1943" i="1"/>
  <c r="W1943" i="1"/>
  <c r="X1943" i="1"/>
  <c r="V1944" i="1"/>
  <c r="W1944" i="1"/>
  <c r="X1944" i="1"/>
  <c r="V1945" i="1"/>
  <c r="W1945" i="1"/>
  <c r="X1945" i="1"/>
  <c r="V1946" i="1"/>
  <c r="W1946" i="1"/>
  <c r="X1946" i="1"/>
  <c r="V1947" i="1"/>
  <c r="W1947" i="1"/>
  <c r="X1947" i="1"/>
  <c r="V1948" i="1"/>
  <c r="W1948" i="1"/>
  <c r="X1948" i="1"/>
  <c r="V1949" i="1"/>
  <c r="W1949" i="1"/>
  <c r="X1949" i="1"/>
  <c r="V1950" i="1"/>
  <c r="W1950" i="1"/>
  <c r="X1950" i="1"/>
  <c r="V1951" i="1"/>
  <c r="W1951" i="1"/>
  <c r="X1951" i="1"/>
  <c r="V1952" i="1"/>
  <c r="W1952" i="1"/>
  <c r="X1952" i="1"/>
  <c r="V1953" i="1"/>
  <c r="W1953" i="1"/>
  <c r="X1953" i="1"/>
  <c r="V1954" i="1"/>
  <c r="W1954" i="1"/>
  <c r="X1954" i="1"/>
  <c r="V1955" i="1"/>
  <c r="W1955" i="1"/>
  <c r="X1955" i="1"/>
  <c r="V1956" i="1"/>
  <c r="W1956" i="1"/>
  <c r="X1956" i="1"/>
  <c r="V1957" i="1"/>
  <c r="W1957" i="1"/>
  <c r="X1957" i="1"/>
  <c r="V1958" i="1"/>
  <c r="W1958" i="1"/>
  <c r="X1958" i="1"/>
  <c r="V1959" i="1"/>
  <c r="W1959" i="1"/>
  <c r="X1959" i="1"/>
  <c r="V1960" i="1"/>
  <c r="W1960" i="1"/>
  <c r="X1960" i="1"/>
  <c r="V1961" i="1"/>
  <c r="W1961" i="1"/>
  <c r="X1961" i="1"/>
  <c r="V1962" i="1"/>
  <c r="W1962" i="1"/>
  <c r="X1962" i="1"/>
  <c r="V1963" i="1"/>
  <c r="W1963" i="1"/>
  <c r="X1963" i="1"/>
  <c r="V1964" i="1"/>
  <c r="W1964" i="1"/>
  <c r="X1964" i="1"/>
  <c r="V1965" i="1"/>
  <c r="W1965" i="1"/>
  <c r="X1965" i="1"/>
  <c r="V1966" i="1"/>
  <c r="W1966" i="1"/>
  <c r="X1966" i="1"/>
  <c r="V1967" i="1"/>
  <c r="W1967" i="1"/>
  <c r="X1967" i="1"/>
  <c r="V1968" i="1"/>
  <c r="W1968" i="1"/>
  <c r="X1968" i="1"/>
  <c r="V1969" i="1"/>
  <c r="W1969" i="1"/>
  <c r="X1969" i="1"/>
  <c r="V1970" i="1"/>
  <c r="W1970" i="1"/>
  <c r="X1970" i="1"/>
  <c r="V1971" i="1"/>
  <c r="W1971" i="1"/>
  <c r="X1971" i="1"/>
  <c r="V1972" i="1"/>
  <c r="W1972" i="1"/>
  <c r="X1972" i="1"/>
  <c r="V1973" i="1"/>
  <c r="W1973" i="1"/>
  <c r="X1973" i="1"/>
  <c r="V1974" i="1"/>
  <c r="W1974" i="1"/>
  <c r="X1974" i="1"/>
  <c r="V1975" i="1"/>
  <c r="W1975" i="1"/>
  <c r="X1975" i="1"/>
  <c r="V1976" i="1"/>
  <c r="W1976" i="1"/>
  <c r="X1976" i="1"/>
  <c r="V1977" i="1"/>
  <c r="W1977" i="1"/>
  <c r="X1977" i="1"/>
  <c r="V1978" i="1"/>
  <c r="W1978" i="1"/>
  <c r="X1978" i="1"/>
  <c r="V1979" i="1"/>
  <c r="W1979" i="1"/>
  <c r="X1979" i="1"/>
  <c r="V1980" i="1"/>
  <c r="W1980" i="1"/>
  <c r="X1980" i="1"/>
  <c r="V1981" i="1"/>
  <c r="W1981" i="1"/>
  <c r="X1981" i="1"/>
  <c r="V1982" i="1"/>
  <c r="W1982" i="1"/>
  <c r="X1982" i="1"/>
  <c r="V1983" i="1"/>
  <c r="W1983" i="1"/>
  <c r="X1983" i="1"/>
  <c r="V1984" i="1"/>
  <c r="W1984" i="1"/>
  <c r="X1984" i="1"/>
  <c r="V1985" i="1"/>
  <c r="W1985" i="1"/>
  <c r="X1985" i="1"/>
  <c r="V1986" i="1"/>
  <c r="W1986" i="1"/>
  <c r="X1986" i="1"/>
  <c r="V1987" i="1"/>
  <c r="W1987" i="1"/>
  <c r="X1987" i="1"/>
  <c r="V1988" i="1"/>
  <c r="W1988" i="1"/>
  <c r="X1988" i="1"/>
  <c r="V1989" i="1"/>
  <c r="W1989" i="1"/>
  <c r="X1989" i="1"/>
  <c r="V1990" i="1"/>
  <c r="W1990" i="1"/>
  <c r="X1990" i="1"/>
  <c r="V1991" i="1"/>
  <c r="W1991" i="1"/>
  <c r="X1991" i="1"/>
  <c r="V1992" i="1"/>
  <c r="W1992" i="1"/>
  <c r="X1992" i="1"/>
  <c r="V1993" i="1"/>
  <c r="W1993" i="1"/>
  <c r="X1993" i="1"/>
  <c r="V1994" i="1"/>
  <c r="W1994" i="1"/>
  <c r="X1994" i="1"/>
  <c r="V1995" i="1"/>
  <c r="W1995" i="1"/>
  <c r="X1995" i="1"/>
  <c r="V1996" i="1"/>
  <c r="W1996" i="1"/>
  <c r="X1996" i="1"/>
  <c r="V1997" i="1"/>
  <c r="W1997" i="1"/>
  <c r="X1997" i="1"/>
  <c r="V1998" i="1"/>
  <c r="W1998" i="1"/>
  <c r="X1998" i="1"/>
  <c r="V1999" i="1"/>
  <c r="W1999" i="1"/>
  <c r="X1999" i="1"/>
  <c r="V2000" i="1"/>
  <c r="W2000" i="1"/>
  <c r="X2000" i="1"/>
  <c r="V2001" i="1"/>
  <c r="W2001" i="1"/>
  <c r="X2001" i="1"/>
  <c r="V2002" i="1"/>
  <c r="W2002" i="1"/>
  <c r="X2002" i="1"/>
  <c r="V2003" i="1"/>
  <c r="W2003" i="1"/>
  <c r="X2003" i="1"/>
  <c r="V2004" i="1"/>
  <c r="W2004" i="1"/>
  <c r="X2004" i="1"/>
  <c r="V2005" i="1"/>
  <c r="W2005" i="1"/>
  <c r="X2005" i="1"/>
  <c r="V2006" i="1"/>
  <c r="W2006" i="1"/>
  <c r="X2006" i="1"/>
  <c r="V2007" i="1"/>
  <c r="W2007" i="1"/>
  <c r="X2007" i="1"/>
  <c r="V2008" i="1"/>
  <c r="W2008" i="1"/>
  <c r="X2008" i="1"/>
  <c r="V2009" i="1"/>
  <c r="W2009" i="1"/>
  <c r="X2009" i="1"/>
  <c r="V2010" i="1"/>
  <c r="W2010" i="1"/>
  <c r="X2010" i="1"/>
  <c r="V2011" i="1"/>
  <c r="W2011" i="1"/>
  <c r="X2011" i="1"/>
  <c r="V2012" i="1"/>
  <c r="W2012" i="1"/>
  <c r="X2012" i="1"/>
  <c r="V2013" i="1"/>
  <c r="W2013" i="1"/>
  <c r="X2013" i="1"/>
  <c r="V2014" i="1"/>
  <c r="W2014" i="1"/>
  <c r="X2014" i="1"/>
  <c r="V2015" i="1"/>
  <c r="W2015" i="1"/>
  <c r="X2015" i="1"/>
  <c r="V2016" i="1"/>
  <c r="W2016" i="1"/>
  <c r="X2016" i="1"/>
  <c r="V2017" i="1"/>
  <c r="W2017" i="1"/>
  <c r="X2017" i="1"/>
  <c r="V2018" i="1"/>
  <c r="W2018" i="1"/>
  <c r="X2018" i="1"/>
  <c r="V2019" i="1"/>
  <c r="W2019" i="1"/>
  <c r="X2019" i="1"/>
  <c r="V2020" i="1"/>
  <c r="W2020" i="1"/>
  <c r="X2020" i="1"/>
  <c r="V2021" i="1"/>
  <c r="W2021" i="1"/>
  <c r="X2021" i="1"/>
  <c r="V2022" i="1"/>
  <c r="W2022" i="1"/>
  <c r="X2022" i="1"/>
  <c r="V2023" i="1"/>
  <c r="W2023" i="1"/>
  <c r="X2023" i="1"/>
  <c r="V2024" i="1"/>
  <c r="W2024" i="1"/>
  <c r="X2024" i="1"/>
  <c r="V2025" i="1"/>
  <c r="W2025" i="1"/>
  <c r="X2025" i="1"/>
  <c r="V2026" i="1"/>
  <c r="W2026" i="1"/>
  <c r="X2026" i="1"/>
  <c r="V2027" i="1"/>
  <c r="W2027" i="1"/>
  <c r="X2027" i="1"/>
  <c r="V2028" i="1"/>
  <c r="W2028" i="1"/>
  <c r="X2028" i="1"/>
  <c r="V2029" i="1"/>
  <c r="W2029" i="1"/>
  <c r="X2029" i="1"/>
  <c r="V2030" i="1"/>
  <c r="W2030" i="1"/>
  <c r="X2030" i="1"/>
  <c r="V2031" i="1"/>
  <c r="W2031" i="1"/>
  <c r="X2031" i="1"/>
  <c r="V2032" i="1"/>
  <c r="W2032" i="1"/>
  <c r="X2032" i="1"/>
  <c r="V2033" i="1"/>
  <c r="W2033" i="1"/>
  <c r="X2033" i="1"/>
  <c r="V2034" i="1"/>
  <c r="W2034" i="1"/>
  <c r="X2034" i="1"/>
  <c r="V2035" i="1"/>
  <c r="W2035" i="1"/>
  <c r="X2035" i="1"/>
  <c r="V2036" i="1"/>
  <c r="W2036" i="1"/>
  <c r="X2036" i="1"/>
  <c r="V2037" i="1"/>
  <c r="W2037" i="1"/>
  <c r="X2037" i="1"/>
  <c r="V2038" i="1"/>
  <c r="W2038" i="1"/>
  <c r="X2038" i="1"/>
  <c r="V2039" i="1"/>
  <c r="W2039" i="1"/>
  <c r="X2039" i="1"/>
  <c r="V2040" i="1"/>
  <c r="W2040" i="1"/>
  <c r="X2040" i="1"/>
  <c r="V2041" i="1"/>
  <c r="W2041" i="1"/>
  <c r="X2041" i="1"/>
  <c r="V2042" i="1"/>
  <c r="W2042" i="1"/>
  <c r="X2042" i="1"/>
  <c r="V2043" i="1"/>
  <c r="W2043" i="1"/>
  <c r="X2043" i="1"/>
  <c r="V2044" i="1"/>
  <c r="W2044" i="1"/>
  <c r="X2044" i="1"/>
  <c r="V2045" i="1"/>
  <c r="W2045" i="1"/>
  <c r="X2045" i="1"/>
  <c r="V2046" i="1"/>
  <c r="W2046" i="1"/>
  <c r="X2046" i="1"/>
  <c r="V2047" i="1"/>
  <c r="W2047" i="1"/>
  <c r="X2047" i="1"/>
  <c r="V2048" i="1"/>
  <c r="W2048" i="1"/>
  <c r="X2048" i="1"/>
  <c r="V2049" i="1"/>
  <c r="W2049" i="1"/>
  <c r="X2049" i="1"/>
  <c r="V2050" i="1"/>
  <c r="W2050" i="1"/>
  <c r="X2050" i="1"/>
  <c r="V2051" i="1"/>
  <c r="W2051" i="1"/>
  <c r="X2051" i="1"/>
  <c r="V2052" i="1"/>
  <c r="W2052" i="1"/>
  <c r="X2052" i="1"/>
  <c r="V2053" i="1"/>
  <c r="W2053" i="1"/>
  <c r="X2053" i="1"/>
  <c r="V2054" i="1"/>
  <c r="W2054" i="1"/>
  <c r="X2054" i="1"/>
  <c r="V2055" i="1"/>
  <c r="W2055" i="1"/>
  <c r="X2055" i="1"/>
  <c r="V2056" i="1"/>
  <c r="W2056" i="1"/>
  <c r="X2056" i="1"/>
  <c r="V2057" i="1"/>
  <c r="W2057" i="1"/>
  <c r="X2057" i="1"/>
  <c r="V2058" i="1"/>
  <c r="W2058" i="1"/>
  <c r="X2058" i="1"/>
  <c r="V2059" i="1"/>
  <c r="W2059" i="1"/>
  <c r="X2059" i="1"/>
  <c r="V2060" i="1"/>
  <c r="W2060" i="1"/>
  <c r="X2060" i="1"/>
  <c r="V2061" i="1"/>
  <c r="W2061" i="1"/>
  <c r="X2061" i="1"/>
  <c r="V2062" i="1"/>
  <c r="W2062" i="1"/>
  <c r="X2062" i="1"/>
  <c r="V2063" i="1"/>
  <c r="W2063" i="1"/>
  <c r="X2063" i="1"/>
  <c r="V2064" i="1"/>
  <c r="W2064" i="1"/>
  <c r="X2064" i="1"/>
  <c r="V2065" i="1"/>
  <c r="W2065" i="1"/>
  <c r="X2065" i="1"/>
  <c r="V2066" i="1"/>
  <c r="W2066" i="1"/>
  <c r="X2066" i="1"/>
  <c r="V2067" i="1"/>
  <c r="W2067" i="1"/>
  <c r="X2067" i="1"/>
  <c r="V2068" i="1"/>
  <c r="W2068" i="1"/>
  <c r="X2068" i="1"/>
  <c r="V2069" i="1"/>
  <c r="W2069" i="1"/>
  <c r="X2069" i="1"/>
  <c r="V2070" i="1"/>
  <c r="W2070" i="1"/>
  <c r="X2070" i="1"/>
  <c r="V2071" i="1"/>
  <c r="W2071" i="1"/>
  <c r="X2071" i="1"/>
  <c r="V2072" i="1"/>
  <c r="W2072" i="1"/>
  <c r="X2072" i="1"/>
  <c r="V2073" i="1"/>
  <c r="W2073" i="1"/>
  <c r="X2073" i="1"/>
  <c r="V2074" i="1"/>
  <c r="W2074" i="1"/>
  <c r="X2074" i="1"/>
  <c r="V2075" i="1"/>
  <c r="W2075" i="1"/>
  <c r="X2075" i="1"/>
  <c r="V2076" i="1"/>
  <c r="W2076" i="1"/>
  <c r="X2076" i="1"/>
  <c r="V2077" i="1"/>
  <c r="W2077" i="1"/>
  <c r="X2077" i="1"/>
  <c r="V2078" i="1"/>
  <c r="W2078" i="1"/>
  <c r="X2078" i="1"/>
  <c r="V2079" i="1"/>
  <c r="W2079" i="1"/>
  <c r="X2079" i="1"/>
  <c r="V2080" i="1"/>
  <c r="W2080" i="1"/>
  <c r="X2080" i="1"/>
  <c r="V2081" i="1"/>
  <c r="W2081" i="1"/>
  <c r="X2081" i="1"/>
  <c r="V2082" i="1"/>
  <c r="W2082" i="1"/>
  <c r="X2082" i="1"/>
  <c r="V2083" i="1"/>
  <c r="W2083" i="1"/>
  <c r="X2083" i="1"/>
  <c r="V2084" i="1"/>
  <c r="W2084" i="1"/>
  <c r="X2084" i="1"/>
  <c r="V2085" i="1"/>
  <c r="W2085" i="1"/>
  <c r="X2085" i="1"/>
  <c r="V2086" i="1"/>
  <c r="W2086" i="1"/>
  <c r="X2086" i="1"/>
  <c r="V2087" i="1"/>
  <c r="W2087" i="1"/>
  <c r="X2087" i="1"/>
  <c r="V2088" i="1"/>
  <c r="W2088" i="1"/>
  <c r="X2088" i="1"/>
  <c r="V2089" i="1"/>
  <c r="W2089" i="1"/>
  <c r="X2089" i="1"/>
  <c r="V2090" i="1"/>
  <c r="W2090" i="1"/>
  <c r="X2090" i="1"/>
  <c r="V2091" i="1"/>
  <c r="W2091" i="1"/>
  <c r="X2091" i="1"/>
  <c r="V2092" i="1"/>
  <c r="W2092" i="1"/>
  <c r="X2092" i="1"/>
  <c r="V2093" i="1"/>
  <c r="W2093" i="1"/>
  <c r="X2093" i="1"/>
  <c r="V2094" i="1"/>
  <c r="W2094" i="1"/>
  <c r="X2094" i="1"/>
  <c r="V2095" i="1"/>
  <c r="W2095" i="1"/>
  <c r="X2095" i="1"/>
  <c r="V2096" i="1"/>
  <c r="W2096" i="1"/>
  <c r="X2096" i="1"/>
  <c r="V2097" i="1"/>
  <c r="W2097" i="1"/>
  <c r="X2097" i="1"/>
  <c r="V2098" i="1"/>
  <c r="W2098" i="1"/>
  <c r="X2098" i="1"/>
  <c r="V2099" i="1"/>
  <c r="W2099" i="1"/>
  <c r="X2099" i="1"/>
  <c r="V2100" i="1"/>
  <c r="W2100" i="1"/>
  <c r="X2100" i="1"/>
  <c r="V2101" i="1"/>
  <c r="W2101" i="1"/>
  <c r="X2101" i="1"/>
  <c r="V2102" i="1"/>
  <c r="W2102" i="1"/>
  <c r="X2102" i="1"/>
  <c r="V2103" i="1"/>
  <c r="W2103" i="1"/>
  <c r="X2103" i="1"/>
  <c r="V2104" i="1"/>
  <c r="W2104" i="1"/>
  <c r="X2104" i="1"/>
  <c r="V2105" i="1"/>
  <c r="W2105" i="1"/>
  <c r="X2105" i="1"/>
  <c r="V2106" i="1"/>
  <c r="W2106" i="1"/>
  <c r="X2106" i="1"/>
  <c r="V2107" i="1"/>
  <c r="W2107" i="1"/>
  <c r="X2107" i="1"/>
  <c r="V2108" i="1"/>
  <c r="W2108" i="1"/>
  <c r="X2108" i="1"/>
  <c r="V2109" i="1"/>
  <c r="W2109" i="1"/>
  <c r="X2109" i="1"/>
  <c r="V2110" i="1"/>
  <c r="W2110" i="1"/>
  <c r="X2110" i="1"/>
  <c r="V2111" i="1"/>
  <c r="W2111" i="1"/>
  <c r="X2111" i="1"/>
  <c r="V2112" i="1"/>
  <c r="W2112" i="1"/>
  <c r="X2112" i="1"/>
  <c r="V2113" i="1"/>
  <c r="W2113" i="1"/>
  <c r="X2113" i="1"/>
  <c r="V2114" i="1"/>
  <c r="W2114" i="1"/>
  <c r="X2114" i="1"/>
  <c r="V2115" i="1"/>
  <c r="W2115" i="1"/>
  <c r="X2115" i="1"/>
  <c r="V2116" i="1"/>
  <c r="W2116" i="1"/>
  <c r="X2116" i="1"/>
  <c r="V2117" i="1"/>
  <c r="W2117" i="1"/>
  <c r="X2117" i="1"/>
  <c r="V2118" i="1"/>
  <c r="W2118" i="1"/>
  <c r="X2118" i="1"/>
  <c r="V2119" i="1"/>
  <c r="W2119" i="1"/>
  <c r="X2119" i="1"/>
  <c r="V2120" i="1"/>
  <c r="W2120" i="1"/>
  <c r="X2120" i="1"/>
  <c r="V2121" i="1"/>
  <c r="W2121" i="1"/>
  <c r="X2121" i="1"/>
  <c r="V2122" i="1"/>
  <c r="W2122" i="1"/>
  <c r="X2122" i="1"/>
  <c r="V2123" i="1"/>
  <c r="W2123" i="1"/>
  <c r="X2123" i="1"/>
  <c r="V2124" i="1"/>
  <c r="W2124" i="1"/>
  <c r="X2124" i="1"/>
  <c r="V2125" i="1"/>
  <c r="W2125" i="1"/>
  <c r="X2125" i="1"/>
  <c r="V2126" i="1"/>
  <c r="W2126" i="1"/>
  <c r="X2126" i="1"/>
  <c r="V2127" i="1"/>
  <c r="W2127" i="1"/>
  <c r="X2127" i="1"/>
  <c r="V2128" i="1"/>
  <c r="W2128" i="1"/>
  <c r="X2128" i="1"/>
  <c r="V2129" i="1"/>
  <c r="W2129" i="1"/>
  <c r="X2129" i="1"/>
  <c r="V2130" i="1"/>
  <c r="W2130" i="1"/>
  <c r="X2130" i="1"/>
  <c r="V2131" i="1"/>
  <c r="W2131" i="1"/>
  <c r="X2131" i="1"/>
  <c r="V2132" i="1"/>
  <c r="W2132" i="1"/>
  <c r="X2132" i="1"/>
  <c r="V2133" i="1"/>
  <c r="W2133" i="1"/>
  <c r="X2133" i="1"/>
  <c r="V2134" i="1"/>
  <c r="W2134" i="1"/>
  <c r="X2134" i="1"/>
  <c r="V2135" i="1"/>
  <c r="W2135" i="1"/>
  <c r="X2135" i="1"/>
  <c r="V2136" i="1"/>
  <c r="W2136" i="1"/>
  <c r="X2136" i="1"/>
  <c r="V2137" i="1"/>
  <c r="W2137" i="1"/>
  <c r="X2137" i="1"/>
  <c r="V2138" i="1"/>
  <c r="W2138" i="1"/>
  <c r="X2138" i="1"/>
  <c r="V2139" i="1"/>
  <c r="W2139" i="1"/>
  <c r="X2139" i="1"/>
  <c r="V2140" i="1"/>
  <c r="W2140" i="1"/>
  <c r="X2140" i="1"/>
  <c r="V2141" i="1"/>
  <c r="W2141" i="1"/>
  <c r="X2141" i="1"/>
  <c r="V2142" i="1"/>
  <c r="W2142" i="1"/>
  <c r="X2142" i="1"/>
  <c r="V2143" i="1"/>
  <c r="W2143" i="1"/>
  <c r="X2143" i="1"/>
  <c r="V2144" i="1"/>
  <c r="W2144" i="1"/>
  <c r="X2144" i="1"/>
  <c r="V2145" i="1"/>
  <c r="W2145" i="1"/>
  <c r="X2145" i="1"/>
  <c r="V2146" i="1"/>
  <c r="W2146" i="1"/>
  <c r="X2146" i="1"/>
  <c r="V2147" i="1"/>
  <c r="W2147" i="1"/>
  <c r="X2147" i="1"/>
  <c r="V2148" i="1"/>
  <c r="W2148" i="1"/>
  <c r="X2148" i="1"/>
  <c r="V2149" i="1"/>
  <c r="W2149" i="1"/>
  <c r="X2149" i="1"/>
  <c r="V2150" i="1"/>
  <c r="W2150" i="1"/>
  <c r="X2150" i="1"/>
  <c r="V2151" i="1"/>
  <c r="W2151" i="1"/>
  <c r="X2151" i="1"/>
  <c r="V2152" i="1"/>
  <c r="W2152" i="1"/>
  <c r="X2152" i="1"/>
  <c r="V2153" i="1"/>
  <c r="W2153" i="1"/>
  <c r="X2153" i="1"/>
  <c r="V2154" i="1"/>
  <c r="W2154" i="1"/>
  <c r="X2154" i="1"/>
  <c r="V2155" i="1"/>
  <c r="W2155" i="1"/>
  <c r="X2155" i="1"/>
  <c r="V2156" i="1"/>
  <c r="W2156" i="1"/>
  <c r="X2156" i="1"/>
  <c r="V2157" i="1"/>
  <c r="W2157" i="1"/>
  <c r="X2157" i="1"/>
  <c r="V2158" i="1"/>
  <c r="W2158" i="1"/>
  <c r="X2158" i="1"/>
  <c r="V2159" i="1"/>
  <c r="W2159" i="1"/>
  <c r="X2159" i="1"/>
  <c r="V2160" i="1"/>
  <c r="W2160" i="1"/>
  <c r="X2160" i="1"/>
  <c r="V2161" i="1"/>
  <c r="W2161" i="1"/>
  <c r="X2161" i="1"/>
  <c r="V2162" i="1"/>
  <c r="W2162" i="1"/>
  <c r="X2162" i="1"/>
  <c r="V2163" i="1"/>
  <c r="W2163" i="1"/>
  <c r="X2163" i="1"/>
  <c r="V2164" i="1"/>
  <c r="W2164" i="1"/>
  <c r="X2164" i="1"/>
  <c r="V2165" i="1"/>
  <c r="W2165" i="1"/>
  <c r="X2165" i="1"/>
  <c r="V2166" i="1"/>
  <c r="W2166" i="1"/>
  <c r="X2166" i="1"/>
  <c r="V2167" i="1"/>
  <c r="W2167" i="1"/>
  <c r="X2167" i="1"/>
  <c r="V2168" i="1"/>
  <c r="W2168" i="1"/>
  <c r="X2168" i="1"/>
  <c r="V2169" i="1"/>
  <c r="W2169" i="1"/>
  <c r="X2169" i="1"/>
  <c r="V2170" i="1"/>
  <c r="W2170" i="1"/>
  <c r="X2170" i="1"/>
  <c r="V2171" i="1"/>
  <c r="W2171" i="1"/>
  <c r="X2171" i="1"/>
  <c r="V2172" i="1"/>
  <c r="W2172" i="1"/>
  <c r="X2172" i="1"/>
  <c r="V2173" i="1"/>
  <c r="W2173" i="1"/>
  <c r="X2173" i="1"/>
  <c r="V2174" i="1"/>
  <c r="W2174" i="1"/>
  <c r="X2174" i="1"/>
  <c r="V2175" i="1"/>
  <c r="W2175" i="1"/>
  <c r="X2175" i="1"/>
  <c r="V2176" i="1"/>
  <c r="W2176" i="1"/>
  <c r="X2176" i="1"/>
  <c r="V2177" i="1"/>
  <c r="W2177" i="1"/>
  <c r="X2177" i="1"/>
  <c r="V2178" i="1"/>
  <c r="W2178" i="1"/>
  <c r="X2178" i="1"/>
  <c r="V2179" i="1"/>
  <c r="W2179" i="1"/>
  <c r="X2179" i="1"/>
  <c r="V2180" i="1"/>
  <c r="W2180" i="1"/>
  <c r="X2180" i="1"/>
  <c r="V2181" i="1"/>
  <c r="W2181" i="1"/>
  <c r="X2181" i="1"/>
  <c r="V2182" i="1"/>
  <c r="W2182" i="1"/>
  <c r="X2182" i="1"/>
  <c r="V2183" i="1"/>
  <c r="W2183" i="1"/>
  <c r="X2183" i="1"/>
  <c r="V2184" i="1"/>
  <c r="W2184" i="1"/>
  <c r="X2184" i="1"/>
  <c r="V2185" i="1"/>
  <c r="W2185" i="1"/>
  <c r="X2185" i="1"/>
  <c r="V2186" i="1"/>
  <c r="W2186" i="1"/>
  <c r="X2186" i="1"/>
  <c r="V2187" i="1"/>
  <c r="W2187" i="1"/>
  <c r="X2187" i="1"/>
  <c r="V2188" i="1"/>
  <c r="W2188" i="1"/>
  <c r="X2188" i="1"/>
  <c r="V2189" i="1"/>
  <c r="W2189" i="1"/>
  <c r="X2189" i="1"/>
  <c r="V2190" i="1"/>
  <c r="W2190" i="1"/>
  <c r="X2190" i="1"/>
  <c r="V2191" i="1"/>
  <c r="W2191" i="1"/>
  <c r="X2191" i="1"/>
  <c r="V2192" i="1"/>
  <c r="W2192" i="1"/>
  <c r="X2192" i="1"/>
  <c r="V2193" i="1"/>
  <c r="W2193" i="1"/>
  <c r="X2193" i="1"/>
  <c r="V2194" i="1"/>
  <c r="W2194" i="1"/>
  <c r="X2194" i="1"/>
  <c r="V2195" i="1"/>
  <c r="W2195" i="1"/>
  <c r="X2195" i="1"/>
  <c r="V2196" i="1"/>
  <c r="W2196" i="1"/>
  <c r="X2196" i="1"/>
  <c r="V2197" i="1"/>
  <c r="W2197" i="1"/>
  <c r="X2197" i="1"/>
  <c r="V2198" i="1"/>
  <c r="W2198" i="1"/>
  <c r="X2198" i="1"/>
  <c r="V2199" i="1"/>
  <c r="W2199" i="1"/>
  <c r="X2199" i="1"/>
  <c r="V2200" i="1"/>
  <c r="W2200" i="1"/>
  <c r="X2200" i="1"/>
  <c r="V2201" i="1"/>
  <c r="W2201" i="1"/>
  <c r="X2201" i="1"/>
  <c r="V2202" i="1"/>
  <c r="W2202" i="1"/>
  <c r="X2202" i="1"/>
  <c r="V2203" i="1"/>
  <c r="W2203" i="1"/>
  <c r="X2203" i="1"/>
  <c r="V2204" i="1"/>
  <c r="W2204" i="1"/>
  <c r="X2204" i="1"/>
  <c r="V2205" i="1"/>
  <c r="W2205" i="1"/>
  <c r="X2205" i="1"/>
  <c r="V2206" i="1"/>
  <c r="W2206" i="1"/>
  <c r="X2206" i="1"/>
  <c r="V2207" i="1"/>
  <c r="W2207" i="1"/>
  <c r="X2207" i="1"/>
  <c r="V2208" i="1"/>
  <c r="W2208" i="1"/>
  <c r="X2208" i="1"/>
  <c r="V2209" i="1"/>
  <c r="W2209" i="1"/>
  <c r="X2209" i="1"/>
  <c r="V2210" i="1"/>
  <c r="W2210" i="1"/>
  <c r="X2210" i="1"/>
  <c r="V2211" i="1"/>
  <c r="W2211" i="1"/>
  <c r="X2211" i="1"/>
  <c r="V2212" i="1"/>
  <c r="W2212" i="1"/>
  <c r="X2212" i="1"/>
  <c r="V2213" i="1"/>
  <c r="W2213" i="1"/>
  <c r="X2213" i="1"/>
  <c r="V2214" i="1"/>
  <c r="W2214" i="1"/>
  <c r="X2214" i="1"/>
  <c r="V2215" i="1"/>
  <c r="W2215" i="1"/>
  <c r="X2215" i="1"/>
  <c r="V2216" i="1"/>
  <c r="W2216" i="1"/>
  <c r="X2216" i="1"/>
  <c r="V2217" i="1"/>
  <c r="W2217" i="1"/>
  <c r="X2217" i="1"/>
  <c r="V2218" i="1"/>
  <c r="W2218" i="1"/>
  <c r="X2218" i="1"/>
  <c r="V2219" i="1"/>
  <c r="W2219" i="1"/>
  <c r="X2219" i="1"/>
  <c r="V2220" i="1"/>
  <c r="W2220" i="1"/>
  <c r="X2220" i="1"/>
  <c r="V2221" i="1"/>
  <c r="W2221" i="1"/>
  <c r="X2221" i="1"/>
  <c r="V2222" i="1"/>
  <c r="W2222" i="1"/>
  <c r="X2222" i="1"/>
  <c r="V2223" i="1"/>
  <c r="W2223" i="1"/>
  <c r="X2223" i="1"/>
  <c r="V2224" i="1"/>
  <c r="W2224" i="1"/>
  <c r="X2224" i="1"/>
  <c r="V2225" i="1"/>
  <c r="W2225" i="1"/>
  <c r="X2225" i="1"/>
  <c r="V2226" i="1"/>
  <c r="W2226" i="1"/>
  <c r="X2226" i="1"/>
  <c r="V2227" i="1"/>
  <c r="W2227" i="1"/>
  <c r="X2227" i="1"/>
  <c r="V2228" i="1"/>
  <c r="W2228" i="1"/>
  <c r="X2228" i="1"/>
  <c r="V2229" i="1"/>
  <c r="W2229" i="1"/>
  <c r="X2229" i="1"/>
  <c r="V2230" i="1"/>
  <c r="W2230" i="1"/>
  <c r="X2230" i="1"/>
  <c r="V2231" i="1"/>
  <c r="W2231" i="1"/>
  <c r="X2231" i="1"/>
  <c r="V2232" i="1"/>
  <c r="W2232" i="1"/>
  <c r="X2232" i="1"/>
  <c r="V2233" i="1"/>
  <c r="W2233" i="1"/>
  <c r="X2233" i="1"/>
  <c r="V2234" i="1"/>
  <c r="W2234" i="1"/>
  <c r="X2234" i="1"/>
  <c r="V2235" i="1"/>
  <c r="W2235" i="1"/>
  <c r="X2235" i="1"/>
  <c r="V2236" i="1"/>
  <c r="W2236" i="1"/>
  <c r="X2236" i="1"/>
  <c r="V2237" i="1"/>
  <c r="W2237" i="1"/>
  <c r="X2237" i="1"/>
  <c r="V2238" i="1"/>
  <c r="W2238" i="1"/>
  <c r="X2238" i="1"/>
  <c r="V2239" i="1"/>
  <c r="W2239" i="1"/>
  <c r="X2239" i="1"/>
  <c r="V2240" i="1"/>
  <c r="W2240" i="1"/>
  <c r="X2240" i="1"/>
  <c r="V2241" i="1"/>
  <c r="W2241" i="1"/>
  <c r="X2241" i="1"/>
  <c r="V2242" i="1"/>
  <c r="W2242" i="1"/>
  <c r="X2242" i="1"/>
  <c r="V2243" i="1"/>
  <c r="W2243" i="1"/>
  <c r="X2243" i="1"/>
  <c r="V2244" i="1"/>
  <c r="W2244" i="1"/>
  <c r="X2244" i="1"/>
  <c r="V2245" i="1"/>
  <c r="W2245" i="1"/>
  <c r="X2245" i="1"/>
  <c r="V2246" i="1"/>
  <c r="W2246" i="1"/>
  <c r="X2246" i="1"/>
  <c r="V2247" i="1"/>
  <c r="W2247" i="1"/>
  <c r="X2247" i="1"/>
  <c r="V2248" i="1"/>
  <c r="W2248" i="1"/>
  <c r="X2248" i="1"/>
  <c r="V2249" i="1"/>
  <c r="W2249" i="1"/>
  <c r="X2249" i="1"/>
  <c r="V2250" i="1"/>
  <c r="W2250" i="1"/>
  <c r="X2250" i="1"/>
  <c r="V2251" i="1"/>
  <c r="W2251" i="1"/>
  <c r="X2251" i="1"/>
  <c r="V2252" i="1"/>
  <c r="W2252" i="1"/>
  <c r="X2252" i="1"/>
  <c r="V2253" i="1"/>
  <c r="W2253" i="1"/>
  <c r="X2253" i="1"/>
  <c r="V2254" i="1"/>
  <c r="W2254" i="1"/>
  <c r="X2254" i="1"/>
  <c r="V2255" i="1"/>
  <c r="W2255" i="1"/>
  <c r="X2255" i="1"/>
  <c r="V2256" i="1"/>
  <c r="W2256" i="1"/>
  <c r="X2256" i="1"/>
  <c r="V2257" i="1"/>
  <c r="W2257" i="1"/>
  <c r="X2257" i="1"/>
  <c r="V2258" i="1"/>
  <c r="W2258" i="1"/>
  <c r="X2258" i="1"/>
  <c r="V2259" i="1"/>
  <c r="W2259" i="1"/>
  <c r="X2259" i="1"/>
  <c r="V2260" i="1"/>
  <c r="W2260" i="1"/>
  <c r="X2260" i="1"/>
  <c r="V2261" i="1"/>
  <c r="W2261" i="1"/>
  <c r="X2261" i="1"/>
  <c r="V2262" i="1"/>
  <c r="W2262" i="1"/>
  <c r="X2262" i="1"/>
  <c r="V2263" i="1"/>
  <c r="W2263" i="1"/>
  <c r="X2263" i="1"/>
  <c r="V2264" i="1"/>
  <c r="W2264" i="1"/>
  <c r="X2264" i="1"/>
  <c r="V2265" i="1"/>
  <c r="W2265" i="1"/>
  <c r="X2265" i="1"/>
  <c r="V2266" i="1"/>
  <c r="W2266" i="1"/>
  <c r="X2266" i="1"/>
  <c r="V2267" i="1"/>
  <c r="W2267" i="1"/>
  <c r="X2267" i="1"/>
  <c r="V2268" i="1"/>
  <c r="W2268" i="1"/>
  <c r="X2268" i="1"/>
  <c r="V2269" i="1"/>
  <c r="W2269" i="1"/>
  <c r="X2269" i="1"/>
  <c r="V2270" i="1"/>
  <c r="W2270" i="1"/>
  <c r="X2270" i="1"/>
  <c r="V2271" i="1"/>
  <c r="W2271" i="1"/>
  <c r="X2271" i="1"/>
  <c r="V2272" i="1"/>
  <c r="W2272" i="1"/>
  <c r="X2272" i="1"/>
  <c r="V2273" i="1"/>
  <c r="W2273" i="1"/>
  <c r="X2273" i="1"/>
  <c r="V2274" i="1"/>
  <c r="W2274" i="1"/>
  <c r="X2274" i="1"/>
  <c r="V2275" i="1"/>
  <c r="W2275" i="1"/>
  <c r="X2275" i="1"/>
  <c r="V2276" i="1"/>
  <c r="W2276" i="1"/>
  <c r="X2276" i="1"/>
  <c r="V2277" i="1"/>
  <c r="W2277" i="1"/>
  <c r="X2277" i="1"/>
  <c r="V2278" i="1"/>
  <c r="W2278" i="1"/>
  <c r="X2278" i="1"/>
  <c r="V2279" i="1"/>
  <c r="W2279" i="1"/>
  <c r="X2279" i="1"/>
  <c r="V2280" i="1"/>
  <c r="W2280" i="1"/>
  <c r="X2280" i="1"/>
  <c r="V2281" i="1"/>
  <c r="W2281" i="1"/>
  <c r="X2281" i="1"/>
  <c r="V2282" i="1"/>
  <c r="W2282" i="1"/>
  <c r="X2282" i="1"/>
  <c r="V2283" i="1"/>
  <c r="W2283" i="1"/>
  <c r="X2283" i="1"/>
  <c r="V2284" i="1"/>
  <c r="W2284" i="1"/>
  <c r="X2284" i="1"/>
  <c r="V2285" i="1"/>
  <c r="W2285" i="1"/>
  <c r="X2285" i="1"/>
  <c r="V2286" i="1"/>
  <c r="W2286" i="1"/>
  <c r="X2286" i="1"/>
  <c r="V2287" i="1"/>
  <c r="W2287" i="1"/>
  <c r="X2287" i="1"/>
  <c r="V2288" i="1"/>
  <c r="W2288" i="1"/>
  <c r="X2288" i="1"/>
  <c r="V2289" i="1"/>
  <c r="W2289" i="1"/>
  <c r="X2289" i="1"/>
  <c r="V2290" i="1"/>
  <c r="W2290" i="1"/>
  <c r="X2290" i="1"/>
  <c r="V2291" i="1"/>
  <c r="W2291" i="1"/>
  <c r="X2291" i="1"/>
  <c r="V2292" i="1"/>
  <c r="W2292" i="1"/>
  <c r="X2292" i="1"/>
  <c r="V2293" i="1"/>
  <c r="W2293" i="1"/>
  <c r="X2293" i="1"/>
  <c r="V2294" i="1"/>
  <c r="W2294" i="1"/>
  <c r="X2294" i="1"/>
  <c r="V2295" i="1"/>
  <c r="W2295" i="1"/>
  <c r="X2295" i="1"/>
  <c r="V2296" i="1"/>
  <c r="W2296" i="1"/>
  <c r="X2296" i="1"/>
  <c r="V2297" i="1"/>
  <c r="W2297" i="1"/>
  <c r="X2297" i="1"/>
  <c r="V2298" i="1"/>
  <c r="W2298" i="1"/>
  <c r="X2298" i="1"/>
  <c r="V2299" i="1"/>
  <c r="W2299" i="1"/>
  <c r="X2299" i="1"/>
  <c r="V2300" i="1"/>
  <c r="W2300" i="1"/>
  <c r="X2300" i="1"/>
  <c r="V2301" i="1"/>
  <c r="W2301" i="1"/>
  <c r="X2301" i="1"/>
  <c r="V2302" i="1"/>
  <c r="W2302" i="1"/>
  <c r="X2302" i="1"/>
  <c r="V2303" i="1"/>
  <c r="W2303" i="1"/>
  <c r="X2303" i="1"/>
  <c r="V2304" i="1"/>
  <c r="W2304" i="1"/>
  <c r="X2304" i="1"/>
  <c r="V2305" i="1"/>
  <c r="W2305" i="1"/>
  <c r="X2305" i="1"/>
  <c r="V2306" i="1"/>
  <c r="W2306" i="1"/>
  <c r="X2306" i="1"/>
  <c r="V2307" i="1"/>
  <c r="W2307" i="1"/>
  <c r="X2307" i="1"/>
  <c r="V2308" i="1"/>
  <c r="W2308" i="1"/>
  <c r="X2308" i="1"/>
  <c r="V2309" i="1"/>
  <c r="W2309" i="1"/>
  <c r="X2309" i="1"/>
  <c r="V2310" i="1"/>
  <c r="W2310" i="1"/>
  <c r="X2310" i="1"/>
  <c r="V2311" i="1"/>
  <c r="W2311" i="1"/>
  <c r="X2311" i="1"/>
  <c r="V2312" i="1"/>
  <c r="W2312" i="1"/>
  <c r="X2312" i="1"/>
  <c r="V2313" i="1"/>
  <c r="W2313" i="1"/>
  <c r="X2313" i="1"/>
  <c r="V2314" i="1"/>
  <c r="W2314" i="1"/>
  <c r="X2314" i="1"/>
  <c r="V2315" i="1"/>
  <c r="W2315" i="1"/>
  <c r="X2315" i="1"/>
  <c r="V2316" i="1"/>
  <c r="W2316" i="1"/>
  <c r="X2316" i="1"/>
  <c r="V2317" i="1"/>
  <c r="W2317" i="1"/>
  <c r="X2317" i="1"/>
  <c r="V2318" i="1"/>
  <c r="W2318" i="1"/>
  <c r="X2318" i="1"/>
  <c r="V2319" i="1"/>
  <c r="W2319" i="1"/>
  <c r="X2319" i="1"/>
  <c r="V2320" i="1"/>
  <c r="W2320" i="1"/>
  <c r="X2320" i="1"/>
  <c r="V2321" i="1"/>
  <c r="W2321" i="1"/>
  <c r="X2321" i="1"/>
  <c r="V2322" i="1"/>
  <c r="W2322" i="1"/>
  <c r="X2322" i="1"/>
  <c r="V2323" i="1"/>
  <c r="W2323" i="1"/>
  <c r="X2323" i="1"/>
  <c r="V2324" i="1"/>
  <c r="W2324" i="1"/>
  <c r="X2324" i="1"/>
  <c r="V2325" i="1"/>
  <c r="W2325" i="1"/>
  <c r="X2325" i="1"/>
  <c r="V2326" i="1"/>
  <c r="W2326" i="1"/>
  <c r="X2326" i="1"/>
  <c r="V2327" i="1"/>
  <c r="W2327" i="1"/>
  <c r="X2327" i="1"/>
  <c r="V2328" i="1"/>
  <c r="W2328" i="1"/>
  <c r="X2328" i="1"/>
  <c r="V2329" i="1"/>
  <c r="W2329" i="1"/>
  <c r="X2329" i="1"/>
  <c r="V2330" i="1"/>
  <c r="W2330" i="1"/>
  <c r="X2330" i="1"/>
  <c r="V2331" i="1"/>
  <c r="W2331" i="1"/>
  <c r="X2331" i="1"/>
  <c r="V2332" i="1"/>
  <c r="W2332" i="1"/>
  <c r="X2332" i="1"/>
  <c r="V2333" i="1"/>
  <c r="W2333" i="1"/>
  <c r="X2333" i="1"/>
  <c r="V2334" i="1"/>
  <c r="W2334" i="1"/>
  <c r="X2334" i="1"/>
  <c r="V2335" i="1"/>
  <c r="W2335" i="1"/>
  <c r="X2335" i="1"/>
  <c r="V2336" i="1"/>
  <c r="W2336" i="1"/>
  <c r="X2336" i="1"/>
  <c r="V2337" i="1"/>
  <c r="W2337" i="1"/>
  <c r="X2337" i="1"/>
  <c r="V2338" i="1"/>
  <c r="W2338" i="1"/>
  <c r="X2338" i="1"/>
  <c r="V2339" i="1"/>
  <c r="W2339" i="1"/>
  <c r="X2339" i="1"/>
  <c r="V2340" i="1"/>
  <c r="W2340" i="1"/>
  <c r="X2340" i="1"/>
  <c r="V2341" i="1"/>
  <c r="W2341" i="1"/>
  <c r="X2341" i="1"/>
  <c r="V2342" i="1"/>
  <c r="W2342" i="1"/>
  <c r="X2342" i="1"/>
  <c r="V2343" i="1"/>
  <c r="W2343" i="1"/>
  <c r="X2343" i="1"/>
  <c r="V2344" i="1"/>
  <c r="W2344" i="1"/>
  <c r="X2344" i="1"/>
  <c r="V2345" i="1"/>
  <c r="W2345" i="1"/>
  <c r="X2345" i="1"/>
  <c r="V2346" i="1"/>
  <c r="W2346" i="1"/>
  <c r="X2346" i="1"/>
  <c r="V2347" i="1"/>
  <c r="W2347" i="1"/>
  <c r="X2347" i="1"/>
  <c r="V2348" i="1"/>
  <c r="W2348" i="1"/>
  <c r="X2348" i="1"/>
  <c r="V2349" i="1"/>
  <c r="W2349" i="1"/>
  <c r="X2349" i="1"/>
  <c r="V2350" i="1"/>
  <c r="W2350" i="1"/>
  <c r="X2350" i="1"/>
  <c r="V2351" i="1"/>
  <c r="W2351" i="1"/>
  <c r="X2351" i="1"/>
  <c r="V2352" i="1"/>
  <c r="W2352" i="1"/>
  <c r="X2352" i="1"/>
  <c r="V2353" i="1"/>
  <c r="W2353" i="1"/>
  <c r="X2353" i="1"/>
  <c r="V2354" i="1"/>
  <c r="W2354" i="1"/>
  <c r="X2354" i="1"/>
  <c r="V2355" i="1"/>
  <c r="W2355" i="1"/>
  <c r="X2355" i="1"/>
  <c r="V2356" i="1"/>
  <c r="W2356" i="1"/>
  <c r="X2356" i="1"/>
  <c r="V2357" i="1"/>
  <c r="W2357" i="1"/>
  <c r="X2357" i="1"/>
  <c r="V2358" i="1"/>
  <c r="W2358" i="1"/>
  <c r="X2358" i="1"/>
  <c r="V2359" i="1"/>
  <c r="W2359" i="1"/>
  <c r="X2359" i="1"/>
  <c r="V2360" i="1"/>
  <c r="W2360" i="1"/>
  <c r="X2360" i="1"/>
  <c r="V2361" i="1"/>
  <c r="W2361" i="1"/>
  <c r="X2361" i="1"/>
  <c r="V2362" i="1"/>
  <c r="W2362" i="1"/>
  <c r="X2362" i="1"/>
  <c r="V2363" i="1"/>
  <c r="W2363" i="1"/>
  <c r="X2363" i="1"/>
  <c r="V2364" i="1"/>
  <c r="W2364" i="1"/>
  <c r="X2364" i="1"/>
  <c r="V2365" i="1"/>
  <c r="W2365" i="1"/>
  <c r="X2365" i="1"/>
  <c r="V2366" i="1"/>
  <c r="W2366" i="1"/>
  <c r="X2366" i="1"/>
  <c r="V2367" i="1"/>
  <c r="W2367" i="1"/>
  <c r="X2367" i="1"/>
  <c r="V2368" i="1"/>
  <c r="W2368" i="1"/>
  <c r="X2368" i="1"/>
  <c r="V2369" i="1"/>
  <c r="W2369" i="1"/>
  <c r="X2369" i="1"/>
  <c r="V2370" i="1"/>
  <c r="W2370" i="1"/>
  <c r="X2370" i="1"/>
  <c r="V2371" i="1"/>
  <c r="W2371" i="1"/>
  <c r="X2371" i="1"/>
  <c r="V2372" i="1"/>
  <c r="W2372" i="1"/>
  <c r="X2372" i="1"/>
  <c r="V2373" i="1"/>
  <c r="W2373" i="1"/>
  <c r="X2373" i="1"/>
  <c r="V2374" i="1"/>
  <c r="W2374" i="1"/>
  <c r="X2374" i="1"/>
  <c r="V2375" i="1"/>
  <c r="W2375" i="1"/>
  <c r="X2375" i="1"/>
  <c r="V2376" i="1"/>
  <c r="W2376" i="1"/>
  <c r="X2376" i="1"/>
  <c r="V2377" i="1"/>
  <c r="W2377" i="1"/>
  <c r="X2377" i="1"/>
  <c r="V2378" i="1"/>
  <c r="W2378" i="1"/>
  <c r="X2378" i="1"/>
  <c r="V2379" i="1"/>
  <c r="W2379" i="1"/>
  <c r="X2379" i="1"/>
  <c r="V2380" i="1"/>
  <c r="W2380" i="1"/>
  <c r="X2380" i="1"/>
  <c r="V2381" i="1"/>
  <c r="W2381" i="1"/>
  <c r="X2381" i="1"/>
  <c r="V2382" i="1"/>
  <c r="W2382" i="1"/>
  <c r="X2382" i="1"/>
  <c r="V2383" i="1"/>
  <c r="W2383" i="1"/>
  <c r="X2383" i="1"/>
  <c r="V2384" i="1"/>
  <c r="W2384" i="1"/>
  <c r="X2384" i="1"/>
  <c r="V2385" i="1"/>
  <c r="W2385" i="1"/>
  <c r="X2385" i="1"/>
  <c r="V2386" i="1"/>
  <c r="W2386" i="1"/>
  <c r="X2386" i="1"/>
  <c r="V2387" i="1"/>
  <c r="W2387" i="1"/>
  <c r="X2387" i="1"/>
  <c r="V2388" i="1"/>
  <c r="W2388" i="1"/>
  <c r="X2388" i="1"/>
  <c r="V2389" i="1"/>
  <c r="W2389" i="1"/>
  <c r="X2389" i="1"/>
  <c r="V2390" i="1"/>
  <c r="W2390" i="1"/>
  <c r="X2390" i="1"/>
  <c r="V2391" i="1"/>
  <c r="W2391" i="1"/>
  <c r="X2391" i="1"/>
  <c r="V2392" i="1"/>
  <c r="W2392" i="1"/>
  <c r="X2392" i="1"/>
  <c r="V2393" i="1"/>
  <c r="W2393" i="1"/>
  <c r="X2393" i="1"/>
  <c r="V2394" i="1"/>
  <c r="W2394" i="1"/>
  <c r="X2394" i="1"/>
  <c r="V2395" i="1"/>
  <c r="W2395" i="1"/>
  <c r="X2395" i="1"/>
  <c r="V2396" i="1"/>
  <c r="W2396" i="1"/>
  <c r="X2396" i="1"/>
  <c r="V2397" i="1"/>
  <c r="W2397" i="1"/>
  <c r="X2397" i="1"/>
  <c r="V2398" i="1"/>
  <c r="W2398" i="1"/>
  <c r="X2398" i="1"/>
  <c r="V2399" i="1"/>
  <c r="W2399" i="1"/>
  <c r="X2399" i="1"/>
  <c r="V2400" i="1"/>
  <c r="W2400" i="1"/>
  <c r="X2400" i="1"/>
  <c r="V2401" i="1"/>
  <c r="W2401" i="1"/>
  <c r="X2401" i="1"/>
  <c r="V2402" i="1"/>
  <c r="W2402" i="1"/>
  <c r="X2402" i="1"/>
  <c r="V2403" i="1"/>
  <c r="W2403" i="1"/>
  <c r="X2403" i="1"/>
  <c r="V2404" i="1"/>
  <c r="W2404" i="1"/>
  <c r="X2404" i="1"/>
  <c r="V2405" i="1"/>
  <c r="W2405" i="1"/>
  <c r="X2405" i="1"/>
  <c r="V2406" i="1"/>
  <c r="W2406" i="1"/>
  <c r="X2406" i="1"/>
  <c r="V2407" i="1"/>
  <c r="W2407" i="1"/>
  <c r="X2407" i="1"/>
  <c r="V2408" i="1"/>
  <c r="W2408" i="1"/>
  <c r="X2408" i="1"/>
  <c r="V2409" i="1"/>
  <c r="W2409" i="1"/>
  <c r="X2409" i="1"/>
  <c r="V2410" i="1"/>
  <c r="W2410" i="1"/>
  <c r="X2410" i="1"/>
  <c r="V2411" i="1"/>
  <c r="W2411" i="1"/>
  <c r="X2411" i="1"/>
  <c r="V2412" i="1"/>
  <c r="W2412" i="1"/>
  <c r="X2412" i="1"/>
  <c r="V2413" i="1"/>
  <c r="W2413" i="1"/>
  <c r="X2413" i="1"/>
  <c r="V2414" i="1"/>
  <c r="W2414" i="1"/>
  <c r="X2414" i="1"/>
  <c r="V2415" i="1"/>
  <c r="W2415" i="1"/>
  <c r="X2415" i="1"/>
  <c r="V2416" i="1"/>
  <c r="W2416" i="1"/>
  <c r="X2416" i="1"/>
  <c r="V2417" i="1"/>
  <c r="W2417" i="1"/>
  <c r="X2417" i="1"/>
  <c r="V2418" i="1"/>
  <c r="W2418" i="1"/>
  <c r="X2418" i="1"/>
  <c r="V2419" i="1"/>
  <c r="W2419" i="1"/>
  <c r="X2419" i="1"/>
  <c r="V2420" i="1"/>
  <c r="W2420" i="1"/>
  <c r="X2420" i="1"/>
  <c r="V2421" i="1"/>
  <c r="W2421" i="1"/>
  <c r="X2421" i="1"/>
  <c r="V2422" i="1"/>
  <c r="W2422" i="1"/>
  <c r="X2422" i="1"/>
  <c r="V2423" i="1"/>
  <c r="W2423" i="1"/>
  <c r="X2423" i="1"/>
  <c r="V2424" i="1"/>
  <c r="W2424" i="1"/>
  <c r="X2424" i="1"/>
  <c r="V2425" i="1"/>
  <c r="W2425" i="1"/>
  <c r="X2425" i="1"/>
  <c r="V2426" i="1"/>
  <c r="W2426" i="1"/>
  <c r="X2426" i="1"/>
  <c r="V2427" i="1"/>
  <c r="W2427" i="1"/>
  <c r="X2427" i="1"/>
  <c r="V2428" i="1"/>
  <c r="W2428" i="1"/>
  <c r="X2428" i="1"/>
  <c r="V2429" i="1"/>
  <c r="W2429" i="1"/>
  <c r="X2429" i="1"/>
  <c r="V2430" i="1"/>
  <c r="W2430" i="1"/>
  <c r="X2430" i="1"/>
  <c r="V2431" i="1"/>
  <c r="W2431" i="1"/>
  <c r="X2431" i="1"/>
  <c r="V2432" i="1"/>
  <c r="W2432" i="1"/>
  <c r="X2432" i="1"/>
  <c r="V2433" i="1"/>
  <c r="W2433" i="1"/>
  <c r="X2433" i="1"/>
  <c r="V2434" i="1"/>
  <c r="W2434" i="1"/>
  <c r="X2434" i="1"/>
  <c r="V2435" i="1"/>
  <c r="W2435" i="1"/>
  <c r="X2435" i="1"/>
  <c r="V2436" i="1"/>
  <c r="W2436" i="1"/>
  <c r="X2436" i="1"/>
  <c r="V2437" i="1"/>
  <c r="W2437" i="1"/>
  <c r="X2437" i="1"/>
  <c r="V2438" i="1"/>
  <c r="W2438" i="1"/>
  <c r="X2438" i="1"/>
  <c r="V2439" i="1"/>
  <c r="W2439" i="1"/>
  <c r="X2439" i="1"/>
  <c r="V2440" i="1"/>
  <c r="W2440" i="1"/>
  <c r="X2440" i="1"/>
  <c r="V2441" i="1"/>
  <c r="W2441" i="1"/>
  <c r="X2441" i="1"/>
  <c r="V2442" i="1"/>
  <c r="W2442" i="1"/>
  <c r="X2442" i="1"/>
  <c r="V2443" i="1"/>
  <c r="W2443" i="1"/>
  <c r="X2443" i="1"/>
  <c r="V2444" i="1"/>
  <c r="W2444" i="1"/>
  <c r="X2444" i="1"/>
  <c r="V2445" i="1"/>
  <c r="W2445" i="1"/>
  <c r="X2445" i="1"/>
  <c r="V2446" i="1"/>
  <c r="W2446" i="1"/>
  <c r="X2446" i="1"/>
  <c r="V2447" i="1"/>
  <c r="W2447" i="1"/>
  <c r="X2447" i="1"/>
  <c r="V2448" i="1"/>
  <c r="W2448" i="1"/>
  <c r="X2448" i="1"/>
  <c r="V2449" i="1"/>
  <c r="W2449" i="1"/>
  <c r="X2449" i="1"/>
  <c r="V2450" i="1"/>
  <c r="W2450" i="1"/>
  <c r="X2450" i="1"/>
  <c r="V2451" i="1"/>
  <c r="W2451" i="1"/>
  <c r="X2451" i="1"/>
  <c r="V2452" i="1"/>
  <c r="W2452" i="1"/>
  <c r="X2452" i="1"/>
  <c r="V2453" i="1"/>
  <c r="W2453" i="1"/>
  <c r="X2453" i="1"/>
  <c r="V2454" i="1"/>
  <c r="W2454" i="1"/>
  <c r="X2454" i="1"/>
  <c r="V2455" i="1"/>
  <c r="W2455" i="1"/>
  <c r="X2455" i="1"/>
  <c r="V2456" i="1"/>
  <c r="W2456" i="1"/>
  <c r="X2456" i="1"/>
  <c r="V2457" i="1"/>
  <c r="W2457" i="1"/>
  <c r="X2457" i="1"/>
  <c r="V2458" i="1"/>
  <c r="W2458" i="1"/>
  <c r="X2458" i="1"/>
  <c r="V2459" i="1"/>
  <c r="W2459" i="1"/>
  <c r="X2459" i="1"/>
  <c r="V2460" i="1"/>
  <c r="W2460" i="1"/>
  <c r="X2460" i="1"/>
  <c r="V2461" i="1"/>
  <c r="W2461" i="1"/>
  <c r="X2461" i="1"/>
  <c r="V2462" i="1"/>
  <c r="W2462" i="1"/>
  <c r="X2462" i="1"/>
  <c r="V2463" i="1"/>
  <c r="W2463" i="1"/>
  <c r="X2463" i="1"/>
  <c r="V2464" i="1"/>
  <c r="W2464" i="1"/>
  <c r="X2464" i="1"/>
  <c r="V2465" i="1"/>
  <c r="W2465" i="1"/>
  <c r="X2465" i="1"/>
  <c r="V2466" i="1"/>
  <c r="W2466" i="1"/>
  <c r="X2466" i="1"/>
  <c r="V2467" i="1"/>
  <c r="W2467" i="1"/>
  <c r="X2467" i="1"/>
  <c r="V2468" i="1"/>
  <c r="W2468" i="1"/>
  <c r="X2468" i="1"/>
  <c r="V2469" i="1"/>
  <c r="W2469" i="1"/>
  <c r="X2469" i="1"/>
  <c r="V2470" i="1"/>
  <c r="W2470" i="1"/>
  <c r="X2470" i="1"/>
  <c r="V2471" i="1"/>
  <c r="W2471" i="1"/>
  <c r="X2471" i="1"/>
  <c r="V2472" i="1"/>
  <c r="W2472" i="1"/>
  <c r="X2472" i="1"/>
  <c r="V2473" i="1"/>
  <c r="W2473" i="1"/>
  <c r="X2473" i="1"/>
  <c r="V2474" i="1"/>
  <c r="W2474" i="1"/>
  <c r="X2474" i="1"/>
  <c r="V2475" i="1"/>
  <c r="W2475" i="1"/>
  <c r="X2475" i="1"/>
  <c r="V2476" i="1"/>
  <c r="W2476" i="1"/>
  <c r="X2476" i="1"/>
  <c r="V2477" i="1"/>
  <c r="W2477" i="1"/>
  <c r="X2477" i="1"/>
  <c r="V2478" i="1"/>
  <c r="W2478" i="1"/>
  <c r="X2478" i="1"/>
  <c r="V2479" i="1"/>
  <c r="W2479" i="1"/>
  <c r="X2479" i="1"/>
  <c r="V2480" i="1"/>
  <c r="W2480" i="1"/>
  <c r="X2480" i="1"/>
  <c r="V2481" i="1"/>
  <c r="W2481" i="1"/>
  <c r="X2481" i="1"/>
  <c r="V2482" i="1"/>
  <c r="W2482" i="1"/>
  <c r="X2482" i="1"/>
  <c r="V2483" i="1"/>
  <c r="W2483" i="1"/>
  <c r="X2483" i="1"/>
  <c r="V2484" i="1"/>
  <c r="W2484" i="1"/>
  <c r="X2484" i="1"/>
  <c r="V2485" i="1"/>
  <c r="W2485" i="1"/>
  <c r="X2485" i="1"/>
  <c r="V2486" i="1"/>
  <c r="W2486" i="1"/>
  <c r="X2486" i="1"/>
  <c r="V2487" i="1"/>
  <c r="W2487" i="1"/>
  <c r="X2487" i="1"/>
  <c r="V2488" i="1"/>
  <c r="W2488" i="1"/>
  <c r="X2488" i="1"/>
  <c r="V2489" i="1"/>
  <c r="W2489" i="1"/>
  <c r="X2489" i="1"/>
  <c r="V2490" i="1"/>
  <c r="W2490" i="1"/>
  <c r="X2490" i="1"/>
  <c r="V2491" i="1"/>
  <c r="W2491" i="1"/>
  <c r="X2491" i="1"/>
  <c r="V2492" i="1"/>
  <c r="W2492" i="1"/>
  <c r="X2492" i="1"/>
  <c r="V2493" i="1"/>
  <c r="W2493" i="1"/>
  <c r="X2493" i="1"/>
  <c r="V2494" i="1"/>
  <c r="W2494" i="1"/>
  <c r="X2494" i="1"/>
  <c r="V2495" i="1"/>
  <c r="W2495" i="1"/>
  <c r="X2495" i="1"/>
  <c r="V2496" i="1"/>
  <c r="W2496" i="1"/>
  <c r="X2496" i="1"/>
  <c r="V2497" i="1"/>
  <c r="W2497" i="1"/>
  <c r="X2497" i="1"/>
  <c r="V2498" i="1"/>
  <c r="W2498" i="1"/>
  <c r="X2498" i="1"/>
  <c r="V2499" i="1"/>
  <c r="W2499" i="1"/>
  <c r="X2499" i="1"/>
  <c r="V2500" i="1"/>
  <c r="W2500" i="1"/>
  <c r="X2500" i="1"/>
  <c r="V2501" i="1"/>
  <c r="W2501" i="1"/>
  <c r="X2501" i="1"/>
  <c r="V2502" i="1"/>
  <c r="W2502" i="1"/>
  <c r="X2502" i="1"/>
  <c r="V2503" i="1"/>
  <c r="W2503" i="1"/>
  <c r="X2503" i="1"/>
  <c r="V2504" i="1"/>
  <c r="W2504" i="1"/>
  <c r="X2504" i="1"/>
  <c r="V2505" i="1"/>
  <c r="W2505" i="1"/>
  <c r="X2505" i="1"/>
  <c r="V2506" i="1"/>
  <c r="W2506" i="1"/>
  <c r="X2506" i="1"/>
  <c r="V2507" i="1"/>
  <c r="W2507" i="1"/>
  <c r="X2507" i="1"/>
  <c r="V2508" i="1"/>
  <c r="W2508" i="1"/>
  <c r="X2508" i="1"/>
  <c r="V2509" i="1"/>
  <c r="W2509" i="1"/>
  <c r="X2509" i="1"/>
  <c r="V2510" i="1"/>
  <c r="W2510" i="1"/>
  <c r="X2510" i="1"/>
  <c r="V2511" i="1"/>
  <c r="W2511" i="1"/>
  <c r="X2511" i="1"/>
  <c r="V2512" i="1"/>
  <c r="W2512" i="1"/>
  <c r="X2512" i="1"/>
  <c r="V2513" i="1"/>
  <c r="W2513" i="1"/>
  <c r="X2513" i="1"/>
  <c r="V2514" i="1"/>
  <c r="W2514" i="1"/>
  <c r="X2514" i="1"/>
  <c r="V2515" i="1"/>
  <c r="W2515" i="1"/>
  <c r="X2515" i="1"/>
  <c r="V2516" i="1"/>
  <c r="W2516" i="1"/>
  <c r="X2516" i="1"/>
  <c r="V2517" i="1"/>
  <c r="W2517" i="1"/>
  <c r="X2517" i="1"/>
  <c r="V2518" i="1"/>
  <c r="W2518" i="1"/>
  <c r="X2518" i="1"/>
  <c r="V2519" i="1"/>
  <c r="W2519" i="1"/>
  <c r="X2519" i="1"/>
  <c r="V2520" i="1"/>
  <c r="W2520" i="1"/>
  <c r="X2520" i="1"/>
  <c r="V2521" i="1"/>
  <c r="W2521" i="1"/>
  <c r="X2521" i="1"/>
  <c r="V2522" i="1"/>
  <c r="W2522" i="1"/>
  <c r="X2522" i="1"/>
  <c r="V2523" i="1"/>
  <c r="W2523" i="1"/>
  <c r="X2523" i="1"/>
  <c r="V2524" i="1"/>
  <c r="W2524" i="1"/>
  <c r="X2524" i="1"/>
  <c r="V2525" i="1"/>
  <c r="W2525" i="1"/>
  <c r="X2525" i="1"/>
  <c r="V2526" i="1"/>
  <c r="W2526" i="1"/>
  <c r="X2526" i="1"/>
  <c r="V2527" i="1"/>
  <c r="W2527" i="1"/>
  <c r="X2527" i="1"/>
  <c r="V2528" i="1"/>
  <c r="W2528" i="1"/>
  <c r="X2528" i="1"/>
  <c r="V2529" i="1"/>
  <c r="W2529" i="1"/>
  <c r="X2529" i="1"/>
  <c r="V2530" i="1"/>
  <c r="W2530" i="1"/>
  <c r="X2530" i="1"/>
  <c r="V2531" i="1"/>
  <c r="W2531" i="1"/>
  <c r="X2531" i="1"/>
  <c r="V2532" i="1"/>
  <c r="W2532" i="1"/>
  <c r="X2532" i="1"/>
  <c r="V2533" i="1"/>
  <c r="W2533" i="1"/>
  <c r="X2533" i="1"/>
  <c r="V2534" i="1"/>
  <c r="W2534" i="1"/>
  <c r="X2534" i="1"/>
  <c r="V2535" i="1"/>
  <c r="W2535" i="1"/>
  <c r="X2535" i="1"/>
  <c r="V2536" i="1"/>
  <c r="W2536" i="1"/>
  <c r="X2536" i="1"/>
  <c r="V2537" i="1"/>
  <c r="W2537" i="1"/>
  <c r="X2537" i="1"/>
  <c r="V2538" i="1"/>
  <c r="W2538" i="1"/>
  <c r="X2538" i="1"/>
  <c r="V2539" i="1"/>
  <c r="W2539" i="1"/>
  <c r="X2539" i="1"/>
  <c r="V2540" i="1"/>
  <c r="W2540" i="1"/>
  <c r="X2540" i="1"/>
  <c r="V2541" i="1"/>
  <c r="W2541" i="1"/>
  <c r="X2541" i="1"/>
  <c r="V2542" i="1"/>
  <c r="W2542" i="1"/>
  <c r="X2542" i="1"/>
  <c r="V2543" i="1"/>
  <c r="W2543" i="1"/>
  <c r="X2543" i="1"/>
  <c r="V2544" i="1"/>
  <c r="W2544" i="1"/>
  <c r="X2544" i="1"/>
  <c r="V2545" i="1"/>
  <c r="W2545" i="1"/>
  <c r="X2545" i="1"/>
  <c r="V2546" i="1"/>
  <c r="W2546" i="1"/>
  <c r="X2546" i="1"/>
  <c r="V2547" i="1"/>
  <c r="W2547" i="1"/>
  <c r="X2547" i="1"/>
  <c r="V2548" i="1"/>
  <c r="W2548" i="1"/>
  <c r="X2548" i="1"/>
  <c r="V2549" i="1"/>
  <c r="W2549" i="1"/>
  <c r="X2549" i="1"/>
  <c r="V2550" i="1"/>
  <c r="W2550" i="1"/>
  <c r="X2550" i="1"/>
  <c r="V2551" i="1"/>
  <c r="W2551" i="1"/>
  <c r="X2551" i="1"/>
  <c r="V2552" i="1"/>
  <c r="W2552" i="1"/>
  <c r="X2552" i="1"/>
  <c r="V2553" i="1"/>
  <c r="W2553" i="1"/>
  <c r="X2553" i="1"/>
  <c r="V2554" i="1"/>
  <c r="W2554" i="1"/>
  <c r="X2554" i="1"/>
  <c r="V2555" i="1"/>
  <c r="W2555" i="1"/>
  <c r="X2555" i="1"/>
  <c r="V2556" i="1"/>
  <c r="W2556" i="1"/>
  <c r="X2556" i="1"/>
  <c r="V2557" i="1"/>
  <c r="W2557" i="1"/>
  <c r="X2557" i="1"/>
  <c r="V2558" i="1"/>
  <c r="W2558" i="1"/>
  <c r="X2558" i="1"/>
  <c r="V2559" i="1"/>
  <c r="W2559" i="1"/>
  <c r="X2559" i="1"/>
  <c r="V2560" i="1"/>
  <c r="W2560" i="1"/>
  <c r="X2560" i="1"/>
  <c r="V2561" i="1"/>
  <c r="W2561" i="1"/>
  <c r="X2561" i="1"/>
  <c r="V2562" i="1"/>
  <c r="W2562" i="1"/>
  <c r="X2562" i="1"/>
  <c r="V2563" i="1"/>
  <c r="W2563" i="1"/>
  <c r="X2563" i="1"/>
  <c r="V2564" i="1"/>
  <c r="W2564" i="1"/>
  <c r="X2564" i="1"/>
  <c r="V2565" i="1"/>
  <c r="W2565" i="1"/>
  <c r="X2565" i="1"/>
  <c r="V2566" i="1"/>
  <c r="W2566" i="1"/>
  <c r="X2566" i="1"/>
  <c r="V2567" i="1"/>
  <c r="W2567" i="1"/>
  <c r="X2567" i="1"/>
  <c r="V2568" i="1"/>
  <c r="W2568" i="1"/>
  <c r="X2568" i="1"/>
  <c r="V2569" i="1"/>
  <c r="W2569" i="1"/>
  <c r="X2569" i="1"/>
  <c r="V2570" i="1"/>
  <c r="W2570" i="1"/>
  <c r="X2570" i="1"/>
  <c r="V2571" i="1"/>
  <c r="W2571" i="1"/>
  <c r="X2571" i="1"/>
  <c r="V2572" i="1"/>
  <c r="W2572" i="1"/>
  <c r="X2572" i="1"/>
  <c r="V2573" i="1"/>
  <c r="W2573" i="1"/>
  <c r="X2573" i="1"/>
  <c r="V2574" i="1"/>
  <c r="W2574" i="1"/>
  <c r="X2574" i="1"/>
  <c r="V2575" i="1"/>
  <c r="W2575" i="1"/>
  <c r="X2575" i="1"/>
  <c r="V2576" i="1"/>
  <c r="W2576" i="1"/>
  <c r="X2576" i="1"/>
  <c r="V2577" i="1"/>
  <c r="W2577" i="1"/>
  <c r="X2577" i="1"/>
  <c r="V2578" i="1"/>
  <c r="W2578" i="1"/>
  <c r="X2578" i="1"/>
  <c r="V2579" i="1"/>
  <c r="W2579" i="1"/>
  <c r="X2579" i="1"/>
  <c r="V2580" i="1"/>
  <c r="W2580" i="1"/>
  <c r="X2580" i="1"/>
  <c r="V2581" i="1"/>
  <c r="W2581" i="1"/>
  <c r="X2581" i="1"/>
  <c r="V2582" i="1"/>
  <c r="W2582" i="1"/>
  <c r="X2582" i="1"/>
  <c r="V2583" i="1"/>
  <c r="W2583" i="1"/>
  <c r="X2583" i="1"/>
  <c r="V2584" i="1"/>
  <c r="W2584" i="1"/>
  <c r="X2584" i="1"/>
  <c r="V2585" i="1"/>
  <c r="W2585" i="1"/>
  <c r="X2585" i="1"/>
  <c r="V2586" i="1"/>
  <c r="W2586" i="1"/>
  <c r="X2586" i="1"/>
  <c r="V2587" i="1"/>
  <c r="W2587" i="1"/>
  <c r="X2587" i="1"/>
  <c r="V2588" i="1"/>
  <c r="W2588" i="1"/>
  <c r="X2588" i="1"/>
  <c r="V2589" i="1"/>
  <c r="W2589" i="1"/>
  <c r="X2589" i="1"/>
  <c r="V2590" i="1"/>
  <c r="W2590" i="1"/>
  <c r="X2590" i="1"/>
  <c r="V2591" i="1"/>
  <c r="W2591" i="1"/>
  <c r="X2591" i="1"/>
  <c r="V2592" i="1"/>
  <c r="W2592" i="1"/>
  <c r="X2592" i="1"/>
  <c r="V2593" i="1"/>
  <c r="W2593" i="1"/>
  <c r="X2593" i="1"/>
  <c r="V2594" i="1"/>
  <c r="W2594" i="1"/>
  <c r="X2594" i="1"/>
  <c r="V2595" i="1"/>
  <c r="W2595" i="1"/>
  <c r="X2595" i="1"/>
  <c r="V2596" i="1"/>
  <c r="W2596" i="1"/>
  <c r="X2596" i="1"/>
  <c r="V2597" i="1"/>
  <c r="W2597" i="1"/>
  <c r="X2597" i="1"/>
  <c r="V2598" i="1"/>
  <c r="W2598" i="1"/>
  <c r="X2598" i="1"/>
  <c r="V2599" i="1"/>
  <c r="W2599" i="1"/>
  <c r="X2599" i="1"/>
  <c r="V2600" i="1"/>
  <c r="W2600" i="1"/>
  <c r="X2600" i="1"/>
  <c r="V2601" i="1"/>
  <c r="W2601" i="1"/>
  <c r="X2601" i="1"/>
  <c r="V2602" i="1"/>
  <c r="W2602" i="1"/>
  <c r="X2602" i="1"/>
  <c r="V2603" i="1"/>
  <c r="W2603" i="1"/>
  <c r="X2603" i="1"/>
  <c r="V2604" i="1"/>
  <c r="W2604" i="1"/>
  <c r="X2604" i="1"/>
  <c r="V2605" i="1"/>
  <c r="W2605" i="1"/>
  <c r="X2605" i="1"/>
  <c r="V2606" i="1"/>
  <c r="W2606" i="1"/>
  <c r="X2606" i="1"/>
  <c r="V2607" i="1"/>
  <c r="W2607" i="1"/>
  <c r="X2607" i="1"/>
  <c r="V2608" i="1"/>
  <c r="W2608" i="1"/>
  <c r="X2608" i="1"/>
  <c r="V2609" i="1"/>
  <c r="W2609" i="1"/>
  <c r="X2609" i="1"/>
  <c r="V2610" i="1"/>
  <c r="W2610" i="1"/>
  <c r="X2610" i="1"/>
  <c r="V2611" i="1"/>
  <c r="W2611" i="1"/>
  <c r="X2611" i="1"/>
  <c r="V2612" i="1"/>
  <c r="W2612" i="1"/>
  <c r="X2612" i="1"/>
  <c r="V2613" i="1"/>
  <c r="W2613" i="1"/>
  <c r="X2613" i="1"/>
  <c r="V2614" i="1"/>
  <c r="W2614" i="1"/>
  <c r="X2614" i="1"/>
  <c r="V2615" i="1"/>
  <c r="W2615" i="1"/>
  <c r="X2615" i="1"/>
  <c r="V2616" i="1"/>
  <c r="W2616" i="1"/>
  <c r="X2616" i="1"/>
  <c r="V2617" i="1"/>
  <c r="W2617" i="1"/>
  <c r="X2617" i="1"/>
  <c r="V2618" i="1"/>
  <c r="W2618" i="1"/>
  <c r="X2618" i="1"/>
  <c r="V2619" i="1"/>
  <c r="W2619" i="1"/>
  <c r="X2619" i="1"/>
  <c r="V2620" i="1"/>
  <c r="W2620" i="1"/>
  <c r="X2620" i="1"/>
  <c r="V2621" i="1"/>
  <c r="W2621" i="1"/>
  <c r="X2621" i="1"/>
  <c r="V2622" i="1"/>
  <c r="W2622" i="1"/>
  <c r="X2622" i="1"/>
  <c r="V2623" i="1"/>
  <c r="W2623" i="1"/>
  <c r="X2623" i="1"/>
  <c r="V2624" i="1"/>
  <c r="W2624" i="1"/>
  <c r="X2624" i="1"/>
  <c r="V2625" i="1"/>
  <c r="W2625" i="1"/>
  <c r="X2625" i="1"/>
  <c r="V2626" i="1"/>
  <c r="W2626" i="1"/>
  <c r="X2626" i="1"/>
  <c r="V2627" i="1"/>
  <c r="W2627" i="1"/>
  <c r="X2627" i="1"/>
  <c r="V2628" i="1"/>
  <c r="W2628" i="1"/>
  <c r="X2628" i="1"/>
  <c r="V2629" i="1"/>
  <c r="W2629" i="1"/>
  <c r="X2629" i="1"/>
  <c r="V2630" i="1"/>
  <c r="W2630" i="1"/>
  <c r="X2630" i="1"/>
  <c r="V2631" i="1"/>
  <c r="W2631" i="1"/>
  <c r="X2631" i="1"/>
  <c r="V2632" i="1"/>
  <c r="W2632" i="1"/>
  <c r="X2632" i="1"/>
  <c r="V2633" i="1"/>
  <c r="W2633" i="1"/>
  <c r="X2633" i="1"/>
  <c r="V2634" i="1"/>
  <c r="W2634" i="1"/>
  <c r="X2634" i="1"/>
  <c r="V2635" i="1"/>
  <c r="W2635" i="1"/>
  <c r="X2635" i="1"/>
  <c r="V2636" i="1"/>
  <c r="W2636" i="1"/>
  <c r="X2636" i="1"/>
  <c r="V2637" i="1"/>
  <c r="W2637" i="1"/>
  <c r="X2637" i="1"/>
  <c r="V2638" i="1"/>
  <c r="W2638" i="1"/>
  <c r="X2638" i="1"/>
  <c r="V2639" i="1"/>
  <c r="W2639" i="1"/>
  <c r="X2639" i="1"/>
  <c r="V2640" i="1"/>
  <c r="W2640" i="1"/>
  <c r="X2640" i="1"/>
  <c r="V2641" i="1"/>
  <c r="W2641" i="1"/>
  <c r="X2641" i="1"/>
  <c r="V2642" i="1"/>
  <c r="W2642" i="1"/>
  <c r="X2642" i="1"/>
  <c r="V2643" i="1"/>
  <c r="W2643" i="1"/>
  <c r="X2643" i="1"/>
  <c r="V2644" i="1"/>
  <c r="W2644" i="1"/>
  <c r="X2644" i="1"/>
  <c r="V2645" i="1"/>
  <c r="W2645" i="1"/>
  <c r="X2645" i="1"/>
  <c r="V2646" i="1"/>
  <c r="W2646" i="1"/>
  <c r="X2646" i="1"/>
  <c r="V2647" i="1"/>
  <c r="W2647" i="1"/>
  <c r="X2647" i="1"/>
  <c r="V2648" i="1"/>
  <c r="W2648" i="1"/>
  <c r="X2648" i="1"/>
  <c r="V2649" i="1"/>
  <c r="W2649" i="1"/>
  <c r="X2649" i="1"/>
  <c r="V2650" i="1"/>
  <c r="W2650" i="1"/>
  <c r="X2650" i="1"/>
  <c r="V2651" i="1"/>
  <c r="W2651" i="1"/>
  <c r="X2651" i="1"/>
  <c r="V2652" i="1"/>
  <c r="W2652" i="1"/>
  <c r="X2652" i="1"/>
  <c r="V2653" i="1"/>
  <c r="W2653" i="1"/>
  <c r="X2653" i="1"/>
  <c r="V2654" i="1"/>
  <c r="W2654" i="1"/>
  <c r="X2654" i="1"/>
  <c r="V2655" i="1"/>
  <c r="W2655" i="1"/>
  <c r="X2655" i="1"/>
  <c r="V2656" i="1"/>
  <c r="W2656" i="1"/>
  <c r="X2656" i="1"/>
  <c r="V2657" i="1"/>
  <c r="W2657" i="1"/>
  <c r="X2657" i="1"/>
  <c r="V2658" i="1"/>
  <c r="W2658" i="1"/>
  <c r="X2658" i="1"/>
  <c r="V2659" i="1"/>
  <c r="W2659" i="1"/>
  <c r="X2659" i="1"/>
  <c r="V2660" i="1"/>
  <c r="W2660" i="1"/>
  <c r="X2660" i="1"/>
  <c r="V2661" i="1"/>
  <c r="W2661" i="1"/>
  <c r="X2661" i="1"/>
  <c r="V2662" i="1"/>
  <c r="W2662" i="1"/>
  <c r="X2662" i="1"/>
  <c r="V2663" i="1"/>
  <c r="W2663" i="1"/>
  <c r="X2663" i="1"/>
  <c r="V2664" i="1"/>
  <c r="W2664" i="1"/>
  <c r="X2664" i="1"/>
  <c r="V2665" i="1"/>
  <c r="W2665" i="1"/>
  <c r="X2665" i="1"/>
  <c r="V2666" i="1"/>
  <c r="W2666" i="1"/>
  <c r="X2666" i="1"/>
  <c r="V2667" i="1"/>
  <c r="W2667" i="1"/>
  <c r="X2667" i="1"/>
  <c r="V2668" i="1"/>
  <c r="W2668" i="1"/>
  <c r="X2668" i="1"/>
  <c r="V2669" i="1"/>
  <c r="W2669" i="1"/>
  <c r="X2669" i="1"/>
  <c r="V2670" i="1"/>
  <c r="W2670" i="1"/>
  <c r="X2670" i="1"/>
  <c r="V2671" i="1"/>
  <c r="W2671" i="1"/>
  <c r="X2671" i="1"/>
  <c r="V2672" i="1"/>
  <c r="W2672" i="1"/>
  <c r="X2672" i="1"/>
  <c r="V2673" i="1"/>
  <c r="W2673" i="1"/>
  <c r="X2673" i="1"/>
  <c r="V2674" i="1"/>
  <c r="W2674" i="1"/>
  <c r="X2674" i="1"/>
  <c r="V2675" i="1"/>
  <c r="W2675" i="1"/>
  <c r="X2675" i="1"/>
  <c r="V2676" i="1"/>
  <c r="W2676" i="1"/>
  <c r="X2676" i="1"/>
  <c r="V2677" i="1"/>
  <c r="W2677" i="1"/>
  <c r="X2677" i="1"/>
  <c r="V2678" i="1"/>
  <c r="W2678" i="1"/>
  <c r="X2678" i="1"/>
  <c r="V2679" i="1"/>
  <c r="W2679" i="1"/>
  <c r="X2679" i="1"/>
  <c r="V2680" i="1"/>
  <c r="W2680" i="1"/>
  <c r="X2680" i="1"/>
  <c r="V2681" i="1"/>
  <c r="W2681" i="1"/>
  <c r="X2681" i="1"/>
  <c r="V2682" i="1"/>
  <c r="W2682" i="1"/>
  <c r="X2682" i="1"/>
  <c r="V2683" i="1"/>
  <c r="W2683" i="1"/>
  <c r="X2683" i="1"/>
  <c r="V2684" i="1"/>
  <c r="W2684" i="1"/>
  <c r="X2684" i="1"/>
  <c r="V2685" i="1"/>
  <c r="W2685" i="1"/>
  <c r="X2685" i="1"/>
  <c r="V2686" i="1"/>
  <c r="W2686" i="1"/>
  <c r="X2686" i="1"/>
  <c r="V2687" i="1"/>
  <c r="W2687" i="1"/>
  <c r="X2687" i="1"/>
  <c r="V2688" i="1"/>
  <c r="W2688" i="1"/>
  <c r="X2688" i="1"/>
  <c r="V2689" i="1"/>
  <c r="W2689" i="1"/>
  <c r="X2689" i="1"/>
  <c r="V2690" i="1"/>
  <c r="W2690" i="1"/>
  <c r="X2690" i="1"/>
  <c r="V2691" i="1"/>
  <c r="W2691" i="1"/>
  <c r="X2691" i="1"/>
  <c r="V2692" i="1"/>
  <c r="W2692" i="1"/>
  <c r="X2692" i="1"/>
  <c r="V2693" i="1"/>
  <c r="W2693" i="1"/>
  <c r="X2693" i="1"/>
  <c r="V2694" i="1"/>
  <c r="W2694" i="1"/>
  <c r="X2694" i="1"/>
  <c r="V2695" i="1"/>
  <c r="W2695" i="1"/>
  <c r="X2695" i="1"/>
  <c r="V2696" i="1"/>
  <c r="W2696" i="1"/>
  <c r="X2696" i="1"/>
  <c r="V2697" i="1"/>
  <c r="W2697" i="1"/>
  <c r="X2697" i="1"/>
  <c r="V2698" i="1"/>
  <c r="W2698" i="1"/>
  <c r="X2698" i="1"/>
  <c r="V2699" i="1"/>
  <c r="W2699" i="1"/>
  <c r="X2699" i="1"/>
  <c r="V2700" i="1"/>
  <c r="W2700" i="1"/>
  <c r="X2700" i="1"/>
  <c r="V2701" i="1"/>
  <c r="W2701" i="1"/>
  <c r="X2701" i="1"/>
  <c r="V2702" i="1"/>
  <c r="W2702" i="1"/>
  <c r="X2702" i="1"/>
  <c r="V2703" i="1"/>
  <c r="W2703" i="1"/>
  <c r="X2703" i="1"/>
  <c r="V2704" i="1"/>
  <c r="W2704" i="1"/>
  <c r="X2704" i="1"/>
  <c r="V2705" i="1"/>
  <c r="W2705" i="1"/>
  <c r="X2705" i="1"/>
  <c r="V2706" i="1"/>
  <c r="W2706" i="1"/>
  <c r="X2706" i="1"/>
  <c r="V2707" i="1"/>
  <c r="W2707" i="1"/>
  <c r="X2707" i="1"/>
  <c r="V2708" i="1"/>
  <c r="W2708" i="1"/>
  <c r="X2708" i="1"/>
  <c r="V2709" i="1"/>
  <c r="W2709" i="1"/>
  <c r="X2709" i="1"/>
  <c r="V2710" i="1"/>
  <c r="W2710" i="1"/>
  <c r="X2710" i="1"/>
  <c r="V2711" i="1"/>
  <c r="W2711" i="1"/>
  <c r="X2711" i="1"/>
  <c r="V2712" i="1"/>
  <c r="W2712" i="1"/>
  <c r="X2712" i="1"/>
  <c r="V2713" i="1"/>
  <c r="W2713" i="1"/>
  <c r="X2713" i="1"/>
  <c r="V2714" i="1"/>
  <c r="W2714" i="1"/>
  <c r="X2714" i="1"/>
  <c r="V2715" i="1"/>
  <c r="W2715" i="1"/>
  <c r="X2715" i="1"/>
  <c r="V2716" i="1"/>
  <c r="W2716" i="1"/>
  <c r="X2716" i="1"/>
  <c r="V2717" i="1"/>
  <c r="W2717" i="1"/>
  <c r="X2717" i="1"/>
  <c r="V2718" i="1"/>
  <c r="W2718" i="1"/>
  <c r="X2718" i="1"/>
  <c r="V2719" i="1"/>
  <c r="W2719" i="1"/>
  <c r="X2719" i="1"/>
  <c r="V2720" i="1"/>
  <c r="W2720" i="1"/>
  <c r="X2720" i="1"/>
  <c r="V2721" i="1"/>
  <c r="W2721" i="1"/>
  <c r="X2721" i="1"/>
  <c r="V2722" i="1"/>
  <c r="W2722" i="1"/>
  <c r="X2722" i="1"/>
  <c r="V2723" i="1"/>
  <c r="W2723" i="1"/>
  <c r="X2723" i="1"/>
  <c r="V2724" i="1"/>
  <c r="W2724" i="1"/>
  <c r="X2724" i="1"/>
  <c r="V2725" i="1"/>
  <c r="W2725" i="1"/>
  <c r="X2725" i="1"/>
  <c r="V2726" i="1"/>
  <c r="W2726" i="1"/>
  <c r="X2726" i="1"/>
  <c r="V2727" i="1"/>
  <c r="W2727" i="1"/>
  <c r="X2727" i="1"/>
  <c r="V2728" i="1"/>
  <c r="W2728" i="1"/>
  <c r="X2728" i="1"/>
  <c r="V2729" i="1"/>
  <c r="W2729" i="1"/>
  <c r="X2729" i="1"/>
  <c r="V2730" i="1"/>
  <c r="W2730" i="1"/>
  <c r="X2730" i="1"/>
  <c r="V2731" i="1"/>
  <c r="W2731" i="1"/>
  <c r="X2731" i="1"/>
  <c r="V2732" i="1"/>
  <c r="W2732" i="1"/>
  <c r="X2732" i="1"/>
  <c r="V2733" i="1"/>
  <c r="W2733" i="1"/>
  <c r="X2733" i="1"/>
  <c r="V2734" i="1"/>
  <c r="W2734" i="1"/>
  <c r="X2734" i="1"/>
  <c r="V2735" i="1"/>
  <c r="W2735" i="1"/>
  <c r="X2735" i="1"/>
  <c r="V2736" i="1"/>
  <c r="W2736" i="1"/>
  <c r="X2736" i="1"/>
  <c r="V2737" i="1"/>
  <c r="W2737" i="1"/>
  <c r="X2737" i="1"/>
  <c r="V2738" i="1"/>
  <c r="W2738" i="1"/>
  <c r="X2738" i="1"/>
  <c r="V2739" i="1"/>
  <c r="W2739" i="1"/>
  <c r="X2739" i="1"/>
  <c r="V2740" i="1"/>
  <c r="W2740" i="1"/>
  <c r="X2740" i="1"/>
  <c r="V2741" i="1"/>
  <c r="W2741" i="1"/>
  <c r="X2741" i="1"/>
  <c r="V2742" i="1"/>
  <c r="W2742" i="1"/>
  <c r="X2742" i="1"/>
  <c r="V2743" i="1"/>
  <c r="W2743" i="1"/>
  <c r="X2743" i="1"/>
  <c r="V2744" i="1"/>
  <c r="W2744" i="1"/>
  <c r="X2744" i="1"/>
  <c r="V2745" i="1"/>
  <c r="W2745" i="1"/>
  <c r="X2745" i="1"/>
  <c r="V2746" i="1"/>
  <c r="W2746" i="1"/>
  <c r="X2746" i="1"/>
  <c r="V2747" i="1"/>
  <c r="W2747" i="1"/>
  <c r="X2747" i="1"/>
  <c r="V2748" i="1"/>
  <c r="W2748" i="1"/>
  <c r="X2748" i="1"/>
  <c r="V2749" i="1"/>
  <c r="W2749" i="1"/>
  <c r="X2749" i="1"/>
  <c r="V2750" i="1"/>
  <c r="W2750" i="1"/>
  <c r="X2750" i="1"/>
  <c r="V2751" i="1"/>
  <c r="W2751" i="1"/>
  <c r="X2751" i="1"/>
  <c r="V2752" i="1"/>
  <c r="W2752" i="1"/>
  <c r="X2752" i="1"/>
  <c r="V2753" i="1"/>
  <c r="W2753" i="1"/>
  <c r="X2753" i="1"/>
  <c r="V2754" i="1"/>
  <c r="W2754" i="1"/>
  <c r="X2754" i="1"/>
  <c r="V2755" i="1"/>
  <c r="W2755" i="1"/>
  <c r="X2755" i="1"/>
  <c r="V2756" i="1"/>
  <c r="W2756" i="1"/>
  <c r="X2756" i="1"/>
  <c r="V2757" i="1"/>
  <c r="W2757" i="1"/>
  <c r="X2757" i="1"/>
  <c r="V2758" i="1"/>
  <c r="W2758" i="1"/>
  <c r="X2758" i="1"/>
  <c r="V2759" i="1"/>
  <c r="W2759" i="1"/>
  <c r="X2759" i="1"/>
  <c r="V2760" i="1"/>
  <c r="W2760" i="1"/>
  <c r="X2760" i="1"/>
  <c r="V2761" i="1"/>
  <c r="W2761" i="1"/>
  <c r="X2761" i="1"/>
  <c r="V2762" i="1"/>
  <c r="W2762" i="1"/>
  <c r="X2762" i="1"/>
  <c r="V2763" i="1"/>
  <c r="W2763" i="1"/>
  <c r="X2763" i="1"/>
  <c r="V2764" i="1"/>
  <c r="W2764" i="1"/>
  <c r="X2764" i="1"/>
  <c r="V2765" i="1"/>
  <c r="W2765" i="1"/>
  <c r="X2765" i="1"/>
  <c r="V2766" i="1"/>
  <c r="W2766" i="1"/>
  <c r="X2766" i="1"/>
  <c r="V2767" i="1"/>
  <c r="W2767" i="1"/>
  <c r="X2767" i="1"/>
  <c r="V2768" i="1"/>
  <c r="W2768" i="1"/>
  <c r="X2768" i="1"/>
  <c r="V2769" i="1"/>
  <c r="W2769" i="1"/>
  <c r="X2769" i="1"/>
  <c r="V2770" i="1"/>
  <c r="W2770" i="1"/>
  <c r="X2770" i="1"/>
  <c r="V2771" i="1"/>
  <c r="W2771" i="1"/>
  <c r="X2771" i="1"/>
  <c r="V2772" i="1"/>
  <c r="W2772" i="1"/>
  <c r="X2772" i="1"/>
  <c r="V2773" i="1"/>
  <c r="W2773" i="1"/>
  <c r="X2773" i="1"/>
  <c r="V2774" i="1"/>
  <c r="W2774" i="1"/>
  <c r="X2774" i="1"/>
  <c r="V2775" i="1"/>
  <c r="W2775" i="1"/>
  <c r="X2775" i="1"/>
  <c r="V2776" i="1"/>
  <c r="W2776" i="1"/>
  <c r="X2776" i="1"/>
  <c r="V2777" i="1"/>
  <c r="W2777" i="1"/>
  <c r="X2777" i="1"/>
  <c r="V2778" i="1"/>
  <c r="W2778" i="1"/>
  <c r="X2778" i="1"/>
  <c r="V2779" i="1"/>
  <c r="W2779" i="1"/>
  <c r="X2779" i="1"/>
  <c r="V2780" i="1"/>
  <c r="W2780" i="1"/>
  <c r="X2780" i="1"/>
  <c r="V2781" i="1"/>
  <c r="W2781" i="1"/>
  <c r="X2781" i="1"/>
  <c r="V2782" i="1"/>
  <c r="W2782" i="1"/>
  <c r="X2782" i="1"/>
  <c r="V2783" i="1"/>
  <c r="W2783" i="1"/>
  <c r="X2783" i="1"/>
  <c r="V2784" i="1"/>
  <c r="W2784" i="1"/>
  <c r="X2784" i="1"/>
  <c r="V2785" i="1"/>
  <c r="W2785" i="1"/>
  <c r="X2785" i="1"/>
  <c r="V2786" i="1"/>
  <c r="W2786" i="1"/>
  <c r="X2786" i="1"/>
  <c r="V2787" i="1"/>
  <c r="W2787" i="1"/>
  <c r="X2787" i="1"/>
  <c r="V2788" i="1"/>
  <c r="W2788" i="1"/>
  <c r="X2788" i="1"/>
  <c r="V2789" i="1"/>
  <c r="W2789" i="1"/>
  <c r="X2789" i="1"/>
  <c r="V2790" i="1"/>
  <c r="W2790" i="1"/>
  <c r="X2790" i="1"/>
  <c r="V2791" i="1"/>
  <c r="W2791" i="1"/>
  <c r="X2791" i="1"/>
  <c r="V2792" i="1"/>
  <c r="W2792" i="1"/>
  <c r="X2792" i="1"/>
  <c r="V2793" i="1"/>
  <c r="W2793" i="1"/>
  <c r="X2793" i="1"/>
  <c r="V2794" i="1"/>
  <c r="W2794" i="1"/>
  <c r="X2794" i="1"/>
  <c r="V2795" i="1"/>
  <c r="W2795" i="1"/>
  <c r="X2795" i="1"/>
  <c r="V2796" i="1"/>
  <c r="W2796" i="1"/>
  <c r="X2796" i="1"/>
  <c r="V2797" i="1"/>
  <c r="W2797" i="1"/>
  <c r="X2797" i="1"/>
  <c r="V2798" i="1"/>
  <c r="W2798" i="1"/>
  <c r="X2798" i="1"/>
  <c r="V2799" i="1"/>
  <c r="W2799" i="1"/>
  <c r="X2799" i="1"/>
  <c r="V2800" i="1"/>
  <c r="W2800" i="1"/>
  <c r="X2800" i="1"/>
  <c r="V2801" i="1"/>
  <c r="W2801" i="1"/>
  <c r="X2801" i="1"/>
  <c r="V2802" i="1"/>
  <c r="W2802" i="1"/>
  <c r="X2802" i="1"/>
  <c r="V2803" i="1"/>
  <c r="W2803" i="1"/>
  <c r="X2803" i="1"/>
  <c r="V2804" i="1"/>
  <c r="W2804" i="1"/>
  <c r="X2804" i="1"/>
  <c r="V2805" i="1"/>
  <c r="W2805" i="1"/>
  <c r="X2805" i="1"/>
  <c r="V2806" i="1"/>
  <c r="W2806" i="1"/>
  <c r="X2806" i="1"/>
  <c r="V2807" i="1"/>
  <c r="W2807" i="1"/>
  <c r="X2807" i="1"/>
  <c r="V2808" i="1"/>
  <c r="W2808" i="1"/>
  <c r="X2808" i="1"/>
  <c r="V2809" i="1"/>
  <c r="W2809" i="1"/>
  <c r="X2809" i="1"/>
  <c r="V2810" i="1"/>
  <c r="W2810" i="1"/>
  <c r="X2810" i="1"/>
  <c r="V2811" i="1"/>
  <c r="W2811" i="1"/>
  <c r="X2811" i="1"/>
  <c r="V2812" i="1"/>
  <c r="W2812" i="1"/>
  <c r="X2812" i="1"/>
  <c r="V2813" i="1"/>
  <c r="W2813" i="1"/>
  <c r="X2813" i="1"/>
  <c r="V2814" i="1"/>
  <c r="W2814" i="1"/>
  <c r="X2814" i="1"/>
  <c r="V2815" i="1"/>
  <c r="W2815" i="1"/>
  <c r="X2815" i="1"/>
  <c r="V2816" i="1"/>
  <c r="W2816" i="1"/>
  <c r="X2816" i="1"/>
  <c r="V2817" i="1"/>
  <c r="W2817" i="1"/>
  <c r="X2817" i="1"/>
  <c r="V2818" i="1"/>
  <c r="W2818" i="1"/>
  <c r="X2818" i="1"/>
  <c r="V2819" i="1"/>
  <c r="W2819" i="1"/>
  <c r="X2819" i="1"/>
  <c r="V2820" i="1"/>
  <c r="W2820" i="1"/>
  <c r="X2820" i="1"/>
  <c r="V2821" i="1"/>
  <c r="W2821" i="1"/>
  <c r="X2821" i="1"/>
  <c r="V2822" i="1"/>
  <c r="W2822" i="1"/>
  <c r="X2822" i="1"/>
  <c r="V2823" i="1"/>
  <c r="W2823" i="1"/>
  <c r="X2823" i="1"/>
  <c r="V2824" i="1"/>
  <c r="W2824" i="1"/>
  <c r="X2824" i="1"/>
  <c r="V2825" i="1"/>
  <c r="W2825" i="1"/>
  <c r="X2825" i="1"/>
  <c r="V2826" i="1"/>
  <c r="W2826" i="1"/>
  <c r="X2826" i="1"/>
  <c r="V2827" i="1"/>
  <c r="W2827" i="1"/>
  <c r="X2827" i="1"/>
  <c r="V2828" i="1"/>
  <c r="W2828" i="1"/>
  <c r="X2828" i="1"/>
  <c r="V2829" i="1"/>
  <c r="W2829" i="1"/>
  <c r="X2829" i="1"/>
  <c r="V2830" i="1"/>
  <c r="W2830" i="1"/>
  <c r="X2830" i="1"/>
  <c r="V2831" i="1"/>
  <c r="W2831" i="1"/>
  <c r="X2831" i="1"/>
  <c r="V2832" i="1"/>
  <c r="W2832" i="1"/>
  <c r="X2832" i="1"/>
  <c r="V2833" i="1"/>
  <c r="W2833" i="1"/>
  <c r="X2833" i="1"/>
  <c r="V2834" i="1"/>
  <c r="W2834" i="1"/>
  <c r="X2834" i="1"/>
  <c r="V2835" i="1"/>
  <c r="W2835" i="1"/>
  <c r="X2835" i="1"/>
  <c r="V2836" i="1"/>
  <c r="W2836" i="1"/>
  <c r="X2836" i="1"/>
  <c r="V2837" i="1"/>
  <c r="W2837" i="1"/>
  <c r="X2837" i="1"/>
  <c r="V2838" i="1"/>
  <c r="W2838" i="1"/>
  <c r="X2838" i="1"/>
  <c r="V2839" i="1"/>
  <c r="W2839" i="1"/>
  <c r="X2839" i="1"/>
  <c r="V2840" i="1"/>
  <c r="W2840" i="1"/>
  <c r="X2840" i="1"/>
  <c r="V2841" i="1"/>
  <c r="W2841" i="1"/>
  <c r="X2841" i="1"/>
  <c r="V2842" i="1"/>
  <c r="W2842" i="1"/>
  <c r="X2842" i="1"/>
  <c r="V2843" i="1"/>
  <c r="W2843" i="1"/>
  <c r="X2843" i="1"/>
  <c r="V2844" i="1"/>
  <c r="W2844" i="1"/>
  <c r="X2844" i="1"/>
  <c r="V2845" i="1"/>
  <c r="W2845" i="1"/>
  <c r="X2845" i="1"/>
  <c r="V2846" i="1"/>
  <c r="W2846" i="1"/>
  <c r="X2846" i="1"/>
  <c r="V2847" i="1"/>
  <c r="W2847" i="1"/>
  <c r="X2847" i="1"/>
  <c r="V2848" i="1"/>
  <c r="W2848" i="1"/>
  <c r="X2848" i="1"/>
  <c r="V2849" i="1"/>
  <c r="W2849" i="1"/>
  <c r="X2849" i="1"/>
  <c r="V2850" i="1"/>
  <c r="W2850" i="1"/>
  <c r="X2850" i="1"/>
  <c r="V2851" i="1"/>
  <c r="W2851" i="1"/>
  <c r="X2851" i="1"/>
  <c r="V2852" i="1"/>
  <c r="W2852" i="1"/>
  <c r="X2852" i="1"/>
  <c r="V2853" i="1"/>
  <c r="W2853" i="1"/>
  <c r="X2853" i="1"/>
  <c r="V2854" i="1"/>
  <c r="W2854" i="1"/>
  <c r="X2854" i="1"/>
  <c r="V2855" i="1"/>
  <c r="W2855" i="1"/>
  <c r="X2855" i="1"/>
  <c r="V2856" i="1"/>
  <c r="W2856" i="1"/>
  <c r="X2856" i="1"/>
  <c r="V2857" i="1"/>
  <c r="W2857" i="1"/>
  <c r="X2857" i="1"/>
  <c r="V2858" i="1"/>
  <c r="W2858" i="1"/>
  <c r="X2858" i="1"/>
  <c r="V2859" i="1"/>
  <c r="W2859" i="1"/>
  <c r="X2859" i="1"/>
  <c r="V2860" i="1"/>
  <c r="W2860" i="1"/>
  <c r="X2860" i="1"/>
  <c r="V2861" i="1"/>
  <c r="W2861" i="1"/>
  <c r="X2861" i="1"/>
  <c r="V2862" i="1"/>
  <c r="W2862" i="1"/>
  <c r="X2862" i="1"/>
  <c r="V2863" i="1"/>
  <c r="W2863" i="1"/>
  <c r="X2863" i="1"/>
  <c r="V2864" i="1"/>
  <c r="W2864" i="1"/>
  <c r="X2864" i="1"/>
  <c r="V2865" i="1"/>
  <c r="W2865" i="1"/>
  <c r="X2865" i="1"/>
  <c r="V2866" i="1"/>
  <c r="W2866" i="1"/>
  <c r="X2866" i="1"/>
  <c r="V2867" i="1"/>
  <c r="W2867" i="1"/>
  <c r="X2867" i="1"/>
  <c r="V2868" i="1"/>
  <c r="W2868" i="1"/>
  <c r="X2868" i="1"/>
  <c r="V2869" i="1"/>
  <c r="W2869" i="1"/>
  <c r="X2869" i="1"/>
  <c r="V2870" i="1"/>
  <c r="W2870" i="1"/>
  <c r="X2870" i="1"/>
  <c r="V2871" i="1"/>
  <c r="W2871" i="1"/>
  <c r="X2871" i="1"/>
  <c r="V2872" i="1"/>
  <c r="W2872" i="1"/>
  <c r="X2872" i="1"/>
  <c r="V2873" i="1"/>
  <c r="W2873" i="1"/>
  <c r="X2873" i="1"/>
  <c r="V2874" i="1"/>
  <c r="W2874" i="1"/>
  <c r="X2874" i="1"/>
  <c r="V2875" i="1"/>
  <c r="W2875" i="1"/>
  <c r="X2875" i="1"/>
  <c r="V2876" i="1"/>
  <c r="W2876" i="1"/>
  <c r="X2876" i="1"/>
  <c r="V2877" i="1"/>
  <c r="W2877" i="1"/>
  <c r="X2877" i="1"/>
  <c r="V2878" i="1"/>
  <c r="W2878" i="1"/>
  <c r="X2878" i="1"/>
  <c r="V2879" i="1"/>
  <c r="W2879" i="1"/>
  <c r="X2879" i="1"/>
  <c r="V2880" i="1"/>
  <c r="W2880" i="1"/>
  <c r="X2880" i="1"/>
  <c r="V2881" i="1"/>
  <c r="W2881" i="1"/>
  <c r="X2881" i="1"/>
  <c r="V2882" i="1"/>
  <c r="W2882" i="1"/>
  <c r="X2882" i="1"/>
  <c r="V2883" i="1"/>
  <c r="W2883" i="1"/>
  <c r="X2883" i="1"/>
  <c r="V2884" i="1"/>
  <c r="W2884" i="1"/>
  <c r="X2884" i="1"/>
  <c r="V2885" i="1"/>
  <c r="W2885" i="1"/>
  <c r="X2885" i="1"/>
  <c r="V2886" i="1"/>
  <c r="W2886" i="1"/>
  <c r="X2886" i="1"/>
  <c r="V2887" i="1"/>
  <c r="W2887" i="1"/>
  <c r="X2887" i="1"/>
  <c r="V2888" i="1"/>
  <c r="W2888" i="1"/>
  <c r="X2888" i="1"/>
  <c r="V2889" i="1"/>
  <c r="W2889" i="1"/>
  <c r="X2889" i="1"/>
  <c r="V2890" i="1"/>
  <c r="W2890" i="1"/>
  <c r="X2890" i="1"/>
  <c r="V2891" i="1"/>
  <c r="W2891" i="1"/>
  <c r="X2891" i="1"/>
  <c r="V2892" i="1"/>
  <c r="W2892" i="1"/>
  <c r="X2892" i="1"/>
  <c r="V2893" i="1"/>
  <c r="W2893" i="1"/>
  <c r="X2893" i="1"/>
  <c r="V2894" i="1"/>
  <c r="W2894" i="1"/>
  <c r="X2894" i="1"/>
  <c r="V2895" i="1"/>
  <c r="W2895" i="1"/>
  <c r="X2895" i="1"/>
  <c r="V2896" i="1"/>
  <c r="W2896" i="1"/>
  <c r="X2896" i="1"/>
  <c r="V2897" i="1"/>
  <c r="W2897" i="1"/>
  <c r="X2897" i="1"/>
  <c r="V2898" i="1"/>
  <c r="W2898" i="1"/>
  <c r="X2898" i="1"/>
  <c r="V2899" i="1"/>
  <c r="W2899" i="1"/>
  <c r="X2899" i="1"/>
  <c r="V2900" i="1"/>
  <c r="W2900" i="1"/>
  <c r="X2900" i="1"/>
  <c r="V2901" i="1"/>
  <c r="W2901" i="1"/>
  <c r="X2901" i="1"/>
  <c r="V2902" i="1"/>
  <c r="W2902" i="1"/>
  <c r="X2902" i="1"/>
  <c r="V2903" i="1"/>
  <c r="W2903" i="1"/>
  <c r="X2903" i="1"/>
  <c r="V2904" i="1"/>
  <c r="W2904" i="1"/>
  <c r="X2904" i="1"/>
  <c r="V2905" i="1"/>
  <c r="W2905" i="1"/>
  <c r="X2905" i="1"/>
  <c r="V2906" i="1"/>
  <c r="W2906" i="1"/>
  <c r="X2906" i="1"/>
  <c r="V2907" i="1"/>
  <c r="W2907" i="1"/>
  <c r="X2907" i="1"/>
  <c r="V2908" i="1"/>
  <c r="W2908" i="1"/>
  <c r="X2908" i="1"/>
  <c r="V2909" i="1"/>
  <c r="W2909" i="1"/>
  <c r="X2909" i="1"/>
  <c r="V2910" i="1"/>
  <c r="W2910" i="1"/>
  <c r="X2910" i="1"/>
  <c r="V2911" i="1"/>
  <c r="W2911" i="1"/>
  <c r="X2911" i="1"/>
  <c r="V2912" i="1"/>
  <c r="W2912" i="1"/>
  <c r="X2912" i="1"/>
  <c r="V2913" i="1"/>
  <c r="W2913" i="1"/>
  <c r="X2913" i="1"/>
  <c r="V2914" i="1"/>
  <c r="W2914" i="1"/>
  <c r="X2914" i="1"/>
  <c r="V2915" i="1"/>
  <c r="W2915" i="1"/>
  <c r="X2915" i="1"/>
  <c r="V2916" i="1"/>
  <c r="W2916" i="1"/>
  <c r="X2916" i="1"/>
  <c r="V2917" i="1"/>
  <c r="W2917" i="1"/>
  <c r="X2917" i="1"/>
  <c r="V2918" i="1"/>
  <c r="W2918" i="1"/>
  <c r="X2918" i="1"/>
  <c r="V2919" i="1"/>
  <c r="W2919" i="1"/>
  <c r="X2919" i="1"/>
  <c r="V2920" i="1"/>
  <c r="W2920" i="1"/>
  <c r="X2920" i="1"/>
  <c r="V2921" i="1"/>
  <c r="W2921" i="1"/>
  <c r="X2921" i="1"/>
  <c r="V2922" i="1"/>
  <c r="W2922" i="1"/>
  <c r="X2922" i="1"/>
  <c r="V2923" i="1"/>
  <c r="W2923" i="1"/>
  <c r="X2923" i="1"/>
  <c r="V2924" i="1"/>
  <c r="W2924" i="1"/>
  <c r="X2924" i="1"/>
  <c r="V2925" i="1"/>
  <c r="W2925" i="1"/>
  <c r="X2925" i="1"/>
  <c r="V2926" i="1"/>
  <c r="W2926" i="1"/>
  <c r="X2926" i="1"/>
  <c r="V2927" i="1"/>
  <c r="W2927" i="1"/>
  <c r="X2927" i="1"/>
  <c r="V2928" i="1"/>
  <c r="W2928" i="1"/>
  <c r="X2928" i="1"/>
  <c r="V2929" i="1"/>
  <c r="W2929" i="1"/>
  <c r="X2929" i="1"/>
  <c r="V2930" i="1"/>
  <c r="W2930" i="1"/>
  <c r="X2930" i="1"/>
  <c r="V2931" i="1"/>
  <c r="W2931" i="1"/>
  <c r="X2931" i="1"/>
  <c r="V2932" i="1"/>
  <c r="W2932" i="1"/>
  <c r="X2932" i="1"/>
  <c r="V2933" i="1"/>
  <c r="W2933" i="1"/>
  <c r="X2933" i="1"/>
  <c r="V2934" i="1"/>
  <c r="W2934" i="1"/>
  <c r="X2934" i="1"/>
  <c r="V2935" i="1"/>
  <c r="W2935" i="1"/>
  <c r="X2935" i="1"/>
  <c r="V2936" i="1"/>
  <c r="W2936" i="1"/>
  <c r="X2936" i="1"/>
  <c r="V2937" i="1"/>
  <c r="W2937" i="1"/>
  <c r="X2937" i="1"/>
  <c r="V2938" i="1"/>
  <c r="W2938" i="1"/>
  <c r="X2938" i="1"/>
  <c r="V2939" i="1"/>
  <c r="W2939" i="1"/>
  <c r="X2939" i="1"/>
  <c r="V2940" i="1"/>
  <c r="W2940" i="1"/>
  <c r="X2940" i="1"/>
  <c r="V2941" i="1"/>
  <c r="W2941" i="1"/>
  <c r="X2941" i="1"/>
  <c r="V2942" i="1"/>
  <c r="W2942" i="1"/>
  <c r="X2942" i="1"/>
  <c r="V2943" i="1"/>
  <c r="W2943" i="1"/>
  <c r="X2943" i="1"/>
  <c r="V2944" i="1"/>
  <c r="W2944" i="1"/>
  <c r="X2944" i="1"/>
  <c r="V2945" i="1"/>
  <c r="W2945" i="1"/>
  <c r="X2945" i="1"/>
  <c r="V2946" i="1"/>
  <c r="W2946" i="1"/>
  <c r="X2946" i="1"/>
  <c r="V2947" i="1"/>
  <c r="W2947" i="1"/>
  <c r="X2947" i="1"/>
  <c r="V2948" i="1"/>
  <c r="W2948" i="1"/>
  <c r="X2948" i="1"/>
  <c r="V2949" i="1"/>
  <c r="W2949" i="1"/>
  <c r="X2949" i="1"/>
  <c r="V2950" i="1"/>
  <c r="W2950" i="1"/>
  <c r="X2950" i="1"/>
  <c r="V2951" i="1"/>
  <c r="W2951" i="1"/>
  <c r="X2951" i="1"/>
  <c r="V2952" i="1"/>
  <c r="W2952" i="1"/>
  <c r="X2952" i="1"/>
  <c r="V2953" i="1"/>
  <c r="W2953" i="1"/>
  <c r="X2953" i="1"/>
  <c r="V2954" i="1"/>
  <c r="W2954" i="1"/>
  <c r="X2954" i="1"/>
  <c r="V2955" i="1"/>
  <c r="W2955" i="1"/>
  <c r="X2955" i="1"/>
  <c r="V2956" i="1"/>
  <c r="W2956" i="1"/>
  <c r="X2956" i="1"/>
  <c r="V2957" i="1"/>
  <c r="W2957" i="1"/>
  <c r="X2957" i="1"/>
  <c r="V2958" i="1"/>
  <c r="W2958" i="1"/>
  <c r="X2958" i="1"/>
  <c r="V2959" i="1"/>
  <c r="W2959" i="1"/>
  <c r="X2959" i="1"/>
  <c r="V2960" i="1"/>
  <c r="W2960" i="1"/>
  <c r="X2960" i="1"/>
  <c r="V2961" i="1"/>
  <c r="W2961" i="1"/>
  <c r="X2961" i="1"/>
  <c r="V2962" i="1"/>
  <c r="W2962" i="1"/>
  <c r="X2962" i="1"/>
  <c r="V2963" i="1"/>
  <c r="W2963" i="1"/>
  <c r="X2963" i="1"/>
  <c r="V2964" i="1"/>
  <c r="W2964" i="1"/>
  <c r="X2964" i="1"/>
  <c r="V2965" i="1"/>
  <c r="W2965" i="1"/>
  <c r="X2965" i="1"/>
  <c r="V2966" i="1"/>
  <c r="W2966" i="1"/>
  <c r="X2966" i="1"/>
  <c r="V2967" i="1"/>
  <c r="W2967" i="1"/>
  <c r="X2967" i="1"/>
  <c r="V2968" i="1"/>
  <c r="W2968" i="1"/>
  <c r="X2968" i="1"/>
  <c r="V2969" i="1"/>
  <c r="W2969" i="1"/>
  <c r="X2969" i="1"/>
  <c r="V2970" i="1"/>
  <c r="W2970" i="1"/>
  <c r="X2970" i="1"/>
  <c r="V2971" i="1"/>
  <c r="W2971" i="1"/>
  <c r="X2971" i="1"/>
  <c r="V2972" i="1"/>
  <c r="W2972" i="1"/>
  <c r="X2972" i="1"/>
  <c r="V2973" i="1"/>
  <c r="W2973" i="1"/>
  <c r="X2973" i="1"/>
  <c r="V2974" i="1"/>
  <c r="W2974" i="1"/>
  <c r="X2974" i="1"/>
  <c r="V2975" i="1"/>
  <c r="W2975" i="1"/>
  <c r="X2975" i="1"/>
  <c r="V2976" i="1"/>
  <c r="W2976" i="1"/>
  <c r="X2976" i="1"/>
  <c r="V2977" i="1"/>
  <c r="W2977" i="1"/>
  <c r="X2977" i="1"/>
  <c r="V2978" i="1"/>
  <c r="W2978" i="1"/>
  <c r="X2978" i="1"/>
  <c r="V2979" i="1"/>
  <c r="W2979" i="1"/>
  <c r="X2979" i="1"/>
  <c r="V2980" i="1"/>
  <c r="W2980" i="1"/>
  <c r="X2980" i="1"/>
  <c r="V2981" i="1"/>
  <c r="W2981" i="1"/>
  <c r="X2981" i="1"/>
  <c r="V2982" i="1"/>
  <c r="W2982" i="1"/>
  <c r="X2982" i="1"/>
  <c r="V2983" i="1"/>
  <c r="W2983" i="1"/>
  <c r="X2983" i="1"/>
  <c r="V2984" i="1"/>
  <c r="W2984" i="1"/>
  <c r="X2984" i="1"/>
  <c r="V2985" i="1"/>
  <c r="W2985" i="1"/>
  <c r="X2985" i="1"/>
  <c r="V2986" i="1"/>
  <c r="W2986" i="1"/>
  <c r="X2986" i="1"/>
  <c r="V2987" i="1"/>
  <c r="W2987" i="1"/>
  <c r="X2987" i="1"/>
  <c r="V2988" i="1"/>
  <c r="W2988" i="1"/>
  <c r="X2988" i="1"/>
  <c r="V2989" i="1"/>
  <c r="W2989" i="1"/>
  <c r="X2989" i="1"/>
  <c r="V2990" i="1"/>
  <c r="W2990" i="1"/>
  <c r="X2990" i="1"/>
  <c r="V2991" i="1"/>
  <c r="W2991" i="1"/>
  <c r="X2991" i="1"/>
  <c r="V2992" i="1"/>
  <c r="W2992" i="1"/>
  <c r="X2992" i="1"/>
  <c r="V2993" i="1"/>
  <c r="W2993" i="1"/>
  <c r="X2993" i="1"/>
  <c r="V2994" i="1"/>
  <c r="W2994" i="1"/>
  <c r="X2994" i="1"/>
  <c r="V2995" i="1"/>
  <c r="W2995" i="1"/>
  <c r="X2995" i="1"/>
  <c r="V2996" i="1"/>
  <c r="W2996" i="1"/>
  <c r="X2996" i="1"/>
  <c r="V2997" i="1"/>
  <c r="W2997" i="1"/>
  <c r="X2997" i="1"/>
  <c r="V2998" i="1"/>
  <c r="W2998" i="1"/>
  <c r="X2998" i="1"/>
  <c r="V2999" i="1"/>
  <c r="W2999" i="1"/>
  <c r="X2999" i="1"/>
  <c r="V3000" i="1"/>
  <c r="W3000" i="1"/>
  <c r="X3000" i="1"/>
  <c r="V3001" i="1"/>
  <c r="W3001" i="1"/>
  <c r="X3001" i="1"/>
  <c r="V3002" i="1"/>
  <c r="W3002" i="1"/>
  <c r="X3002" i="1"/>
  <c r="V3003" i="1"/>
  <c r="W3003" i="1"/>
  <c r="X3003" i="1"/>
  <c r="V3004" i="1"/>
  <c r="W3004" i="1"/>
  <c r="X3004" i="1"/>
  <c r="V3005" i="1"/>
  <c r="W3005" i="1"/>
  <c r="X3005" i="1"/>
  <c r="V3006" i="1"/>
  <c r="W3006" i="1"/>
  <c r="X3006" i="1"/>
  <c r="V3007" i="1"/>
  <c r="W3007" i="1"/>
  <c r="X3007" i="1"/>
  <c r="V3008" i="1"/>
  <c r="W3008" i="1"/>
  <c r="X3008" i="1"/>
  <c r="V3009" i="1"/>
  <c r="W3009" i="1"/>
  <c r="X3009" i="1"/>
  <c r="V3010" i="1"/>
  <c r="W3010" i="1"/>
  <c r="X3010" i="1"/>
  <c r="V3011" i="1"/>
  <c r="W3011" i="1"/>
  <c r="X3011" i="1"/>
  <c r="V3012" i="1"/>
  <c r="W3012" i="1"/>
  <c r="X3012" i="1"/>
  <c r="V3013" i="1"/>
  <c r="W3013" i="1"/>
  <c r="X3013" i="1"/>
  <c r="V3014" i="1"/>
  <c r="W3014" i="1"/>
  <c r="X3014" i="1"/>
  <c r="V3015" i="1"/>
  <c r="W3015" i="1"/>
  <c r="X3015" i="1"/>
  <c r="V3016" i="1"/>
  <c r="W3016" i="1"/>
  <c r="X3016" i="1"/>
  <c r="V3017" i="1"/>
  <c r="W3017" i="1"/>
  <c r="X3017" i="1"/>
  <c r="V3018" i="1"/>
  <c r="W3018" i="1"/>
  <c r="X3018" i="1"/>
  <c r="V3019" i="1"/>
  <c r="W3019" i="1"/>
  <c r="X3019" i="1"/>
  <c r="V3020" i="1"/>
  <c r="W3020" i="1"/>
  <c r="X3020" i="1"/>
  <c r="V3021" i="1"/>
  <c r="W3021" i="1"/>
  <c r="X3021" i="1"/>
  <c r="V3022" i="1"/>
  <c r="W3022" i="1"/>
  <c r="X3022" i="1"/>
  <c r="V3023" i="1"/>
  <c r="W3023" i="1"/>
  <c r="X3023" i="1"/>
  <c r="V3024" i="1"/>
  <c r="W3024" i="1"/>
  <c r="X3024" i="1"/>
  <c r="V3025" i="1"/>
  <c r="W3025" i="1"/>
  <c r="X3025" i="1"/>
  <c r="V3026" i="1"/>
  <c r="W3026" i="1"/>
  <c r="X3026" i="1"/>
  <c r="V3027" i="1"/>
  <c r="W3027" i="1"/>
  <c r="X3027" i="1"/>
  <c r="V3028" i="1"/>
  <c r="W3028" i="1"/>
  <c r="X3028" i="1"/>
  <c r="V3029" i="1"/>
  <c r="W3029" i="1"/>
  <c r="X3029" i="1"/>
  <c r="V3030" i="1"/>
  <c r="W3030" i="1"/>
  <c r="X3030" i="1"/>
  <c r="V3031" i="1"/>
  <c r="W3031" i="1"/>
  <c r="X3031" i="1"/>
  <c r="V3032" i="1"/>
  <c r="W3032" i="1"/>
  <c r="X3032" i="1"/>
  <c r="V3033" i="1"/>
  <c r="W3033" i="1"/>
  <c r="X3033" i="1"/>
  <c r="V3034" i="1"/>
  <c r="W3034" i="1"/>
  <c r="X3034" i="1"/>
  <c r="V3035" i="1"/>
  <c r="W3035" i="1"/>
  <c r="X3035" i="1"/>
  <c r="V3036" i="1"/>
  <c r="W3036" i="1"/>
  <c r="X3036" i="1"/>
  <c r="V3037" i="1"/>
  <c r="W3037" i="1"/>
  <c r="X3037" i="1"/>
  <c r="V3038" i="1"/>
  <c r="W3038" i="1"/>
  <c r="X3038" i="1"/>
  <c r="V3039" i="1"/>
  <c r="W3039" i="1"/>
  <c r="X3039" i="1"/>
  <c r="V3040" i="1"/>
  <c r="W3040" i="1"/>
  <c r="X3040" i="1"/>
  <c r="V3041" i="1"/>
  <c r="W3041" i="1"/>
  <c r="X3041" i="1"/>
  <c r="V3042" i="1"/>
  <c r="W3042" i="1"/>
  <c r="X3042" i="1"/>
  <c r="V3043" i="1"/>
  <c r="W3043" i="1"/>
  <c r="X3043" i="1"/>
  <c r="V3044" i="1"/>
  <c r="W3044" i="1"/>
  <c r="X3044" i="1"/>
  <c r="V3045" i="1"/>
  <c r="W3045" i="1"/>
  <c r="X3045" i="1"/>
  <c r="V3046" i="1"/>
  <c r="W3046" i="1"/>
  <c r="X3046" i="1"/>
  <c r="V3047" i="1"/>
  <c r="W3047" i="1"/>
  <c r="X3047" i="1"/>
  <c r="V3048" i="1"/>
  <c r="W3048" i="1"/>
  <c r="X3048" i="1"/>
  <c r="V3049" i="1"/>
  <c r="W3049" i="1"/>
  <c r="X3049" i="1"/>
  <c r="V3050" i="1"/>
  <c r="W3050" i="1"/>
  <c r="X3050" i="1"/>
  <c r="V3051" i="1"/>
  <c r="W3051" i="1"/>
  <c r="X3051" i="1"/>
  <c r="V3052" i="1"/>
  <c r="W3052" i="1"/>
  <c r="X3052" i="1"/>
  <c r="V3053" i="1"/>
  <c r="W3053" i="1"/>
  <c r="X3053" i="1"/>
  <c r="V3054" i="1"/>
  <c r="W3054" i="1"/>
  <c r="X3054" i="1"/>
  <c r="V3055" i="1"/>
  <c r="W3055" i="1"/>
  <c r="X3055" i="1"/>
  <c r="V3056" i="1"/>
  <c r="W3056" i="1"/>
  <c r="X3056" i="1"/>
  <c r="V3057" i="1"/>
  <c r="W3057" i="1"/>
  <c r="X3057" i="1"/>
  <c r="V3058" i="1"/>
  <c r="W3058" i="1"/>
  <c r="X3058" i="1"/>
  <c r="V3059" i="1"/>
  <c r="W3059" i="1"/>
  <c r="X3059" i="1"/>
  <c r="V3060" i="1"/>
  <c r="W3060" i="1"/>
  <c r="X3060" i="1"/>
  <c r="V3061" i="1"/>
  <c r="W3061" i="1"/>
  <c r="X3061" i="1"/>
  <c r="V3062" i="1"/>
  <c r="W3062" i="1"/>
  <c r="X3062" i="1"/>
  <c r="V3063" i="1"/>
  <c r="W3063" i="1"/>
  <c r="X3063" i="1"/>
  <c r="V3064" i="1"/>
  <c r="W3064" i="1"/>
  <c r="X3064" i="1"/>
  <c r="V3065" i="1"/>
  <c r="W3065" i="1"/>
  <c r="X3065" i="1"/>
  <c r="V3066" i="1"/>
  <c r="W3066" i="1"/>
  <c r="X3066" i="1"/>
  <c r="V3067" i="1"/>
  <c r="W3067" i="1"/>
  <c r="X3067" i="1"/>
  <c r="V3068" i="1"/>
  <c r="W3068" i="1"/>
  <c r="X3068" i="1"/>
  <c r="V3069" i="1"/>
  <c r="W3069" i="1"/>
  <c r="X3069" i="1"/>
  <c r="V3070" i="1"/>
  <c r="W3070" i="1"/>
  <c r="X3070" i="1"/>
  <c r="V3071" i="1"/>
  <c r="W3071" i="1"/>
  <c r="X3071" i="1"/>
  <c r="V3072" i="1"/>
  <c r="W3072" i="1"/>
  <c r="X3072" i="1"/>
  <c r="V3073" i="1"/>
  <c r="W3073" i="1"/>
  <c r="X3073" i="1"/>
  <c r="V3074" i="1"/>
  <c r="W3074" i="1"/>
  <c r="X3074" i="1"/>
  <c r="V3075" i="1"/>
  <c r="W3075" i="1"/>
  <c r="X3075" i="1"/>
  <c r="V3076" i="1"/>
  <c r="W3076" i="1"/>
  <c r="X3076" i="1"/>
  <c r="V3077" i="1"/>
  <c r="W3077" i="1"/>
  <c r="X3077" i="1"/>
  <c r="V3078" i="1"/>
  <c r="W3078" i="1"/>
  <c r="X3078" i="1"/>
  <c r="V3079" i="1"/>
  <c r="W3079" i="1"/>
  <c r="X3079" i="1"/>
  <c r="V3080" i="1"/>
  <c r="W3080" i="1"/>
  <c r="X3080" i="1"/>
  <c r="V3081" i="1"/>
  <c r="W3081" i="1"/>
  <c r="X3081" i="1"/>
  <c r="V3082" i="1"/>
  <c r="W3082" i="1"/>
  <c r="X3082" i="1"/>
  <c r="V3083" i="1"/>
  <c r="W3083" i="1"/>
  <c r="X3083" i="1"/>
  <c r="V3084" i="1"/>
  <c r="W3084" i="1"/>
  <c r="X3084" i="1"/>
  <c r="V3085" i="1"/>
  <c r="W3085" i="1"/>
  <c r="X3085" i="1"/>
  <c r="V3086" i="1"/>
  <c r="W3086" i="1"/>
  <c r="X3086" i="1"/>
  <c r="V3087" i="1"/>
  <c r="W3087" i="1"/>
  <c r="X3087" i="1"/>
  <c r="V3088" i="1"/>
  <c r="W3088" i="1"/>
  <c r="X3088" i="1"/>
  <c r="V3089" i="1"/>
  <c r="W3089" i="1"/>
  <c r="X3089" i="1"/>
  <c r="V3090" i="1"/>
  <c r="W3090" i="1"/>
  <c r="X3090" i="1"/>
  <c r="V3091" i="1"/>
  <c r="W3091" i="1"/>
  <c r="X3091" i="1"/>
  <c r="V3092" i="1"/>
  <c r="W3092" i="1"/>
  <c r="X3092" i="1"/>
  <c r="V3093" i="1"/>
  <c r="W3093" i="1"/>
  <c r="X3093" i="1"/>
  <c r="V3094" i="1"/>
  <c r="W3094" i="1"/>
  <c r="X3094" i="1"/>
  <c r="V3095" i="1"/>
  <c r="W3095" i="1"/>
  <c r="X3095" i="1"/>
  <c r="V3096" i="1"/>
  <c r="W3096" i="1"/>
  <c r="X3096" i="1"/>
  <c r="V3097" i="1"/>
  <c r="W3097" i="1"/>
  <c r="X3097" i="1"/>
  <c r="V3098" i="1"/>
  <c r="W3098" i="1"/>
  <c r="X3098" i="1"/>
  <c r="V3099" i="1"/>
  <c r="W3099" i="1"/>
  <c r="X3099" i="1"/>
  <c r="V3100" i="1"/>
  <c r="W3100" i="1"/>
  <c r="X3100" i="1"/>
  <c r="V3101" i="1"/>
  <c r="W3101" i="1"/>
  <c r="X3101" i="1"/>
  <c r="V3102" i="1"/>
  <c r="W3102" i="1"/>
  <c r="X3102" i="1"/>
  <c r="V3103" i="1"/>
  <c r="W3103" i="1"/>
  <c r="X3103" i="1"/>
  <c r="V3104" i="1"/>
  <c r="W3104" i="1"/>
  <c r="X3104" i="1"/>
  <c r="V3105" i="1"/>
  <c r="W3105" i="1"/>
  <c r="X3105" i="1"/>
  <c r="V3106" i="1"/>
  <c r="W3106" i="1"/>
  <c r="X3106" i="1"/>
  <c r="V3107" i="1"/>
  <c r="W3107" i="1"/>
  <c r="X3107" i="1"/>
  <c r="V3108" i="1"/>
  <c r="W3108" i="1"/>
  <c r="X3108" i="1"/>
  <c r="V3109" i="1"/>
  <c r="W3109" i="1"/>
  <c r="X3109" i="1"/>
  <c r="V3110" i="1"/>
  <c r="W3110" i="1"/>
  <c r="X3110" i="1"/>
  <c r="V3111" i="1"/>
  <c r="W3111" i="1"/>
  <c r="X3111" i="1"/>
  <c r="V3112" i="1"/>
  <c r="W3112" i="1"/>
  <c r="X3112" i="1"/>
  <c r="V3113" i="1"/>
  <c r="W3113" i="1"/>
  <c r="X3113" i="1"/>
  <c r="V3114" i="1"/>
  <c r="W3114" i="1"/>
  <c r="X3114" i="1"/>
  <c r="V3115" i="1"/>
  <c r="W3115" i="1"/>
  <c r="X3115" i="1"/>
  <c r="V3116" i="1"/>
  <c r="W3116" i="1"/>
  <c r="X3116" i="1"/>
  <c r="V3117" i="1"/>
  <c r="W3117" i="1"/>
  <c r="X3117" i="1"/>
  <c r="V3118" i="1"/>
  <c r="W3118" i="1"/>
  <c r="X3118" i="1"/>
  <c r="V3119" i="1"/>
  <c r="W3119" i="1"/>
  <c r="X3119" i="1"/>
  <c r="V3120" i="1"/>
  <c r="W3120" i="1"/>
  <c r="X3120" i="1"/>
  <c r="V3121" i="1"/>
  <c r="W3121" i="1"/>
  <c r="X3121" i="1"/>
  <c r="V3122" i="1"/>
  <c r="W3122" i="1"/>
  <c r="X3122" i="1"/>
  <c r="V3123" i="1"/>
  <c r="W3123" i="1"/>
  <c r="X3123" i="1"/>
  <c r="V3124" i="1"/>
  <c r="W3124" i="1"/>
  <c r="X3124" i="1"/>
  <c r="V3125" i="1"/>
  <c r="W3125" i="1"/>
  <c r="X3125" i="1"/>
  <c r="V3126" i="1"/>
  <c r="W3126" i="1"/>
  <c r="X3126" i="1"/>
  <c r="V3127" i="1"/>
  <c r="W3127" i="1"/>
  <c r="X3127" i="1"/>
  <c r="V3128" i="1"/>
  <c r="W3128" i="1"/>
  <c r="X3128" i="1"/>
  <c r="V3129" i="1"/>
  <c r="W3129" i="1"/>
  <c r="X3129" i="1"/>
  <c r="V3130" i="1"/>
  <c r="W3130" i="1"/>
  <c r="X3130" i="1"/>
  <c r="V3131" i="1"/>
  <c r="W3131" i="1"/>
  <c r="X3131" i="1"/>
  <c r="V3132" i="1"/>
  <c r="W3132" i="1"/>
  <c r="X3132" i="1"/>
  <c r="V3133" i="1"/>
  <c r="W3133" i="1"/>
  <c r="X3133" i="1"/>
  <c r="V3134" i="1"/>
  <c r="W3134" i="1"/>
  <c r="X3134" i="1"/>
  <c r="V3135" i="1"/>
  <c r="W3135" i="1"/>
  <c r="X3135" i="1"/>
  <c r="V3136" i="1"/>
  <c r="W3136" i="1"/>
  <c r="X3136" i="1"/>
  <c r="V3137" i="1"/>
  <c r="W3137" i="1"/>
  <c r="X3137" i="1"/>
  <c r="V3138" i="1"/>
  <c r="W3138" i="1"/>
  <c r="X3138" i="1"/>
  <c r="V3139" i="1"/>
  <c r="W3139" i="1"/>
  <c r="X3139" i="1"/>
  <c r="V3140" i="1"/>
  <c r="W3140" i="1"/>
  <c r="X3140" i="1"/>
  <c r="V3141" i="1"/>
  <c r="W3141" i="1"/>
  <c r="X3141" i="1"/>
  <c r="V3142" i="1"/>
  <c r="W3142" i="1"/>
  <c r="X3142" i="1"/>
  <c r="V3143" i="1"/>
  <c r="W3143" i="1"/>
  <c r="X3143" i="1"/>
  <c r="V3144" i="1"/>
  <c r="W3144" i="1"/>
  <c r="X3144" i="1"/>
  <c r="V3145" i="1"/>
  <c r="W3145" i="1"/>
  <c r="X3145" i="1"/>
  <c r="V3146" i="1"/>
  <c r="W3146" i="1"/>
  <c r="X3146" i="1"/>
  <c r="V3147" i="1"/>
  <c r="W3147" i="1"/>
  <c r="X3147" i="1"/>
  <c r="V3148" i="1"/>
  <c r="W3148" i="1"/>
  <c r="X3148" i="1"/>
  <c r="V3149" i="1"/>
  <c r="W3149" i="1"/>
  <c r="X3149" i="1"/>
  <c r="V3150" i="1"/>
  <c r="W3150" i="1"/>
  <c r="X3150" i="1"/>
  <c r="V3151" i="1"/>
  <c r="W3151" i="1"/>
  <c r="X3151" i="1"/>
  <c r="V3152" i="1"/>
  <c r="W3152" i="1"/>
  <c r="X3152" i="1"/>
  <c r="X2" i="1"/>
  <c r="W2" i="1"/>
  <c r="V2" i="1"/>
</calcChain>
</file>

<file path=xl/sharedStrings.xml><?xml version="1.0" encoding="utf-8"?>
<sst xmlns="http://schemas.openxmlformats.org/spreadsheetml/2006/main" count="9687" uniqueCount="92">
  <si>
    <t>year</t>
  </si>
  <si>
    <t>month</t>
  </si>
  <si>
    <t>carrier</t>
  </si>
  <si>
    <t>carrier_name</t>
  </si>
  <si>
    <t>airport</t>
  </si>
  <si>
    <t>airport_name</t>
  </si>
  <si>
    <t>arr_flights</t>
  </si>
  <si>
    <t>arr_del15</t>
  </si>
  <si>
    <t>carrier_ct</t>
  </si>
  <si>
    <t>weather_ct</t>
  </si>
  <si>
    <t>nas_ct</t>
  </si>
  <si>
    <t>security_ct</t>
  </si>
  <si>
    <t>late_aircraft_ct</t>
  </si>
  <si>
    <t>arr_cancelled</t>
  </si>
  <si>
    <t>arr_diverted</t>
  </si>
  <si>
    <t>arr_delay</t>
  </si>
  <si>
    <t>carrier_delay</t>
  </si>
  <si>
    <t>weather_delay</t>
  </si>
  <si>
    <t>nas_delay</t>
  </si>
  <si>
    <t>security_delay</t>
  </si>
  <si>
    <t>late_aircraft_delay</t>
  </si>
  <si>
    <t>HA</t>
  </si>
  <si>
    <t>Hawaiian Airlines Network</t>
  </si>
  <si>
    <t>SEA</t>
  </si>
  <si>
    <t>Seattle, WA: Seattle/Tacoma International</t>
  </si>
  <si>
    <t>NK</t>
  </si>
  <si>
    <t>Spirit Airlines</t>
  </si>
  <si>
    <t>OO</t>
  </si>
  <si>
    <t>SkyWest Airlines Inc.</t>
  </si>
  <si>
    <t>QX</t>
  </si>
  <si>
    <t>Horizon Air</t>
  </si>
  <si>
    <t>AA</t>
  </si>
  <si>
    <t>American Airlines Network</t>
  </si>
  <si>
    <t>AS</t>
  </si>
  <si>
    <t>Alaska Airlines Network</t>
  </si>
  <si>
    <t>B6</t>
  </si>
  <si>
    <t>JetBlue Airways</t>
  </si>
  <si>
    <t>DL</t>
  </si>
  <si>
    <t>Delta Air Lines Network</t>
  </si>
  <si>
    <t>F9</t>
  </si>
  <si>
    <t>Frontier Airlines</t>
  </si>
  <si>
    <t>UA</t>
  </si>
  <si>
    <t>United Air Lines Network</t>
  </si>
  <si>
    <t>WN</t>
  </si>
  <si>
    <t>Southwest Airlines</t>
  </si>
  <si>
    <t>MQ</t>
  </si>
  <si>
    <t>Envoy Air</t>
  </si>
  <si>
    <t>CP</t>
  </si>
  <si>
    <t>Compass Airlines</t>
  </si>
  <si>
    <t>YX</t>
  </si>
  <si>
    <t>Republic Airline</t>
  </si>
  <si>
    <t>VX</t>
  </si>
  <si>
    <t>Virgin America</t>
  </si>
  <si>
    <t>American Airlines Inc.</t>
  </si>
  <si>
    <t>Alaska Airlines Inc.</t>
  </si>
  <si>
    <t>United Air Lines Inc.</t>
  </si>
  <si>
    <t>Southwest Airlines Co.</t>
  </si>
  <si>
    <t>Delta Air Lines Inc.</t>
  </si>
  <si>
    <t>Frontier Airlines Inc.</t>
  </si>
  <si>
    <t>Hawaiian Airlines Inc.</t>
  </si>
  <si>
    <t>Spirit Air Lines</t>
  </si>
  <si>
    <t>US</t>
  </si>
  <si>
    <t>US Airways Inc.</t>
  </si>
  <si>
    <t>FL</t>
  </si>
  <si>
    <t>AirTran Airways Corporation</t>
  </si>
  <si>
    <t>CO</t>
  </si>
  <si>
    <t>Continental Air Lines Inc.</t>
  </si>
  <si>
    <t>NW</t>
  </si>
  <si>
    <t>Northwest Airlines Inc.</t>
  </si>
  <si>
    <t>XE</t>
  </si>
  <si>
    <t>ExpressJet Airlines Inc.</t>
  </si>
  <si>
    <t>YV</t>
  </si>
  <si>
    <t>Mesa Airlines Inc.</t>
  </si>
  <si>
    <t>HP</t>
  </si>
  <si>
    <t>America West Airlines Inc.</t>
  </si>
  <si>
    <t>DH</t>
  </si>
  <si>
    <t>Independence Air</t>
  </si>
  <si>
    <t>EV</t>
  </si>
  <si>
    <t>Atlantic Southeast Airlines</t>
  </si>
  <si>
    <t>TZ</t>
  </si>
  <si>
    <t>ATA Airlines d/b/a ATA</t>
  </si>
  <si>
    <t>OH</t>
  </si>
  <si>
    <t>Comair Inc.</t>
  </si>
  <si>
    <t>delay_percentage</t>
  </si>
  <si>
    <t>cancel_percentage</t>
  </si>
  <si>
    <t>diverted_percentage</t>
  </si>
  <si>
    <t>Grand Total</t>
  </si>
  <si>
    <t>Count</t>
  </si>
  <si>
    <t>Average of delay_percentage</t>
  </si>
  <si>
    <t>Average of cancel_percentage</t>
  </si>
  <si>
    <t>Average of diverted_percentage</t>
  </si>
  <si>
    <t>Count of carrier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</si>
</sst>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16" fillId="0" borderId="0" xfId="0" applyFont="1"/>
    <xf numFmtId="0" fontId="16" fillId="0" borderId="10" xfId="0" applyFont="1" applyBorder="1"/>
    <xf numFmtId="0" fontId="0" fillId="0" borderId="0" xfId="0" applyNumberFormat="1"/>
    <xf numFmtId="0" fontId="16" fillId="33" borderId="10" xfId="0" applyFont="1" applyFill="1" applyBorder="1"/>
    <xf numFmtId="0" fontId="16" fillId="0" borderId="0" xfId="0" applyFont="1" applyBorder="1"/>
    <xf numFmtId="10" fontId="0" fillId="0" borderId="0" xfId="0" applyNumberFormat="1"/>
    <xf numFmtId="0" fontId="0" fillId="34" borderId="0" xfId="0" applyNumberFormat="1" applyFill="1"/>
    <xf numFmtId="0" fontId="0" fillId="34" borderId="0" xfId="0" applyFill="1"/>
    <xf numFmtId="10" fontId="0" fillId="34" borderId="0" xfId="0" applyNumberForma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878.412281944446" createdVersion="8" refreshedVersion="8" minRefreshableVersion="3" recordCount="3151" xr:uid="{DE3BF4EB-4A38-4236-B08F-52989E22B4FB}">
  <cacheSource type="worksheet">
    <worksheetSource ref="A1:X3152" sheet="Airline_Delay_Cause"/>
  </cacheSource>
  <cacheFields count="24">
    <cacheField name="year" numFmtId="0">
      <sharedItems containsSemiMixedTypes="0" containsString="0" containsNumber="1" containsInteger="1" minValue="2003" maxValue="2025"/>
    </cacheField>
    <cacheField name="month" numFmtId="0">
      <sharedItems containsSemiMixedTypes="0" containsString="0" containsNumber="1" containsInteger="1" minValue="1" maxValue="12"/>
    </cacheField>
    <cacheField name="carrier" numFmtId="0">
      <sharedItems count="26">
        <s v="HA"/>
        <s v="NK"/>
        <s v="OO"/>
        <s v="QX"/>
        <s v="AA"/>
        <s v="AS"/>
        <s v="B6"/>
        <s v="DL"/>
        <s v="F9"/>
        <s v="UA"/>
        <s v="WN"/>
        <s v="MQ"/>
        <s v="CP"/>
        <s v="YX"/>
        <s v="VX"/>
        <s v="US"/>
        <s v="FL"/>
        <s v="CO"/>
        <s v="NW"/>
        <s v="XE"/>
        <s v="YV"/>
        <s v="HP"/>
        <s v="DH"/>
        <s v="EV"/>
        <s v="TZ"/>
        <s v="OH"/>
      </sharedItems>
    </cacheField>
    <cacheField name="carrier_name" numFmtId="0">
      <sharedItems count="26">
        <s v="Hawaiian Airlines Inc."/>
        <s v="Spirit Airlines"/>
        <s v="SkyWest Airlines Inc."/>
        <s v="Horizon Air"/>
        <s v="American Airlines Inc."/>
        <s v="Alaska Airlines Inc."/>
        <s v="JetBlue Airways"/>
        <s v="Delta Air Lines Inc."/>
        <s v="Frontier Airlines Inc."/>
        <s v="United Air Lines Inc."/>
        <s v="Southwest Airlines Co."/>
        <s v="Envoy Air"/>
        <s v="Compass Airlines"/>
        <s v="Republic Airline"/>
        <s v="Virgin America"/>
        <s v="US Airways Inc."/>
        <s v="AirTran Airways Corporation"/>
        <s v="Continental Air Lines Inc."/>
        <s v="Northwest Airlines Inc."/>
        <s v="ExpressJet Airlines Inc."/>
        <s v="Mesa Airlines Inc."/>
        <s v="America West Airlines Inc."/>
        <s v="Independence Air"/>
        <s v="Atlantic Southeast Airlines"/>
        <s v="ATA Airlines d/b/a ATA"/>
        <s v="Comair Inc."/>
      </sharedItems>
    </cacheField>
    <cacheField name="airport" numFmtId="0">
      <sharedItems/>
    </cacheField>
    <cacheField name="airport_name" numFmtId="0">
      <sharedItems/>
    </cacheField>
    <cacheField name="arr_flights" numFmtId="0">
      <sharedItems containsSemiMixedTypes="0" containsString="0" containsNumber="1" containsInteger="1" minValue="1" maxValue="7771"/>
    </cacheField>
    <cacheField name="arr_del15" numFmtId="0">
      <sharedItems containsSemiMixedTypes="0" containsString="0" containsNumber="1" containsInteger="1" minValue="0" maxValue="1992"/>
    </cacheField>
    <cacheField name="carrier_ct" numFmtId="0">
      <sharedItems containsSemiMixedTypes="0" containsString="0" containsNumber="1" minValue="0" maxValue="611.84"/>
    </cacheField>
    <cacheField name="weather_ct" numFmtId="0">
      <sharedItems containsSemiMixedTypes="0" containsString="0" containsNumber="1" minValue="0" maxValue="133.22"/>
    </cacheField>
    <cacheField name="nas_ct" numFmtId="0">
      <sharedItems containsSemiMixedTypes="0" containsString="0" containsNumber="1" minValue="0" maxValue="935.29"/>
    </cacheField>
    <cacheField name="security_ct" numFmtId="0">
      <sharedItems containsSemiMixedTypes="0" containsString="0" containsNumber="1" minValue="0" maxValue="31.37"/>
    </cacheField>
    <cacheField name="late_aircraft_ct" numFmtId="0">
      <sharedItems containsSemiMixedTypes="0" containsString="0" containsNumber="1" minValue="0" maxValue="960.32"/>
    </cacheField>
    <cacheField name="arr_cancelled" numFmtId="0">
      <sharedItems containsSemiMixedTypes="0" containsString="0" containsNumber="1" containsInteger="1" minValue="0" maxValue="872"/>
    </cacheField>
    <cacheField name="arr_diverted" numFmtId="0">
      <sharedItems containsSemiMixedTypes="0" containsString="0" containsNumber="1" containsInteger="1" minValue="0" maxValue="37"/>
    </cacheField>
    <cacheField name="arr_delay" numFmtId="0">
      <sharedItems containsSemiMixedTypes="0" containsString="0" containsNumber="1" containsInteger="1" minValue="0" maxValue="125829"/>
    </cacheField>
    <cacheField name="carrier_delay" numFmtId="0">
      <sharedItems containsSemiMixedTypes="0" containsString="0" containsNumber="1" containsInteger="1" minValue="0" maxValue="40174"/>
    </cacheField>
    <cacheField name="weather_delay" numFmtId="0">
      <sharedItems containsSemiMixedTypes="0" containsString="0" containsNumber="1" containsInteger="1" minValue="0" maxValue="18026"/>
    </cacheField>
    <cacheField name="nas_delay" numFmtId="0">
      <sharedItems containsSemiMixedTypes="0" containsString="0" containsNumber="1" containsInteger="1" minValue="0" maxValue="40682"/>
    </cacheField>
    <cacheField name="security_delay" numFmtId="0">
      <sharedItems containsSemiMixedTypes="0" containsString="0" containsNumber="1" containsInteger="1" minValue="0" maxValue="1318"/>
    </cacheField>
    <cacheField name="late_aircraft_delay" numFmtId="0">
      <sharedItems containsSemiMixedTypes="0" containsString="0" containsNumber="1" containsInteger="1" minValue="0" maxValue="67729"/>
    </cacheField>
    <cacheField name="delay_percentage" numFmtId="10">
      <sharedItems containsSemiMixedTypes="0" containsString="0" containsNumber="1" minValue="0" maxValue="0.75"/>
    </cacheField>
    <cacheField name="cancel_percentage" numFmtId="10">
      <sharedItems containsSemiMixedTypes="0" containsString="0" containsNumber="1" minValue="0" maxValue="0.58330000000000004"/>
    </cacheField>
    <cacheField name="diverted_percentage" numFmtId="10">
      <sharedItems containsSemiMixedTypes="0" containsString="0" containsNumber="1" minValue="0" maxValue="0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51">
  <r>
    <n v="2025"/>
    <n v="4"/>
    <x v="0"/>
    <x v="0"/>
    <s v="SEA"/>
    <s v="Seattle, WA: Seattle/Tacoma International"/>
    <n v="109"/>
    <n v="44"/>
    <n v="41.12"/>
    <n v="7.0000000000000007E-2"/>
    <n v="0"/>
    <n v="1"/>
    <n v="1.82"/>
    <n v="0"/>
    <n v="0"/>
    <n v="1531"/>
    <n v="1462"/>
    <n v="2"/>
    <n v="0"/>
    <n v="28"/>
    <n v="39"/>
    <n v="0.4037"/>
    <n v="0"/>
    <n v="0"/>
  </r>
  <r>
    <n v="2025"/>
    <n v="4"/>
    <x v="1"/>
    <x v="1"/>
    <s v="SEA"/>
    <s v="Seattle, WA: Seattle/Tacoma International"/>
    <n v="62"/>
    <n v="9"/>
    <n v="1.62"/>
    <n v="0"/>
    <n v="3.77"/>
    <n v="0.64"/>
    <n v="2.97"/>
    <n v="1"/>
    <n v="0"/>
    <n v="701"/>
    <n v="379"/>
    <n v="0"/>
    <n v="76"/>
    <n v="14"/>
    <n v="232"/>
    <n v="0.1452"/>
    <n v="1.61E-2"/>
    <n v="0"/>
  </r>
  <r>
    <n v="2025"/>
    <n v="4"/>
    <x v="2"/>
    <x v="2"/>
    <s v="SEA"/>
    <s v="Seattle, WA: Seattle/Tacoma International"/>
    <n v="2226"/>
    <n v="245"/>
    <n v="151.53"/>
    <n v="19.510000000000002"/>
    <n v="34.799999999999997"/>
    <n v="0"/>
    <n v="39.17"/>
    <n v="0"/>
    <n v="0"/>
    <n v="11529"/>
    <n v="7543"/>
    <n v="892"/>
    <n v="1245"/>
    <n v="0"/>
    <n v="1849"/>
    <n v="0.1101"/>
    <n v="0"/>
    <n v="0"/>
  </r>
  <r>
    <n v="2025"/>
    <n v="4"/>
    <x v="3"/>
    <x v="3"/>
    <s v="SEA"/>
    <s v="Seattle, WA: Seattle/Tacoma International"/>
    <n v="1719"/>
    <n v="254"/>
    <n v="43.8"/>
    <n v="0"/>
    <n v="120.71"/>
    <n v="0"/>
    <n v="89.49"/>
    <n v="7"/>
    <n v="0"/>
    <n v="9997"/>
    <n v="2621"/>
    <n v="0"/>
    <n v="3128"/>
    <n v="0"/>
    <n v="4248"/>
    <n v="0.14779999999999999"/>
    <n v="4.1000000000000003E-3"/>
    <n v="0"/>
  </r>
  <r>
    <n v="2025"/>
    <n v="4"/>
    <x v="4"/>
    <x v="4"/>
    <s v="SEA"/>
    <s v="Seattle, WA: Seattle/Tacoma International"/>
    <n v="450"/>
    <n v="95"/>
    <n v="45.56"/>
    <n v="7.96"/>
    <n v="13.73"/>
    <n v="0"/>
    <n v="27.74"/>
    <n v="6"/>
    <n v="0"/>
    <n v="6490"/>
    <n v="2670"/>
    <n v="754"/>
    <n v="542"/>
    <n v="0"/>
    <n v="2524"/>
    <n v="0.21110000000000001"/>
    <n v="1.3299999999999999E-2"/>
    <n v="0"/>
  </r>
  <r>
    <n v="2025"/>
    <n v="4"/>
    <x v="5"/>
    <x v="5"/>
    <s v="SEA"/>
    <s v="Seattle, WA: Seattle/Tacoma International"/>
    <n v="5840"/>
    <n v="1119"/>
    <n v="232.04"/>
    <n v="21.87"/>
    <n v="421.2"/>
    <n v="8.32"/>
    <n v="435.57"/>
    <n v="32"/>
    <n v="4"/>
    <n v="56280"/>
    <n v="16292"/>
    <n v="1068"/>
    <n v="12563"/>
    <n v="317"/>
    <n v="26040"/>
    <n v="0.19159999999999999"/>
    <n v="5.4999999999999997E-3"/>
    <n v="6.9999999999999999E-4"/>
  </r>
  <r>
    <n v="2025"/>
    <n v="4"/>
    <x v="6"/>
    <x v="6"/>
    <s v="SEA"/>
    <s v="Seattle, WA: Seattle/Tacoma International"/>
    <n v="31"/>
    <n v="6"/>
    <n v="1.47"/>
    <n v="0"/>
    <n v="1.56"/>
    <n v="0"/>
    <n v="2.97"/>
    <n v="0"/>
    <n v="0"/>
    <n v="194"/>
    <n v="28"/>
    <n v="0"/>
    <n v="57"/>
    <n v="0"/>
    <n v="109"/>
    <n v="0.19350000000000001"/>
    <n v="0"/>
    <n v="0"/>
  </r>
  <r>
    <n v="2025"/>
    <n v="4"/>
    <x v="7"/>
    <x v="7"/>
    <s v="SEA"/>
    <s v="Seattle, WA: Seattle/Tacoma International"/>
    <n v="2596"/>
    <n v="289"/>
    <n v="111.67"/>
    <n v="8.32"/>
    <n v="72.209999999999994"/>
    <n v="0"/>
    <n v="96.8"/>
    <n v="6"/>
    <n v="1"/>
    <n v="23546"/>
    <n v="14229"/>
    <n v="548"/>
    <n v="2465"/>
    <n v="0"/>
    <n v="6304"/>
    <n v="0.1113"/>
    <n v="2.3E-3"/>
    <n v="4.0000000000000002E-4"/>
  </r>
  <r>
    <n v="2025"/>
    <n v="4"/>
    <x v="8"/>
    <x v="8"/>
    <s v="SEA"/>
    <s v="Seattle, WA: Seattle/Tacoma International"/>
    <n v="142"/>
    <n v="24"/>
    <n v="4.3600000000000003"/>
    <n v="0"/>
    <n v="12.04"/>
    <n v="0"/>
    <n v="7.59"/>
    <n v="0"/>
    <n v="0"/>
    <n v="1250"/>
    <n v="310"/>
    <n v="0"/>
    <n v="560"/>
    <n v="0"/>
    <n v="380"/>
    <n v="0.16900000000000001"/>
    <n v="0"/>
    <n v="0"/>
  </r>
  <r>
    <n v="2025"/>
    <n v="4"/>
    <x v="9"/>
    <x v="9"/>
    <s v="SEA"/>
    <s v="Seattle, WA: Seattle/Tacoma International"/>
    <n v="697"/>
    <n v="115"/>
    <n v="40.54"/>
    <n v="1.78"/>
    <n v="28.05"/>
    <n v="0"/>
    <n v="44.64"/>
    <n v="1"/>
    <n v="0"/>
    <n v="7216"/>
    <n v="2543"/>
    <n v="102"/>
    <n v="979"/>
    <n v="0"/>
    <n v="3592"/>
    <n v="0.16500000000000001"/>
    <n v="1.4E-3"/>
    <n v="0"/>
  </r>
  <r>
    <n v="2025"/>
    <n v="4"/>
    <x v="10"/>
    <x v="10"/>
    <s v="SEA"/>
    <s v="Seattle, WA: Seattle/Tacoma International"/>
    <n v="570"/>
    <n v="125"/>
    <n v="42.38"/>
    <n v="0.21"/>
    <n v="9.93"/>
    <n v="0"/>
    <n v="72.47"/>
    <n v="0"/>
    <n v="0"/>
    <n v="6876"/>
    <n v="1979"/>
    <n v="25"/>
    <n v="318"/>
    <n v="0"/>
    <n v="4554"/>
    <n v="0.21929999999999999"/>
    <n v="0"/>
    <n v="0"/>
  </r>
  <r>
    <n v="2025"/>
    <n v="3"/>
    <x v="0"/>
    <x v="0"/>
    <s v="SEA"/>
    <s v="Seattle, WA: Seattle/Tacoma International"/>
    <n v="75"/>
    <n v="24"/>
    <n v="17.72"/>
    <n v="0"/>
    <n v="0.96"/>
    <n v="1"/>
    <n v="4.32"/>
    <n v="0"/>
    <n v="0"/>
    <n v="881"/>
    <n v="494"/>
    <n v="0"/>
    <n v="47"/>
    <n v="17"/>
    <n v="323"/>
    <n v="0.32"/>
    <n v="0"/>
    <n v="0"/>
  </r>
  <r>
    <n v="2025"/>
    <n v="3"/>
    <x v="11"/>
    <x v="11"/>
    <s v="SEA"/>
    <s v="Seattle, WA: Seattle/Tacoma International"/>
    <n v="3"/>
    <n v="1"/>
    <n v="0"/>
    <n v="0"/>
    <n v="1"/>
    <n v="0"/>
    <n v="0"/>
    <n v="0"/>
    <n v="0"/>
    <n v="25"/>
    <n v="0"/>
    <n v="0"/>
    <n v="25"/>
    <n v="0"/>
    <n v="0"/>
    <n v="0.33329999999999999"/>
    <n v="0"/>
    <n v="0"/>
  </r>
  <r>
    <n v="2025"/>
    <n v="3"/>
    <x v="1"/>
    <x v="1"/>
    <s v="SEA"/>
    <s v="Seattle, WA: Seattle/Tacoma International"/>
    <n v="56"/>
    <n v="4"/>
    <n v="2.2599999999999998"/>
    <n v="0"/>
    <n v="1.74"/>
    <n v="0"/>
    <n v="0"/>
    <n v="0"/>
    <n v="0"/>
    <n v="108"/>
    <n v="72"/>
    <n v="0"/>
    <n v="36"/>
    <n v="0"/>
    <n v="0"/>
    <n v="7.1400000000000005E-2"/>
    <n v="0"/>
    <n v="0"/>
  </r>
  <r>
    <n v="2025"/>
    <n v="3"/>
    <x v="2"/>
    <x v="2"/>
    <s v="SEA"/>
    <s v="Seattle, WA: Seattle/Tacoma International"/>
    <n v="2296"/>
    <n v="315"/>
    <n v="161.61000000000001"/>
    <n v="34.369999999999997"/>
    <n v="55.64"/>
    <n v="0.7"/>
    <n v="62.68"/>
    <n v="4"/>
    <n v="11"/>
    <n v="19660"/>
    <n v="10097"/>
    <n v="3041"/>
    <n v="2833"/>
    <n v="31"/>
    <n v="3658"/>
    <n v="0.13719999999999999"/>
    <n v="1.6999999999999999E-3"/>
    <n v="4.7999999999999996E-3"/>
  </r>
  <r>
    <n v="2025"/>
    <n v="3"/>
    <x v="3"/>
    <x v="3"/>
    <s v="SEA"/>
    <s v="Seattle, WA: Seattle/Tacoma International"/>
    <n v="1700"/>
    <n v="249"/>
    <n v="47.08"/>
    <n v="8.36"/>
    <n v="97.95"/>
    <n v="0"/>
    <n v="95.61"/>
    <n v="8"/>
    <n v="5"/>
    <n v="12130"/>
    <n v="4030"/>
    <n v="644"/>
    <n v="3175"/>
    <n v="0"/>
    <n v="4281"/>
    <n v="0.14649999999999999"/>
    <n v="4.7000000000000002E-3"/>
    <n v="2.8999999999999998E-3"/>
  </r>
  <r>
    <n v="2025"/>
    <n v="3"/>
    <x v="9"/>
    <x v="9"/>
    <s v="SEA"/>
    <s v="Seattle, WA: Seattle/Tacoma International"/>
    <n v="660"/>
    <n v="123"/>
    <n v="35.25"/>
    <n v="3.61"/>
    <n v="33.96"/>
    <n v="0"/>
    <n v="50.19"/>
    <n v="0"/>
    <n v="0"/>
    <n v="6754"/>
    <n v="1796"/>
    <n v="415"/>
    <n v="1071"/>
    <n v="0"/>
    <n v="3472"/>
    <n v="0.18640000000000001"/>
    <n v="0"/>
    <n v="0"/>
  </r>
  <r>
    <n v="2025"/>
    <n v="3"/>
    <x v="10"/>
    <x v="10"/>
    <s v="SEA"/>
    <s v="Seattle, WA: Seattle/Tacoma International"/>
    <n v="552"/>
    <n v="114"/>
    <n v="41.44"/>
    <n v="1.86"/>
    <n v="16.489999999999998"/>
    <n v="0"/>
    <n v="54.21"/>
    <n v="1"/>
    <n v="1"/>
    <n v="4896"/>
    <n v="1670"/>
    <n v="79"/>
    <n v="556"/>
    <n v="0"/>
    <n v="2591"/>
    <n v="0.20649999999999999"/>
    <n v="1.8E-3"/>
    <n v="1.8E-3"/>
  </r>
  <r>
    <n v="2025"/>
    <n v="3"/>
    <x v="4"/>
    <x v="4"/>
    <s v="SEA"/>
    <s v="Seattle, WA: Seattle/Tacoma International"/>
    <n v="439"/>
    <n v="132"/>
    <n v="43.93"/>
    <n v="0.68"/>
    <n v="42.09"/>
    <n v="2"/>
    <n v="43.3"/>
    <n v="6"/>
    <n v="0"/>
    <n v="6334"/>
    <n v="2295"/>
    <n v="42"/>
    <n v="1317"/>
    <n v="31"/>
    <n v="2649"/>
    <n v="0.30070000000000002"/>
    <n v="1.37E-2"/>
    <n v="0"/>
  </r>
  <r>
    <n v="2025"/>
    <n v="3"/>
    <x v="5"/>
    <x v="5"/>
    <s v="SEA"/>
    <s v="Seattle, WA: Seattle/Tacoma International"/>
    <n v="5720"/>
    <n v="1085"/>
    <n v="221.65"/>
    <n v="35.92"/>
    <n v="433.98"/>
    <n v="4.1500000000000004"/>
    <n v="389.3"/>
    <n v="41"/>
    <n v="8"/>
    <n v="57643"/>
    <n v="16613"/>
    <n v="3239"/>
    <n v="14311"/>
    <n v="95"/>
    <n v="23385"/>
    <n v="0.18970000000000001"/>
    <n v="7.1999999999999998E-3"/>
    <n v="1.4E-3"/>
  </r>
  <r>
    <n v="2025"/>
    <n v="3"/>
    <x v="6"/>
    <x v="6"/>
    <s v="SEA"/>
    <s v="Seattle, WA: Seattle/Tacoma International"/>
    <n v="31"/>
    <n v="12"/>
    <n v="3.84"/>
    <n v="0"/>
    <n v="2.4"/>
    <n v="0"/>
    <n v="5.76"/>
    <n v="0"/>
    <n v="0"/>
    <n v="565"/>
    <n v="147"/>
    <n v="0"/>
    <n v="62"/>
    <n v="0"/>
    <n v="356"/>
    <n v="0.3871"/>
    <n v="0"/>
    <n v="0"/>
  </r>
  <r>
    <n v="2025"/>
    <n v="3"/>
    <x v="7"/>
    <x v="7"/>
    <s v="SEA"/>
    <s v="Seattle, WA: Seattle/Tacoma International"/>
    <n v="2591"/>
    <n v="339"/>
    <n v="124.93"/>
    <n v="3.64"/>
    <n v="89.13"/>
    <n v="1"/>
    <n v="120.3"/>
    <n v="8"/>
    <n v="16"/>
    <n v="22428"/>
    <n v="9722"/>
    <n v="389"/>
    <n v="3464"/>
    <n v="30"/>
    <n v="8823"/>
    <n v="0.1308"/>
    <n v="3.0999999999999999E-3"/>
    <n v="6.1999999999999998E-3"/>
  </r>
  <r>
    <n v="2025"/>
    <n v="3"/>
    <x v="8"/>
    <x v="8"/>
    <s v="SEA"/>
    <s v="Seattle, WA: Seattle/Tacoma International"/>
    <n v="149"/>
    <n v="29"/>
    <n v="6.85"/>
    <n v="0.65"/>
    <n v="11.34"/>
    <n v="0"/>
    <n v="10.16"/>
    <n v="1"/>
    <n v="0"/>
    <n v="1342"/>
    <n v="383"/>
    <n v="17"/>
    <n v="311"/>
    <n v="0"/>
    <n v="631"/>
    <n v="0.1946"/>
    <n v="6.7000000000000002E-3"/>
    <n v="0"/>
  </r>
  <r>
    <n v="2025"/>
    <n v="2"/>
    <x v="4"/>
    <x v="4"/>
    <s v="SEA"/>
    <s v="Seattle, WA: Seattle/Tacoma International"/>
    <n v="345"/>
    <n v="76"/>
    <n v="29.61"/>
    <n v="4.18"/>
    <n v="23.9"/>
    <n v="0"/>
    <n v="18.309999999999999"/>
    <n v="0"/>
    <n v="0"/>
    <n v="4885"/>
    <n v="1484"/>
    <n v="1009"/>
    <n v="922"/>
    <n v="0"/>
    <n v="1470"/>
    <n v="0.2203"/>
    <n v="0"/>
    <n v="0"/>
  </r>
  <r>
    <n v="2025"/>
    <n v="2"/>
    <x v="5"/>
    <x v="5"/>
    <s v="SEA"/>
    <s v="Seattle, WA: Seattle/Tacoma International"/>
    <n v="5005"/>
    <n v="1065"/>
    <n v="202.54"/>
    <n v="40.049999999999997"/>
    <n v="435.9"/>
    <n v="7.76"/>
    <n v="378.74"/>
    <n v="124"/>
    <n v="7"/>
    <n v="58538"/>
    <n v="15525"/>
    <n v="2827"/>
    <n v="17318"/>
    <n v="436"/>
    <n v="22432"/>
    <n v="0.21279999999999999"/>
    <n v="2.4799999999999999E-2"/>
    <n v="1.4E-3"/>
  </r>
  <r>
    <n v="2025"/>
    <n v="2"/>
    <x v="6"/>
    <x v="6"/>
    <s v="SEA"/>
    <s v="Seattle, WA: Seattle/Tacoma International"/>
    <n v="28"/>
    <n v="10"/>
    <n v="3.76"/>
    <n v="0.42"/>
    <n v="3.58"/>
    <n v="0"/>
    <n v="2.25"/>
    <n v="3"/>
    <n v="0"/>
    <n v="1225"/>
    <n v="457"/>
    <n v="32"/>
    <n v="276"/>
    <n v="0"/>
    <n v="460"/>
    <n v="0.35709999999999997"/>
    <n v="0.1071"/>
    <n v="0"/>
  </r>
  <r>
    <n v="2025"/>
    <n v="2"/>
    <x v="7"/>
    <x v="7"/>
    <s v="SEA"/>
    <s v="Seattle, WA: Seattle/Tacoma International"/>
    <n v="2131"/>
    <n v="338"/>
    <n v="106.08"/>
    <n v="15.01"/>
    <n v="116.62"/>
    <n v="0"/>
    <n v="100.29"/>
    <n v="6"/>
    <n v="2"/>
    <n v="21716"/>
    <n v="8262"/>
    <n v="1313"/>
    <n v="4505"/>
    <n v="0"/>
    <n v="7636"/>
    <n v="0.15859999999999999"/>
    <n v="2.8E-3"/>
    <n v="8.9999999999999998E-4"/>
  </r>
  <r>
    <n v="2025"/>
    <n v="2"/>
    <x v="8"/>
    <x v="8"/>
    <s v="SEA"/>
    <s v="Seattle, WA: Seattle/Tacoma International"/>
    <n v="112"/>
    <n v="19"/>
    <n v="7.62"/>
    <n v="0"/>
    <n v="5.88"/>
    <n v="0"/>
    <n v="5.5"/>
    <n v="0"/>
    <n v="0"/>
    <n v="1347"/>
    <n v="754"/>
    <n v="0"/>
    <n v="191"/>
    <n v="0"/>
    <n v="402"/>
    <n v="0.1696"/>
    <n v="0"/>
    <n v="0"/>
  </r>
  <r>
    <n v="2025"/>
    <n v="2"/>
    <x v="0"/>
    <x v="0"/>
    <s v="SEA"/>
    <s v="Seattle, WA: Seattle/Tacoma International"/>
    <n v="56"/>
    <n v="14"/>
    <n v="12.47"/>
    <n v="0.53"/>
    <n v="0"/>
    <n v="0"/>
    <n v="1"/>
    <n v="0"/>
    <n v="2"/>
    <n v="1261"/>
    <n v="1213"/>
    <n v="9"/>
    <n v="0"/>
    <n v="0"/>
    <n v="39"/>
    <n v="0.25"/>
    <n v="0"/>
    <n v="3.5700000000000003E-2"/>
  </r>
  <r>
    <n v="2025"/>
    <n v="2"/>
    <x v="11"/>
    <x v="11"/>
    <s v="SEA"/>
    <s v="Seattle, WA: Seattle/Tacoma International"/>
    <n v="7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25"/>
    <n v="2"/>
    <x v="1"/>
    <x v="1"/>
    <s v="SEA"/>
    <s v="Seattle, WA: Seattle/Tacoma International"/>
    <n v="61"/>
    <n v="11"/>
    <n v="5.49"/>
    <n v="0"/>
    <n v="3.64"/>
    <n v="0"/>
    <n v="1.87"/>
    <n v="0"/>
    <n v="0"/>
    <n v="356"/>
    <n v="155"/>
    <n v="0"/>
    <n v="130"/>
    <n v="0"/>
    <n v="71"/>
    <n v="0.18029999999999999"/>
    <n v="0"/>
    <n v="0"/>
  </r>
  <r>
    <n v="2025"/>
    <n v="2"/>
    <x v="2"/>
    <x v="2"/>
    <s v="SEA"/>
    <s v="Seattle, WA: Seattle/Tacoma International"/>
    <n v="1963"/>
    <n v="460"/>
    <n v="208.06"/>
    <n v="85.01"/>
    <n v="83.88"/>
    <n v="0.1"/>
    <n v="82.96"/>
    <n v="21"/>
    <n v="2"/>
    <n v="30164"/>
    <n v="13476"/>
    <n v="6296"/>
    <n v="5059"/>
    <n v="6"/>
    <n v="5327"/>
    <n v="0.23430000000000001"/>
    <n v="1.0699999999999999E-2"/>
    <n v="1E-3"/>
  </r>
  <r>
    <n v="2025"/>
    <n v="2"/>
    <x v="3"/>
    <x v="3"/>
    <s v="SEA"/>
    <s v="Seattle, WA: Seattle/Tacoma International"/>
    <n v="1522"/>
    <n v="414"/>
    <n v="58.95"/>
    <n v="19.190000000000001"/>
    <n v="181.63"/>
    <n v="0.03"/>
    <n v="154.19999999999999"/>
    <n v="34"/>
    <n v="2"/>
    <n v="20932"/>
    <n v="3500"/>
    <n v="1968"/>
    <n v="6138"/>
    <n v="1"/>
    <n v="9325"/>
    <n v="0.27200000000000002"/>
    <n v="2.23E-2"/>
    <n v="1.2999999999999999E-3"/>
  </r>
  <r>
    <n v="2025"/>
    <n v="2"/>
    <x v="9"/>
    <x v="9"/>
    <s v="SEA"/>
    <s v="Seattle, WA: Seattle/Tacoma International"/>
    <n v="554"/>
    <n v="116"/>
    <n v="43.71"/>
    <n v="2.88"/>
    <n v="46.83"/>
    <n v="0"/>
    <n v="22.57"/>
    <n v="0"/>
    <n v="1"/>
    <n v="6288"/>
    <n v="2443"/>
    <n v="203"/>
    <n v="1788"/>
    <n v="0"/>
    <n v="1854"/>
    <n v="0.2094"/>
    <n v="0"/>
    <n v="1.8E-3"/>
  </r>
  <r>
    <n v="2025"/>
    <n v="2"/>
    <x v="10"/>
    <x v="10"/>
    <s v="SEA"/>
    <s v="Seattle, WA: Seattle/Tacoma International"/>
    <n v="468"/>
    <n v="89"/>
    <n v="27.2"/>
    <n v="0"/>
    <n v="25.12"/>
    <n v="0"/>
    <n v="36.68"/>
    <n v="1"/>
    <n v="1"/>
    <n v="4232"/>
    <n v="991"/>
    <n v="0"/>
    <n v="966"/>
    <n v="0"/>
    <n v="2275"/>
    <n v="0.19020000000000001"/>
    <n v="2.0999999999999999E-3"/>
    <n v="2.0999999999999999E-3"/>
  </r>
  <r>
    <n v="2025"/>
    <n v="1"/>
    <x v="0"/>
    <x v="0"/>
    <s v="SEA"/>
    <s v="Seattle, WA: Seattle/Tacoma International"/>
    <n v="68"/>
    <n v="13"/>
    <n v="10"/>
    <n v="1"/>
    <n v="0"/>
    <n v="0"/>
    <n v="2"/>
    <n v="1"/>
    <n v="0"/>
    <n v="889"/>
    <n v="523"/>
    <n v="265"/>
    <n v="0"/>
    <n v="0"/>
    <n v="101"/>
    <n v="0.19120000000000001"/>
    <n v="1.47E-2"/>
    <n v="0"/>
  </r>
  <r>
    <n v="2025"/>
    <n v="1"/>
    <x v="11"/>
    <x v="11"/>
    <s v="SEA"/>
    <s v="Seattle, WA: Seattle/Tacoma International"/>
    <n v="14"/>
    <n v="1"/>
    <n v="0.72"/>
    <n v="0"/>
    <n v="0"/>
    <n v="0"/>
    <n v="0.28000000000000003"/>
    <n v="0"/>
    <n v="0"/>
    <n v="18"/>
    <n v="13"/>
    <n v="0"/>
    <n v="0"/>
    <n v="0"/>
    <n v="5"/>
    <n v="7.1400000000000005E-2"/>
    <n v="0"/>
    <n v="0"/>
  </r>
  <r>
    <n v="2025"/>
    <n v="1"/>
    <x v="1"/>
    <x v="1"/>
    <s v="SEA"/>
    <s v="Seattle, WA: Seattle/Tacoma International"/>
    <n v="60"/>
    <n v="6"/>
    <n v="1.23"/>
    <n v="0"/>
    <n v="1.88"/>
    <n v="0"/>
    <n v="2.89"/>
    <n v="0"/>
    <n v="0"/>
    <n v="289"/>
    <n v="43"/>
    <n v="0"/>
    <n v="127"/>
    <n v="0"/>
    <n v="119"/>
    <n v="0.1"/>
    <n v="0"/>
    <n v="0"/>
  </r>
  <r>
    <n v="2025"/>
    <n v="1"/>
    <x v="2"/>
    <x v="2"/>
    <s v="SEA"/>
    <s v="Seattle, WA: Seattle/Tacoma International"/>
    <n v="2135"/>
    <n v="338"/>
    <n v="161.32"/>
    <n v="66.83"/>
    <n v="48.11"/>
    <n v="1"/>
    <n v="60.74"/>
    <n v="23"/>
    <n v="13"/>
    <n v="24184"/>
    <n v="10386"/>
    <n v="7214"/>
    <n v="2841"/>
    <n v="42"/>
    <n v="3701"/>
    <n v="0.1583"/>
    <n v="1.0800000000000001E-2"/>
    <n v="6.1000000000000004E-3"/>
  </r>
  <r>
    <n v="2025"/>
    <n v="1"/>
    <x v="4"/>
    <x v="4"/>
    <s v="SEA"/>
    <s v="Seattle, WA: Seattle/Tacoma International"/>
    <n v="374"/>
    <n v="78"/>
    <n v="36.950000000000003"/>
    <n v="8.14"/>
    <n v="19.48"/>
    <n v="0"/>
    <n v="13.43"/>
    <n v="9"/>
    <n v="0"/>
    <n v="4403"/>
    <n v="1659"/>
    <n v="977"/>
    <n v="827"/>
    <n v="0"/>
    <n v="940"/>
    <n v="0.20860000000000001"/>
    <n v="2.41E-2"/>
    <n v="0"/>
  </r>
  <r>
    <n v="2025"/>
    <n v="1"/>
    <x v="5"/>
    <x v="5"/>
    <s v="SEA"/>
    <s v="Seattle, WA: Seattle/Tacoma International"/>
    <n v="5599"/>
    <n v="1036"/>
    <n v="226.9"/>
    <n v="46.48"/>
    <n v="410.03"/>
    <n v="15.08"/>
    <n v="337.51"/>
    <n v="77"/>
    <n v="7"/>
    <n v="54450"/>
    <n v="15725"/>
    <n v="3814"/>
    <n v="13258"/>
    <n v="504"/>
    <n v="21149"/>
    <n v="0.185"/>
    <n v="1.38E-2"/>
    <n v="1.2999999999999999E-3"/>
  </r>
  <r>
    <n v="2025"/>
    <n v="1"/>
    <x v="6"/>
    <x v="6"/>
    <s v="SEA"/>
    <s v="Seattle, WA: Seattle/Tacoma International"/>
    <n v="31"/>
    <n v="3"/>
    <n v="0.97"/>
    <n v="0"/>
    <n v="1.27"/>
    <n v="0"/>
    <n v="0.76"/>
    <n v="0"/>
    <n v="0"/>
    <n v="459"/>
    <n v="108"/>
    <n v="0"/>
    <n v="54"/>
    <n v="0"/>
    <n v="297"/>
    <n v="9.6799999999999997E-2"/>
    <n v="0"/>
    <n v="0"/>
  </r>
  <r>
    <n v="2025"/>
    <n v="1"/>
    <x v="7"/>
    <x v="7"/>
    <s v="SEA"/>
    <s v="Seattle, WA: Seattle/Tacoma International"/>
    <n v="2364"/>
    <n v="338"/>
    <n v="130.38999999999999"/>
    <n v="15.48"/>
    <n v="78.430000000000007"/>
    <n v="1"/>
    <n v="112.7"/>
    <n v="21"/>
    <n v="5"/>
    <n v="28953"/>
    <n v="13457"/>
    <n v="3564"/>
    <n v="2777"/>
    <n v="39"/>
    <n v="9116"/>
    <n v="0.14299999999999999"/>
    <n v="8.8999999999999999E-3"/>
    <n v="2.0999999999999999E-3"/>
  </r>
  <r>
    <n v="2025"/>
    <n v="1"/>
    <x v="8"/>
    <x v="8"/>
    <s v="SEA"/>
    <s v="Seattle, WA: Seattle/Tacoma International"/>
    <n v="117"/>
    <n v="20"/>
    <n v="4.42"/>
    <n v="1.24"/>
    <n v="4.21"/>
    <n v="0"/>
    <n v="10.119999999999999"/>
    <n v="2"/>
    <n v="0"/>
    <n v="1212"/>
    <n v="297"/>
    <n v="40"/>
    <n v="122"/>
    <n v="0"/>
    <n v="753"/>
    <n v="0.1709"/>
    <n v="1.7100000000000001E-2"/>
    <n v="0"/>
  </r>
  <r>
    <n v="2025"/>
    <n v="1"/>
    <x v="3"/>
    <x v="3"/>
    <s v="SEA"/>
    <s v="Seattle, WA: Seattle/Tacoma International"/>
    <n v="1732"/>
    <n v="300"/>
    <n v="66.150000000000006"/>
    <n v="10.4"/>
    <n v="111.05"/>
    <n v="0.15"/>
    <n v="112.24"/>
    <n v="31"/>
    <n v="2"/>
    <n v="16712"/>
    <n v="5257"/>
    <n v="1164"/>
    <n v="3758"/>
    <n v="14"/>
    <n v="6519"/>
    <n v="0.17319999999999999"/>
    <n v="1.7899999999999999E-2"/>
    <n v="1.1999999999999999E-3"/>
  </r>
  <r>
    <n v="2025"/>
    <n v="1"/>
    <x v="9"/>
    <x v="9"/>
    <s v="SEA"/>
    <s v="Seattle, WA: Seattle/Tacoma International"/>
    <n v="611"/>
    <n v="97"/>
    <n v="37.86"/>
    <n v="2.04"/>
    <n v="23.91"/>
    <n v="0"/>
    <n v="33.19"/>
    <n v="3"/>
    <n v="2"/>
    <n v="5726"/>
    <n v="1994"/>
    <n v="150"/>
    <n v="1026"/>
    <n v="0"/>
    <n v="2556"/>
    <n v="0.1588"/>
    <n v="4.8999999999999998E-3"/>
    <n v="3.3E-3"/>
  </r>
  <r>
    <n v="2025"/>
    <n v="1"/>
    <x v="10"/>
    <x v="10"/>
    <s v="SEA"/>
    <s v="Seattle, WA: Seattle/Tacoma International"/>
    <n v="520"/>
    <n v="85"/>
    <n v="35.020000000000003"/>
    <n v="0.86"/>
    <n v="17.46"/>
    <n v="0.34"/>
    <n v="31.31"/>
    <n v="0"/>
    <n v="1"/>
    <n v="4351"/>
    <n v="1731"/>
    <n v="32"/>
    <n v="734"/>
    <n v="12"/>
    <n v="1842"/>
    <n v="0.16350000000000001"/>
    <n v="0"/>
    <n v="1.9E-3"/>
  </r>
  <r>
    <n v="2024"/>
    <n v="12"/>
    <x v="1"/>
    <x v="1"/>
    <s v="SEA"/>
    <s v="Seattle, WA: Seattle/Tacoma International"/>
    <n v="70"/>
    <n v="17"/>
    <n v="3.49"/>
    <n v="0"/>
    <n v="7.68"/>
    <n v="0.15"/>
    <n v="5.68"/>
    <n v="0"/>
    <n v="0"/>
    <n v="1055"/>
    <n v="161"/>
    <n v="0"/>
    <n v="527"/>
    <n v="44"/>
    <n v="323"/>
    <n v="0.2429"/>
    <n v="0"/>
    <n v="0"/>
  </r>
  <r>
    <n v="2024"/>
    <n v="12"/>
    <x v="2"/>
    <x v="2"/>
    <s v="SEA"/>
    <s v="Seattle, WA: Seattle/Tacoma International"/>
    <n v="2087"/>
    <n v="350"/>
    <n v="152.02000000000001"/>
    <n v="101.18"/>
    <n v="49.9"/>
    <n v="2"/>
    <n v="44.89"/>
    <n v="29"/>
    <n v="9"/>
    <n v="23147"/>
    <n v="8669"/>
    <n v="9888"/>
    <n v="2264"/>
    <n v="155"/>
    <n v="2171"/>
    <n v="0.16769999999999999"/>
    <n v="1.3899999999999999E-2"/>
    <n v="4.3E-3"/>
  </r>
  <r>
    <n v="2024"/>
    <n v="12"/>
    <x v="3"/>
    <x v="3"/>
    <s v="SEA"/>
    <s v="Seattle, WA: Seattle/Tacoma International"/>
    <n v="1788"/>
    <n v="312"/>
    <n v="61.5"/>
    <n v="5.79"/>
    <n v="118.03"/>
    <n v="0.67"/>
    <n v="126.01"/>
    <n v="47"/>
    <n v="1"/>
    <n v="15378"/>
    <n v="3972"/>
    <n v="474"/>
    <n v="3698"/>
    <n v="21"/>
    <n v="7213"/>
    <n v="0.17449999999999999"/>
    <n v="2.63E-2"/>
    <n v="5.9999999999999995E-4"/>
  </r>
  <r>
    <n v="2024"/>
    <n v="12"/>
    <x v="9"/>
    <x v="9"/>
    <s v="SEA"/>
    <s v="Seattle, WA: Seattle/Tacoma International"/>
    <n v="643"/>
    <n v="91"/>
    <n v="33.07"/>
    <n v="3.22"/>
    <n v="16.079999999999998"/>
    <n v="0"/>
    <n v="38.630000000000003"/>
    <n v="2"/>
    <n v="2"/>
    <n v="5003"/>
    <n v="1780"/>
    <n v="517"/>
    <n v="549"/>
    <n v="0"/>
    <n v="2157"/>
    <n v="0.14149999999999999"/>
    <n v="3.0999999999999999E-3"/>
    <n v="3.0999999999999999E-3"/>
  </r>
  <r>
    <n v="2024"/>
    <n v="12"/>
    <x v="10"/>
    <x v="10"/>
    <s v="SEA"/>
    <s v="Seattle, WA: Seattle/Tacoma International"/>
    <n v="558"/>
    <n v="129"/>
    <n v="45.2"/>
    <n v="0"/>
    <n v="20.95"/>
    <n v="0"/>
    <n v="62.84"/>
    <n v="1"/>
    <n v="1"/>
    <n v="6043"/>
    <n v="1944"/>
    <n v="0"/>
    <n v="641"/>
    <n v="0"/>
    <n v="3458"/>
    <n v="0.23119999999999999"/>
    <n v="1.8E-3"/>
    <n v="1.8E-3"/>
  </r>
  <r>
    <n v="2024"/>
    <n v="12"/>
    <x v="4"/>
    <x v="4"/>
    <s v="SEA"/>
    <s v="Seattle, WA: Seattle/Tacoma International"/>
    <n v="444"/>
    <n v="111"/>
    <n v="44.29"/>
    <n v="5.0999999999999996"/>
    <n v="25.78"/>
    <n v="0"/>
    <n v="35.83"/>
    <n v="6"/>
    <n v="3"/>
    <n v="6115"/>
    <n v="1954"/>
    <n v="356"/>
    <n v="978"/>
    <n v="0"/>
    <n v="2827"/>
    <n v="0.25"/>
    <n v="1.35E-2"/>
    <n v="6.7999999999999996E-3"/>
  </r>
  <r>
    <n v="2024"/>
    <n v="12"/>
    <x v="5"/>
    <x v="5"/>
    <s v="SEA"/>
    <s v="Seattle, WA: Seattle/Tacoma International"/>
    <n v="5939"/>
    <n v="1140"/>
    <n v="239.32"/>
    <n v="32.340000000000003"/>
    <n v="394.85"/>
    <n v="12.31"/>
    <n v="461.19"/>
    <n v="37"/>
    <n v="6"/>
    <n v="62757"/>
    <n v="16603"/>
    <n v="2541"/>
    <n v="13429"/>
    <n v="427"/>
    <n v="29757"/>
    <n v="0.192"/>
    <n v="6.1999999999999998E-3"/>
    <n v="1E-3"/>
  </r>
  <r>
    <n v="2024"/>
    <n v="12"/>
    <x v="6"/>
    <x v="6"/>
    <s v="SEA"/>
    <s v="Seattle, WA: Seattle/Tacoma International"/>
    <n v="31"/>
    <n v="8"/>
    <n v="2.4300000000000002"/>
    <n v="0"/>
    <n v="5.16"/>
    <n v="0"/>
    <n v="0.41"/>
    <n v="0"/>
    <n v="0"/>
    <n v="335"/>
    <n v="173"/>
    <n v="0"/>
    <n v="134"/>
    <n v="0"/>
    <n v="28"/>
    <n v="0.2581"/>
    <n v="0"/>
    <n v="0"/>
  </r>
  <r>
    <n v="2024"/>
    <n v="12"/>
    <x v="7"/>
    <x v="7"/>
    <s v="SEA"/>
    <s v="Seattle, WA: Seattle/Tacoma International"/>
    <n v="2626"/>
    <n v="360"/>
    <n v="130.56"/>
    <n v="11.97"/>
    <n v="78.22"/>
    <n v="0"/>
    <n v="139.25"/>
    <n v="4"/>
    <n v="4"/>
    <n v="29880"/>
    <n v="12002"/>
    <n v="3269"/>
    <n v="2800"/>
    <n v="0"/>
    <n v="11809"/>
    <n v="0.1371"/>
    <n v="1.5E-3"/>
    <n v="1.5E-3"/>
  </r>
  <r>
    <n v="2024"/>
    <n v="12"/>
    <x v="8"/>
    <x v="8"/>
    <s v="SEA"/>
    <s v="Seattle, WA: Seattle/Tacoma International"/>
    <n v="112"/>
    <n v="18"/>
    <n v="3.56"/>
    <n v="0"/>
    <n v="6.13"/>
    <n v="0"/>
    <n v="8.31"/>
    <n v="0"/>
    <n v="0"/>
    <n v="773"/>
    <n v="151"/>
    <n v="0"/>
    <n v="173"/>
    <n v="0"/>
    <n v="449"/>
    <n v="0.16070000000000001"/>
    <n v="0"/>
    <n v="0"/>
  </r>
  <r>
    <n v="2024"/>
    <n v="12"/>
    <x v="0"/>
    <x v="0"/>
    <s v="SEA"/>
    <s v="Seattle, WA: Seattle/Tacoma International"/>
    <n v="79"/>
    <n v="26"/>
    <n v="14.54"/>
    <n v="0.63"/>
    <n v="0"/>
    <n v="0.82"/>
    <n v="10.02"/>
    <n v="3"/>
    <n v="0"/>
    <n v="1023"/>
    <n v="461"/>
    <n v="25"/>
    <n v="0"/>
    <n v="56"/>
    <n v="481"/>
    <n v="0.3291"/>
    <n v="3.7999999999999999E-2"/>
    <n v="0"/>
  </r>
  <r>
    <n v="2024"/>
    <n v="11"/>
    <x v="4"/>
    <x v="4"/>
    <s v="SEA"/>
    <s v="Seattle, WA: Seattle/Tacoma International"/>
    <n v="372"/>
    <n v="60"/>
    <n v="22.71"/>
    <n v="5"/>
    <n v="19.510000000000002"/>
    <n v="0"/>
    <n v="12.78"/>
    <n v="3"/>
    <n v="1"/>
    <n v="3436"/>
    <n v="927"/>
    <n v="943"/>
    <n v="707"/>
    <n v="0"/>
    <n v="859"/>
    <n v="0.1613"/>
    <n v="8.0999999999999996E-3"/>
    <n v="2.7000000000000001E-3"/>
  </r>
  <r>
    <n v="2024"/>
    <n v="11"/>
    <x v="5"/>
    <x v="5"/>
    <s v="SEA"/>
    <s v="Seattle, WA: Seattle/Tacoma International"/>
    <n v="5918"/>
    <n v="857"/>
    <n v="199.39"/>
    <n v="9.41"/>
    <n v="375.5"/>
    <n v="7.09"/>
    <n v="265.62"/>
    <n v="34"/>
    <n v="14"/>
    <n v="39146"/>
    <n v="12233"/>
    <n v="706"/>
    <n v="11455"/>
    <n v="274"/>
    <n v="14478"/>
    <n v="0.14480000000000001"/>
    <n v="5.7000000000000002E-3"/>
    <n v="2.3999999999999998E-3"/>
  </r>
  <r>
    <n v="2024"/>
    <n v="11"/>
    <x v="6"/>
    <x v="6"/>
    <s v="SEA"/>
    <s v="Seattle, WA: Seattle/Tacoma International"/>
    <n v="30"/>
    <n v="2"/>
    <n v="0"/>
    <n v="0"/>
    <n v="2"/>
    <n v="0"/>
    <n v="0"/>
    <n v="0"/>
    <n v="0"/>
    <n v="56"/>
    <n v="0"/>
    <n v="0"/>
    <n v="56"/>
    <n v="0"/>
    <n v="0"/>
    <n v="6.6699999999999995E-2"/>
    <n v="0"/>
    <n v="0"/>
  </r>
  <r>
    <n v="2024"/>
    <n v="11"/>
    <x v="7"/>
    <x v="7"/>
    <s v="SEA"/>
    <s v="Seattle, WA: Seattle/Tacoma International"/>
    <n v="2502"/>
    <n v="218"/>
    <n v="86.81"/>
    <n v="10.43"/>
    <n v="57.19"/>
    <n v="0"/>
    <n v="63.58"/>
    <n v="6"/>
    <n v="11"/>
    <n v="15299"/>
    <n v="7445"/>
    <n v="1064"/>
    <n v="1995"/>
    <n v="0"/>
    <n v="4795"/>
    <n v="8.7099999999999997E-2"/>
    <n v="2.3999999999999998E-3"/>
    <n v="4.4000000000000003E-3"/>
  </r>
  <r>
    <n v="2024"/>
    <n v="11"/>
    <x v="8"/>
    <x v="8"/>
    <s v="SEA"/>
    <s v="Seattle, WA: Seattle/Tacoma International"/>
    <n v="147"/>
    <n v="35"/>
    <n v="8.5399999999999991"/>
    <n v="0.74"/>
    <n v="12.99"/>
    <n v="0"/>
    <n v="12.73"/>
    <n v="3"/>
    <n v="0"/>
    <n v="2082"/>
    <n v="508"/>
    <n v="31"/>
    <n v="420"/>
    <n v="0"/>
    <n v="1123"/>
    <n v="0.23810000000000001"/>
    <n v="2.0400000000000001E-2"/>
    <n v="0"/>
  </r>
  <r>
    <n v="2024"/>
    <n v="11"/>
    <x v="0"/>
    <x v="0"/>
    <s v="SEA"/>
    <s v="Seattle, WA: Seattle/Tacoma International"/>
    <n v="65"/>
    <n v="13"/>
    <n v="9.33"/>
    <n v="0"/>
    <n v="0"/>
    <n v="0"/>
    <n v="3.67"/>
    <n v="2"/>
    <n v="0"/>
    <n v="514"/>
    <n v="406"/>
    <n v="0"/>
    <n v="0"/>
    <n v="0"/>
    <n v="108"/>
    <n v="0.2"/>
    <n v="3.0800000000000001E-2"/>
    <n v="0"/>
  </r>
  <r>
    <n v="2024"/>
    <n v="11"/>
    <x v="11"/>
    <x v="11"/>
    <s v="SEA"/>
    <s v="Seattle, WA: Seattle/Tacoma International"/>
    <n v="10"/>
    <n v="1"/>
    <n v="0"/>
    <n v="0"/>
    <n v="1"/>
    <n v="0"/>
    <n v="0"/>
    <n v="0"/>
    <n v="0"/>
    <n v="16"/>
    <n v="0"/>
    <n v="0"/>
    <n v="16"/>
    <n v="0"/>
    <n v="0"/>
    <n v="0.1"/>
    <n v="0"/>
    <n v="0"/>
  </r>
  <r>
    <n v="2024"/>
    <n v="11"/>
    <x v="1"/>
    <x v="1"/>
    <s v="SEA"/>
    <s v="Seattle, WA: Seattle/Tacoma International"/>
    <n v="79"/>
    <n v="10"/>
    <n v="2.04"/>
    <n v="0"/>
    <n v="3.48"/>
    <n v="0"/>
    <n v="4.47"/>
    <n v="0"/>
    <n v="0"/>
    <n v="582"/>
    <n v="183"/>
    <n v="0"/>
    <n v="211"/>
    <n v="0"/>
    <n v="188"/>
    <n v="0.12659999999999999"/>
    <n v="0"/>
    <n v="0"/>
  </r>
  <r>
    <n v="2024"/>
    <n v="11"/>
    <x v="2"/>
    <x v="2"/>
    <s v="SEA"/>
    <s v="Seattle, WA: Seattle/Tacoma International"/>
    <n v="2084"/>
    <n v="251"/>
    <n v="153.91999999999999"/>
    <n v="31.21"/>
    <n v="35.18"/>
    <n v="1"/>
    <n v="29.69"/>
    <n v="5"/>
    <n v="1"/>
    <n v="13558"/>
    <n v="7297"/>
    <n v="2456"/>
    <n v="2332"/>
    <n v="63"/>
    <n v="1410"/>
    <n v="0.12039999999999999"/>
    <n v="2.3999999999999998E-3"/>
    <n v="5.0000000000000001E-4"/>
  </r>
  <r>
    <n v="2024"/>
    <n v="11"/>
    <x v="3"/>
    <x v="3"/>
    <s v="SEA"/>
    <s v="Seattle, WA: Seattle/Tacoma International"/>
    <n v="1615"/>
    <n v="196"/>
    <n v="37.299999999999997"/>
    <n v="2.73"/>
    <n v="84.19"/>
    <n v="2.62"/>
    <n v="69.17"/>
    <n v="24"/>
    <n v="3"/>
    <n v="10517"/>
    <n v="3023"/>
    <n v="536"/>
    <n v="2279"/>
    <n v="63"/>
    <n v="4616"/>
    <n v="0.12139999999999999"/>
    <n v="1.49E-2"/>
    <n v="1.9E-3"/>
  </r>
  <r>
    <n v="2024"/>
    <n v="11"/>
    <x v="9"/>
    <x v="9"/>
    <s v="SEA"/>
    <s v="Seattle, WA: Seattle/Tacoma International"/>
    <n v="709"/>
    <n v="108"/>
    <n v="29.69"/>
    <n v="2.33"/>
    <n v="34.83"/>
    <n v="0"/>
    <n v="41.15"/>
    <n v="1"/>
    <n v="0"/>
    <n v="5547"/>
    <n v="1482"/>
    <n v="120"/>
    <n v="1264"/>
    <n v="0"/>
    <n v="2681"/>
    <n v="0.15229999999999999"/>
    <n v="1.4E-3"/>
    <n v="0"/>
  </r>
  <r>
    <n v="2024"/>
    <n v="11"/>
    <x v="10"/>
    <x v="10"/>
    <s v="SEA"/>
    <s v="Seattle, WA: Seattle/Tacoma International"/>
    <n v="535"/>
    <n v="91"/>
    <n v="31.07"/>
    <n v="1.5"/>
    <n v="21.68"/>
    <n v="0"/>
    <n v="36.75"/>
    <n v="2"/>
    <n v="1"/>
    <n v="4170"/>
    <n v="1404"/>
    <n v="71"/>
    <n v="735"/>
    <n v="0"/>
    <n v="1960"/>
    <n v="0.1701"/>
    <n v="3.7000000000000002E-3"/>
    <n v="1.9E-3"/>
  </r>
  <r>
    <n v="2024"/>
    <n v="10"/>
    <x v="2"/>
    <x v="2"/>
    <s v="SEA"/>
    <s v="Seattle, WA: Seattle/Tacoma International"/>
    <n v="2100"/>
    <n v="229"/>
    <n v="137.4"/>
    <n v="33.03"/>
    <n v="24.52"/>
    <n v="0"/>
    <n v="34.06"/>
    <n v="0"/>
    <n v="2"/>
    <n v="14154"/>
    <n v="8386"/>
    <n v="2918"/>
    <n v="1094"/>
    <n v="0"/>
    <n v="1756"/>
    <n v="0.109"/>
    <n v="0"/>
    <n v="1E-3"/>
  </r>
  <r>
    <n v="2024"/>
    <n v="10"/>
    <x v="3"/>
    <x v="3"/>
    <s v="SEA"/>
    <s v="Seattle, WA: Seattle/Tacoma International"/>
    <n v="1727"/>
    <n v="221"/>
    <n v="42.2"/>
    <n v="1.92"/>
    <n v="99.07"/>
    <n v="1.54"/>
    <n v="76.27"/>
    <n v="4"/>
    <n v="0"/>
    <n v="9723"/>
    <n v="3295"/>
    <n v="208"/>
    <n v="2641"/>
    <n v="84"/>
    <n v="3495"/>
    <n v="0.128"/>
    <n v="2.3E-3"/>
    <n v="0"/>
  </r>
  <r>
    <n v="2024"/>
    <n v="10"/>
    <x v="9"/>
    <x v="9"/>
    <s v="SEA"/>
    <s v="Seattle, WA: Seattle/Tacoma International"/>
    <n v="799"/>
    <n v="95"/>
    <n v="28.5"/>
    <n v="0"/>
    <n v="36.6"/>
    <n v="0"/>
    <n v="29.9"/>
    <n v="4"/>
    <n v="1"/>
    <n v="4367"/>
    <n v="1458"/>
    <n v="0"/>
    <n v="1035"/>
    <n v="0"/>
    <n v="1874"/>
    <n v="0.11890000000000001"/>
    <n v="5.0000000000000001E-3"/>
    <n v="1.2999999999999999E-3"/>
  </r>
  <r>
    <n v="2024"/>
    <n v="10"/>
    <x v="10"/>
    <x v="10"/>
    <s v="SEA"/>
    <s v="Seattle, WA: Seattle/Tacoma International"/>
    <n v="654"/>
    <n v="128"/>
    <n v="44.69"/>
    <n v="0"/>
    <n v="34.01"/>
    <n v="0"/>
    <n v="49.3"/>
    <n v="0"/>
    <n v="0"/>
    <n v="5178"/>
    <n v="1879"/>
    <n v="0"/>
    <n v="976"/>
    <n v="0"/>
    <n v="2323"/>
    <n v="0.19570000000000001"/>
    <n v="0"/>
    <n v="0"/>
  </r>
  <r>
    <n v="2024"/>
    <n v="10"/>
    <x v="4"/>
    <x v="4"/>
    <s v="SEA"/>
    <s v="Seattle, WA: Seattle/Tacoma International"/>
    <n v="484"/>
    <n v="96"/>
    <n v="36.85"/>
    <n v="0"/>
    <n v="31.48"/>
    <n v="0.31"/>
    <n v="27.35"/>
    <n v="1"/>
    <n v="1"/>
    <n v="5594"/>
    <n v="2735"/>
    <n v="0"/>
    <n v="1105"/>
    <n v="22"/>
    <n v="1732"/>
    <n v="0.1983"/>
    <n v="2.0999999999999999E-3"/>
    <n v="2.0999999999999999E-3"/>
  </r>
  <r>
    <n v="2024"/>
    <n v="10"/>
    <x v="5"/>
    <x v="5"/>
    <s v="SEA"/>
    <s v="Seattle, WA: Seattle/Tacoma International"/>
    <n v="6540"/>
    <n v="925"/>
    <n v="206.94"/>
    <n v="20.34"/>
    <n v="341.73"/>
    <n v="7.92"/>
    <n v="348.07"/>
    <n v="55"/>
    <n v="5"/>
    <n v="46885"/>
    <n v="15511"/>
    <n v="1894"/>
    <n v="11133"/>
    <n v="589"/>
    <n v="17758"/>
    <n v="0.1414"/>
    <n v="8.3999999999999995E-3"/>
    <n v="8.0000000000000004E-4"/>
  </r>
  <r>
    <n v="2024"/>
    <n v="10"/>
    <x v="6"/>
    <x v="6"/>
    <s v="SEA"/>
    <s v="Seattle, WA: Seattle/Tacoma International"/>
    <n v="57"/>
    <n v="10"/>
    <n v="1.1299999999999999"/>
    <n v="0"/>
    <n v="7.63"/>
    <n v="0"/>
    <n v="1.25"/>
    <n v="0"/>
    <n v="0"/>
    <n v="340"/>
    <n v="37"/>
    <n v="0"/>
    <n v="212"/>
    <n v="0"/>
    <n v="91"/>
    <n v="0.1754"/>
    <n v="0"/>
    <n v="0"/>
  </r>
  <r>
    <n v="2024"/>
    <n v="10"/>
    <x v="7"/>
    <x v="7"/>
    <s v="SEA"/>
    <s v="Seattle, WA: Seattle/Tacoma International"/>
    <n v="2732"/>
    <n v="242"/>
    <n v="97.85"/>
    <n v="5.93"/>
    <n v="63.68"/>
    <n v="1"/>
    <n v="73.53"/>
    <n v="9"/>
    <n v="1"/>
    <n v="16241"/>
    <n v="8519"/>
    <n v="1096"/>
    <n v="1914"/>
    <n v="55"/>
    <n v="4657"/>
    <n v="8.8599999999999998E-2"/>
    <n v="3.3E-3"/>
    <n v="4.0000000000000002E-4"/>
  </r>
  <r>
    <n v="2024"/>
    <n v="10"/>
    <x v="8"/>
    <x v="8"/>
    <s v="SEA"/>
    <s v="Seattle, WA: Seattle/Tacoma International"/>
    <n v="148"/>
    <n v="29"/>
    <n v="5.0199999999999996"/>
    <n v="0.02"/>
    <n v="8.8699999999999992"/>
    <n v="0"/>
    <n v="15.09"/>
    <n v="0"/>
    <n v="0"/>
    <n v="1456"/>
    <n v="244"/>
    <n v="1"/>
    <n v="268"/>
    <n v="0"/>
    <n v="943"/>
    <n v="0.19589999999999999"/>
    <n v="0"/>
    <n v="0"/>
  </r>
  <r>
    <n v="2024"/>
    <n v="10"/>
    <x v="0"/>
    <x v="0"/>
    <s v="SEA"/>
    <s v="Seattle, WA: Seattle/Tacoma International"/>
    <n v="62"/>
    <n v="18"/>
    <n v="16.309999999999999"/>
    <n v="0"/>
    <n v="0"/>
    <n v="0"/>
    <n v="1.69"/>
    <n v="1"/>
    <n v="0"/>
    <n v="926"/>
    <n v="855"/>
    <n v="0"/>
    <n v="0"/>
    <n v="0"/>
    <n v="71"/>
    <n v="0.2903"/>
    <n v="1.61E-2"/>
    <n v="0"/>
  </r>
  <r>
    <n v="2024"/>
    <n v="10"/>
    <x v="11"/>
    <x v="11"/>
    <s v="SEA"/>
    <s v="Seattle, WA: Seattle/Tacoma International"/>
    <n v="81"/>
    <n v="8"/>
    <n v="2.96"/>
    <n v="0"/>
    <n v="3.02"/>
    <n v="0"/>
    <n v="2.02"/>
    <n v="0"/>
    <n v="0"/>
    <n v="383"/>
    <n v="131"/>
    <n v="0"/>
    <n v="85"/>
    <n v="0"/>
    <n v="167"/>
    <n v="9.8799999999999999E-2"/>
    <n v="0"/>
    <n v="0"/>
  </r>
  <r>
    <n v="2024"/>
    <n v="10"/>
    <x v="1"/>
    <x v="1"/>
    <s v="SEA"/>
    <s v="Seattle, WA: Seattle/Tacoma International"/>
    <n v="99"/>
    <n v="17"/>
    <n v="3.48"/>
    <n v="0"/>
    <n v="10.73"/>
    <n v="0"/>
    <n v="2.79"/>
    <n v="0"/>
    <n v="0"/>
    <n v="1687"/>
    <n v="990"/>
    <n v="0"/>
    <n v="552"/>
    <n v="0"/>
    <n v="145"/>
    <n v="0.17169999999999999"/>
    <n v="0"/>
    <n v="0"/>
  </r>
  <r>
    <n v="2024"/>
    <n v="9"/>
    <x v="4"/>
    <x v="4"/>
    <s v="SEA"/>
    <s v="Seattle, WA: Seattle/Tacoma International"/>
    <n v="494"/>
    <n v="96"/>
    <n v="33.049999999999997"/>
    <n v="3.32"/>
    <n v="29.01"/>
    <n v="0.63"/>
    <n v="30"/>
    <n v="4"/>
    <n v="2"/>
    <n v="6103"/>
    <n v="2401"/>
    <n v="248"/>
    <n v="958"/>
    <n v="46"/>
    <n v="2450"/>
    <n v="0.1943"/>
    <n v="8.0999999999999996E-3"/>
    <n v="4.0000000000000001E-3"/>
  </r>
  <r>
    <n v="2024"/>
    <n v="9"/>
    <x v="5"/>
    <x v="5"/>
    <s v="SEA"/>
    <s v="Seattle, WA: Seattle/Tacoma International"/>
    <n v="7225"/>
    <n v="1439"/>
    <n v="252.39"/>
    <n v="21.24"/>
    <n v="596.37"/>
    <n v="8.18"/>
    <n v="560.80999999999995"/>
    <n v="54"/>
    <n v="17"/>
    <n v="70485"/>
    <n v="18116"/>
    <n v="1564"/>
    <n v="20424"/>
    <n v="373"/>
    <n v="30008"/>
    <n v="0.19919999999999999"/>
    <n v="7.4999999999999997E-3"/>
    <n v="2.3999999999999998E-3"/>
  </r>
  <r>
    <n v="2024"/>
    <n v="9"/>
    <x v="6"/>
    <x v="6"/>
    <s v="SEA"/>
    <s v="Seattle, WA: Seattle/Tacoma International"/>
    <n v="63"/>
    <n v="5"/>
    <n v="3.26"/>
    <n v="0.71"/>
    <n v="0.61"/>
    <n v="0"/>
    <n v="0.42"/>
    <n v="0"/>
    <n v="0"/>
    <n v="236"/>
    <n v="145"/>
    <n v="17"/>
    <n v="36"/>
    <n v="0"/>
    <n v="38"/>
    <n v="7.9399999999999998E-2"/>
    <n v="0"/>
    <n v="0"/>
  </r>
  <r>
    <n v="2024"/>
    <n v="9"/>
    <x v="7"/>
    <x v="7"/>
    <s v="SEA"/>
    <s v="Seattle, WA: Seattle/Tacoma International"/>
    <n v="2762"/>
    <n v="279"/>
    <n v="113.41"/>
    <n v="7.48"/>
    <n v="80.52"/>
    <n v="0"/>
    <n v="77.59"/>
    <n v="6"/>
    <n v="2"/>
    <n v="19531"/>
    <n v="11679"/>
    <n v="1017"/>
    <n v="2319"/>
    <n v="0"/>
    <n v="4516"/>
    <n v="0.10100000000000001"/>
    <n v="2.2000000000000001E-3"/>
    <n v="6.9999999999999999E-4"/>
  </r>
  <r>
    <n v="2024"/>
    <n v="9"/>
    <x v="8"/>
    <x v="8"/>
    <s v="SEA"/>
    <s v="Seattle, WA: Seattle/Tacoma International"/>
    <n v="141"/>
    <n v="31"/>
    <n v="7.28"/>
    <n v="0.2"/>
    <n v="11.6"/>
    <n v="0"/>
    <n v="11.92"/>
    <n v="2"/>
    <n v="0"/>
    <n v="1612"/>
    <n v="355"/>
    <n v="7"/>
    <n v="372"/>
    <n v="0"/>
    <n v="878"/>
    <n v="0.21990000000000001"/>
    <n v="1.4200000000000001E-2"/>
    <n v="0"/>
  </r>
  <r>
    <n v="2024"/>
    <n v="9"/>
    <x v="0"/>
    <x v="0"/>
    <s v="SEA"/>
    <s v="Seattle, WA: Seattle/Tacoma International"/>
    <n v="60"/>
    <n v="17"/>
    <n v="13.95"/>
    <n v="0"/>
    <n v="1"/>
    <n v="0"/>
    <n v="2.0499999999999998"/>
    <n v="0"/>
    <n v="0"/>
    <n v="615"/>
    <n v="516"/>
    <n v="0"/>
    <n v="16"/>
    <n v="0"/>
    <n v="83"/>
    <n v="0.2833"/>
    <n v="0"/>
    <n v="0"/>
  </r>
  <r>
    <n v="2024"/>
    <n v="9"/>
    <x v="11"/>
    <x v="11"/>
    <s v="SEA"/>
    <s v="Seattle, WA: Seattle/Tacoma International"/>
    <n v="48"/>
    <n v="5"/>
    <n v="1.5"/>
    <n v="0"/>
    <n v="3.03"/>
    <n v="0"/>
    <n v="0.47"/>
    <n v="0"/>
    <n v="0"/>
    <n v="174"/>
    <n v="72"/>
    <n v="0"/>
    <n v="64"/>
    <n v="0"/>
    <n v="38"/>
    <n v="0.1042"/>
    <n v="0"/>
    <n v="0"/>
  </r>
  <r>
    <n v="2024"/>
    <n v="9"/>
    <x v="1"/>
    <x v="1"/>
    <s v="SEA"/>
    <s v="Seattle, WA: Seattle/Tacoma International"/>
    <n v="104"/>
    <n v="15"/>
    <n v="2.17"/>
    <n v="0"/>
    <n v="11.25"/>
    <n v="0"/>
    <n v="1.58"/>
    <n v="0"/>
    <n v="0"/>
    <n v="558"/>
    <n v="82"/>
    <n v="0"/>
    <n v="405"/>
    <n v="0"/>
    <n v="71"/>
    <n v="0.14419999999999999"/>
    <n v="0"/>
    <n v="0"/>
  </r>
  <r>
    <n v="2024"/>
    <n v="9"/>
    <x v="2"/>
    <x v="2"/>
    <s v="SEA"/>
    <s v="Seattle, WA: Seattle/Tacoma International"/>
    <n v="2216"/>
    <n v="456"/>
    <n v="169.44"/>
    <n v="57.45"/>
    <n v="140.49"/>
    <n v="0"/>
    <n v="88.63"/>
    <n v="3"/>
    <n v="3"/>
    <n v="22873"/>
    <n v="9396"/>
    <n v="3794"/>
    <n v="4915"/>
    <n v="0"/>
    <n v="4768"/>
    <n v="0.20580000000000001"/>
    <n v="1.4E-3"/>
    <n v="1.4E-3"/>
  </r>
  <r>
    <n v="2024"/>
    <n v="9"/>
    <x v="3"/>
    <x v="3"/>
    <s v="SEA"/>
    <s v="Seattle, WA: Seattle/Tacoma International"/>
    <n v="1868"/>
    <n v="435"/>
    <n v="68.17"/>
    <n v="6.39"/>
    <n v="230.19"/>
    <n v="0.49"/>
    <n v="129.76"/>
    <n v="2"/>
    <n v="0"/>
    <n v="17924"/>
    <n v="4647"/>
    <n v="407"/>
    <n v="7563"/>
    <n v="22"/>
    <n v="5285"/>
    <n v="0.2329"/>
    <n v="1.1000000000000001E-3"/>
    <n v="0"/>
  </r>
  <r>
    <n v="2024"/>
    <n v="9"/>
    <x v="9"/>
    <x v="9"/>
    <s v="SEA"/>
    <s v="Seattle, WA: Seattle/Tacoma International"/>
    <n v="848"/>
    <n v="111"/>
    <n v="33.32"/>
    <n v="0.44"/>
    <n v="39.81"/>
    <n v="0"/>
    <n v="37.43"/>
    <n v="1"/>
    <n v="1"/>
    <n v="5912"/>
    <n v="1793"/>
    <n v="46"/>
    <n v="1498"/>
    <n v="0"/>
    <n v="2575"/>
    <n v="0.13089999999999999"/>
    <n v="1.1999999999999999E-3"/>
    <n v="1.1999999999999999E-3"/>
  </r>
  <r>
    <n v="2024"/>
    <n v="9"/>
    <x v="10"/>
    <x v="10"/>
    <s v="SEA"/>
    <s v="Seattle, WA: Seattle/Tacoma International"/>
    <n v="849"/>
    <n v="233"/>
    <n v="56.73"/>
    <n v="0.54"/>
    <n v="113.57"/>
    <n v="0"/>
    <n v="62.15"/>
    <n v="0"/>
    <n v="2"/>
    <n v="8541"/>
    <n v="2053"/>
    <n v="32"/>
    <n v="3608"/>
    <n v="0"/>
    <n v="2848"/>
    <n v="0.27439999999999998"/>
    <n v="0"/>
    <n v="2.3999999999999998E-3"/>
  </r>
  <r>
    <n v="2024"/>
    <n v="8"/>
    <x v="4"/>
    <x v="4"/>
    <s v="SEA"/>
    <s v="Seattle, WA: Seattle/Tacoma International"/>
    <n v="601"/>
    <n v="211"/>
    <n v="83.4"/>
    <n v="6.6"/>
    <n v="46.79"/>
    <n v="1.48"/>
    <n v="72.72"/>
    <n v="12"/>
    <n v="1"/>
    <n v="20187"/>
    <n v="8231"/>
    <n v="1650"/>
    <n v="2173"/>
    <n v="81"/>
    <n v="8052"/>
    <n v="0.35110000000000002"/>
    <n v="0.02"/>
    <n v="1.6999999999999999E-3"/>
  </r>
  <r>
    <n v="2024"/>
    <n v="8"/>
    <x v="5"/>
    <x v="5"/>
    <s v="SEA"/>
    <s v="Seattle, WA: Seattle/Tacoma International"/>
    <n v="7576"/>
    <n v="1839"/>
    <n v="307.49"/>
    <n v="59.92"/>
    <n v="649"/>
    <n v="13.15"/>
    <n v="809.43"/>
    <n v="84"/>
    <n v="27"/>
    <n v="103175"/>
    <n v="22723"/>
    <n v="5604"/>
    <n v="27993"/>
    <n v="512"/>
    <n v="46343"/>
    <n v="0.2427"/>
    <n v="1.11E-2"/>
    <n v="3.5999999999999999E-3"/>
  </r>
  <r>
    <n v="2024"/>
    <n v="8"/>
    <x v="6"/>
    <x v="6"/>
    <s v="SEA"/>
    <s v="Seattle, WA: Seattle/Tacoma International"/>
    <n v="93"/>
    <n v="44"/>
    <n v="15.85"/>
    <n v="0"/>
    <n v="21.4"/>
    <n v="0"/>
    <n v="6.76"/>
    <n v="2"/>
    <n v="1"/>
    <n v="2444"/>
    <n v="1142"/>
    <n v="0"/>
    <n v="909"/>
    <n v="0"/>
    <n v="393"/>
    <n v="0.47310000000000002"/>
    <n v="2.1499999999999998E-2"/>
    <n v="1.0800000000000001E-2"/>
  </r>
  <r>
    <n v="2024"/>
    <n v="8"/>
    <x v="7"/>
    <x v="7"/>
    <s v="SEA"/>
    <s v="Seattle, WA: Seattle/Tacoma International"/>
    <n v="2960"/>
    <n v="499"/>
    <n v="164.27"/>
    <n v="16.79"/>
    <n v="164.08"/>
    <n v="1"/>
    <n v="152.87"/>
    <n v="11"/>
    <n v="10"/>
    <n v="36000"/>
    <n v="15534"/>
    <n v="2654"/>
    <n v="6653"/>
    <n v="48"/>
    <n v="11111"/>
    <n v="0.1686"/>
    <n v="3.7000000000000002E-3"/>
    <n v="3.3999999999999998E-3"/>
  </r>
  <r>
    <n v="2024"/>
    <n v="8"/>
    <x v="8"/>
    <x v="8"/>
    <s v="SEA"/>
    <s v="Seattle, WA: Seattle/Tacoma International"/>
    <n v="164"/>
    <n v="48"/>
    <n v="6.91"/>
    <n v="0"/>
    <n v="14.58"/>
    <n v="0"/>
    <n v="26.51"/>
    <n v="5"/>
    <n v="0"/>
    <n v="2779"/>
    <n v="334"/>
    <n v="0"/>
    <n v="661"/>
    <n v="0"/>
    <n v="1784"/>
    <n v="0.29270000000000002"/>
    <n v="3.0499999999999999E-2"/>
    <n v="0"/>
  </r>
  <r>
    <n v="2024"/>
    <n v="8"/>
    <x v="0"/>
    <x v="0"/>
    <s v="SEA"/>
    <s v="Seattle, WA: Seattle/Tacoma International"/>
    <n v="62"/>
    <n v="22"/>
    <n v="18.63"/>
    <n v="0.71"/>
    <n v="0"/>
    <n v="0"/>
    <n v="2.66"/>
    <n v="0"/>
    <n v="0"/>
    <n v="1061"/>
    <n v="790"/>
    <n v="25"/>
    <n v="0"/>
    <n v="0"/>
    <n v="246"/>
    <n v="0.3548"/>
    <n v="0"/>
    <n v="0"/>
  </r>
  <r>
    <n v="2024"/>
    <n v="8"/>
    <x v="11"/>
    <x v="11"/>
    <s v="SEA"/>
    <s v="Seattle, WA: Seattle/Tacoma International"/>
    <n v="46"/>
    <n v="12"/>
    <n v="4.46"/>
    <n v="0.7"/>
    <n v="3.02"/>
    <n v="0"/>
    <n v="3.82"/>
    <n v="0"/>
    <n v="1"/>
    <n v="692"/>
    <n v="218"/>
    <n v="100"/>
    <n v="128"/>
    <n v="0"/>
    <n v="246"/>
    <n v="0.26090000000000002"/>
    <n v="0"/>
    <n v="2.1700000000000001E-2"/>
  </r>
  <r>
    <n v="2024"/>
    <n v="8"/>
    <x v="1"/>
    <x v="1"/>
    <s v="SEA"/>
    <s v="Seattle, WA: Seattle/Tacoma International"/>
    <n v="132"/>
    <n v="48"/>
    <n v="10.44"/>
    <n v="2.5499999999999998"/>
    <n v="27.19"/>
    <n v="0"/>
    <n v="7.82"/>
    <n v="4"/>
    <n v="0"/>
    <n v="3035"/>
    <n v="525"/>
    <n v="126"/>
    <n v="1759"/>
    <n v="0"/>
    <n v="625"/>
    <n v="0.36359999999999998"/>
    <n v="3.0300000000000001E-2"/>
    <n v="0"/>
  </r>
  <r>
    <n v="2024"/>
    <n v="8"/>
    <x v="2"/>
    <x v="2"/>
    <s v="SEA"/>
    <s v="Seattle, WA: Seattle/Tacoma International"/>
    <n v="2510"/>
    <n v="511"/>
    <n v="228.72"/>
    <n v="57.62"/>
    <n v="137.96"/>
    <n v="3.6"/>
    <n v="83.09"/>
    <n v="6"/>
    <n v="4"/>
    <n v="29005"/>
    <n v="12114"/>
    <n v="3901"/>
    <n v="8141"/>
    <n v="139"/>
    <n v="4710"/>
    <n v="0.2036"/>
    <n v="2.3999999999999998E-3"/>
    <n v="1.6000000000000001E-3"/>
  </r>
  <r>
    <n v="2024"/>
    <n v="8"/>
    <x v="3"/>
    <x v="3"/>
    <s v="SEA"/>
    <s v="Seattle, WA: Seattle/Tacoma International"/>
    <n v="2136"/>
    <n v="517"/>
    <n v="58.99"/>
    <n v="9.06"/>
    <n v="229.2"/>
    <n v="0"/>
    <n v="219.75"/>
    <n v="19"/>
    <n v="7"/>
    <n v="27139"/>
    <n v="5154"/>
    <n v="682"/>
    <n v="9954"/>
    <n v="0"/>
    <n v="11349"/>
    <n v="0.24199999999999999"/>
    <n v="8.8999999999999999E-3"/>
    <n v="3.3E-3"/>
  </r>
  <r>
    <n v="2024"/>
    <n v="8"/>
    <x v="9"/>
    <x v="9"/>
    <s v="SEA"/>
    <s v="Seattle, WA: Seattle/Tacoma International"/>
    <n v="965"/>
    <n v="251"/>
    <n v="66.010000000000005"/>
    <n v="7.01"/>
    <n v="72.77"/>
    <n v="0"/>
    <n v="105.21"/>
    <n v="14"/>
    <n v="5"/>
    <n v="16504"/>
    <n v="4375"/>
    <n v="300"/>
    <n v="3386"/>
    <n v="0"/>
    <n v="8443"/>
    <n v="0.2601"/>
    <n v="1.4500000000000001E-2"/>
    <n v="5.1999999999999998E-3"/>
  </r>
  <r>
    <n v="2024"/>
    <n v="8"/>
    <x v="10"/>
    <x v="10"/>
    <s v="SEA"/>
    <s v="Seattle, WA: Seattle/Tacoma International"/>
    <n v="874"/>
    <n v="281"/>
    <n v="65.5"/>
    <n v="3.79"/>
    <n v="117.88"/>
    <n v="0.87"/>
    <n v="92.96"/>
    <n v="1"/>
    <n v="3"/>
    <n v="13027"/>
    <n v="3025"/>
    <n v="380"/>
    <n v="4565"/>
    <n v="52"/>
    <n v="5005"/>
    <n v="0.32150000000000001"/>
    <n v="1.1000000000000001E-3"/>
    <n v="3.3999999999999998E-3"/>
  </r>
  <r>
    <n v="2024"/>
    <n v="7"/>
    <x v="4"/>
    <x v="4"/>
    <s v="SEA"/>
    <s v="Seattle, WA: Seattle/Tacoma International"/>
    <n v="611"/>
    <n v="261"/>
    <n v="100.44"/>
    <n v="10.79"/>
    <n v="49.74"/>
    <n v="0.53"/>
    <n v="99.51"/>
    <n v="10"/>
    <n v="1"/>
    <n v="19816"/>
    <n v="7237"/>
    <n v="1340"/>
    <n v="2252"/>
    <n v="24"/>
    <n v="8963"/>
    <n v="0.42720000000000002"/>
    <n v="1.6400000000000001E-2"/>
    <n v="1.6000000000000001E-3"/>
  </r>
  <r>
    <n v="2024"/>
    <n v="7"/>
    <x v="5"/>
    <x v="5"/>
    <s v="SEA"/>
    <s v="Seattle, WA: Seattle/Tacoma International"/>
    <n v="7674"/>
    <n v="1899"/>
    <n v="366.19"/>
    <n v="55.8"/>
    <n v="641.36"/>
    <n v="8.4499999999999993"/>
    <n v="827.2"/>
    <n v="81"/>
    <n v="5"/>
    <n v="96482"/>
    <n v="26678"/>
    <n v="4423"/>
    <n v="21532"/>
    <n v="366"/>
    <n v="43483"/>
    <n v="0.2475"/>
    <n v="1.06E-2"/>
    <n v="6.9999999999999999E-4"/>
  </r>
  <r>
    <n v="2024"/>
    <n v="7"/>
    <x v="6"/>
    <x v="6"/>
    <s v="SEA"/>
    <s v="Seattle, WA: Seattle/Tacoma International"/>
    <n v="93"/>
    <n v="23"/>
    <n v="8.92"/>
    <n v="0.41"/>
    <n v="10.130000000000001"/>
    <n v="0"/>
    <n v="3.54"/>
    <n v="1"/>
    <n v="0"/>
    <n v="1608"/>
    <n v="838"/>
    <n v="63"/>
    <n v="464"/>
    <n v="0"/>
    <n v="243"/>
    <n v="0.24729999999999999"/>
    <n v="1.0800000000000001E-2"/>
    <n v="0"/>
  </r>
  <r>
    <n v="2024"/>
    <n v="7"/>
    <x v="7"/>
    <x v="7"/>
    <s v="SEA"/>
    <s v="Seattle, WA: Seattle/Tacoma International"/>
    <n v="2973"/>
    <n v="640"/>
    <n v="291.06"/>
    <n v="16.64"/>
    <n v="120.12"/>
    <n v="0"/>
    <n v="212.18"/>
    <n v="150"/>
    <n v="1"/>
    <n v="63765"/>
    <n v="40174"/>
    <n v="983"/>
    <n v="5349"/>
    <n v="0"/>
    <n v="17259"/>
    <n v="0.21529999999999999"/>
    <n v="5.0500000000000003E-2"/>
    <n v="2.9999999999999997E-4"/>
  </r>
  <r>
    <n v="2024"/>
    <n v="7"/>
    <x v="8"/>
    <x v="8"/>
    <s v="SEA"/>
    <s v="Seattle, WA: Seattle/Tacoma International"/>
    <n v="158"/>
    <n v="59"/>
    <n v="15.76"/>
    <n v="1.02"/>
    <n v="7.1"/>
    <n v="0"/>
    <n v="35.119999999999997"/>
    <n v="3"/>
    <n v="0"/>
    <n v="4854"/>
    <n v="1032"/>
    <n v="19"/>
    <n v="287"/>
    <n v="0"/>
    <n v="3516"/>
    <n v="0.37340000000000001"/>
    <n v="1.9E-2"/>
    <n v="0"/>
  </r>
  <r>
    <n v="2024"/>
    <n v="7"/>
    <x v="0"/>
    <x v="0"/>
    <s v="SEA"/>
    <s v="Seattle, WA: Seattle/Tacoma International"/>
    <n v="62"/>
    <n v="21"/>
    <n v="19.03"/>
    <n v="0"/>
    <n v="0"/>
    <n v="1"/>
    <n v="0.97"/>
    <n v="1"/>
    <n v="0"/>
    <n v="794"/>
    <n v="641"/>
    <n v="0"/>
    <n v="0"/>
    <n v="45"/>
    <n v="108"/>
    <n v="0.3387"/>
    <n v="1.61E-2"/>
    <n v="0"/>
  </r>
  <r>
    <n v="2024"/>
    <n v="7"/>
    <x v="11"/>
    <x v="11"/>
    <s v="SEA"/>
    <s v="Seattle, WA: Seattle/Tacoma International"/>
    <n v="30"/>
    <n v="5"/>
    <n v="0.26"/>
    <n v="0"/>
    <n v="4.03"/>
    <n v="0"/>
    <n v="0.71"/>
    <n v="0"/>
    <n v="1"/>
    <n v="147"/>
    <n v="11"/>
    <n v="0"/>
    <n v="94"/>
    <n v="0"/>
    <n v="42"/>
    <n v="0.16669999999999999"/>
    <n v="0"/>
    <n v="3.3300000000000003E-2"/>
  </r>
  <r>
    <n v="2024"/>
    <n v="7"/>
    <x v="1"/>
    <x v="1"/>
    <s v="SEA"/>
    <s v="Seattle, WA: Seattle/Tacoma International"/>
    <n v="101"/>
    <n v="38"/>
    <n v="17.32"/>
    <n v="0.41"/>
    <n v="13.34"/>
    <n v="0"/>
    <n v="6.92"/>
    <n v="3"/>
    <n v="0"/>
    <n v="2463"/>
    <n v="1129"/>
    <n v="17"/>
    <n v="732"/>
    <n v="0"/>
    <n v="585"/>
    <n v="0.37619999999999998"/>
    <n v="2.9700000000000001E-2"/>
    <n v="0"/>
  </r>
  <r>
    <n v="2024"/>
    <n v="7"/>
    <x v="2"/>
    <x v="2"/>
    <s v="SEA"/>
    <s v="Seattle, WA: Seattle/Tacoma International"/>
    <n v="2603"/>
    <n v="439"/>
    <n v="245.11"/>
    <n v="34.51"/>
    <n v="83.32"/>
    <n v="6.6"/>
    <n v="69.459999999999994"/>
    <n v="5"/>
    <n v="0"/>
    <n v="23700"/>
    <n v="15293"/>
    <n v="1462"/>
    <n v="3509"/>
    <n v="188"/>
    <n v="3248"/>
    <n v="0.16869999999999999"/>
    <n v="1.9E-3"/>
    <n v="0"/>
  </r>
  <r>
    <n v="2024"/>
    <n v="7"/>
    <x v="3"/>
    <x v="3"/>
    <s v="SEA"/>
    <s v="Seattle, WA: Seattle/Tacoma International"/>
    <n v="2107"/>
    <n v="357"/>
    <n v="60.99"/>
    <n v="9.9600000000000009"/>
    <n v="143.22"/>
    <n v="0.45"/>
    <n v="142.38"/>
    <n v="6"/>
    <n v="0"/>
    <n v="14465"/>
    <n v="4227"/>
    <n v="454"/>
    <n v="4538"/>
    <n v="10"/>
    <n v="5236"/>
    <n v="0.1694"/>
    <n v="2.8E-3"/>
    <n v="0"/>
  </r>
  <r>
    <n v="2024"/>
    <n v="7"/>
    <x v="9"/>
    <x v="9"/>
    <s v="SEA"/>
    <s v="Seattle, WA: Seattle/Tacoma International"/>
    <n v="1011"/>
    <n v="296"/>
    <n v="94.63"/>
    <n v="10.19"/>
    <n v="77.81"/>
    <n v="0"/>
    <n v="113.38"/>
    <n v="35"/>
    <n v="1"/>
    <n v="20730"/>
    <n v="7055"/>
    <n v="683"/>
    <n v="3679"/>
    <n v="0"/>
    <n v="9313"/>
    <n v="0.2928"/>
    <n v="3.4599999999999999E-2"/>
    <n v="1E-3"/>
  </r>
  <r>
    <n v="2024"/>
    <n v="7"/>
    <x v="10"/>
    <x v="10"/>
    <s v="SEA"/>
    <s v="Seattle, WA: Seattle/Tacoma International"/>
    <n v="884"/>
    <n v="320"/>
    <n v="103.35"/>
    <n v="1.78"/>
    <n v="91.76"/>
    <n v="0"/>
    <n v="123.11"/>
    <n v="2"/>
    <n v="1"/>
    <n v="14573"/>
    <n v="4653"/>
    <n v="79"/>
    <n v="3160"/>
    <n v="0"/>
    <n v="6681"/>
    <n v="0.36199999999999999"/>
    <n v="2.3E-3"/>
    <n v="1.1000000000000001E-3"/>
  </r>
  <r>
    <n v="2024"/>
    <n v="6"/>
    <x v="0"/>
    <x v="0"/>
    <s v="SEA"/>
    <s v="Seattle, WA: Seattle/Tacoma International"/>
    <n v="60"/>
    <n v="26"/>
    <n v="25.2"/>
    <n v="0"/>
    <n v="0"/>
    <n v="0"/>
    <n v="0.8"/>
    <n v="3"/>
    <n v="0"/>
    <n v="992"/>
    <n v="949"/>
    <n v="0"/>
    <n v="0"/>
    <n v="0"/>
    <n v="43"/>
    <n v="0.43330000000000002"/>
    <n v="0.05"/>
    <n v="0"/>
  </r>
  <r>
    <n v="2024"/>
    <n v="6"/>
    <x v="11"/>
    <x v="11"/>
    <s v="SEA"/>
    <s v="Seattle, WA: Seattle/Tacoma International"/>
    <n v="38"/>
    <n v="15"/>
    <n v="2.88"/>
    <n v="0"/>
    <n v="7.14"/>
    <n v="0"/>
    <n v="4.9800000000000004"/>
    <n v="0"/>
    <n v="0"/>
    <n v="1031"/>
    <n v="246"/>
    <n v="0"/>
    <n v="222"/>
    <n v="0"/>
    <n v="563"/>
    <n v="0.3947"/>
    <n v="0"/>
    <n v="0"/>
  </r>
  <r>
    <n v="2024"/>
    <n v="6"/>
    <x v="1"/>
    <x v="1"/>
    <s v="SEA"/>
    <s v="Seattle, WA: Seattle/Tacoma International"/>
    <n v="60"/>
    <n v="14"/>
    <n v="7.32"/>
    <n v="0.53"/>
    <n v="2.39"/>
    <n v="0"/>
    <n v="3.76"/>
    <n v="0"/>
    <n v="0"/>
    <n v="664"/>
    <n v="307"/>
    <n v="21"/>
    <n v="120"/>
    <n v="0"/>
    <n v="216"/>
    <n v="0.23330000000000001"/>
    <n v="0"/>
    <n v="0"/>
  </r>
  <r>
    <n v="2024"/>
    <n v="6"/>
    <x v="2"/>
    <x v="2"/>
    <s v="SEA"/>
    <s v="Seattle, WA: Seattle/Tacoma International"/>
    <n v="2466"/>
    <n v="491"/>
    <n v="223.2"/>
    <n v="51.8"/>
    <n v="143.76"/>
    <n v="0.39"/>
    <n v="71.84"/>
    <n v="4"/>
    <n v="1"/>
    <n v="26633"/>
    <n v="14984"/>
    <n v="2711"/>
    <n v="5113"/>
    <n v="8"/>
    <n v="3817"/>
    <n v="0.1991"/>
    <n v="1.6000000000000001E-3"/>
    <n v="4.0000000000000002E-4"/>
  </r>
  <r>
    <n v="2024"/>
    <n v="6"/>
    <x v="3"/>
    <x v="3"/>
    <s v="SEA"/>
    <s v="Seattle, WA: Seattle/Tacoma International"/>
    <n v="2067"/>
    <n v="410"/>
    <n v="79.44"/>
    <n v="10.16"/>
    <n v="184.4"/>
    <n v="0"/>
    <n v="135.99"/>
    <n v="12"/>
    <n v="2"/>
    <n v="17290"/>
    <n v="4934"/>
    <n v="554"/>
    <n v="5820"/>
    <n v="0"/>
    <n v="5982"/>
    <n v="0.19839999999999999"/>
    <n v="5.7999999999999996E-3"/>
    <n v="1E-3"/>
  </r>
  <r>
    <n v="2024"/>
    <n v="6"/>
    <x v="9"/>
    <x v="9"/>
    <s v="SEA"/>
    <s v="Seattle, WA: Seattle/Tacoma International"/>
    <n v="899"/>
    <n v="281"/>
    <n v="85.54"/>
    <n v="6.91"/>
    <n v="99.58"/>
    <n v="0"/>
    <n v="88.97"/>
    <n v="8"/>
    <n v="1"/>
    <n v="16861"/>
    <n v="4390"/>
    <n v="891"/>
    <n v="3452"/>
    <n v="0"/>
    <n v="8128"/>
    <n v="0.31259999999999999"/>
    <n v="8.8999999999999999E-3"/>
    <n v="1.1000000000000001E-3"/>
  </r>
  <r>
    <n v="2024"/>
    <n v="6"/>
    <x v="10"/>
    <x v="10"/>
    <s v="SEA"/>
    <s v="Seattle, WA: Seattle/Tacoma International"/>
    <n v="839"/>
    <n v="366"/>
    <n v="115.86"/>
    <n v="2.23"/>
    <n v="113.52"/>
    <n v="1.05"/>
    <n v="133.34"/>
    <n v="1"/>
    <n v="4"/>
    <n v="17807"/>
    <n v="5446"/>
    <n v="93"/>
    <n v="3992"/>
    <n v="58"/>
    <n v="8218"/>
    <n v="0.43619999999999998"/>
    <n v="1.1999999999999999E-3"/>
    <n v="4.7999999999999996E-3"/>
  </r>
  <r>
    <n v="2024"/>
    <n v="6"/>
    <x v="4"/>
    <x v="4"/>
    <s v="SEA"/>
    <s v="Seattle, WA: Seattle/Tacoma International"/>
    <n v="610"/>
    <n v="238"/>
    <n v="90.69"/>
    <n v="10.15"/>
    <n v="59.54"/>
    <n v="1.28"/>
    <n v="76.349999999999994"/>
    <n v="10"/>
    <n v="1"/>
    <n v="18532"/>
    <n v="6619"/>
    <n v="1465"/>
    <n v="3038"/>
    <n v="42"/>
    <n v="7368"/>
    <n v="0.39019999999999999"/>
    <n v="1.6400000000000001E-2"/>
    <n v="1.6000000000000001E-3"/>
  </r>
  <r>
    <n v="2024"/>
    <n v="6"/>
    <x v="5"/>
    <x v="5"/>
    <s v="SEA"/>
    <s v="Seattle, WA: Seattle/Tacoma International"/>
    <n v="7162"/>
    <n v="1919"/>
    <n v="386.14"/>
    <n v="55.43"/>
    <n v="761.64"/>
    <n v="13.37"/>
    <n v="702.41"/>
    <n v="61"/>
    <n v="11"/>
    <n v="91706"/>
    <n v="24182"/>
    <n v="4240"/>
    <n v="24441"/>
    <n v="518"/>
    <n v="38325"/>
    <n v="0.26790000000000003"/>
    <n v="8.5000000000000006E-3"/>
    <n v="1.5E-3"/>
  </r>
  <r>
    <n v="2024"/>
    <n v="6"/>
    <x v="6"/>
    <x v="6"/>
    <s v="SEA"/>
    <s v="Seattle, WA: Seattle/Tacoma International"/>
    <n v="78"/>
    <n v="42"/>
    <n v="16.64"/>
    <n v="0.03"/>
    <n v="22.33"/>
    <n v="0"/>
    <n v="3"/>
    <n v="0"/>
    <n v="0"/>
    <n v="2077"/>
    <n v="986"/>
    <n v="1"/>
    <n v="885"/>
    <n v="0"/>
    <n v="205"/>
    <n v="0.53849999999999998"/>
    <n v="0"/>
    <n v="0"/>
  </r>
  <r>
    <n v="2024"/>
    <n v="6"/>
    <x v="7"/>
    <x v="7"/>
    <s v="SEA"/>
    <s v="Seattle, WA: Seattle/Tacoma International"/>
    <n v="2828"/>
    <n v="620"/>
    <n v="197.6"/>
    <n v="8.41"/>
    <n v="233.85"/>
    <n v="0"/>
    <n v="180.14"/>
    <n v="2"/>
    <n v="5"/>
    <n v="41790"/>
    <n v="18378"/>
    <n v="473"/>
    <n v="8132"/>
    <n v="0"/>
    <n v="14807"/>
    <n v="0.21920000000000001"/>
    <n v="6.9999999999999999E-4"/>
    <n v="1.8E-3"/>
  </r>
  <r>
    <n v="2024"/>
    <n v="6"/>
    <x v="8"/>
    <x v="8"/>
    <s v="SEA"/>
    <s v="Seattle, WA: Seattle/Tacoma International"/>
    <n v="146"/>
    <n v="44"/>
    <n v="15.9"/>
    <n v="0.33"/>
    <n v="8.11"/>
    <n v="0"/>
    <n v="19.670000000000002"/>
    <n v="2"/>
    <n v="1"/>
    <n v="4099"/>
    <n v="2169"/>
    <n v="13"/>
    <n v="373"/>
    <n v="0"/>
    <n v="1544"/>
    <n v="0.3014"/>
    <n v="1.37E-2"/>
    <n v="6.7999999999999996E-3"/>
  </r>
  <r>
    <n v="2024"/>
    <n v="5"/>
    <x v="0"/>
    <x v="0"/>
    <s v="SEA"/>
    <s v="Seattle, WA: Seattle/Tacoma International"/>
    <n v="62"/>
    <n v="26"/>
    <n v="20.73"/>
    <n v="0"/>
    <n v="0.17"/>
    <n v="1.29"/>
    <n v="3.81"/>
    <n v="0"/>
    <n v="0"/>
    <n v="973"/>
    <n v="739"/>
    <n v="0"/>
    <n v="6"/>
    <n v="53"/>
    <n v="175"/>
    <n v="0.4194"/>
    <n v="0"/>
    <n v="0"/>
  </r>
  <r>
    <n v="2024"/>
    <n v="5"/>
    <x v="11"/>
    <x v="11"/>
    <s v="SEA"/>
    <s v="Seattle, WA: Seattle/Tacoma International"/>
    <n v="87"/>
    <n v="15"/>
    <n v="3.7"/>
    <n v="0"/>
    <n v="10.56"/>
    <n v="0"/>
    <n v="0.74"/>
    <n v="0"/>
    <n v="2"/>
    <n v="746"/>
    <n v="393"/>
    <n v="0"/>
    <n v="319"/>
    <n v="0"/>
    <n v="34"/>
    <n v="0.1724"/>
    <n v="0"/>
    <n v="2.3E-2"/>
  </r>
  <r>
    <n v="2024"/>
    <n v="5"/>
    <x v="1"/>
    <x v="1"/>
    <s v="SEA"/>
    <s v="Seattle, WA: Seattle/Tacoma International"/>
    <n v="62"/>
    <n v="11"/>
    <n v="4.05"/>
    <n v="0.24"/>
    <n v="5.43"/>
    <n v="0"/>
    <n v="1.28"/>
    <n v="0"/>
    <n v="0"/>
    <n v="446"/>
    <n v="143"/>
    <n v="7"/>
    <n v="242"/>
    <n v="0"/>
    <n v="54"/>
    <n v="0.1774"/>
    <n v="0"/>
    <n v="0"/>
  </r>
  <r>
    <n v="2024"/>
    <n v="5"/>
    <x v="2"/>
    <x v="2"/>
    <s v="SEA"/>
    <s v="Seattle, WA: Seattle/Tacoma International"/>
    <n v="2258"/>
    <n v="334"/>
    <n v="185.46"/>
    <n v="31.44"/>
    <n v="71.430000000000007"/>
    <n v="3"/>
    <n v="42.67"/>
    <n v="1"/>
    <n v="0"/>
    <n v="16517"/>
    <n v="9383"/>
    <n v="1341"/>
    <n v="3079"/>
    <n v="120"/>
    <n v="2594"/>
    <n v="0.1479"/>
    <n v="4.0000000000000002E-4"/>
    <n v="0"/>
  </r>
  <r>
    <n v="2024"/>
    <n v="5"/>
    <x v="3"/>
    <x v="3"/>
    <s v="SEA"/>
    <s v="Seattle, WA: Seattle/Tacoma International"/>
    <n v="1903"/>
    <n v="300"/>
    <n v="59.75"/>
    <n v="3.13"/>
    <n v="135.44999999999999"/>
    <n v="0.53"/>
    <n v="101.14"/>
    <n v="4"/>
    <n v="0"/>
    <n v="14637"/>
    <n v="4788"/>
    <n v="271"/>
    <n v="4534"/>
    <n v="8"/>
    <n v="5036"/>
    <n v="0.15759999999999999"/>
    <n v="2.0999999999999999E-3"/>
    <n v="0"/>
  </r>
  <r>
    <n v="2024"/>
    <n v="5"/>
    <x v="9"/>
    <x v="9"/>
    <s v="SEA"/>
    <s v="Seattle, WA: Seattle/Tacoma International"/>
    <n v="839"/>
    <n v="202"/>
    <n v="68.92"/>
    <n v="11.31"/>
    <n v="45.37"/>
    <n v="0"/>
    <n v="76.400000000000006"/>
    <n v="9"/>
    <n v="0"/>
    <n v="14859"/>
    <n v="4606"/>
    <n v="1466"/>
    <n v="1919"/>
    <n v="0"/>
    <n v="6868"/>
    <n v="0.24079999999999999"/>
    <n v="1.0699999999999999E-2"/>
    <n v="0"/>
  </r>
  <r>
    <n v="2024"/>
    <n v="5"/>
    <x v="10"/>
    <x v="10"/>
    <s v="SEA"/>
    <s v="Seattle, WA: Seattle/Tacoma International"/>
    <n v="635"/>
    <n v="214"/>
    <n v="68.02"/>
    <n v="3.62"/>
    <n v="42.08"/>
    <n v="0"/>
    <n v="100.28"/>
    <n v="0"/>
    <n v="2"/>
    <n v="10837"/>
    <n v="2985"/>
    <n v="531"/>
    <n v="1563"/>
    <n v="0"/>
    <n v="5758"/>
    <n v="0.33700000000000002"/>
    <n v="0"/>
    <n v="3.0999999999999999E-3"/>
  </r>
  <r>
    <n v="2024"/>
    <n v="5"/>
    <x v="4"/>
    <x v="4"/>
    <s v="SEA"/>
    <s v="Seattle, WA: Seattle/Tacoma International"/>
    <n v="479"/>
    <n v="216"/>
    <n v="75.42"/>
    <n v="14.08"/>
    <n v="51.74"/>
    <n v="1.61"/>
    <n v="73.150000000000006"/>
    <n v="26"/>
    <n v="2"/>
    <n v="17012"/>
    <n v="4971"/>
    <n v="1745"/>
    <n v="2892"/>
    <n v="109"/>
    <n v="7295"/>
    <n v="0.45090000000000002"/>
    <n v="5.4300000000000001E-2"/>
    <n v="4.1999999999999997E-3"/>
  </r>
  <r>
    <n v="2024"/>
    <n v="5"/>
    <x v="5"/>
    <x v="5"/>
    <s v="SEA"/>
    <s v="Seattle, WA: Seattle/Tacoma International"/>
    <n v="6878"/>
    <n v="1653"/>
    <n v="329.68"/>
    <n v="41.57"/>
    <n v="627.85"/>
    <n v="10.74"/>
    <n v="643.16"/>
    <n v="38"/>
    <n v="10"/>
    <n v="82204"/>
    <n v="22671"/>
    <n v="3132"/>
    <n v="19757"/>
    <n v="321"/>
    <n v="36323"/>
    <n v="0.24030000000000001"/>
    <n v="5.4999999999999997E-3"/>
    <n v="1.5E-3"/>
  </r>
  <r>
    <n v="2024"/>
    <n v="5"/>
    <x v="6"/>
    <x v="6"/>
    <s v="SEA"/>
    <s v="Seattle, WA: Seattle/Tacoma International"/>
    <n v="62"/>
    <n v="17"/>
    <n v="10.75"/>
    <n v="0"/>
    <n v="4.12"/>
    <n v="1"/>
    <n v="1.1299999999999999"/>
    <n v="0"/>
    <n v="0"/>
    <n v="1183"/>
    <n v="835"/>
    <n v="0"/>
    <n v="195"/>
    <n v="43"/>
    <n v="110"/>
    <n v="0.2742"/>
    <n v="0"/>
    <n v="0"/>
  </r>
  <r>
    <n v="2024"/>
    <n v="5"/>
    <x v="7"/>
    <x v="7"/>
    <s v="SEA"/>
    <s v="Seattle, WA: Seattle/Tacoma International"/>
    <n v="2859"/>
    <n v="490"/>
    <n v="153.12"/>
    <n v="9.8699999999999992"/>
    <n v="157.65"/>
    <n v="1"/>
    <n v="168.36"/>
    <n v="1"/>
    <n v="1"/>
    <n v="29210"/>
    <n v="10688"/>
    <n v="513"/>
    <n v="5783"/>
    <n v="47"/>
    <n v="12179"/>
    <n v="0.1714"/>
    <n v="2.9999999999999997E-4"/>
    <n v="2.9999999999999997E-4"/>
  </r>
  <r>
    <n v="2024"/>
    <n v="5"/>
    <x v="8"/>
    <x v="8"/>
    <s v="SEA"/>
    <s v="Seattle, WA: Seattle/Tacoma International"/>
    <n v="112"/>
    <n v="33"/>
    <n v="9.09"/>
    <n v="0.05"/>
    <n v="6.2"/>
    <n v="0"/>
    <n v="17.66"/>
    <n v="0"/>
    <n v="0"/>
    <n v="1636"/>
    <n v="454"/>
    <n v="5"/>
    <n v="151"/>
    <n v="0"/>
    <n v="1026"/>
    <n v="0.29459999999999997"/>
    <n v="0"/>
    <n v="0"/>
  </r>
  <r>
    <n v="2024"/>
    <n v="4"/>
    <x v="4"/>
    <x v="4"/>
    <s v="SEA"/>
    <s v="Seattle, WA: Seattle/Tacoma International"/>
    <n v="385"/>
    <n v="80"/>
    <n v="32.549999999999997"/>
    <n v="4.0199999999999996"/>
    <n v="10.88"/>
    <n v="0"/>
    <n v="32.549999999999997"/>
    <n v="4"/>
    <n v="0"/>
    <n v="4603"/>
    <n v="1795"/>
    <n v="318"/>
    <n v="391"/>
    <n v="0"/>
    <n v="2099"/>
    <n v="0.20780000000000001"/>
    <n v="1.04E-2"/>
    <n v="0"/>
  </r>
  <r>
    <n v="2024"/>
    <n v="4"/>
    <x v="8"/>
    <x v="8"/>
    <s v="SEA"/>
    <s v="Seattle, WA: Seattle/Tacoma International"/>
    <n v="91"/>
    <n v="28"/>
    <n v="6.61"/>
    <n v="0.04"/>
    <n v="3.2"/>
    <n v="0"/>
    <n v="18.149999999999999"/>
    <n v="0"/>
    <n v="0"/>
    <n v="2161"/>
    <n v="317"/>
    <n v="4"/>
    <n v="201"/>
    <n v="0"/>
    <n v="1639"/>
    <n v="0.30769999999999997"/>
    <n v="0"/>
    <n v="0"/>
  </r>
  <r>
    <n v="2024"/>
    <n v="4"/>
    <x v="0"/>
    <x v="0"/>
    <s v="SEA"/>
    <s v="Seattle, WA: Seattle/Tacoma International"/>
    <n v="61"/>
    <n v="19"/>
    <n v="17.25"/>
    <n v="0"/>
    <n v="0"/>
    <n v="0"/>
    <n v="1.75"/>
    <n v="1"/>
    <n v="0"/>
    <n v="712"/>
    <n v="645"/>
    <n v="0"/>
    <n v="0"/>
    <n v="0"/>
    <n v="67"/>
    <n v="0.3115"/>
    <n v="1.6400000000000001E-2"/>
    <n v="0"/>
  </r>
  <r>
    <n v="2024"/>
    <n v="4"/>
    <x v="3"/>
    <x v="3"/>
    <s v="SEA"/>
    <s v="Seattle, WA: Seattle/Tacoma International"/>
    <n v="1661"/>
    <n v="199"/>
    <n v="42.94"/>
    <n v="2.3199999999999998"/>
    <n v="92.75"/>
    <n v="0.34"/>
    <n v="60.65"/>
    <n v="4"/>
    <n v="0"/>
    <n v="9167"/>
    <n v="3278"/>
    <n v="112"/>
    <n v="2785"/>
    <n v="12"/>
    <n v="2980"/>
    <n v="0.1198"/>
    <n v="2.3999999999999998E-3"/>
    <n v="0"/>
  </r>
  <r>
    <n v="2024"/>
    <n v="4"/>
    <x v="5"/>
    <x v="5"/>
    <s v="SEA"/>
    <s v="Seattle, WA: Seattle/Tacoma International"/>
    <n v="6189"/>
    <n v="1082"/>
    <n v="244.74"/>
    <n v="14.11"/>
    <n v="349.82"/>
    <n v="6.72"/>
    <n v="466.61"/>
    <n v="34"/>
    <n v="6"/>
    <n v="58472"/>
    <n v="18271"/>
    <n v="746"/>
    <n v="11285"/>
    <n v="377"/>
    <n v="27793"/>
    <n v="0.17480000000000001"/>
    <n v="5.4999999999999997E-3"/>
    <n v="1E-3"/>
  </r>
  <r>
    <n v="2024"/>
    <n v="4"/>
    <x v="6"/>
    <x v="6"/>
    <s v="SEA"/>
    <s v="Seattle, WA: Seattle/Tacoma International"/>
    <n v="60"/>
    <n v="22"/>
    <n v="8.36"/>
    <n v="0.77"/>
    <n v="8.7899999999999991"/>
    <n v="0"/>
    <n v="4.08"/>
    <n v="0"/>
    <n v="0"/>
    <n v="1923"/>
    <n v="982"/>
    <n v="82"/>
    <n v="391"/>
    <n v="0"/>
    <n v="468"/>
    <n v="0.36670000000000003"/>
    <n v="0"/>
    <n v="0"/>
  </r>
  <r>
    <n v="2024"/>
    <n v="4"/>
    <x v="11"/>
    <x v="11"/>
    <s v="SEA"/>
    <s v="Seattle, WA: Seattle/Tacoma International"/>
    <n v="55"/>
    <n v="3"/>
    <n v="1.1000000000000001"/>
    <n v="0"/>
    <n v="1"/>
    <n v="0"/>
    <n v="0.9"/>
    <n v="0"/>
    <n v="0"/>
    <n v="239"/>
    <n v="126"/>
    <n v="0"/>
    <n v="34"/>
    <n v="0"/>
    <n v="79"/>
    <n v="5.45E-2"/>
    <n v="0"/>
    <n v="0"/>
  </r>
  <r>
    <n v="2024"/>
    <n v="4"/>
    <x v="1"/>
    <x v="1"/>
    <s v="SEA"/>
    <s v="Seattle, WA: Seattle/Tacoma International"/>
    <n v="60"/>
    <n v="6"/>
    <n v="2.16"/>
    <n v="0.88"/>
    <n v="2.96"/>
    <n v="0"/>
    <n v="0"/>
    <n v="0"/>
    <n v="0"/>
    <n v="267"/>
    <n v="63"/>
    <n v="96"/>
    <n v="108"/>
    <n v="0"/>
    <n v="0"/>
    <n v="0.1"/>
    <n v="0"/>
    <n v="0"/>
  </r>
  <r>
    <n v="2024"/>
    <n v="4"/>
    <x v="9"/>
    <x v="9"/>
    <s v="SEA"/>
    <s v="Seattle, WA: Seattle/Tacoma International"/>
    <n v="638"/>
    <n v="130"/>
    <n v="44.73"/>
    <n v="0.76"/>
    <n v="22.25"/>
    <n v="0"/>
    <n v="62.26"/>
    <n v="1"/>
    <n v="1"/>
    <n v="8199"/>
    <n v="2682"/>
    <n v="80"/>
    <n v="913"/>
    <n v="0"/>
    <n v="4524"/>
    <n v="0.20380000000000001"/>
    <n v="1.6000000000000001E-3"/>
    <n v="1.6000000000000001E-3"/>
  </r>
  <r>
    <n v="2024"/>
    <n v="4"/>
    <x v="7"/>
    <x v="7"/>
    <s v="SEA"/>
    <s v="Seattle, WA: Seattle/Tacoma International"/>
    <n v="2600"/>
    <n v="332"/>
    <n v="115.7"/>
    <n v="3.28"/>
    <n v="83.3"/>
    <n v="0"/>
    <n v="129.71"/>
    <n v="1"/>
    <n v="3"/>
    <n v="19490"/>
    <n v="7869"/>
    <n v="503"/>
    <n v="2567"/>
    <n v="0"/>
    <n v="8551"/>
    <n v="0.12770000000000001"/>
    <n v="4.0000000000000002E-4"/>
    <n v="1.1999999999999999E-3"/>
  </r>
  <r>
    <n v="2024"/>
    <n v="4"/>
    <x v="2"/>
    <x v="2"/>
    <s v="SEA"/>
    <s v="Seattle, WA: Seattle/Tacoma International"/>
    <n v="2175"/>
    <n v="283"/>
    <n v="163.85"/>
    <n v="25.66"/>
    <n v="56.69"/>
    <n v="0.13"/>
    <n v="36.67"/>
    <n v="3"/>
    <n v="1"/>
    <n v="13559"/>
    <n v="9063"/>
    <n v="765"/>
    <n v="2131"/>
    <n v="2"/>
    <n v="1598"/>
    <n v="0.13009999999999999"/>
    <n v="1.4E-3"/>
    <n v="5.0000000000000001E-4"/>
  </r>
  <r>
    <n v="2024"/>
    <n v="4"/>
    <x v="10"/>
    <x v="10"/>
    <s v="SEA"/>
    <s v="Seattle, WA: Seattle/Tacoma International"/>
    <n v="604"/>
    <n v="162"/>
    <n v="62.3"/>
    <n v="0.94"/>
    <n v="36.15"/>
    <n v="0"/>
    <n v="62.6"/>
    <n v="0"/>
    <n v="0"/>
    <n v="7163"/>
    <n v="2716"/>
    <n v="79"/>
    <n v="1204"/>
    <n v="0"/>
    <n v="3164"/>
    <n v="0.26819999999999999"/>
    <n v="0"/>
    <n v="0"/>
  </r>
  <r>
    <n v="2024"/>
    <n v="3"/>
    <x v="0"/>
    <x v="0"/>
    <s v="SEA"/>
    <s v="Seattle, WA: Seattle/Tacoma International"/>
    <n v="63"/>
    <n v="17"/>
    <n v="12.68"/>
    <n v="0"/>
    <n v="0"/>
    <n v="0"/>
    <n v="4.32"/>
    <n v="1"/>
    <n v="1"/>
    <n v="538"/>
    <n v="383"/>
    <n v="0"/>
    <n v="0"/>
    <n v="0"/>
    <n v="155"/>
    <n v="0.26979999999999998"/>
    <n v="1.5900000000000001E-2"/>
    <n v="1.5900000000000001E-2"/>
  </r>
  <r>
    <n v="2024"/>
    <n v="3"/>
    <x v="11"/>
    <x v="11"/>
    <s v="SEA"/>
    <s v="Seattle, WA: Seattle/Tacoma International"/>
    <n v="53"/>
    <n v="4"/>
    <n v="2.09"/>
    <n v="0"/>
    <n v="0.37"/>
    <n v="0"/>
    <n v="1.54"/>
    <n v="0"/>
    <n v="0"/>
    <n v="96"/>
    <n v="39"/>
    <n v="0"/>
    <n v="7"/>
    <n v="0"/>
    <n v="50"/>
    <n v="7.5499999999999998E-2"/>
    <n v="0"/>
    <n v="0"/>
  </r>
  <r>
    <n v="2024"/>
    <n v="3"/>
    <x v="9"/>
    <x v="9"/>
    <s v="SEA"/>
    <s v="Seattle, WA: Seattle/Tacoma International"/>
    <n v="625"/>
    <n v="111"/>
    <n v="43.59"/>
    <n v="0"/>
    <n v="17.739999999999998"/>
    <n v="0"/>
    <n v="49.67"/>
    <n v="2"/>
    <n v="0"/>
    <n v="5871"/>
    <n v="1971"/>
    <n v="0"/>
    <n v="554"/>
    <n v="0"/>
    <n v="3346"/>
    <n v="0.17760000000000001"/>
    <n v="3.2000000000000002E-3"/>
    <n v="0"/>
  </r>
  <r>
    <n v="2024"/>
    <n v="3"/>
    <x v="7"/>
    <x v="7"/>
    <s v="SEA"/>
    <s v="Seattle, WA: Seattle/Tacoma International"/>
    <n v="2471"/>
    <n v="318"/>
    <n v="122.19"/>
    <n v="3.09"/>
    <n v="79.58"/>
    <n v="0"/>
    <n v="113.14"/>
    <n v="2"/>
    <n v="5"/>
    <n v="23647"/>
    <n v="11145"/>
    <n v="224"/>
    <n v="3497"/>
    <n v="0"/>
    <n v="8781"/>
    <n v="0.12870000000000001"/>
    <n v="8.0000000000000004E-4"/>
    <n v="2E-3"/>
  </r>
  <r>
    <n v="2024"/>
    <n v="3"/>
    <x v="8"/>
    <x v="8"/>
    <s v="SEA"/>
    <s v="Seattle, WA: Seattle/Tacoma International"/>
    <n v="90"/>
    <n v="28"/>
    <n v="4.08"/>
    <n v="0"/>
    <n v="6.01"/>
    <n v="0"/>
    <n v="17.91"/>
    <n v="3"/>
    <n v="0"/>
    <n v="1785"/>
    <n v="271"/>
    <n v="0"/>
    <n v="233"/>
    <n v="0"/>
    <n v="1281"/>
    <n v="0.31109999999999999"/>
    <n v="3.3300000000000003E-2"/>
    <n v="0"/>
  </r>
  <r>
    <n v="2024"/>
    <n v="3"/>
    <x v="2"/>
    <x v="2"/>
    <s v="SEA"/>
    <s v="Seattle, WA: Seattle/Tacoma International"/>
    <n v="2101"/>
    <n v="253"/>
    <n v="130.19"/>
    <n v="25.76"/>
    <n v="73.45"/>
    <n v="1"/>
    <n v="22.59"/>
    <n v="0"/>
    <n v="0"/>
    <n v="12787"/>
    <n v="6224"/>
    <n v="1650"/>
    <n v="3727"/>
    <n v="76"/>
    <n v="1110"/>
    <n v="0.12039999999999999"/>
    <n v="0"/>
    <n v="0"/>
  </r>
  <r>
    <n v="2024"/>
    <n v="3"/>
    <x v="4"/>
    <x v="4"/>
    <s v="SEA"/>
    <s v="Seattle, WA: Seattle/Tacoma International"/>
    <n v="386"/>
    <n v="100"/>
    <n v="36.71"/>
    <n v="3.45"/>
    <n v="14.6"/>
    <n v="0.56999999999999995"/>
    <n v="44.67"/>
    <n v="5"/>
    <n v="1"/>
    <n v="7234"/>
    <n v="2713"/>
    <n v="347"/>
    <n v="559"/>
    <n v="13"/>
    <n v="3602"/>
    <n v="0.2591"/>
    <n v="1.2999999999999999E-2"/>
    <n v="2.5999999999999999E-3"/>
  </r>
  <r>
    <n v="2024"/>
    <n v="3"/>
    <x v="5"/>
    <x v="5"/>
    <s v="SEA"/>
    <s v="Seattle, WA: Seattle/Tacoma International"/>
    <n v="6132"/>
    <n v="1085"/>
    <n v="249"/>
    <n v="14.99"/>
    <n v="292.55"/>
    <n v="1.6"/>
    <n v="526.85"/>
    <n v="57"/>
    <n v="8"/>
    <n v="64713"/>
    <n v="19471"/>
    <n v="856"/>
    <n v="9926"/>
    <n v="105"/>
    <n v="34355"/>
    <n v="0.1769"/>
    <n v="9.2999999999999992E-3"/>
    <n v="1.2999999999999999E-3"/>
  </r>
  <r>
    <n v="2024"/>
    <n v="3"/>
    <x v="1"/>
    <x v="1"/>
    <s v="SEA"/>
    <s v="Seattle, WA: Seattle/Tacoma International"/>
    <n v="62"/>
    <n v="10"/>
    <n v="3.58"/>
    <n v="0"/>
    <n v="5.43"/>
    <n v="0"/>
    <n v="0.99"/>
    <n v="0"/>
    <n v="0"/>
    <n v="961"/>
    <n v="396"/>
    <n v="0"/>
    <n v="238"/>
    <n v="0"/>
    <n v="327"/>
    <n v="0.1613"/>
    <n v="0"/>
    <n v="0"/>
  </r>
  <r>
    <n v="2024"/>
    <n v="3"/>
    <x v="6"/>
    <x v="6"/>
    <s v="SEA"/>
    <s v="Seattle, WA: Seattle/Tacoma International"/>
    <n v="62"/>
    <n v="16"/>
    <n v="10.62"/>
    <n v="0"/>
    <n v="2.11"/>
    <n v="0"/>
    <n v="3.27"/>
    <n v="0"/>
    <n v="0"/>
    <n v="966"/>
    <n v="772"/>
    <n v="0"/>
    <n v="55"/>
    <n v="0"/>
    <n v="139"/>
    <n v="0.2581"/>
    <n v="0"/>
    <n v="0"/>
  </r>
  <r>
    <n v="2024"/>
    <n v="3"/>
    <x v="3"/>
    <x v="3"/>
    <s v="SEA"/>
    <s v="Seattle, WA: Seattle/Tacoma International"/>
    <n v="1608"/>
    <n v="206"/>
    <n v="50.86"/>
    <n v="2.69"/>
    <n v="62.64"/>
    <n v="1.79"/>
    <n v="88.02"/>
    <n v="8"/>
    <n v="0"/>
    <n v="12423"/>
    <n v="4716"/>
    <n v="416"/>
    <n v="1959"/>
    <n v="32"/>
    <n v="5300"/>
    <n v="0.12809999999999999"/>
    <n v="5.0000000000000001E-3"/>
    <n v="0"/>
  </r>
  <r>
    <n v="2024"/>
    <n v="3"/>
    <x v="10"/>
    <x v="10"/>
    <s v="SEA"/>
    <s v="Seattle, WA: Seattle/Tacoma International"/>
    <n v="582"/>
    <n v="136"/>
    <n v="42.7"/>
    <n v="0"/>
    <n v="19.649999999999999"/>
    <n v="0"/>
    <n v="73.650000000000006"/>
    <n v="3"/>
    <n v="0"/>
    <n v="6944"/>
    <n v="1938"/>
    <n v="0"/>
    <n v="783"/>
    <n v="0"/>
    <n v="4223"/>
    <n v="0.23369999999999999"/>
    <n v="5.1999999999999998E-3"/>
    <n v="0"/>
  </r>
  <r>
    <n v="2024"/>
    <n v="2"/>
    <x v="0"/>
    <x v="0"/>
    <s v="SEA"/>
    <s v="Seattle, WA: Seattle/Tacoma International"/>
    <n v="58"/>
    <n v="15"/>
    <n v="8.82"/>
    <n v="0"/>
    <n v="0"/>
    <n v="0"/>
    <n v="6.18"/>
    <n v="1"/>
    <n v="0"/>
    <n v="2658"/>
    <n v="2329"/>
    <n v="0"/>
    <n v="0"/>
    <n v="0"/>
    <n v="329"/>
    <n v="0.2586"/>
    <n v="1.72E-2"/>
    <n v="0"/>
  </r>
  <r>
    <n v="2024"/>
    <n v="2"/>
    <x v="11"/>
    <x v="11"/>
    <s v="SEA"/>
    <s v="Seattle, WA: Seattle/Tacoma International"/>
    <n v="40"/>
    <n v="6"/>
    <n v="0"/>
    <n v="0"/>
    <n v="0.56000000000000005"/>
    <n v="0"/>
    <n v="5.44"/>
    <n v="0"/>
    <n v="1"/>
    <n v="131"/>
    <n v="0"/>
    <n v="0"/>
    <n v="10"/>
    <n v="0"/>
    <n v="121"/>
    <n v="0.15"/>
    <n v="0"/>
    <n v="2.5000000000000001E-2"/>
  </r>
  <r>
    <n v="2024"/>
    <n v="2"/>
    <x v="1"/>
    <x v="1"/>
    <s v="SEA"/>
    <s v="Seattle, WA: Seattle/Tacoma International"/>
    <n v="58"/>
    <n v="7"/>
    <n v="0.49"/>
    <n v="0"/>
    <n v="5.31"/>
    <n v="0"/>
    <n v="1.19"/>
    <n v="1"/>
    <n v="0"/>
    <n v="467"/>
    <n v="23"/>
    <n v="0"/>
    <n v="331"/>
    <n v="0"/>
    <n v="113"/>
    <n v="0.1207"/>
    <n v="1.72E-2"/>
    <n v="0"/>
  </r>
  <r>
    <n v="2024"/>
    <n v="2"/>
    <x v="3"/>
    <x v="3"/>
    <s v="SEA"/>
    <s v="Seattle, WA: Seattle/Tacoma International"/>
    <n v="1337"/>
    <n v="135"/>
    <n v="41.8"/>
    <n v="3.42"/>
    <n v="47.21"/>
    <n v="0"/>
    <n v="42.57"/>
    <n v="11"/>
    <n v="0"/>
    <n v="7444"/>
    <n v="3021"/>
    <n v="383"/>
    <n v="1512"/>
    <n v="0"/>
    <n v="2528"/>
    <n v="0.10100000000000001"/>
    <n v="8.2000000000000007E-3"/>
    <n v="0"/>
  </r>
  <r>
    <n v="2024"/>
    <n v="2"/>
    <x v="4"/>
    <x v="4"/>
    <s v="SEA"/>
    <s v="Seattle, WA: Seattle/Tacoma International"/>
    <n v="347"/>
    <n v="66"/>
    <n v="34.33"/>
    <n v="0.87"/>
    <n v="16.29"/>
    <n v="0"/>
    <n v="14.51"/>
    <n v="0"/>
    <n v="1"/>
    <n v="3124"/>
    <n v="1796"/>
    <n v="23"/>
    <n v="493"/>
    <n v="0"/>
    <n v="812"/>
    <n v="0.19020000000000001"/>
    <n v="0"/>
    <n v="2.8999999999999998E-3"/>
  </r>
  <r>
    <n v="2024"/>
    <n v="2"/>
    <x v="5"/>
    <x v="5"/>
    <s v="SEA"/>
    <s v="Seattle, WA: Seattle/Tacoma International"/>
    <n v="5296"/>
    <n v="692"/>
    <n v="147.66"/>
    <n v="14.09"/>
    <n v="219.8"/>
    <n v="4.1900000000000004"/>
    <n v="306.25"/>
    <n v="44"/>
    <n v="9"/>
    <n v="36642"/>
    <n v="10354"/>
    <n v="849"/>
    <n v="6962"/>
    <n v="300"/>
    <n v="18177"/>
    <n v="0.13070000000000001"/>
    <n v="8.3000000000000001E-3"/>
    <n v="1.6999999999999999E-3"/>
  </r>
  <r>
    <n v="2024"/>
    <n v="2"/>
    <x v="6"/>
    <x v="6"/>
    <s v="SEA"/>
    <s v="Seattle, WA: Seattle/Tacoma International"/>
    <n v="58"/>
    <n v="13"/>
    <n v="8.23"/>
    <n v="0"/>
    <n v="2.12"/>
    <n v="0"/>
    <n v="2.65"/>
    <n v="0"/>
    <n v="1"/>
    <n v="787"/>
    <n v="636"/>
    <n v="0"/>
    <n v="46"/>
    <n v="0"/>
    <n v="105"/>
    <n v="0.22409999999999999"/>
    <n v="0"/>
    <n v="1.72E-2"/>
  </r>
  <r>
    <n v="2024"/>
    <n v="2"/>
    <x v="7"/>
    <x v="7"/>
    <s v="SEA"/>
    <s v="Seattle, WA: Seattle/Tacoma International"/>
    <n v="2190"/>
    <n v="173"/>
    <n v="71.150000000000006"/>
    <n v="3.4"/>
    <n v="46.53"/>
    <n v="0.33"/>
    <n v="51.59"/>
    <n v="4"/>
    <n v="1"/>
    <n v="13493"/>
    <n v="9162"/>
    <n v="168"/>
    <n v="1253"/>
    <n v="28"/>
    <n v="2882"/>
    <n v="7.9000000000000001E-2"/>
    <n v="1.8E-3"/>
    <n v="5.0000000000000001E-4"/>
  </r>
  <r>
    <n v="2024"/>
    <n v="2"/>
    <x v="8"/>
    <x v="8"/>
    <s v="SEA"/>
    <s v="Seattle, WA: Seattle/Tacoma International"/>
    <n v="81"/>
    <n v="13"/>
    <n v="4.97"/>
    <n v="0"/>
    <n v="2.37"/>
    <n v="0"/>
    <n v="5.66"/>
    <n v="0"/>
    <n v="0"/>
    <n v="553"/>
    <n v="201"/>
    <n v="0"/>
    <n v="45"/>
    <n v="0"/>
    <n v="307"/>
    <n v="0.1605"/>
    <n v="0"/>
    <n v="0"/>
  </r>
  <r>
    <n v="2024"/>
    <n v="2"/>
    <x v="2"/>
    <x v="2"/>
    <s v="SEA"/>
    <s v="Seattle, WA: Seattle/Tacoma International"/>
    <n v="1929"/>
    <n v="210"/>
    <n v="103.02"/>
    <n v="37.33"/>
    <n v="50.77"/>
    <n v="1"/>
    <n v="17.88"/>
    <n v="5"/>
    <n v="5"/>
    <n v="14303"/>
    <n v="7369"/>
    <n v="3530"/>
    <n v="2283"/>
    <n v="137"/>
    <n v="984"/>
    <n v="0.1089"/>
    <n v="2.5999999999999999E-3"/>
    <n v="2.5999999999999999E-3"/>
  </r>
  <r>
    <n v="2024"/>
    <n v="2"/>
    <x v="9"/>
    <x v="9"/>
    <s v="SEA"/>
    <s v="Seattle, WA: Seattle/Tacoma International"/>
    <n v="525"/>
    <n v="75"/>
    <n v="27.03"/>
    <n v="1.21"/>
    <n v="20.59"/>
    <n v="0"/>
    <n v="26.16"/>
    <n v="0"/>
    <n v="3"/>
    <n v="4705"/>
    <n v="1575"/>
    <n v="135"/>
    <n v="886"/>
    <n v="0"/>
    <n v="2109"/>
    <n v="0.1429"/>
    <n v="0"/>
    <n v="5.7000000000000002E-3"/>
  </r>
  <r>
    <n v="2024"/>
    <n v="2"/>
    <x v="10"/>
    <x v="10"/>
    <s v="SEA"/>
    <s v="Seattle, WA: Seattle/Tacoma International"/>
    <n v="515"/>
    <n v="90"/>
    <n v="38.14"/>
    <n v="0"/>
    <n v="11.39"/>
    <n v="0"/>
    <n v="40.47"/>
    <n v="3"/>
    <n v="0"/>
    <n v="3851"/>
    <n v="1690"/>
    <n v="0"/>
    <n v="452"/>
    <n v="0"/>
    <n v="1709"/>
    <n v="0.17480000000000001"/>
    <n v="5.7999999999999996E-3"/>
    <n v="0"/>
  </r>
  <r>
    <n v="2024"/>
    <n v="1"/>
    <x v="3"/>
    <x v="3"/>
    <s v="SEA"/>
    <s v="Seattle, WA: Seattle/Tacoma International"/>
    <n v="1388"/>
    <n v="319"/>
    <n v="59.96"/>
    <n v="28.01"/>
    <n v="127.86"/>
    <n v="1.64"/>
    <n v="101.53"/>
    <n v="52"/>
    <n v="1"/>
    <n v="20667"/>
    <n v="4817"/>
    <n v="2740"/>
    <n v="5037"/>
    <n v="38"/>
    <n v="8035"/>
    <n v="0.2298"/>
    <n v="3.7499999999999999E-2"/>
    <n v="6.9999999999999999E-4"/>
  </r>
  <r>
    <n v="2024"/>
    <n v="1"/>
    <x v="4"/>
    <x v="4"/>
    <s v="SEA"/>
    <s v="Seattle, WA: Seattle/Tacoma International"/>
    <n v="383"/>
    <n v="110"/>
    <n v="39.840000000000003"/>
    <n v="9.34"/>
    <n v="32.5"/>
    <n v="0.25"/>
    <n v="28.07"/>
    <n v="2"/>
    <n v="1"/>
    <n v="7767"/>
    <n v="2431"/>
    <n v="1563"/>
    <n v="1297"/>
    <n v="21"/>
    <n v="2455"/>
    <n v="0.28720000000000001"/>
    <n v="5.1999999999999998E-3"/>
    <n v="2.5999999999999999E-3"/>
  </r>
  <r>
    <n v="2024"/>
    <n v="1"/>
    <x v="1"/>
    <x v="1"/>
    <s v="SEA"/>
    <s v="Seattle, WA: Seattle/Tacoma International"/>
    <n v="62"/>
    <n v="7"/>
    <n v="3"/>
    <n v="0"/>
    <n v="2.67"/>
    <n v="0"/>
    <n v="1.33"/>
    <n v="0"/>
    <n v="0"/>
    <n v="290"/>
    <n v="168"/>
    <n v="0"/>
    <n v="85"/>
    <n v="0"/>
    <n v="37"/>
    <n v="0.1129"/>
    <n v="0"/>
    <n v="0"/>
  </r>
  <r>
    <n v="2024"/>
    <n v="1"/>
    <x v="10"/>
    <x v="10"/>
    <s v="SEA"/>
    <s v="Seattle, WA: Seattle/Tacoma International"/>
    <n v="575"/>
    <n v="149"/>
    <n v="57.52"/>
    <n v="0"/>
    <n v="26.9"/>
    <n v="1.68"/>
    <n v="62.91"/>
    <n v="1"/>
    <n v="1"/>
    <n v="6930"/>
    <n v="2825"/>
    <n v="0"/>
    <n v="912"/>
    <n v="50"/>
    <n v="3143"/>
    <n v="0.2591"/>
    <n v="1.6999999999999999E-3"/>
    <n v="1.6999999999999999E-3"/>
  </r>
  <r>
    <n v="2024"/>
    <n v="1"/>
    <x v="5"/>
    <x v="5"/>
    <s v="SEA"/>
    <s v="Seattle, WA: Seattle/Tacoma International"/>
    <n v="5602"/>
    <n v="1174"/>
    <n v="258.58999999999997"/>
    <n v="65.23"/>
    <n v="288.51"/>
    <n v="8.43"/>
    <n v="553.24"/>
    <n v="872"/>
    <n v="14"/>
    <n v="81257"/>
    <n v="20789"/>
    <n v="5930"/>
    <n v="12080"/>
    <n v="354"/>
    <n v="42104"/>
    <n v="0.20960000000000001"/>
    <n v="0.15570000000000001"/>
    <n v="2.5000000000000001E-3"/>
  </r>
  <r>
    <n v="2024"/>
    <n v="1"/>
    <x v="6"/>
    <x v="6"/>
    <s v="SEA"/>
    <s v="Seattle, WA: Seattle/Tacoma International"/>
    <n v="62"/>
    <n v="19"/>
    <n v="10.77"/>
    <n v="0"/>
    <n v="5.84"/>
    <n v="0"/>
    <n v="2.39"/>
    <n v="0"/>
    <n v="0"/>
    <n v="1406"/>
    <n v="1002"/>
    <n v="0"/>
    <n v="219"/>
    <n v="0"/>
    <n v="185"/>
    <n v="0.30649999999999999"/>
    <n v="0"/>
    <n v="0"/>
  </r>
  <r>
    <n v="2024"/>
    <n v="1"/>
    <x v="7"/>
    <x v="7"/>
    <s v="SEA"/>
    <s v="Seattle, WA: Seattle/Tacoma International"/>
    <n v="2363"/>
    <n v="330"/>
    <n v="123.64"/>
    <n v="22.9"/>
    <n v="92.34"/>
    <n v="1"/>
    <n v="90.13"/>
    <n v="11"/>
    <n v="0"/>
    <n v="26075"/>
    <n v="11368"/>
    <n v="2786"/>
    <n v="3776"/>
    <n v="33"/>
    <n v="8112"/>
    <n v="0.13969999999999999"/>
    <n v="4.7000000000000002E-3"/>
    <n v="0"/>
  </r>
  <r>
    <n v="2024"/>
    <n v="1"/>
    <x v="8"/>
    <x v="8"/>
    <s v="SEA"/>
    <s v="Seattle, WA: Seattle/Tacoma International"/>
    <n v="70"/>
    <n v="8"/>
    <n v="1.84"/>
    <n v="0"/>
    <n v="3.61"/>
    <n v="0"/>
    <n v="2.5499999999999998"/>
    <n v="0"/>
    <n v="0"/>
    <n v="569"/>
    <n v="147"/>
    <n v="0"/>
    <n v="144"/>
    <n v="0"/>
    <n v="278"/>
    <n v="0.1143"/>
    <n v="0"/>
    <n v="0"/>
  </r>
  <r>
    <n v="2024"/>
    <n v="1"/>
    <x v="2"/>
    <x v="2"/>
    <s v="SEA"/>
    <s v="Seattle, WA: Seattle/Tacoma International"/>
    <n v="1984"/>
    <n v="502"/>
    <n v="229.06"/>
    <n v="133.22"/>
    <n v="75.22"/>
    <n v="1.29"/>
    <n v="63.21"/>
    <n v="62"/>
    <n v="1"/>
    <n v="43081"/>
    <n v="15320"/>
    <n v="18026"/>
    <n v="4201"/>
    <n v="38"/>
    <n v="5496"/>
    <n v="0.253"/>
    <n v="3.1300000000000001E-2"/>
    <n v="5.0000000000000001E-4"/>
  </r>
  <r>
    <n v="2024"/>
    <n v="1"/>
    <x v="0"/>
    <x v="0"/>
    <s v="SEA"/>
    <s v="Seattle, WA: Seattle/Tacoma International"/>
    <n v="62"/>
    <n v="17"/>
    <n v="11.86"/>
    <n v="0"/>
    <n v="0.13"/>
    <n v="0"/>
    <n v="5.0199999999999996"/>
    <n v="0"/>
    <n v="0"/>
    <n v="946"/>
    <n v="558"/>
    <n v="0"/>
    <n v="3"/>
    <n v="0"/>
    <n v="385"/>
    <n v="0.2742"/>
    <n v="0"/>
    <n v="0"/>
  </r>
  <r>
    <n v="2024"/>
    <n v="1"/>
    <x v="11"/>
    <x v="11"/>
    <s v="SEA"/>
    <s v="Seattle, WA: Seattle/Tacoma International"/>
    <n v="23"/>
    <n v="12"/>
    <n v="2.4"/>
    <n v="0"/>
    <n v="3.07"/>
    <n v="0"/>
    <n v="6.53"/>
    <n v="0"/>
    <n v="0"/>
    <n v="882"/>
    <n v="313"/>
    <n v="0"/>
    <n v="134"/>
    <n v="0"/>
    <n v="435"/>
    <n v="0.52170000000000005"/>
    <n v="0"/>
    <n v="0"/>
  </r>
  <r>
    <n v="2024"/>
    <n v="1"/>
    <x v="9"/>
    <x v="9"/>
    <s v="SEA"/>
    <s v="Seattle, WA: Seattle/Tacoma International"/>
    <n v="571"/>
    <n v="99"/>
    <n v="43.21"/>
    <n v="4.66"/>
    <n v="16.170000000000002"/>
    <n v="0"/>
    <n v="34.97"/>
    <n v="54"/>
    <n v="0"/>
    <n v="7124"/>
    <n v="2707"/>
    <n v="474"/>
    <n v="801"/>
    <n v="0"/>
    <n v="3142"/>
    <n v="0.1734"/>
    <n v="9.4600000000000004E-2"/>
    <n v="0"/>
  </r>
  <r>
    <n v="2023"/>
    <n v="12"/>
    <x v="4"/>
    <x v="4"/>
    <s v="SEA"/>
    <s v="Seattle, WA: Seattle/Tacoma International"/>
    <n v="453"/>
    <n v="58"/>
    <n v="25.03"/>
    <n v="0.09"/>
    <n v="15.08"/>
    <n v="0.65"/>
    <n v="17.149999999999999"/>
    <n v="0"/>
    <n v="2"/>
    <n v="2471"/>
    <n v="1219"/>
    <n v="4"/>
    <n v="570"/>
    <n v="13"/>
    <n v="665"/>
    <n v="0.128"/>
    <n v="0"/>
    <n v="4.4000000000000003E-3"/>
  </r>
  <r>
    <n v="2023"/>
    <n v="12"/>
    <x v="7"/>
    <x v="7"/>
    <s v="SEA"/>
    <s v="Seattle, WA: Seattle/Tacoma International"/>
    <n v="2619"/>
    <n v="185"/>
    <n v="79.11"/>
    <n v="7.24"/>
    <n v="54.71"/>
    <n v="0"/>
    <n v="43.94"/>
    <n v="1"/>
    <n v="3"/>
    <n v="17177"/>
    <n v="11043"/>
    <n v="1678"/>
    <n v="1594"/>
    <n v="0"/>
    <n v="2862"/>
    <n v="7.0599999999999996E-2"/>
    <n v="4.0000000000000002E-4"/>
    <n v="1.1000000000000001E-3"/>
  </r>
  <r>
    <n v="2023"/>
    <n v="12"/>
    <x v="2"/>
    <x v="2"/>
    <s v="SEA"/>
    <s v="Seattle, WA: Seattle/Tacoma International"/>
    <n v="1843"/>
    <n v="274"/>
    <n v="71.709999999999994"/>
    <n v="94"/>
    <n v="78.84"/>
    <n v="2.88"/>
    <n v="26.59"/>
    <n v="39"/>
    <n v="27"/>
    <n v="27598"/>
    <n v="6139"/>
    <n v="16965"/>
    <n v="2473"/>
    <n v="92"/>
    <n v="1929"/>
    <n v="0.1487"/>
    <n v="2.12E-2"/>
    <n v="1.47E-2"/>
  </r>
  <r>
    <n v="2023"/>
    <n v="12"/>
    <x v="3"/>
    <x v="3"/>
    <s v="SEA"/>
    <s v="Seattle, WA: Seattle/Tacoma International"/>
    <n v="1317"/>
    <n v="134"/>
    <n v="47.53"/>
    <n v="7.29"/>
    <n v="33.33"/>
    <n v="0"/>
    <n v="45.86"/>
    <n v="29"/>
    <n v="2"/>
    <n v="10248"/>
    <n v="4705"/>
    <n v="859"/>
    <n v="1218"/>
    <n v="0"/>
    <n v="3466"/>
    <n v="0.1017"/>
    <n v="2.1999999999999999E-2"/>
    <n v="1.5E-3"/>
  </r>
  <r>
    <n v="2023"/>
    <n v="12"/>
    <x v="10"/>
    <x v="10"/>
    <s v="SEA"/>
    <s v="Seattle, WA: Seattle/Tacoma International"/>
    <n v="660"/>
    <n v="137"/>
    <n v="57.42"/>
    <n v="1.57"/>
    <n v="20.62"/>
    <n v="0"/>
    <n v="57.39"/>
    <n v="0"/>
    <n v="1"/>
    <n v="5225"/>
    <n v="2113"/>
    <n v="37"/>
    <n v="560"/>
    <n v="0"/>
    <n v="2515"/>
    <n v="0.20760000000000001"/>
    <n v="0"/>
    <n v="1.5E-3"/>
  </r>
  <r>
    <n v="2023"/>
    <n v="12"/>
    <x v="5"/>
    <x v="5"/>
    <s v="SEA"/>
    <s v="Seattle, WA: Seattle/Tacoma International"/>
    <n v="6216"/>
    <n v="936"/>
    <n v="209.35"/>
    <n v="23.56"/>
    <n v="314.45"/>
    <n v="5.56"/>
    <n v="383.08"/>
    <n v="40"/>
    <n v="9"/>
    <n v="48878"/>
    <n v="14548"/>
    <n v="1913"/>
    <n v="9607"/>
    <n v="187"/>
    <n v="22623"/>
    <n v="0.15060000000000001"/>
    <n v="6.4000000000000003E-3"/>
    <n v="1.4E-3"/>
  </r>
  <r>
    <n v="2023"/>
    <n v="12"/>
    <x v="6"/>
    <x v="6"/>
    <s v="SEA"/>
    <s v="Seattle, WA: Seattle/Tacoma International"/>
    <n v="62"/>
    <n v="13"/>
    <n v="10.36"/>
    <n v="0"/>
    <n v="0.45"/>
    <n v="0"/>
    <n v="2.19"/>
    <n v="0"/>
    <n v="0"/>
    <n v="1341"/>
    <n v="1020"/>
    <n v="0"/>
    <n v="10"/>
    <n v="0"/>
    <n v="311"/>
    <n v="0.2097"/>
    <n v="0"/>
    <n v="0"/>
  </r>
  <r>
    <n v="2023"/>
    <n v="12"/>
    <x v="8"/>
    <x v="8"/>
    <s v="SEA"/>
    <s v="Seattle, WA: Seattle/Tacoma International"/>
    <n v="94"/>
    <n v="11"/>
    <n v="2.82"/>
    <n v="0"/>
    <n v="5.97"/>
    <n v="0"/>
    <n v="2.21"/>
    <n v="0"/>
    <n v="0"/>
    <n v="397"/>
    <n v="175"/>
    <n v="0"/>
    <n v="176"/>
    <n v="0"/>
    <n v="46"/>
    <n v="0.11700000000000001"/>
    <n v="0"/>
    <n v="0"/>
  </r>
  <r>
    <n v="2023"/>
    <n v="12"/>
    <x v="0"/>
    <x v="0"/>
    <s v="SEA"/>
    <s v="Seattle, WA: Seattle/Tacoma International"/>
    <n v="62"/>
    <n v="18"/>
    <n v="9.83"/>
    <n v="0.8"/>
    <n v="0"/>
    <n v="0"/>
    <n v="7.37"/>
    <n v="0"/>
    <n v="1"/>
    <n v="1226"/>
    <n v="543"/>
    <n v="65"/>
    <n v="0"/>
    <n v="0"/>
    <n v="618"/>
    <n v="0.2903"/>
    <n v="0"/>
    <n v="1.61E-2"/>
  </r>
  <r>
    <n v="2023"/>
    <n v="12"/>
    <x v="9"/>
    <x v="9"/>
    <s v="SEA"/>
    <s v="Seattle, WA: Seattle/Tacoma International"/>
    <n v="654"/>
    <n v="68"/>
    <n v="24.54"/>
    <n v="1.71"/>
    <n v="18.45"/>
    <n v="0"/>
    <n v="23.3"/>
    <n v="0"/>
    <n v="0"/>
    <n v="3898"/>
    <n v="1316"/>
    <n v="64"/>
    <n v="521"/>
    <n v="0"/>
    <n v="1997"/>
    <n v="0.104"/>
    <n v="0"/>
    <n v="0"/>
  </r>
  <r>
    <n v="2023"/>
    <n v="12"/>
    <x v="1"/>
    <x v="1"/>
    <s v="SEA"/>
    <s v="Seattle, WA: Seattle/Tacoma International"/>
    <n v="63"/>
    <n v="7"/>
    <n v="2.46"/>
    <n v="0"/>
    <n v="1.98"/>
    <n v="0"/>
    <n v="2.56"/>
    <n v="0"/>
    <n v="0"/>
    <n v="619"/>
    <n v="203"/>
    <n v="0"/>
    <n v="109"/>
    <n v="0"/>
    <n v="307"/>
    <n v="0.1111"/>
    <n v="0"/>
    <n v="0"/>
  </r>
  <r>
    <n v="2023"/>
    <n v="11"/>
    <x v="4"/>
    <x v="4"/>
    <s v="SEA"/>
    <s v="Seattle, WA: Seattle/Tacoma International"/>
    <n v="477"/>
    <n v="67"/>
    <n v="31.36"/>
    <n v="0.85"/>
    <n v="19.34"/>
    <n v="0.6"/>
    <n v="14.85"/>
    <n v="0"/>
    <n v="1"/>
    <n v="5348"/>
    <n v="3091"/>
    <n v="46"/>
    <n v="649"/>
    <n v="9"/>
    <n v="1553"/>
    <n v="0.14050000000000001"/>
    <n v="0"/>
    <n v="2.0999999999999999E-3"/>
  </r>
  <r>
    <n v="2023"/>
    <n v="11"/>
    <x v="5"/>
    <x v="5"/>
    <s v="SEA"/>
    <s v="Seattle, WA: Seattle/Tacoma International"/>
    <n v="6267"/>
    <n v="960"/>
    <n v="203.25"/>
    <n v="29.97"/>
    <n v="348.3"/>
    <n v="6.92"/>
    <n v="371.56"/>
    <n v="22"/>
    <n v="12"/>
    <n v="45936"/>
    <n v="13238"/>
    <n v="2697"/>
    <n v="10576"/>
    <n v="201"/>
    <n v="19224"/>
    <n v="0.1532"/>
    <n v="3.5000000000000001E-3"/>
    <n v="1.9E-3"/>
  </r>
  <r>
    <n v="2023"/>
    <n v="11"/>
    <x v="6"/>
    <x v="6"/>
    <s v="SEA"/>
    <s v="Seattle, WA: Seattle/Tacoma International"/>
    <n v="67"/>
    <n v="20"/>
    <n v="10.64"/>
    <n v="0"/>
    <n v="5.32"/>
    <n v="0"/>
    <n v="4.04"/>
    <n v="0"/>
    <n v="0"/>
    <n v="1471"/>
    <n v="894"/>
    <n v="0"/>
    <n v="169"/>
    <n v="0"/>
    <n v="408"/>
    <n v="0.29849999999999999"/>
    <n v="0"/>
    <n v="0"/>
  </r>
  <r>
    <n v="2023"/>
    <n v="11"/>
    <x v="7"/>
    <x v="7"/>
    <s v="SEA"/>
    <s v="Seattle, WA: Seattle/Tacoma International"/>
    <n v="2618"/>
    <n v="274"/>
    <n v="93.48"/>
    <n v="2.5099999999999998"/>
    <n v="95.13"/>
    <n v="0"/>
    <n v="82.89"/>
    <n v="2"/>
    <n v="11"/>
    <n v="21538"/>
    <n v="11026"/>
    <n v="130"/>
    <n v="3117"/>
    <n v="0"/>
    <n v="7265"/>
    <n v="0.1047"/>
    <n v="8.0000000000000004E-4"/>
    <n v="4.1999999999999997E-3"/>
  </r>
  <r>
    <n v="2023"/>
    <n v="11"/>
    <x v="8"/>
    <x v="8"/>
    <s v="SEA"/>
    <s v="Seattle, WA: Seattle/Tacoma International"/>
    <n v="101"/>
    <n v="14"/>
    <n v="0"/>
    <n v="0"/>
    <n v="6.12"/>
    <n v="0"/>
    <n v="7.88"/>
    <n v="0"/>
    <n v="0"/>
    <n v="455"/>
    <n v="0"/>
    <n v="0"/>
    <n v="151"/>
    <n v="0"/>
    <n v="304"/>
    <n v="0.1386"/>
    <n v="0"/>
    <n v="0"/>
  </r>
  <r>
    <n v="2023"/>
    <n v="11"/>
    <x v="0"/>
    <x v="0"/>
    <s v="SEA"/>
    <s v="Seattle, WA: Seattle/Tacoma International"/>
    <n v="60"/>
    <n v="8"/>
    <n v="7.21"/>
    <n v="0"/>
    <n v="0"/>
    <n v="0"/>
    <n v="0.79"/>
    <n v="0"/>
    <n v="0"/>
    <n v="203"/>
    <n v="184"/>
    <n v="0"/>
    <n v="0"/>
    <n v="0"/>
    <n v="19"/>
    <n v="0.1333"/>
    <n v="0"/>
    <n v="0"/>
  </r>
  <r>
    <n v="2023"/>
    <n v="11"/>
    <x v="11"/>
    <x v="11"/>
    <s v="SEA"/>
    <s v="Seattle, WA: Seattle/Tacoma International"/>
    <n v="4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23"/>
    <n v="11"/>
    <x v="1"/>
    <x v="1"/>
    <s v="SEA"/>
    <s v="Seattle, WA: Seattle/Tacoma International"/>
    <n v="75"/>
    <n v="8"/>
    <n v="1.57"/>
    <n v="0.7"/>
    <n v="4.83"/>
    <n v="0"/>
    <n v="0.9"/>
    <n v="0"/>
    <n v="0"/>
    <n v="550"/>
    <n v="115"/>
    <n v="19"/>
    <n v="283"/>
    <n v="0"/>
    <n v="133"/>
    <n v="0.1067"/>
    <n v="0"/>
    <n v="0"/>
  </r>
  <r>
    <n v="2023"/>
    <n v="11"/>
    <x v="2"/>
    <x v="2"/>
    <s v="SEA"/>
    <s v="Seattle, WA: Seattle/Tacoma International"/>
    <n v="2119"/>
    <n v="306"/>
    <n v="86.49"/>
    <n v="94.67"/>
    <n v="86.1"/>
    <n v="1.18"/>
    <n v="37.57"/>
    <n v="9"/>
    <n v="17"/>
    <n v="27574"/>
    <n v="8200"/>
    <n v="13686"/>
    <n v="3163"/>
    <n v="65"/>
    <n v="2460"/>
    <n v="0.1444"/>
    <n v="4.1999999999999997E-3"/>
    <n v="8.0000000000000002E-3"/>
  </r>
  <r>
    <n v="2023"/>
    <n v="11"/>
    <x v="3"/>
    <x v="3"/>
    <s v="SEA"/>
    <s v="Seattle, WA: Seattle/Tacoma International"/>
    <n v="1423"/>
    <n v="189"/>
    <n v="42.8"/>
    <n v="5.64"/>
    <n v="68.09"/>
    <n v="0.7"/>
    <n v="71.78"/>
    <n v="6"/>
    <n v="1"/>
    <n v="11616"/>
    <n v="3200"/>
    <n v="1179"/>
    <n v="2026"/>
    <n v="21"/>
    <n v="5190"/>
    <n v="0.1328"/>
    <n v="4.1999999999999997E-3"/>
    <n v="6.9999999999999999E-4"/>
  </r>
  <r>
    <n v="2023"/>
    <n v="11"/>
    <x v="9"/>
    <x v="9"/>
    <s v="SEA"/>
    <s v="Seattle, WA: Seattle/Tacoma International"/>
    <n v="679"/>
    <n v="78"/>
    <n v="22.34"/>
    <n v="1.37"/>
    <n v="29.09"/>
    <n v="0"/>
    <n v="25.2"/>
    <n v="1"/>
    <n v="1"/>
    <n v="4465"/>
    <n v="1183"/>
    <n v="59"/>
    <n v="818"/>
    <n v="0"/>
    <n v="2405"/>
    <n v="0.1149"/>
    <n v="1.5E-3"/>
    <n v="1.5E-3"/>
  </r>
  <r>
    <n v="2023"/>
    <n v="11"/>
    <x v="10"/>
    <x v="10"/>
    <s v="SEA"/>
    <s v="Seattle, WA: Seattle/Tacoma International"/>
    <n v="639"/>
    <n v="83"/>
    <n v="23.73"/>
    <n v="0"/>
    <n v="23.22"/>
    <n v="0"/>
    <n v="36.049999999999997"/>
    <n v="0"/>
    <n v="1"/>
    <n v="2718"/>
    <n v="784"/>
    <n v="0"/>
    <n v="563"/>
    <n v="0"/>
    <n v="1371"/>
    <n v="0.12989999999999999"/>
    <n v="0"/>
    <n v="1.6000000000000001E-3"/>
  </r>
  <r>
    <n v="2023"/>
    <n v="10"/>
    <x v="4"/>
    <x v="4"/>
    <s v="SEA"/>
    <s v="Seattle, WA: Seattle/Tacoma International"/>
    <n v="534"/>
    <n v="106"/>
    <n v="41.36"/>
    <n v="1.07"/>
    <n v="41.45"/>
    <n v="0"/>
    <n v="22.12"/>
    <n v="5"/>
    <n v="1"/>
    <n v="5935"/>
    <n v="2520"/>
    <n v="94"/>
    <n v="1427"/>
    <n v="0"/>
    <n v="1894"/>
    <n v="0.19850000000000001"/>
    <n v="9.4000000000000004E-3"/>
    <n v="1.9E-3"/>
  </r>
  <r>
    <n v="2023"/>
    <n v="10"/>
    <x v="5"/>
    <x v="5"/>
    <s v="SEA"/>
    <s v="Seattle, WA: Seattle/Tacoma International"/>
    <n v="6762"/>
    <n v="847"/>
    <n v="210.46"/>
    <n v="20.49"/>
    <n v="275.62"/>
    <n v="3.5"/>
    <n v="336.93"/>
    <n v="14"/>
    <n v="15"/>
    <n v="45278"/>
    <n v="16126"/>
    <n v="1993"/>
    <n v="7997"/>
    <n v="142"/>
    <n v="19020"/>
    <n v="0.12529999999999999"/>
    <n v="2.0999999999999999E-3"/>
    <n v="2.2000000000000001E-3"/>
  </r>
  <r>
    <n v="2023"/>
    <n v="10"/>
    <x v="6"/>
    <x v="6"/>
    <s v="SEA"/>
    <s v="Seattle, WA: Seattle/Tacoma International"/>
    <n v="118"/>
    <n v="39"/>
    <n v="16.899999999999999"/>
    <n v="0"/>
    <n v="15.68"/>
    <n v="0.67"/>
    <n v="5.75"/>
    <n v="0"/>
    <n v="0"/>
    <n v="2601"/>
    <n v="1771"/>
    <n v="0"/>
    <n v="587"/>
    <n v="20"/>
    <n v="223"/>
    <n v="0.33050000000000002"/>
    <n v="0"/>
    <n v="0"/>
  </r>
  <r>
    <n v="2023"/>
    <n v="10"/>
    <x v="7"/>
    <x v="7"/>
    <s v="SEA"/>
    <s v="Seattle, WA: Seattle/Tacoma International"/>
    <n v="2848"/>
    <n v="262"/>
    <n v="87.1"/>
    <n v="6.08"/>
    <n v="104.89"/>
    <n v="0"/>
    <n v="63.92"/>
    <n v="4"/>
    <n v="2"/>
    <n v="16713"/>
    <n v="8654"/>
    <n v="617"/>
    <n v="2934"/>
    <n v="0"/>
    <n v="4508"/>
    <n v="9.1999999999999998E-2"/>
    <n v="1.4E-3"/>
    <n v="6.9999999999999999E-4"/>
  </r>
  <r>
    <n v="2023"/>
    <n v="10"/>
    <x v="8"/>
    <x v="8"/>
    <s v="SEA"/>
    <s v="Seattle, WA: Seattle/Tacoma International"/>
    <n v="126"/>
    <n v="40"/>
    <n v="5.96"/>
    <n v="0.4"/>
    <n v="13.3"/>
    <n v="0"/>
    <n v="20.34"/>
    <n v="0"/>
    <n v="0"/>
    <n v="1818"/>
    <n v="297"/>
    <n v="22"/>
    <n v="372"/>
    <n v="0"/>
    <n v="1127"/>
    <n v="0.3175"/>
    <n v="0"/>
    <n v="0"/>
  </r>
  <r>
    <n v="2023"/>
    <n v="10"/>
    <x v="0"/>
    <x v="0"/>
    <s v="SEA"/>
    <s v="Seattle, WA: Seattle/Tacoma International"/>
    <n v="62"/>
    <n v="17"/>
    <n v="12.92"/>
    <n v="0"/>
    <n v="0"/>
    <n v="0"/>
    <n v="4.08"/>
    <n v="0"/>
    <n v="1"/>
    <n v="1023"/>
    <n v="492"/>
    <n v="0"/>
    <n v="0"/>
    <n v="0"/>
    <n v="531"/>
    <n v="0.2742"/>
    <n v="0"/>
    <n v="1.61E-2"/>
  </r>
  <r>
    <n v="2023"/>
    <n v="10"/>
    <x v="11"/>
    <x v="11"/>
    <s v="SEA"/>
    <s v="Seattle, WA: Seattle/Tacoma International"/>
    <n v="31"/>
    <n v="6"/>
    <n v="1.45"/>
    <n v="0"/>
    <n v="3.3"/>
    <n v="0"/>
    <n v="1.26"/>
    <n v="0"/>
    <n v="0"/>
    <n v="175"/>
    <n v="40"/>
    <n v="0"/>
    <n v="105"/>
    <n v="0"/>
    <n v="30"/>
    <n v="0.19350000000000001"/>
    <n v="0"/>
    <n v="0"/>
  </r>
  <r>
    <n v="2023"/>
    <n v="10"/>
    <x v="1"/>
    <x v="1"/>
    <s v="SEA"/>
    <s v="Seattle, WA: Seattle/Tacoma International"/>
    <n v="83"/>
    <n v="11"/>
    <n v="1.78"/>
    <n v="0"/>
    <n v="9.2200000000000006"/>
    <n v="0"/>
    <n v="0"/>
    <n v="0"/>
    <n v="0"/>
    <n v="1291"/>
    <n v="786"/>
    <n v="0"/>
    <n v="505"/>
    <n v="0"/>
    <n v="0"/>
    <n v="0.13250000000000001"/>
    <n v="0"/>
    <n v="0"/>
  </r>
  <r>
    <n v="2023"/>
    <n v="10"/>
    <x v="2"/>
    <x v="2"/>
    <s v="SEA"/>
    <s v="Seattle, WA: Seattle/Tacoma International"/>
    <n v="2272"/>
    <n v="255"/>
    <n v="173"/>
    <n v="33"/>
    <n v="5"/>
    <n v="1"/>
    <n v="43"/>
    <n v="1"/>
    <n v="1"/>
    <n v="11925"/>
    <n v="7614"/>
    <n v="1983"/>
    <n v="128"/>
    <n v="17"/>
    <n v="2183"/>
    <n v="0.11219999999999999"/>
    <n v="4.0000000000000002E-4"/>
    <n v="4.0000000000000002E-4"/>
  </r>
  <r>
    <n v="2023"/>
    <n v="10"/>
    <x v="3"/>
    <x v="3"/>
    <s v="SEA"/>
    <s v="Seattle, WA: Seattle/Tacoma International"/>
    <n v="1424"/>
    <n v="171"/>
    <n v="40.24"/>
    <n v="6.59"/>
    <n v="73.02"/>
    <n v="0"/>
    <n v="51.14"/>
    <n v="0"/>
    <n v="0"/>
    <n v="8937"/>
    <n v="3412"/>
    <n v="337"/>
    <n v="2062"/>
    <n v="0"/>
    <n v="3126"/>
    <n v="0.1201"/>
    <n v="0"/>
    <n v="0"/>
  </r>
  <r>
    <n v="2023"/>
    <n v="10"/>
    <x v="9"/>
    <x v="9"/>
    <s v="SEA"/>
    <s v="Seattle, WA: Seattle/Tacoma International"/>
    <n v="770"/>
    <n v="115"/>
    <n v="32.44"/>
    <n v="1.41"/>
    <n v="43.01"/>
    <n v="0"/>
    <n v="38.130000000000003"/>
    <n v="2"/>
    <n v="1"/>
    <n v="6037"/>
    <n v="2258"/>
    <n v="70"/>
    <n v="1548"/>
    <n v="0"/>
    <n v="2161"/>
    <n v="0.14940000000000001"/>
    <n v="2.5999999999999999E-3"/>
    <n v="1.2999999999999999E-3"/>
  </r>
  <r>
    <n v="2023"/>
    <n v="10"/>
    <x v="10"/>
    <x v="10"/>
    <s v="SEA"/>
    <s v="Seattle, WA: Seattle/Tacoma International"/>
    <n v="703"/>
    <n v="156"/>
    <n v="47.46"/>
    <n v="0"/>
    <n v="36.26"/>
    <n v="0"/>
    <n v="72.28"/>
    <n v="0"/>
    <n v="0"/>
    <n v="6384"/>
    <n v="1808"/>
    <n v="0"/>
    <n v="1033"/>
    <n v="0"/>
    <n v="3543"/>
    <n v="0.22189999999999999"/>
    <n v="0"/>
    <n v="0"/>
  </r>
  <r>
    <n v="2023"/>
    <n v="9"/>
    <x v="4"/>
    <x v="4"/>
    <s v="SEA"/>
    <s v="Seattle, WA: Seattle/Tacoma International"/>
    <n v="558"/>
    <n v="128"/>
    <n v="28.48"/>
    <n v="6.71"/>
    <n v="51.57"/>
    <n v="0"/>
    <n v="41.25"/>
    <n v="3"/>
    <n v="0"/>
    <n v="9608"/>
    <n v="2871"/>
    <n v="1220"/>
    <n v="2009"/>
    <n v="0"/>
    <n v="3508"/>
    <n v="0.22939999999999999"/>
    <n v="5.4000000000000003E-3"/>
    <n v="0"/>
  </r>
  <r>
    <n v="2023"/>
    <n v="9"/>
    <x v="5"/>
    <x v="5"/>
    <s v="SEA"/>
    <s v="Seattle, WA: Seattle/Tacoma International"/>
    <n v="7356"/>
    <n v="1156"/>
    <n v="275.43"/>
    <n v="25.99"/>
    <n v="365.55"/>
    <n v="12.68"/>
    <n v="476.35"/>
    <n v="32"/>
    <n v="6"/>
    <n v="60128"/>
    <n v="21470"/>
    <n v="2223"/>
    <n v="10968"/>
    <n v="600"/>
    <n v="24867"/>
    <n v="0.15720000000000001"/>
    <n v="4.4000000000000003E-3"/>
    <n v="8.0000000000000004E-4"/>
  </r>
  <r>
    <n v="2023"/>
    <n v="9"/>
    <x v="6"/>
    <x v="6"/>
    <s v="SEA"/>
    <s v="Seattle, WA: Seattle/Tacoma International"/>
    <n v="129"/>
    <n v="45"/>
    <n v="27.58"/>
    <n v="1"/>
    <n v="6.87"/>
    <n v="0"/>
    <n v="9.5500000000000007"/>
    <n v="3"/>
    <n v="0"/>
    <n v="4643"/>
    <n v="3379"/>
    <n v="110"/>
    <n v="412"/>
    <n v="0"/>
    <n v="742"/>
    <n v="0.3488"/>
    <n v="2.3300000000000001E-2"/>
    <n v="0"/>
  </r>
  <r>
    <n v="2023"/>
    <n v="9"/>
    <x v="7"/>
    <x v="7"/>
    <s v="SEA"/>
    <s v="Seattle, WA: Seattle/Tacoma International"/>
    <n v="2883"/>
    <n v="339"/>
    <n v="122.32"/>
    <n v="10.38"/>
    <n v="91.36"/>
    <n v="1"/>
    <n v="113.94"/>
    <n v="20"/>
    <n v="1"/>
    <n v="27493"/>
    <n v="11315"/>
    <n v="1269"/>
    <n v="4604"/>
    <n v="15"/>
    <n v="10290"/>
    <n v="0.1176"/>
    <n v="6.8999999999999999E-3"/>
    <n v="2.9999999999999997E-4"/>
  </r>
  <r>
    <n v="2023"/>
    <n v="9"/>
    <x v="8"/>
    <x v="8"/>
    <s v="SEA"/>
    <s v="Seattle, WA: Seattle/Tacoma International"/>
    <n v="145"/>
    <n v="30"/>
    <n v="11.29"/>
    <n v="0.24"/>
    <n v="6.9"/>
    <n v="0"/>
    <n v="11.57"/>
    <n v="0"/>
    <n v="0"/>
    <n v="1291"/>
    <n v="496"/>
    <n v="10"/>
    <n v="199"/>
    <n v="0"/>
    <n v="586"/>
    <n v="0.2069"/>
    <n v="0"/>
    <n v="0"/>
  </r>
  <r>
    <n v="2023"/>
    <n v="9"/>
    <x v="0"/>
    <x v="0"/>
    <s v="SEA"/>
    <s v="Seattle, WA: Seattle/Tacoma International"/>
    <n v="60"/>
    <n v="14"/>
    <n v="8.08"/>
    <n v="0"/>
    <n v="0"/>
    <n v="1"/>
    <n v="4.92"/>
    <n v="1"/>
    <n v="1"/>
    <n v="534"/>
    <n v="219"/>
    <n v="0"/>
    <n v="0"/>
    <n v="25"/>
    <n v="290"/>
    <n v="0.23330000000000001"/>
    <n v="1.67E-2"/>
    <n v="1.67E-2"/>
  </r>
  <r>
    <n v="2023"/>
    <n v="9"/>
    <x v="11"/>
    <x v="11"/>
    <s v="SEA"/>
    <s v="Seattle, WA: Seattle/Tacoma International"/>
    <n v="25"/>
    <n v="2"/>
    <n v="0"/>
    <n v="0"/>
    <n v="2"/>
    <n v="0"/>
    <n v="0"/>
    <n v="0"/>
    <n v="0"/>
    <n v="35"/>
    <n v="0"/>
    <n v="0"/>
    <n v="35"/>
    <n v="0"/>
    <n v="0"/>
    <n v="0.08"/>
    <n v="0"/>
    <n v="0"/>
  </r>
  <r>
    <n v="2023"/>
    <n v="9"/>
    <x v="1"/>
    <x v="1"/>
    <s v="SEA"/>
    <s v="Seattle, WA: Seattle/Tacoma International"/>
    <n v="77"/>
    <n v="18"/>
    <n v="4.66"/>
    <n v="0.27"/>
    <n v="8.0500000000000007"/>
    <n v="0.13"/>
    <n v="4.8899999999999997"/>
    <n v="3"/>
    <n v="0"/>
    <n v="984"/>
    <n v="343"/>
    <n v="6"/>
    <n v="480"/>
    <n v="2"/>
    <n v="153"/>
    <n v="0.23380000000000001"/>
    <n v="3.9E-2"/>
    <n v="0"/>
  </r>
  <r>
    <n v="2023"/>
    <n v="9"/>
    <x v="2"/>
    <x v="2"/>
    <s v="SEA"/>
    <s v="Seattle, WA: Seattle/Tacoma International"/>
    <n v="2247"/>
    <n v="261"/>
    <n v="141.35"/>
    <n v="23"/>
    <n v="9.06"/>
    <n v="0"/>
    <n v="87.59"/>
    <n v="0"/>
    <n v="0"/>
    <n v="13530"/>
    <n v="7670"/>
    <n v="929"/>
    <n v="378"/>
    <n v="0"/>
    <n v="4553"/>
    <n v="0.1162"/>
    <n v="0"/>
    <n v="0"/>
  </r>
  <r>
    <n v="2023"/>
    <n v="9"/>
    <x v="3"/>
    <x v="3"/>
    <s v="SEA"/>
    <s v="Seattle, WA: Seattle/Tacoma International"/>
    <n v="1426"/>
    <n v="167"/>
    <n v="36.409999999999997"/>
    <n v="0.76"/>
    <n v="78.959999999999994"/>
    <n v="0.73"/>
    <n v="50.14"/>
    <n v="1"/>
    <n v="0"/>
    <n v="6768"/>
    <n v="2149"/>
    <n v="35"/>
    <n v="2342"/>
    <n v="11"/>
    <n v="2231"/>
    <n v="0.1171"/>
    <n v="6.9999999999999999E-4"/>
    <n v="0"/>
  </r>
  <r>
    <n v="2023"/>
    <n v="9"/>
    <x v="9"/>
    <x v="9"/>
    <s v="SEA"/>
    <s v="Seattle, WA: Seattle/Tacoma International"/>
    <n v="833"/>
    <n v="129"/>
    <n v="57.52"/>
    <n v="6.83"/>
    <n v="32.64"/>
    <n v="0"/>
    <n v="32.020000000000003"/>
    <n v="5"/>
    <n v="1"/>
    <n v="10228"/>
    <n v="5171"/>
    <n v="1096"/>
    <n v="1359"/>
    <n v="0"/>
    <n v="2602"/>
    <n v="0.15490000000000001"/>
    <n v="6.0000000000000001E-3"/>
    <n v="1.1999999999999999E-3"/>
  </r>
  <r>
    <n v="2023"/>
    <n v="9"/>
    <x v="10"/>
    <x v="10"/>
    <s v="SEA"/>
    <s v="Seattle, WA: Seattle/Tacoma International"/>
    <n v="744"/>
    <n v="228"/>
    <n v="70.86"/>
    <n v="0.38"/>
    <n v="53.4"/>
    <n v="0.86"/>
    <n v="102.49"/>
    <n v="0"/>
    <n v="1"/>
    <n v="9054"/>
    <n v="2816"/>
    <n v="57"/>
    <n v="1651"/>
    <n v="43"/>
    <n v="4487"/>
    <n v="0.30649999999999999"/>
    <n v="0"/>
    <n v="1.2999999999999999E-3"/>
  </r>
  <r>
    <n v="2023"/>
    <n v="8"/>
    <x v="4"/>
    <x v="4"/>
    <s v="SEA"/>
    <s v="Seattle, WA: Seattle/Tacoma International"/>
    <n v="641"/>
    <n v="189"/>
    <n v="61.79"/>
    <n v="10.27"/>
    <n v="40.74"/>
    <n v="1.59"/>
    <n v="74.61"/>
    <n v="5"/>
    <n v="0"/>
    <n v="14516"/>
    <n v="4349"/>
    <n v="1070"/>
    <n v="1574"/>
    <n v="84"/>
    <n v="7439"/>
    <n v="0.2949"/>
    <n v="7.7999999999999996E-3"/>
    <n v="0"/>
  </r>
  <r>
    <n v="2023"/>
    <n v="8"/>
    <x v="5"/>
    <x v="5"/>
    <s v="SEA"/>
    <s v="Seattle, WA: Seattle/Tacoma International"/>
    <n v="7771"/>
    <n v="1420"/>
    <n v="332.51"/>
    <n v="41.88"/>
    <n v="449.5"/>
    <n v="10.93"/>
    <n v="585.16999999999996"/>
    <n v="26"/>
    <n v="13"/>
    <n v="78535"/>
    <n v="26310"/>
    <n v="3680"/>
    <n v="14449"/>
    <n v="364"/>
    <n v="33732"/>
    <n v="0.1827"/>
    <n v="3.3E-3"/>
    <n v="1.6999999999999999E-3"/>
  </r>
  <r>
    <n v="2023"/>
    <n v="8"/>
    <x v="6"/>
    <x v="6"/>
    <s v="SEA"/>
    <s v="Seattle, WA: Seattle/Tacoma International"/>
    <n v="182"/>
    <n v="47"/>
    <n v="23.62"/>
    <n v="0"/>
    <n v="15.56"/>
    <n v="0"/>
    <n v="7.82"/>
    <n v="3"/>
    <n v="1"/>
    <n v="2954"/>
    <n v="1496"/>
    <n v="0"/>
    <n v="741"/>
    <n v="0"/>
    <n v="717"/>
    <n v="0.25819999999999999"/>
    <n v="1.6500000000000001E-2"/>
    <n v="5.4999999999999997E-3"/>
  </r>
  <r>
    <n v="2023"/>
    <n v="8"/>
    <x v="7"/>
    <x v="7"/>
    <s v="SEA"/>
    <s v="Seattle, WA: Seattle/Tacoma International"/>
    <n v="3201"/>
    <n v="391"/>
    <n v="149.62"/>
    <n v="16.7"/>
    <n v="79.87"/>
    <n v="0"/>
    <n v="144.81"/>
    <n v="29"/>
    <n v="4"/>
    <n v="36535"/>
    <n v="19341"/>
    <n v="1439"/>
    <n v="3245"/>
    <n v="0"/>
    <n v="12510"/>
    <n v="0.1221"/>
    <n v="9.1000000000000004E-3"/>
    <n v="1.1999999999999999E-3"/>
  </r>
  <r>
    <n v="2023"/>
    <n v="8"/>
    <x v="8"/>
    <x v="8"/>
    <s v="SEA"/>
    <s v="Seattle, WA: Seattle/Tacoma International"/>
    <n v="67"/>
    <n v="8"/>
    <n v="2.4"/>
    <n v="0.44"/>
    <n v="1.89"/>
    <n v="0"/>
    <n v="3.27"/>
    <n v="2"/>
    <n v="0"/>
    <n v="574"/>
    <n v="210"/>
    <n v="66"/>
    <n v="126"/>
    <n v="0"/>
    <n v="172"/>
    <n v="0.11940000000000001"/>
    <n v="2.9899999999999999E-2"/>
    <n v="0"/>
  </r>
  <r>
    <n v="2023"/>
    <n v="8"/>
    <x v="0"/>
    <x v="0"/>
    <s v="SEA"/>
    <s v="Seattle, WA: Seattle/Tacoma International"/>
    <n v="62"/>
    <n v="26"/>
    <n v="18.8"/>
    <n v="0"/>
    <n v="1"/>
    <n v="0"/>
    <n v="6.2"/>
    <n v="0"/>
    <n v="0"/>
    <n v="1569"/>
    <n v="1270"/>
    <n v="0"/>
    <n v="59"/>
    <n v="0"/>
    <n v="240"/>
    <n v="0.4194"/>
    <n v="0"/>
    <n v="0"/>
  </r>
  <r>
    <n v="2023"/>
    <n v="8"/>
    <x v="1"/>
    <x v="1"/>
    <s v="SEA"/>
    <s v="Seattle, WA: Seattle/Tacoma International"/>
    <n v="75"/>
    <n v="22"/>
    <n v="5.25"/>
    <n v="2.2000000000000002"/>
    <n v="10.16"/>
    <n v="0"/>
    <n v="4.4000000000000004"/>
    <n v="0"/>
    <n v="0"/>
    <n v="1704"/>
    <n v="294"/>
    <n v="342"/>
    <n v="688"/>
    <n v="0"/>
    <n v="380"/>
    <n v="0.29330000000000001"/>
    <n v="0"/>
    <n v="0"/>
  </r>
  <r>
    <n v="2023"/>
    <n v="8"/>
    <x v="2"/>
    <x v="2"/>
    <s v="SEA"/>
    <s v="Seattle, WA: Seattle/Tacoma International"/>
    <n v="2122"/>
    <n v="286"/>
    <n v="168"/>
    <n v="35"/>
    <n v="10"/>
    <n v="0"/>
    <n v="73"/>
    <n v="1"/>
    <n v="1"/>
    <n v="18459"/>
    <n v="11435"/>
    <n v="3307"/>
    <n v="737"/>
    <n v="0"/>
    <n v="2980"/>
    <n v="0.1348"/>
    <n v="5.0000000000000001E-4"/>
    <n v="5.0000000000000001E-4"/>
  </r>
  <r>
    <n v="2023"/>
    <n v="8"/>
    <x v="3"/>
    <x v="3"/>
    <s v="SEA"/>
    <s v="Seattle, WA: Seattle/Tacoma International"/>
    <n v="1453"/>
    <n v="179"/>
    <n v="41.57"/>
    <n v="3.83"/>
    <n v="79.2"/>
    <n v="0"/>
    <n v="54.4"/>
    <n v="4"/>
    <n v="1"/>
    <n v="7526"/>
    <n v="2510"/>
    <n v="445"/>
    <n v="2384"/>
    <n v="0"/>
    <n v="2187"/>
    <n v="0.1232"/>
    <n v="2.8E-3"/>
    <n v="6.9999999999999999E-4"/>
  </r>
  <r>
    <n v="2023"/>
    <n v="8"/>
    <x v="9"/>
    <x v="9"/>
    <s v="SEA"/>
    <s v="Seattle, WA: Seattle/Tacoma International"/>
    <n v="972"/>
    <n v="191"/>
    <n v="68.959999999999994"/>
    <n v="3.06"/>
    <n v="56.33"/>
    <n v="0"/>
    <n v="62.65"/>
    <n v="4"/>
    <n v="0"/>
    <n v="11509"/>
    <n v="5584"/>
    <n v="224"/>
    <n v="1664"/>
    <n v="0"/>
    <n v="4037"/>
    <n v="0.19650000000000001"/>
    <n v="4.1000000000000003E-3"/>
    <n v="0"/>
  </r>
  <r>
    <n v="2023"/>
    <n v="8"/>
    <x v="10"/>
    <x v="10"/>
    <s v="SEA"/>
    <s v="Seattle, WA: Seattle/Tacoma International"/>
    <n v="875"/>
    <n v="245"/>
    <n v="84.86"/>
    <n v="6.22"/>
    <n v="46.83"/>
    <n v="0"/>
    <n v="107.1"/>
    <n v="4"/>
    <n v="3"/>
    <n v="11656"/>
    <n v="3804"/>
    <n v="845"/>
    <n v="1695"/>
    <n v="0"/>
    <n v="5312"/>
    <n v="0.28000000000000003"/>
    <n v="4.5999999999999999E-3"/>
    <n v="3.3999999999999998E-3"/>
  </r>
  <r>
    <n v="2023"/>
    <n v="7"/>
    <x v="4"/>
    <x v="4"/>
    <s v="SEA"/>
    <s v="Seattle, WA: Seattle/Tacoma International"/>
    <n v="614"/>
    <n v="224"/>
    <n v="83.06"/>
    <n v="12.2"/>
    <n v="51.75"/>
    <n v="1.03"/>
    <n v="75.959999999999994"/>
    <n v="14"/>
    <n v="2"/>
    <n v="21288"/>
    <n v="8717"/>
    <n v="815"/>
    <n v="2154"/>
    <n v="114"/>
    <n v="9488"/>
    <n v="0.36480000000000001"/>
    <n v="2.2800000000000001E-2"/>
    <n v="3.3E-3"/>
  </r>
  <r>
    <n v="2023"/>
    <n v="7"/>
    <x v="5"/>
    <x v="5"/>
    <s v="SEA"/>
    <s v="Seattle, WA: Seattle/Tacoma International"/>
    <n v="7633"/>
    <n v="1622"/>
    <n v="406.94"/>
    <n v="61.19"/>
    <n v="537.64"/>
    <n v="9.74"/>
    <n v="606.5"/>
    <n v="32"/>
    <n v="15"/>
    <n v="91175"/>
    <n v="28397"/>
    <n v="5376"/>
    <n v="18201"/>
    <n v="567"/>
    <n v="38634"/>
    <n v="0.21249999999999999"/>
    <n v="4.1999999999999997E-3"/>
    <n v="2E-3"/>
  </r>
  <r>
    <n v="2023"/>
    <n v="7"/>
    <x v="6"/>
    <x v="6"/>
    <s v="SEA"/>
    <s v="Seattle, WA: Seattle/Tacoma International"/>
    <n v="181"/>
    <n v="59"/>
    <n v="30.73"/>
    <n v="2.27"/>
    <n v="15.87"/>
    <n v="0"/>
    <n v="10.119999999999999"/>
    <n v="5"/>
    <n v="0"/>
    <n v="5684"/>
    <n v="3259"/>
    <n v="180"/>
    <n v="1230"/>
    <n v="0"/>
    <n v="1015"/>
    <n v="0.32600000000000001"/>
    <n v="2.76E-2"/>
    <n v="0"/>
  </r>
  <r>
    <n v="2023"/>
    <n v="7"/>
    <x v="7"/>
    <x v="7"/>
    <s v="SEA"/>
    <s v="Seattle, WA: Seattle/Tacoma International"/>
    <n v="3201"/>
    <n v="643"/>
    <n v="280.20999999999998"/>
    <n v="24.41"/>
    <n v="128.19"/>
    <n v="0"/>
    <n v="210.19"/>
    <n v="27"/>
    <n v="2"/>
    <n v="51989"/>
    <n v="30194"/>
    <n v="1552"/>
    <n v="5288"/>
    <n v="0"/>
    <n v="14955"/>
    <n v="0.2009"/>
    <n v="8.3999999999999995E-3"/>
    <n v="5.9999999999999995E-4"/>
  </r>
  <r>
    <n v="2023"/>
    <n v="7"/>
    <x v="8"/>
    <x v="8"/>
    <s v="SEA"/>
    <s v="Seattle, WA: Seattle/Tacoma International"/>
    <n v="61"/>
    <n v="25"/>
    <n v="10.74"/>
    <n v="1.1599999999999999"/>
    <n v="2.2200000000000002"/>
    <n v="0"/>
    <n v="10.88"/>
    <n v="1"/>
    <n v="0"/>
    <n v="1894"/>
    <n v="773"/>
    <n v="85"/>
    <n v="143"/>
    <n v="0"/>
    <n v="893"/>
    <n v="0.4098"/>
    <n v="1.6400000000000001E-2"/>
    <n v="0"/>
  </r>
  <r>
    <n v="2023"/>
    <n v="7"/>
    <x v="0"/>
    <x v="0"/>
    <s v="SEA"/>
    <s v="Seattle, WA: Seattle/Tacoma International"/>
    <n v="62"/>
    <n v="12"/>
    <n v="7.83"/>
    <n v="0"/>
    <n v="0"/>
    <n v="0"/>
    <n v="4.17"/>
    <n v="0"/>
    <n v="1"/>
    <n v="590"/>
    <n v="327"/>
    <n v="0"/>
    <n v="0"/>
    <n v="0"/>
    <n v="263"/>
    <n v="0.19350000000000001"/>
    <n v="0"/>
    <n v="1.61E-2"/>
  </r>
  <r>
    <n v="2023"/>
    <n v="7"/>
    <x v="1"/>
    <x v="1"/>
    <s v="SEA"/>
    <s v="Seattle, WA: Seattle/Tacoma International"/>
    <n v="64"/>
    <n v="13"/>
    <n v="2.98"/>
    <n v="0.1"/>
    <n v="6.74"/>
    <n v="0"/>
    <n v="3.19"/>
    <n v="0"/>
    <n v="0"/>
    <n v="958"/>
    <n v="86"/>
    <n v="21"/>
    <n v="664"/>
    <n v="0"/>
    <n v="187"/>
    <n v="0.2031"/>
    <n v="0"/>
    <n v="0"/>
  </r>
  <r>
    <n v="2023"/>
    <n v="7"/>
    <x v="2"/>
    <x v="2"/>
    <s v="SEA"/>
    <s v="Seattle, WA: Seattle/Tacoma International"/>
    <n v="2049"/>
    <n v="180"/>
    <n v="116.71"/>
    <n v="17"/>
    <n v="4.29"/>
    <n v="0"/>
    <n v="42"/>
    <n v="0"/>
    <n v="1"/>
    <n v="12090"/>
    <n v="7954"/>
    <n v="1464"/>
    <n v="164"/>
    <n v="0"/>
    <n v="2508"/>
    <n v="8.7800000000000003E-2"/>
    <n v="0"/>
    <n v="5.0000000000000001E-4"/>
  </r>
  <r>
    <n v="2023"/>
    <n v="7"/>
    <x v="3"/>
    <x v="3"/>
    <s v="SEA"/>
    <s v="Seattle, WA: Seattle/Tacoma International"/>
    <n v="1441"/>
    <n v="151"/>
    <n v="51.71"/>
    <n v="0.28000000000000003"/>
    <n v="51.71"/>
    <n v="0"/>
    <n v="47.29"/>
    <n v="1"/>
    <n v="0"/>
    <n v="7881"/>
    <n v="3525"/>
    <n v="9"/>
    <n v="1396"/>
    <n v="0"/>
    <n v="2951"/>
    <n v="0.1048"/>
    <n v="6.9999999999999999E-4"/>
    <n v="0"/>
  </r>
  <r>
    <n v="2023"/>
    <n v="7"/>
    <x v="9"/>
    <x v="9"/>
    <s v="SEA"/>
    <s v="Seattle, WA: Seattle/Tacoma International"/>
    <n v="939"/>
    <n v="333"/>
    <n v="136.4"/>
    <n v="14.94"/>
    <n v="62.35"/>
    <n v="0"/>
    <n v="119.32"/>
    <n v="24"/>
    <n v="1"/>
    <n v="25318"/>
    <n v="8888"/>
    <n v="1912"/>
    <n v="2870"/>
    <n v="0"/>
    <n v="11648"/>
    <n v="0.35460000000000003"/>
    <n v="2.5600000000000001E-2"/>
    <n v="1.1000000000000001E-3"/>
  </r>
  <r>
    <n v="2023"/>
    <n v="7"/>
    <x v="10"/>
    <x v="10"/>
    <s v="SEA"/>
    <s v="Seattle, WA: Seattle/Tacoma International"/>
    <n v="868"/>
    <n v="298"/>
    <n v="105.09"/>
    <n v="5.1100000000000003"/>
    <n v="47.66"/>
    <n v="0"/>
    <n v="140.13999999999999"/>
    <n v="3"/>
    <n v="2"/>
    <n v="13846"/>
    <n v="4233"/>
    <n v="540"/>
    <n v="1822"/>
    <n v="0"/>
    <n v="7251"/>
    <n v="0.34329999999999999"/>
    <n v="3.5000000000000001E-3"/>
    <n v="2.3E-3"/>
  </r>
  <r>
    <n v="2023"/>
    <n v="6"/>
    <x v="4"/>
    <x v="4"/>
    <s v="SEA"/>
    <s v="Seattle, WA: Seattle/Tacoma International"/>
    <n v="602"/>
    <n v="179"/>
    <n v="73.92"/>
    <n v="9.5399999999999991"/>
    <n v="28.76"/>
    <n v="2.98"/>
    <n v="63.8"/>
    <n v="4"/>
    <n v="1"/>
    <n v="16532"/>
    <n v="6538"/>
    <n v="1758"/>
    <n v="1333"/>
    <n v="84"/>
    <n v="6819"/>
    <n v="0.29730000000000001"/>
    <n v="6.6E-3"/>
    <n v="1.6999999999999999E-3"/>
  </r>
  <r>
    <n v="2023"/>
    <n v="6"/>
    <x v="5"/>
    <x v="5"/>
    <s v="SEA"/>
    <s v="Seattle, WA: Seattle/Tacoma International"/>
    <n v="6935"/>
    <n v="1395"/>
    <n v="350.72"/>
    <n v="29.2"/>
    <n v="419.42"/>
    <n v="14.16"/>
    <n v="581.49"/>
    <n v="24"/>
    <n v="13"/>
    <n v="79157"/>
    <n v="25341"/>
    <n v="2342"/>
    <n v="15303"/>
    <n v="513"/>
    <n v="35658"/>
    <n v="0.20119999999999999"/>
    <n v="3.5000000000000001E-3"/>
    <n v="1.9E-3"/>
  </r>
  <r>
    <n v="2023"/>
    <n v="6"/>
    <x v="6"/>
    <x v="6"/>
    <s v="SEA"/>
    <s v="Seattle, WA: Seattle/Tacoma International"/>
    <n v="150"/>
    <n v="33"/>
    <n v="17.22"/>
    <n v="1.1499999999999999"/>
    <n v="8.92"/>
    <n v="0"/>
    <n v="5.72"/>
    <n v="0"/>
    <n v="0"/>
    <n v="3327"/>
    <n v="1623"/>
    <n v="121"/>
    <n v="928"/>
    <n v="0"/>
    <n v="655"/>
    <n v="0.22"/>
    <n v="0"/>
    <n v="0"/>
  </r>
  <r>
    <n v="2023"/>
    <n v="6"/>
    <x v="7"/>
    <x v="7"/>
    <s v="SEA"/>
    <s v="Seattle, WA: Seattle/Tacoma International"/>
    <n v="3043"/>
    <n v="459"/>
    <n v="183.42"/>
    <n v="9.43"/>
    <n v="102.4"/>
    <n v="0"/>
    <n v="163.75"/>
    <n v="26"/>
    <n v="4"/>
    <n v="38649"/>
    <n v="21211"/>
    <n v="650"/>
    <n v="4171"/>
    <n v="0"/>
    <n v="12617"/>
    <n v="0.15079999999999999"/>
    <n v="8.5000000000000006E-3"/>
    <n v="1.2999999999999999E-3"/>
  </r>
  <r>
    <n v="2023"/>
    <n v="6"/>
    <x v="8"/>
    <x v="8"/>
    <s v="SEA"/>
    <s v="Seattle, WA: Seattle/Tacoma International"/>
    <n v="62"/>
    <n v="36"/>
    <n v="16.03"/>
    <n v="0.59"/>
    <n v="7.3"/>
    <n v="0"/>
    <n v="12.08"/>
    <n v="0"/>
    <n v="1"/>
    <n v="2291"/>
    <n v="947"/>
    <n v="58"/>
    <n v="320"/>
    <n v="0"/>
    <n v="966"/>
    <n v="0.5806"/>
    <n v="0"/>
    <n v="1.61E-2"/>
  </r>
  <r>
    <n v="2023"/>
    <n v="6"/>
    <x v="0"/>
    <x v="0"/>
    <s v="SEA"/>
    <s v="Seattle, WA: Seattle/Tacoma International"/>
    <n v="60"/>
    <n v="34"/>
    <n v="27.59"/>
    <n v="0"/>
    <n v="0.25"/>
    <n v="1.64"/>
    <n v="4.5199999999999996"/>
    <n v="0"/>
    <n v="0"/>
    <n v="2619"/>
    <n v="1636"/>
    <n v="0"/>
    <n v="4"/>
    <n v="58"/>
    <n v="921"/>
    <n v="0.56669999999999998"/>
    <n v="0"/>
    <n v="0"/>
  </r>
  <r>
    <n v="2023"/>
    <n v="6"/>
    <x v="1"/>
    <x v="1"/>
    <s v="SEA"/>
    <s v="Seattle, WA: Seattle/Tacoma International"/>
    <n v="80"/>
    <n v="30"/>
    <n v="8.7799999999999994"/>
    <n v="0.65"/>
    <n v="13.23"/>
    <n v="0"/>
    <n v="7.34"/>
    <n v="1"/>
    <n v="0"/>
    <n v="1951"/>
    <n v="568"/>
    <n v="14"/>
    <n v="501"/>
    <n v="0"/>
    <n v="868"/>
    <n v="0.375"/>
    <n v="1.2500000000000001E-2"/>
    <n v="0"/>
  </r>
  <r>
    <n v="2023"/>
    <n v="6"/>
    <x v="2"/>
    <x v="2"/>
    <s v="SEA"/>
    <s v="Seattle, WA: Seattle/Tacoma International"/>
    <n v="2070"/>
    <n v="209"/>
    <n v="139"/>
    <n v="22"/>
    <n v="1"/>
    <n v="1"/>
    <n v="46"/>
    <n v="0"/>
    <n v="1"/>
    <n v="11336"/>
    <n v="7833"/>
    <n v="912"/>
    <n v="18"/>
    <n v="18"/>
    <n v="2555"/>
    <n v="0.10100000000000001"/>
    <n v="0"/>
    <n v="5.0000000000000001E-4"/>
  </r>
  <r>
    <n v="2023"/>
    <n v="6"/>
    <x v="3"/>
    <x v="3"/>
    <s v="SEA"/>
    <s v="Seattle, WA: Seattle/Tacoma International"/>
    <n v="1420"/>
    <n v="199"/>
    <n v="73.83"/>
    <n v="7.36"/>
    <n v="41.71"/>
    <n v="1"/>
    <n v="75.09"/>
    <n v="3"/>
    <n v="2"/>
    <n v="12147"/>
    <n v="4755"/>
    <n v="508"/>
    <n v="1206"/>
    <n v="33"/>
    <n v="5645"/>
    <n v="0.1401"/>
    <n v="2.0999999999999999E-3"/>
    <n v="1.4E-3"/>
  </r>
  <r>
    <n v="2023"/>
    <n v="6"/>
    <x v="9"/>
    <x v="9"/>
    <s v="SEA"/>
    <s v="Seattle, WA: Seattle/Tacoma International"/>
    <n v="883"/>
    <n v="267"/>
    <n v="115.54"/>
    <n v="4.4000000000000004"/>
    <n v="44.38"/>
    <n v="0"/>
    <n v="102.68"/>
    <n v="51"/>
    <n v="1"/>
    <n v="22231"/>
    <n v="9906"/>
    <n v="280"/>
    <n v="1808"/>
    <n v="0"/>
    <n v="10237"/>
    <n v="0.3024"/>
    <n v="5.7799999999999997E-2"/>
    <n v="1.1000000000000001E-3"/>
  </r>
  <r>
    <n v="2023"/>
    <n v="6"/>
    <x v="10"/>
    <x v="10"/>
    <s v="SEA"/>
    <s v="Seattle, WA: Seattle/Tacoma International"/>
    <n v="784"/>
    <n v="251"/>
    <n v="82.43"/>
    <n v="0.25"/>
    <n v="31.86"/>
    <n v="0.53"/>
    <n v="135.93"/>
    <n v="3"/>
    <n v="0"/>
    <n v="10883"/>
    <n v="3419"/>
    <n v="11"/>
    <n v="1074"/>
    <n v="26"/>
    <n v="6353"/>
    <n v="0.32019999999999998"/>
    <n v="3.8E-3"/>
    <n v="0"/>
  </r>
  <r>
    <n v="2023"/>
    <n v="5"/>
    <x v="4"/>
    <x v="4"/>
    <s v="SEA"/>
    <s v="Seattle, WA: Seattle/Tacoma International"/>
    <n v="454"/>
    <n v="86"/>
    <n v="29.33"/>
    <n v="3.13"/>
    <n v="12.15"/>
    <n v="0"/>
    <n v="41.39"/>
    <n v="3"/>
    <n v="1"/>
    <n v="6946"/>
    <n v="2353"/>
    <n v="156"/>
    <n v="477"/>
    <n v="0"/>
    <n v="3960"/>
    <n v="0.18940000000000001"/>
    <n v="6.6E-3"/>
    <n v="2.2000000000000001E-3"/>
  </r>
  <r>
    <n v="2023"/>
    <n v="5"/>
    <x v="5"/>
    <x v="5"/>
    <s v="SEA"/>
    <s v="Seattle, WA: Seattle/Tacoma International"/>
    <n v="6434"/>
    <n v="828"/>
    <n v="231.48"/>
    <n v="13.75"/>
    <n v="239.78"/>
    <n v="6.88"/>
    <n v="336.11"/>
    <n v="20"/>
    <n v="4"/>
    <n v="41116"/>
    <n v="12449"/>
    <n v="1585"/>
    <n v="6858"/>
    <n v="317"/>
    <n v="19907"/>
    <n v="0.12870000000000001"/>
    <n v="3.0999999999999999E-3"/>
    <n v="5.9999999999999995E-4"/>
  </r>
  <r>
    <n v="2023"/>
    <n v="5"/>
    <x v="6"/>
    <x v="6"/>
    <s v="SEA"/>
    <s v="Seattle, WA: Seattle/Tacoma International"/>
    <n v="116"/>
    <n v="15"/>
    <n v="11.02"/>
    <n v="0"/>
    <n v="2.83"/>
    <n v="0"/>
    <n v="1.1599999999999999"/>
    <n v="2"/>
    <n v="0"/>
    <n v="613"/>
    <n v="476"/>
    <n v="0"/>
    <n v="66"/>
    <n v="0"/>
    <n v="71"/>
    <n v="0.1293"/>
    <n v="1.72E-2"/>
    <n v="0"/>
  </r>
  <r>
    <n v="2023"/>
    <n v="5"/>
    <x v="7"/>
    <x v="7"/>
    <s v="SEA"/>
    <s v="Seattle, WA: Seattle/Tacoma International"/>
    <n v="2830"/>
    <n v="309"/>
    <n v="122.5"/>
    <n v="5.55"/>
    <n v="74.87"/>
    <n v="1"/>
    <n v="105.08"/>
    <n v="16"/>
    <n v="4"/>
    <n v="21896"/>
    <n v="12160"/>
    <n v="324"/>
    <n v="1891"/>
    <n v="15"/>
    <n v="7506"/>
    <n v="0.10920000000000001"/>
    <n v="5.7000000000000002E-3"/>
    <n v="1.4E-3"/>
  </r>
  <r>
    <n v="2023"/>
    <n v="5"/>
    <x v="8"/>
    <x v="8"/>
    <s v="SEA"/>
    <s v="Seattle, WA: Seattle/Tacoma International"/>
    <n v="77"/>
    <n v="24"/>
    <n v="5.38"/>
    <n v="1.1599999999999999"/>
    <n v="5.73"/>
    <n v="0"/>
    <n v="11.72"/>
    <n v="0"/>
    <n v="0"/>
    <n v="2319"/>
    <n v="1077"/>
    <n v="36"/>
    <n v="468"/>
    <n v="0"/>
    <n v="738"/>
    <n v="0.31169999999999998"/>
    <n v="0"/>
    <n v="0"/>
  </r>
  <r>
    <n v="2023"/>
    <n v="5"/>
    <x v="0"/>
    <x v="0"/>
    <s v="SEA"/>
    <s v="Seattle, WA: Seattle/Tacoma International"/>
    <n v="62"/>
    <n v="37"/>
    <n v="26.66"/>
    <n v="0"/>
    <n v="0"/>
    <n v="0.7"/>
    <n v="9.65"/>
    <n v="0"/>
    <n v="0"/>
    <n v="1651"/>
    <n v="996"/>
    <n v="0"/>
    <n v="0"/>
    <n v="16"/>
    <n v="639"/>
    <n v="0.5968"/>
    <n v="0"/>
    <n v="0"/>
  </r>
  <r>
    <n v="2023"/>
    <n v="5"/>
    <x v="1"/>
    <x v="1"/>
    <s v="SEA"/>
    <s v="Seattle, WA: Seattle/Tacoma International"/>
    <n v="96"/>
    <n v="21"/>
    <n v="3.83"/>
    <n v="0.6"/>
    <n v="14.83"/>
    <n v="0.15"/>
    <n v="1.6"/>
    <n v="0"/>
    <n v="0"/>
    <n v="1208"/>
    <n v="210"/>
    <n v="31"/>
    <n v="877"/>
    <n v="8"/>
    <n v="82"/>
    <n v="0.21879999999999999"/>
    <n v="0"/>
    <n v="0"/>
  </r>
  <r>
    <n v="2023"/>
    <n v="5"/>
    <x v="2"/>
    <x v="2"/>
    <s v="SEA"/>
    <s v="Seattle, WA: Seattle/Tacoma International"/>
    <n v="2255"/>
    <n v="161"/>
    <n v="109"/>
    <n v="18"/>
    <n v="1"/>
    <n v="0"/>
    <n v="33"/>
    <n v="1"/>
    <n v="0"/>
    <n v="10441"/>
    <n v="6906"/>
    <n v="987"/>
    <n v="24"/>
    <n v="0"/>
    <n v="2524"/>
    <n v="7.1400000000000005E-2"/>
    <n v="4.0000000000000002E-4"/>
    <n v="0"/>
  </r>
  <r>
    <n v="2023"/>
    <n v="5"/>
    <x v="3"/>
    <x v="3"/>
    <s v="SEA"/>
    <s v="Seattle, WA: Seattle/Tacoma International"/>
    <n v="1476"/>
    <n v="150"/>
    <n v="55.69"/>
    <n v="6.86"/>
    <n v="30.84"/>
    <n v="0"/>
    <n v="56.62"/>
    <n v="3"/>
    <n v="0"/>
    <n v="9356"/>
    <n v="5077"/>
    <n v="462"/>
    <n v="850"/>
    <n v="0"/>
    <n v="2967"/>
    <n v="0.1016"/>
    <n v="2E-3"/>
    <n v="0"/>
  </r>
  <r>
    <n v="2023"/>
    <n v="5"/>
    <x v="9"/>
    <x v="9"/>
    <s v="SEA"/>
    <s v="Seattle, WA: Seattle/Tacoma International"/>
    <n v="748"/>
    <n v="143"/>
    <n v="47.66"/>
    <n v="5.96"/>
    <n v="28.93"/>
    <n v="0"/>
    <n v="60.45"/>
    <n v="2"/>
    <n v="0"/>
    <n v="9819"/>
    <n v="2727"/>
    <n v="279"/>
    <n v="850"/>
    <n v="0"/>
    <n v="5963"/>
    <n v="0.19120000000000001"/>
    <n v="2.7000000000000001E-3"/>
    <n v="0"/>
  </r>
  <r>
    <n v="2023"/>
    <n v="5"/>
    <x v="10"/>
    <x v="10"/>
    <s v="SEA"/>
    <s v="Seattle, WA: Seattle/Tacoma International"/>
    <n v="708"/>
    <n v="130"/>
    <n v="52.74"/>
    <n v="0.9"/>
    <n v="13.48"/>
    <n v="0"/>
    <n v="62.88"/>
    <n v="1"/>
    <n v="0"/>
    <n v="5907"/>
    <n v="2051"/>
    <n v="19"/>
    <n v="421"/>
    <n v="0"/>
    <n v="3416"/>
    <n v="0.18360000000000001"/>
    <n v="1.4E-3"/>
    <n v="0"/>
  </r>
  <r>
    <n v="2023"/>
    <n v="4"/>
    <x v="4"/>
    <x v="4"/>
    <s v="SEA"/>
    <s v="Seattle, WA: Seattle/Tacoma International"/>
    <n v="435"/>
    <n v="127"/>
    <n v="33.979999999999997"/>
    <n v="5.38"/>
    <n v="35.520000000000003"/>
    <n v="0.31"/>
    <n v="51.81"/>
    <n v="5"/>
    <n v="1"/>
    <n v="8963"/>
    <n v="3018"/>
    <n v="324"/>
    <n v="1034"/>
    <n v="25"/>
    <n v="4562"/>
    <n v="0.29199999999999998"/>
    <n v="1.15E-2"/>
    <n v="2.3E-3"/>
  </r>
  <r>
    <n v="2023"/>
    <n v="4"/>
    <x v="5"/>
    <x v="5"/>
    <s v="SEA"/>
    <s v="Seattle, WA: Seattle/Tacoma International"/>
    <n v="5921"/>
    <n v="1185"/>
    <n v="283.39999999999998"/>
    <n v="29.13"/>
    <n v="446.97"/>
    <n v="9.76"/>
    <n v="415.74"/>
    <n v="66"/>
    <n v="11"/>
    <n v="56922"/>
    <n v="18096"/>
    <n v="1767"/>
    <n v="13754"/>
    <n v="298"/>
    <n v="23007"/>
    <n v="0.2001"/>
    <n v="1.11E-2"/>
    <n v="1.9E-3"/>
  </r>
  <r>
    <n v="2023"/>
    <n v="4"/>
    <x v="6"/>
    <x v="6"/>
    <s v="SEA"/>
    <s v="Seattle, WA: Seattle/Tacoma International"/>
    <n v="62"/>
    <n v="7"/>
    <n v="4.54"/>
    <n v="0"/>
    <n v="0.6"/>
    <n v="0"/>
    <n v="1.86"/>
    <n v="0"/>
    <n v="0"/>
    <n v="675"/>
    <n v="342"/>
    <n v="0"/>
    <n v="12"/>
    <n v="0"/>
    <n v="321"/>
    <n v="0.1129"/>
    <n v="0"/>
    <n v="0"/>
  </r>
  <r>
    <n v="2023"/>
    <n v="4"/>
    <x v="7"/>
    <x v="7"/>
    <s v="SEA"/>
    <s v="Seattle, WA: Seattle/Tacoma International"/>
    <n v="2581"/>
    <n v="350"/>
    <n v="134.99"/>
    <n v="7.85"/>
    <n v="70.34"/>
    <n v="0"/>
    <n v="136.81"/>
    <n v="73"/>
    <n v="3"/>
    <n v="30407"/>
    <n v="15315"/>
    <n v="2328"/>
    <n v="2647"/>
    <n v="0"/>
    <n v="10117"/>
    <n v="0.1356"/>
    <n v="2.8299999999999999E-2"/>
    <n v="1.1999999999999999E-3"/>
  </r>
  <r>
    <n v="2023"/>
    <n v="4"/>
    <x v="8"/>
    <x v="8"/>
    <s v="SEA"/>
    <s v="Seattle, WA: Seattle/Tacoma International"/>
    <n v="80"/>
    <n v="28"/>
    <n v="9.24"/>
    <n v="0"/>
    <n v="5.24"/>
    <n v="0"/>
    <n v="13.52"/>
    <n v="0"/>
    <n v="0"/>
    <n v="1650"/>
    <n v="591"/>
    <n v="0"/>
    <n v="213"/>
    <n v="0"/>
    <n v="846"/>
    <n v="0.35"/>
    <n v="0"/>
    <n v="0"/>
  </r>
  <r>
    <n v="2023"/>
    <n v="4"/>
    <x v="0"/>
    <x v="0"/>
    <s v="SEA"/>
    <s v="Seattle, WA: Seattle/Tacoma International"/>
    <n v="66"/>
    <n v="38"/>
    <n v="31.11"/>
    <n v="0"/>
    <n v="0.4"/>
    <n v="0"/>
    <n v="6.49"/>
    <n v="0"/>
    <n v="0"/>
    <n v="1629"/>
    <n v="1314"/>
    <n v="0"/>
    <n v="6"/>
    <n v="0"/>
    <n v="309"/>
    <n v="0.57579999999999998"/>
    <n v="0"/>
    <n v="0"/>
  </r>
  <r>
    <n v="2023"/>
    <n v="4"/>
    <x v="1"/>
    <x v="1"/>
    <s v="SEA"/>
    <s v="Seattle, WA: Seattle/Tacoma International"/>
    <n v="116"/>
    <n v="30"/>
    <n v="7.51"/>
    <n v="0"/>
    <n v="16.29"/>
    <n v="0"/>
    <n v="6.2"/>
    <n v="4"/>
    <n v="0"/>
    <n v="1864"/>
    <n v="414"/>
    <n v="0"/>
    <n v="1195"/>
    <n v="0"/>
    <n v="255"/>
    <n v="0.2586"/>
    <n v="3.4500000000000003E-2"/>
    <n v="0"/>
  </r>
  <r>
    <n v="2023"/>
    <n v="4"/>
    <x v="2"/>
    <x v="2"/>
    <s v="SEA"/>
    <s v="Seattle, WA: Seattle/Tacoma International"/>
    <n v="2272"/>
    <n v="166"/>
    <n v="120"/>
    <n v="13"/>
    <n v="2"/>
    <n v="0"/>
    <n v="31"/>
    <n v="4"/>
    <n v="0"/>
    <n v="7799"/>
    <n v="5851"/>
    <n v="537"/>
    <n v="44"/>
    <n v="0"/>
    <n v="1367"/>
    <n v="7.3099999999999998E-2"/>
    <n v="1.8E-3"/>
    <n v="0"/>
  </r>
  <r>
    <n v="2023"/>
    <n v="4"/>
    <x v="3"/>
    <x v="3"/>
    <s v="SEA"/>
    <s v="Seattle, WA: Seattle/Tacoma International"/>
    <n v="1403"/>
    <n v="116"/>
    <n v="38.76"/>
    <n v="2.37"/>
    <n v="37.03"/>
    <n v="0.9"/>
    <n v="36.93"/>
    <n v="10"/>
    <n v="1"/>
    <n v="7732"/>
    <n v="3585"/>
    <n v="746"/>
    <n v="1056"/>
    <n v="27"/>
    <n v="2318"/>
    <n v="8.2699999999999996E-2"/>
    <n v="7.1000000000000004E-3"/>
    <n v="6.9999999999999999E-4"/>
  </r>
  <r>
    <n v="2023"/>
    <n v="4"/>
    <x v="9"/>
    <x v="9"/>
    <s v="SEA"/>
    <s v="Seattle, WA: Seattle/Tacoma International"/>
    <n v="665"/>
    <n v="142"/>
    <n v="57.7"/>
    <n v="4.1900000000000004"/>
    <n v="38.979999999999997"/>
    <n v="0"/>
    <n v="41.13"/>
    <n v="3"/>
    <n v="2"/>
    <n v="8188"/>
    <n v="3362"/>
    <n v="383"/>
    <n v="1497"/>
    <n v="0"/>
    <n v="2946"/>
    <n v="0.2135"/>
    <n v="4.4999999999999997E-3"/>
    <n v="3.0000000000000001E-3"/>
  </r>
  <r>
    <n v="2023"/>
    <n v="4"/>
    <x v="10"/>
    <x v="10"/>
    <s v="SEA"/>
    <s v="Seattle, WA: Seattle/Tacoma International"/>
    <n v="620"/>
    <n v="160"/>
    <n v="61.84"/>
    <n v="1.18"/>
    <n v="23.79"/>
    <n v="0"/>
    <n v="73.19"/>
    <n v="1"/>
    <n v="0"/>
    <n v="7401"/>
    <n v="2608"/>
    <n v="105"/>
    <n v="692"/>
    <n v="0"/>
    <n v="3996"/>
    <n v="0.2581"/>
    <n v="1.6000000000000001E-3"/>
    <n v="0"/>
  </r>
  <r>
    <n v="2023"/>
    <n v="3"/>
    <x v="4"/>
    <x v="4"/>
    <s v="SEA"/>
    <s v="Seattle, WA: Seattle/Tacoma International"/>
    <n v="452"/>
    <n v="133"/>
    <n v="43.33"/>
    <n v="6.35"/>
    <n v="33.5"/>
    <n v="0"/>
    <n v="49.81"/>
    <n v="6"/>
    <n v="0"/>
    <n v="9627"/>
    <n v="3749"/>
    <n v="860"/>
    <n v="1141"/>
    <n v="0"/>
    <n v="3877"/>
    <n v="0.29420000000000002"/>
    <n v="1.3299999999999999E-2"/>
    <n v="0"/>
  </r>
  <r>
    <n v="2023"/>
    <n v="3"/>
    <x v="5"/>
    <x v="5"/>
    <s v="SEA"/>
    <s v="Seattle, WA: Seattle/Tacoma International"/>
    <n v="5919"/>
    <n v="1082"/>
    <n v="266.31"/>
    <n v="23.85"/>
    <n v="334.73"/>
    <n v="9.93"/>
    <n v="447.19"/>
    <n v="53"/>
    <n v="14"/>
    <n v="54911"/>
    <n v="15879"/>
    <n v="2269"/>
    <n v="10477"/>
    <n v="384"/>
    <n v="25902"/>
    <n v="0.18279999999999999"/>
    <n v="8.9999999999999993E-3"/>
    <n v="2.3999999999999998E-3"/>
  </r>
  <r>
    <n v="2023"/>
    <n v="3"/>
    <x v="6"/>
    <x v="6"/>
    <s v="SEA"/>
    <s v="Seattle, WA: Seattle/Tacoma International"/>
    <n v="68"/>
    <n v="15"/>
    <n v="12.98"/>
    <n v="0"/>
    <n v="0.78"/>
    <n v="0"/>
    <n v="1.24"/>
    <n v="0"/>
    <n v="0"/>
    <n v="1447"/>
    <n v="1324"/>
    <n v="0"/>
    <n v="37"/>
    <n v="0"/>
    <n v="86"/>
    <n v="0.22059999999999999"/>
    <n v="0"/>
    <n v="0"/>
  </r>
  <r>
    <n v="2023"/>
    <n v="3"/>
    <x v="7"/>
    <x v="7"/>
    <s v="SEA"/>
    <s v="Seattle, WA: Seattle/Tacoma International"/>
    <n v="2665"/>
    <n v="393"/>
    <n v="141.97999999999999"/>
    <n v="4.97"/>
    <n v="79.06"/>
    <n v="0"/>
    <n v="166.99"/>
    <n v="57"/>
    <n v="3"/>
    <n v="29915"/>
    <n v="11540"/>
    <n v="944"/>
    <n v="2963"/>
    <n v="0"/>
    <n v="14468"/>
    <n v="0.14749999999999999"/>
    <n v="2.1399999999999999E-2"/>
    <n v="1.1000000000000001E-3"/>
  </r>
  <r>
    <n v="2023"/>
    <n v="3"/>
    <x v="8"/>
    <x v="8"/>
    <s v="SEA"/>
    <s v="Seattle, WA: Seattle/Tacoma International"/>
    <n v="80"/>
    <n v="32"/>
    <n v="14.02"/>
    <n v="0"/>
    <n v="8.9499999999999993"/>
    <n v="0"/>
    <n v="9.02"/>
    <n v="0"/>
    <n v="0"/>
    <n v="1833"/>
    <n v="714"/>
    <n v="0"/>
    <n v="330"/>
    <n v="0"/>
    <n v="789"/>
    <n v="0.4"/>
    <n v="0"/>
    <n v="0"/>
  </r>
  <r>
    <n v="2023"/>
    <n v="3"/>
    <x v="0"/>
    <x v="0"/>
    <s v="SEA"/>
    <s v="Seattle, WA: Seattle/Tacoma International"/>
    <n v="65"/>
    <n v="32"/>
    <n v="21.54"/>
    <n v="0.28999999999999998"/>
    <n v="0.56000000000000005"/>
    <n v="0"/>
    <n v="9.61"/>
    <n v="1"/>
    <n v="0"/>
    <n v="1167"/>
    <n v="695"/>
    <n v="7"/>
    <n v="24"/>
    <n v="0"/>
    <n v="441"/>
    <n v="0.49230000000000002"/>
    <n v="1.54E-2"/>
    <n v="0"/>
  </r>
  <r>
    <n v="2023"/>
    <n v="3"/>
    <x v="1"/>
    <x v="1"/>
    <s v="SEA"/>
    <s v="Seattle, WA: Seattle/Tacoma International"/>
    <n v="100"/>
    <n v="22"/>
    <n v="5.48"/>
    <n v="0"/>
    <n v="9.7799999999999994"/>
    <n v="0.65"/>
    <n v="6.08"/>
    <n v="2"/>
    <n v="0"/>
    <n v="1743"/>
    <n v="389"/>
    <n v="0"/>
    <n v="798"/>
    <n v="17"/>
    <n v="539"/>
    <n v="0.22"/>
    <n v="0.02"/>
    <n v="0"/>
  </r>
  <r>
    <n v="2023"/>
    <n v="3"/>
    <x v="2"/>
    <x v="2"/>
    <s v="SEA"/>
    <s v="Seattle, WA: Seattle/Tacoma International"/>
    <n v="2178"/>
    <n v="235"/>
    <n v="145"/>
    <n v="33"/>
    <n v="9"/>
    <n v="0"/>
    <n v="48"/>
    <n v="5"/>
    <n v="0"/>
    <n v="13523"/>
    <n v="8176"/>
    <n v="1646"/>
    <n v="570"/>
    <n v="0"/>
    <n v="3131"/>
    <n v="0.1079"/>
    <n v="2.3E-3"/>
    <n v="0"/>
  </r>
  <r>
    <n v="2023"/>
    <n v="3"/>
    <x v="3"/>
    <x v="3"/>
    <s v="SEA"/>
    <s v="Seattle, WA: Seattle/Tacoma International"/>
    <n v="1368"/>
    <n v="161"/>
    <n v="48.24"/>
    <n v="6.21"/>
    <n v="63.52"/>
    <n v="0"/>
    <n v="43.03"/>
    <n v="7"/>
    <n v="0"/>
    <n v="8419"/>
    <n v="3416"/>
    <n v="683"/>
    <n v="1552"/>
    <n v="0"/>
    <n v="2768"/>
    <n v="0.1177"/>
    <n v="5.1000000000000004E-3"/>
    <n v="0"/>
  </r>
  <r>
    <n v="2023"/>
    <n v="3"/>
    <x v="9"/>
    <x v="9"/>
    <s v="SEA"/>
    <s v="Seattle, WA: Seattle/Tacoma International"/>
    <n v="626"/>
    <n v="103"/>
    <n v="45.02"/>
    <n v="0.82"/>
    <n v="19.899999999999999"/>
    <n v="0"/>
    <n v="37.25"/>
    <n v="3"/>
    <n v="0"/>
    <n v="7013"/>
    <n v="2178"/>
    <n v="658"/>
    <n v="719"/>
    <n v="0"/>
    <n v="3458"/>
    <n v="0.16450000000000001"/>
    <n v="4.7999999999999996E-3"/>
    <n v="0"/>
  </r>
  <r>
    <n v="2023"/>
    <n v="3"/>
    <x v="10"/>
    <x v="10"/>
    <s v="SEA"/>
    <s v="Seattle, WA: Seattle/Tacoma International"/>
    <n v="629"/>
    <n v="120"/>
    <n v="38.31"/>
    <n v="0.83"/>
    <n v="12.85"/>
    <n v="0"/>
    <n v="68.010000000000005"/>
    <n v="2"/>
    <n v="0"/>
    <n v="5117"/>
    <n v="1358"/>
    <n v="44"/>
    <n v="432"/>
    <n v="0"/>
    <n v="3283"/>
    <n v="0.1908"/>
    <n v="3.2000000000000002E-3"/>
    <n v="0"/>
  </r>
  <r>
    <n v="2023"/>
    <n v="2"/>
    <x v="4"/>
    <x v="4"/>
    <s v="SEA"/>
    <s v="Seattle, WA: Seattle/Tacoma International"/>
    <n v="408"/>
    <n v="95"/>
    <n v="31.11"/>
    <n v="4.68"/>
    <n v="31.68"/>
    <n v="0"/>
    <n v="27.53"/>
    <n v="8"/>
    <n v="0"/>
    <n v="6147"/>
    <n v="3202"/>
    <n v="182"/>
    <n v="1165"/>
    <n v="0"/>
    <n v="1598"/>
    <n v="0.23280000000000001"/>
    <n v="1.9599999999999999E-2"/>
    <n v="0"/>
  </r>
  <r>
    <n v="2023"/>
    <n v="2"/>
    <x v="5"/>
    <x v="5"/>
    <s v="SEA"/>
    <s v="Seattle, WA: Seattle/Tacoma International"/>
    <n v="5235"/>
    <n v="1048"/>
    <n v="264.45"/>
    <n v="35.700000000000003"/>
    <n v="375.73"/>
    <n v="4.9000000000000004"/>
    <n v="367.21"/>
    <n v="164"/>
    <n v="30"/>
    <n v="59923"/>
    <n v="18731"/>
    <n v="2036"/>
    <n v="14659"/>
    <n v="123"/>
    <n v="24374"/>
    <n v="0.20019999999999999"/>
    <n v="3.1300000000000001E-2"/>
    <n v="5.7000000000000002E-3"/>
  </r>
  <r>
    <n v="2023"/>
    <n v="2"/>
    <x v="6"/>
    <x v="6"/>
    <s v="SEA"/>
    <s v="Seattle, WA: Seattle/Tacoma International"/>
    <n v="56"/>
    <n v="18"/>
    <n v="7.96"/>
    <n v="0"/>
    <n v="7.97"/>
    <n v="0"/>
    <n v="2.08"/>
    <n v="0"/>
    <n v="0"/>
    <n v="1587"/>
    <n v="1064"/>
    <n v="0"/>
    <n v="298"/>
    <n v="0"/>
    <n v="225"/>
    <n v="0.32140000000000002"/>
    <n v="0"/>
    <n v="0"/>
  </r>
  <r>
    <n v="2023"/>
    <n v="2"/>
    <x v="7"/>
    <x v="7"/>
    <s v="SEA"/>
    <s v="Seattle, WA: Seattle/Tacoma International"/>
    <n v="2339"/>
    <n v="329"/>
    <n v="120.67"/>
    <n v="12.61"/>
    <n v="80.16"/>
    <n v="0.74"/>
    <n v="114.81"/>
    <n v="35"/>
    <n v="3"/>
    <n v="35407"/>
    <n v="19053"/>
    <n v="1459"/>
    <n v="2961"/>
    <n v="64"/>
    <n v="11870"/>
    <n v="0.14069999999999999"/>
    <n v="1.4999999999999999E-2"/>
    <n v="1.2999999999999999E-3"/>
  </r>
  <r>
    <n v="2023"/>
    <n v="2"/>
    <x v="8"/>
    <x v="8"/>
    <s v="SEA"/>
    <s v="Seattle, WA: Seattle/Tacoma International"/>
    <n v="64"/>
    <n v="11"/>
    <n v="4.16"/>
    <n v="0"/>
    <n v="1.85"/>
    <n v="0"/>
    <n v="4.99"/>
    <n v="0"/>
    <n v="0"/>
    <n v="528"/>
    <n v="120"/>
    <n v="0"/>
    <n v="103"/>
    <n v="0"/>
    <n v="305"/>
    <n v="0.1719"/>
    <n v="0"/>
    <n v="0"/>
  </r>
  <r>
    <n v="2023"/>
    <n v="2"/>
    <x v="0"/>
    <x v="0"/>
    <s v="SEA"/>
    <s v="Seattle, WA: Seattle/Tacoma International"/>
    <n v="56"/>
    <n v="32"/>
    <n v="27.43"/>
    <n v="0"/>
    <n v="0"/>
    <n v="0"/>
    <n v="4.57"/>
    <n v="1"/>
    <n v="0"/>
    <n v="1366"/>
    <n v="1108"/>
    <n v="0"/>
    <n v="0"/>
    <n v="0"/>
    <n v="258"/>
    <n v="0.57140000000000002"/>
    <n v="1.7899999999999999E-2"/>
    <n v="0"/>
  </r>
  <r>
    <n v="2023"/>
    <n v="2"/>
    <x v="1"/>
    <x v="1"/>
    <s v="SEA"/>
    <s v="Seattle, WA: Seattle/Tacoma International"/>
    <n v="105"/>
    <n v="28"/>
    <n v="11.47"/>
    <n v="2.0699999999999998"/>
    <n v="10.61"/>
    <n v="0"/>
    <n v="3.85"/>
    <n v="3"/>
    <n v="0"/>
    <n v="1904"/>
    <n v="732"/>
    <n v="385"/>
    <n v="646"/>
    <n v="0"/>
    <n v="141"/>
    <n v="0.26669999999999999"/>
    <n v="2.86E-2"/>
    <n v="0"/>
  </r>
  <r>
    <n v="2023"/>
    <n v="2"/>
    <x v="2"/>
    <x v="2"/>
    <s v="SEA"/>
    <s v="Seattle, WA: Seattle/Tacoma International"/>
    <n v="1693"/>
    <n v="196"/>
    <n v="116"/>
    <n v="37"/>
    <n v="0"/>
    <n v="1"/>
    <n v="42"/>
    <n v="22"/>
    <n v="0"/>
    <n v="12078"/>
    <n v="7107"/>
    <n v="2588"/>
    <n v="0"/>
    <n v="15"/>
    <n v="2368"/>
    <n v="0.1158"/>
    <n v="1.2999999999999999E-2"/>
    <n v="0"/>
  </r>
  <r>
    <n v="2023"/>
    <n v="2"/>
    <x v="3"/>
    <x v="3"/>
    <s v="SEA"/>
    <s v="Seattle, WA: Seattle/Tacoma International"/>
    <n v="1477"/>
    <n v="207"/>
    <n v="54.1"/>
    <n v="16.04"/>
    <n v="74.45"/>
    <n v="0"/>
    <n v="62.41"/>
    <n v="28"/>
    <n v="1"/>
    <n v="13534"/>
    <n v="4479"/>
    <n v="1371"/>
    <n v="2636"/>
    <n v="0"/>
    <n v="5048"/>
    <n v="0.1401"/>
    <n v="1.9E-2"/>
    <n v="6.9999999999999999E-4"/>
  </r>
  <r>
    <n v="2023"/>
    <n v="2"/>
    <x v="9"/>
    <x v="9"/>
    <s v="SEA"/>
    <s v="Seattle, WA: Seattle/Tacoma International"/>
    <n v="536"/>
    <n v="99"/>
    <n v="37.85"/>
    <n v="0.88"/>
    <n v="31.28"/>
    <n v="0"/>
    <n v="28.99"/>
    <n v="0"/>
    <n v="0"/>
    <n v="4867"/>
    <n v="1813"/>
    <n v="44"/>
    <n v="1097"/>
    <n v="0"/>
    <n v="1913"/>
    <n v="0.1847"/>
    <n v="0"/>
    <n v="0"/>
  </r>
  <r>
    <n v="2023"/>
    <n v="2"/>
    <x v="10"/>
    <x v="10"/>
    <s v="SEA"/>
    <s v="Seattle, WA: Seattle/Tacoma International"/>
    <n v="532"/>
    <n v="85"/>
    <n v="34.32"/>
    <n v="0.63"/>
    <n v="3.87"/>
    <n v="0"/>
    <n v="46.18"/>
    <n v="3"/>
    <n v="2"/>
    <n v="3869"/>
    <n v="1360"/>
    <n v="26"/>
    <n v="140"/>
    <n v="0"/>
    <n v="2343"/>
    <n v="0.1598"/>
    <n v="5.5999999999999999E-3"/>
    <n v="3.8E-3"/>
  </r>
  <r>
    <n v="2023"/>
    <n v="1"/>
    <x v="4"/>
    <x v="4"/>
    <s v="SEA"/>
    <s v="Seattle, WA: Seattle/Tacoma International"/>
    <n v="431"/>
    <n v="68"/>
    <n v="26.46"/>
    <n v="1.73"/>
    <n v="14.8"/>
    <n v="0"/>
    <n v="25"/>
    <n v="6"/>
    <n v="2"/>
    <n v="5935"/>
    <n v="2546"/>
    <n v="355"/>
    <n v="645"/>
    <n v="0"/>
    <n v="2389"/>
    <n v="0.1578"/>
    <n v="1.3899999999999999E-2"/>
    <n v="4.5999999999999999E-3"/>
  </r>
  <r>
    <n v="2023"/>
    <n v="1"/>
    <x v="5"/>
    <x v="5"/>
    <s v="SEA"/>
    <s v="Seattle, WA: Seattle/Tacoma International"/>
    <n v="5804"/>
    <n v="1003"/>
    <n v="218.23"/>
    <n v="32.950000000000003"/>
    <n v="344.08"/>
    <n v="6.58"/>
    <n v="401.16"/>
    <n v="82"/>
    <n v="10"/>
    <n v="53876"/>
    <n v="13727"/>
    <n v="2290"/>
    <n v="11356"/>
    <n v="274"/>
    <n v="26229"/>
    <n v="0.17280000000000001"/>
    <n v="1.41E-2"/>
    <n v="1.6999999999999999E-3"/>
  </r>
  <r>
    <n v="2023"/>
    <n v="1"/>
    <x v="6"/>
    <x v="6"/>
    <s v="SEA"/>
    <s v="Seattle, WA: Seattle/Tacoma International"/>
    <n v="62"/>
    <n v="20"/>
    <n v="10.92"/>
    <n v="0.53"/>
    <n v="5.82"/>
    <n v="0"/>
    <n v="2.73"/>
    <n v="0"/>
    <n v="0"/>
    <n v="1725"/>
    <n v="1088"/>
    <n v="35"/>
    <n v="332"/>
    <n v="0"/>
    <n v="270"/>
    <n v="0.3226"/>
    <n v="0"/>
    <n v="0"/>
  </r>
  <r>
    <n v="2023"/>
    <n v="1"/>
    <x v="7"/>
    <x v="7"/>
    <s v="SEA"/>
    <s v="Seattle, WA: Seattle/Tacoma International"/>
    <n v="2591"/>
    <n v="372"/>
    <n v="151.97999999999999"/>
    <n v="11.78"/>
    <n v="70.739999999999995"/>
    <n v="1"/>
    <n v="136.5"/>
    <n v="10"/>
    <n v="7"/>
    <n v="35048"/>
    <n v="18695"/>
    <n v="1808"/>
    <n v="2591"/>
    <n v="38"/>
    <n v="11916"/>
    <n v="0.14360000000000001"/>
    <n v="3.8999999999999998E-3"/>
    <n v="2.7000000000000001E-3"/>
  </r>
  <r>
    <n v="2023"/>
    <n v="1"/>
    <x v="8"/>
    <x v="8"/>
    <s v="SEA"/>
    <s v="Seattle, WA: Seattle/Tacoma International"/>
    <n v="66"/>
    <n v="26"/>
    <n v="7.88"/>
    <n v="0.56000000000000005"/>
    <n v="7.61"/>
    <n v="0"/>
    <n v="9.9499999999999993"/>
    <n v="0"/>
    <n v="0"/>
    <n v="1558"/>
    <n v="350"/>
    <n v="50"/>
    <n v="333"/>
    <n v="0"/>
    <n v="825"/>
    <n v="0.39389999999999997"/>
    <n v="0"/>
    <n v="0"/>
  </r>
  <r>
    <n v="2023"/>
    <n v="1"/>
    <x v="0"/>
    <x v="0"/>
    <s v="SEA"/>
    <s v="Seattle, WA: Seattle/Tacoma International"/>
    <n v="67"/>
    <n v="21"/>
    <n v="10.97"/>
    <n v="0"/>
    <n v="0"/>
    <n v="0"/>
    <n v="10.029999999999999"/>
    <n v="0"/>
    <n v="0"/>
    <n v="1192"/>
    <n v="382"/>
    <n v="0"/>
    <n v="0"/>
    <n v="0"/>
    <n v="810"/>
    <n v="0.31340000000000001"/>
    <n v="0"/>
    <n v="0"/>
  </r>
  <r>
    <n v="2023"/>
    <n v="1"/>
    <x v="1"/>
    <x v="1"/>
    <s v="SEA"/>
    <s v="Seattle, WA: Seattle/Tacoma International"/>
    <n v="93"/>
    <n v="20"/>
    <n v="6.26"/>
    <n v="0.17"/>
    <n v="8.8000000000000007"/>
    <n v="0.63"/>
    <n v="4.1399999999999997"/>
    <n v="5"/>
    <n v="0"/>
    <n v="1089"/>
    <n v="400"/>
    <n v="22"/>
    <n v="471"/>
    <n v="44"/>
    <n v="152"/>
    <n v="0.21510000000000001"/>
    <n v="5.3800000000000001E-2"/>
    <n v="0"/>
  </r>
  <r>
    <n v="2023"/>
    <n v="1"/>
    <x v="2"/>
    <x v="2"/>
    <s v="SEA"/>
    <s v="Seattle, WA: Seattle/Tacoma International"/>
    <n v="1585"/>
    <n v="184"/>
    <n v="92"/>
    <n v="43"/>
    <n v="3"/>
    <n v="3"/>
    <n v="43"/>
    <n v="8"/>
    <n v="2"/>
    <n v="12958"/>
    <n v="5263"/>
    <n v="4729"/>
    <n v="149"/>
    <n v="175"/>
    <n v="2642"/>
    <n v="0.11609999999999999"/>
    <n v="5.0000000000000001E-3"/>
    <n v="1.2999999999999999E-3"/>
  </r>
  <r>
    <n v="2023"/>
    <n v="1"/>
    <x v="3"/>
    <x v="3"/>
    <s v="SEA"/>
    <s v="Seattle, WA: Seattle/Tacoma International"/>
    <n v="1784"/>
    <n v="277"/>
    <n v="60.43"/>
    <n v="17.03"/>
    <n v="91.51"/>
    <n v="0"/>
    <n v="108.03"/>
    <n v="19"/>
    <n v="8"/>
    <n v="15671"/>
    <n v="3103"/>
    <n v="1677"/>
    <n v="4000"/>
    <n v="0"/>
    <n v="6891"/>
    <n v="0.15529999999999999"/>
    <n v="1.0699999999999999E-2"/>
    <n v="4.4999999999999997E-3"/>
  </r>
  <r>
    <n v="2023"/>
    <n v="1"/>
    <x v="9"/>
    <x v="9"/>
    <s v="SEA"/>
    <s v="Seattle, WA: Seattle/Tacoma International"/>
    <n v="576"/>
    <n v="83"/>
    <n v="27.72"/>
    <n v="1.44"/>
    <n v="17.98"/>
    <n v="0"/>
    <n v="35.86"/>
    <n v="0"/>
    <n v="0"/>
    <n v="5987"/>
    <n v="1796"/>
    <n v="80"/>
    <n v="679"/>
    <n v="0"/>
    <n v="3432"/>
    <n v="0.14410000000000001"/>
    <n v="0"/>
    <n v="0"/>
  </r>
  <r>
    <n v="2023"/>
    <n v="1"/>
    <x v="10"/>
    <x v="10"/>
    <s v="SEA"/>
    <s v="Seattle, WA: Seattle/Tacoma International"/>
    <n v="600"/>
    <n v="101"/>
    <n v="40.4"/>
    <n v="0.18"/>
    <n v="6.16"/>
    <n v="0"/>
    <n v="54.27"/>
    <n v="7"/>
    <n v="0"/>
    <n v="5134"/>
    <n v="1713"/>
    <n v="28"/>
    <n v="405"/>
    <n v="0"/>
    <n v="2988"/>
    <n v="0.16830000000000001"/>
    <n v="1.17E-2"/>
    <n v="0"/>
  </r>
  <r>
    <n v="2022"/>
    <n v="12"/>
    <x v="4"/>
    <x v="4"/>
    <s v="SEA"/>
    <s v="Seattle, WA: Seattle/Tacoma International"/>
    <n v="487"/>
    <n v="145"/>
    <n v="55.35"/>
    <n v="9.11"/>
    <n v="46.32"/>
    <n v="0.02"/>
    <n v="34.200000000000003"/>
    <n v="13"/>
    <n v="2"/>
    <n v="11480"/>
    <n v="5325"/>
    <n v="631"/>
    <n v="1749"/>
    <n v="1"/>
    <n v="3774"/>
    <n v="0.29770000000000002"/>
    <n v="2.6700000000000002E-2"/>
    <n v="4.1000000000000003E-3"/>
  </r>
  <r>
    <n v="2022"/>
    <n v="12"/>
    <x v="5"/>
    <x v="5"/>
    <s v="SEA"/>
    <s v="Seattle, WA: Seattle/Tacoma International"/>
    <n v="6036"/>
    <n v="1965"/>
    <n v="471.43"/>
    <n v="101.86"/>
    <n v="667.36"/>
    <n v="8.66"/>
    <n v="715.7"/>
    <n v="591"/>
    <n v="24"/>
    <n v="125829"/>
    <n v="33201"/>
    <n v="11831"/>
    <n v="28806"/>
    <n v="258"/>
    <n v="51733"/>
    <n v="0.32550000000000001"/>
    <n v="9.7900000000000001E-2"/>
    <n v="4.0000000000000001E-3"/>
  </r>
  <r>
    <n v="2022"/>
    <n v="12"/>
    <x v="6"/>
    <x v="6"/>
    <s v="SEA"/>
    <s v="Seattle, WA: Seattle/Tacoma International"/>
    <n v="61"/>
    <n v="30"/>
    <n v="18.82"/>
    <n v="0"/>
    <n v="6.82"/>
    <n v="0"/>
    <n v="4.3499999999999996"/>
    <n v="0"/>
    <n v="0"/>
    <n v="2627"/>
    <n v="1954"/>
    <n v="0"/>
    <n v="311"/>
    <n v="0"/>
    <n v="362"/>
    <n v="0.49180000000000001"/>
    <n v="0"/>
    <n v="0"/>
  </r>
  <r>
    <n v="2022"/>
    <n v="12"/>
    <x v="7"/>
    <x v="7"/>
    <s v="SEA"/>
    <s v="Seattle, WA: Seattle/Tacoma International"/>
    <n v="2584"/>
    <n v="572"/>
    <n v="197.81"/>
    <n v="21.92"/>
    <n v="172.9"/>
    <n v="0"/>
    <n v="179.38"/>
    <n v="118"/>
    <n v="7"/>
    <n v="43599"/>
    <n v="18651"/>
    <n v="2465"/>
    <n v="7924"/>
    <n v="0"/>
    <n v="14559"/>
    <n v="0.22140000000000001"/>
    <n v="4.5699999999999998E-2"/>
    <n v="2.7000000000000001E-3"/>
  </r>
  <r>
    <n v="2022"/>
    <n v="12"/>
    <x v="8"/>
    <x v="8"/>
    <s v="SEA"/>
    <s v="Seattle, WA: Seattle/Tacoma International"/>
    <n v="62"/>
    <n v="21"/>
    <n v="7.96"/>
    <n v="0.42"/>
    <n v="8.19"/>
    <n v="0"/>
    <n v="4.43"/>
    <n v="3"/>
    <n v="0"/>
    <n v="1864"/>
    <n v="949"/>
    <n v="28"/>
    <n v="376"/>
    <n v="0"/>
    <n v="511"/>
    <n v="0.3387"/>
    <n v="4.8399999999999999E-2"/>
    <n v="0"/>
  </r>
  <r>
    <n v="2022"/>
    <n v="12"/>
    <x v="0"/>
    <x v="0"/>
    <s v="SEA"/>
    <s v="Seattle, WA: Seattle/Tacoma International"/>
    <n v="69"/>
    <n v="35"/>
    <n v="20.440000000000001"/>
    <n v="1"/>
    <n v="1"/>
    <n v="0"/>
    <n v="12.56"/>
    <n v="6"/>
    <n v="2"/>
    <n v="3473"/>
    <n v="2414"/>
    <n v="224"/>
    <n v="39"/>
    <n v="0"/>
    <n v="796"/>
    <n v="0.50719999999999998"/>
    <n v="8.6999999999999994E-2"/>
    <n v="2.9000000000000001E-2"/>
  </r>
  <r>
    <n v="2022"/>
    <n v="12"/>
    <x v="1"/>
    <x v="1"/>
    <s v="SEA"/>
    <s v="Seattle, WA: Seattle/Tacoma International"/>
    <n v="93"/>
    <n v="29"/>
    <n v="18.670000000000002"/>
    <n v="0"/>
    <n v="8.69"/>
    <n v="0"/>
    <n v="1.63"/>
    <n v="12"/>
    <n v="0"/>
    <n v="1591"/>
    <n v="1181"/>
    <n v="0"/>
    <n v="311"/>
    <n v="0"/>
    <n v="99"/>
    <n v="0.31180000000000002"/>
    <n v="0.129"/>
    <n v="0"/>
  </r>
  <r>
    <n v="2022"/>
    <n v="12"/>
    <x v="2"/>
    <x v="2"/>
    <s v="SEA"/>
    <s v="Seattle, WA: Seattle/Tacoma International"/>
    <n v="1399"/>
    <n v="353"/>
    <n v="185"/>
    <n v="114"/>
    <n v="12"/>
    <n v="0"/>
    <n v="42"/>
    <n v="68"/>
    <n v="1"/>
    <n v="27864"/>
    <n v="11256"/>
    <n v="11723"/>
    <n v="1051"/>
    <n v="0"/>
    <n v="3834"/>
    <n v="0.25230000000000002"/>
    <n v="4.8599999999999997E-2"/>
    <n v="6.9999999999999999E-4"/>
  </r>
  <r>
    <n v="2022"/>
    <n v="12"/>
    <x v="3"/>
    <x v="3"/>
    <s v="SEA"/>
    <s v="Seattle, WA: Seattle/Tacoma International"/>
    <n v="1827"/>
    <n v="616"/>
    <n v="141.91"/>
    <n v="74.989999999999995"/>
    <n v="208.24"/>
    <n v="1.33"/>
    <n v="189.53"/>
    <n v="159"/>
    <n v="6"/>
    <n v="48595"/>
    <n v="10854"/>
    <n v="9160"/>
    <n v="8554"/>
    <n v="25"/>
    <n v="20002"/>
    <n v="0.3372"/>
    <n v="8.6999999999999994E-2"/>
    <n v="3.3E-3"/>
  </r>
  <r>
    <n v="2022"/>
    <n v="12"/>
    <x v="9"/>
    <x v="9"/>
    <s v="SEA"/>
    <s v="Seattle, WA: Seattle/Tacoma International"/>
    <n v="648"/>
    <n v="194"/>
    <n v="67.19"/>
    <n v="5.24"/>
    <n v="46.05"/>
    <n v="0"/>
    <n v="75.52"/>
    <n v="26"/>
    <n v="4"/>
    <n v="12671"/>
    <n v="3893"/>
    <n v="440"/>
    <n v="1979"/>
    <n v="0"/>
    <n v="6359"/>
    <n v="0.2994"/>
    <n v="4.0099999999999997E-2"/>
    <n v="6.1999999999999998E-3"/>
  </r>
  <r>
    <n v="2022"/>
    <n v="12"/>
    <x v="10"/>
    <x v="10"/>
    <s v="SEA"/>
    <s v="Seattle, WA: Seattle/Tacoma International"/>
    <n v="653"/>
    <n v="148"/>
    <n v="63.17"/>
    <n v="2.81"/>
    <n v="25.46"/>
    <n v="0"/>
    <n v="56.56"/>
    <n v="112"/>
    <n v="1"/>
    <n v="8319"/>
    <n v="3787"/>
    <n v="170"/>
    <n v="917"/>
    <n v="0"/>
    <n v="3445"/>
    <n v="0.2266"/>
    <n v="0.17150000000000001"/>
    <n v="1.5E-3"/>
  </r>
  <r>
    <n v="2022"/>
    <n v="11"/>
    <x v="4"/>
    <x v="4"/>
    <s v="SEA"/>
    <s v="Seattle, WA: Seattle/Tacoma International"/>
    <n v="452"/>
    <n v="100"/>
    <n v="33.06"/>
    <n v="2.81"/>
    <n v="38.24"/>
    <n v="0.91"/>
    <n v="24.98"/>
    <n v="2"/>
    <n v="1"/>
    <n v="5899"/>
    <n v="2663"/>
    <n v="181"/>
    <n v="1364"/>
    <n v="41"/>
    <n v="1650"/>
    <n v="0.22120000000000001"/>
    <n v="4.4000000000000003E-3"/>
    <n v="2.2000000000000001E-3"/>
  </r>
  <r>
    <n v="2022"/>
    <n v="11"/>
    <x v="5"/>
    <x v="5"/>
    <s v="SEA"/>
    <s v="Seattle, WA: Seattle/Tacoma International"/>
    <n v="5816"/>
    <n v="1062"/>
    <n v="234.86"/>
    <n v="24.55"/>
    <n v="463.11"/>
    <n v="2.9"/>
    <n v="336.58"/>
    <n v="122"/>
    <n v="11"/>
    <n v="67645"/>
    <n v="16159"/>
    <n v="2668"/>
    <n v="19985"/>
    <n v="170"/>
    <n v="28663"/>
    <n v="0.18260000000000001"/>
    <n v="2.1000000000000001E-2"/>
    <n v="1.9E-3"/>
  </r>
  <r>
    <n v="2022"/>
    <n v="11"/>
    <x v="6"/>
    <x v="6"/>
    <s v="SEA"/>
    <s v="Seattle, WA: Seattle/Tacoma International"/>
    <n v="64"/>
    <n v="21"/>
    <n v="11.66"/>
    <n v="0"/>
    <n v="4.5199999999999996"/>
    <n v="0"/>
    <n v="4.8099999999999996"/>
    <n v="0"/>
    <n v="0"/>
    <n v="1546"/>
    <n v="933"/>
    <n v="0"/>
    <n v="157"/>
    <n v="0"/>
    <n v="456"/>
    <n v="0.3281"/>
    <n v="0"/>
    <n v="0"/>
  </r>
  <r>
    <n v="2022"/>
    <n v="11"/>
    <x v="7"/>
    <x v="7"/>
    <s v="SEA"/>
    <s v="Seattle, WA: Seattle/Tacoma International"/>
    <n v="2603"/>
    <n v="326"/>
    <n v="104.33"/>
    <n v="7.26"/>
    <n v="121.84"/>
    <n v="0"/>
    <n v="92.57"/>
    <n v="19"/>
    <n v="14"/>
    <n v="28813"/>
    <n v="13111"/>
    <n v="860"/>
    <n v="4145"/>
    <n v="0"/>
    <n v="10697"/>
    <n v="0.12520000000000001"/>
    <n v="7.3000000000000001E-3"/>
    <n v="5.4000000000000003E-3"/>
  </r>
  <r>
    <n v="2022"/>
    <n v="11"/>
    <x v="8"/>
    <x v="8"/>
    <s v="SEA"/>
    <s v="Seattle, WA: Seattle/Tacoma International"/>
    <n v="60"/>
    <n v="22"/>
    <n v="7.88"/>
    <n v="0"/>
    <n v="10.35"/>
    <n v="0"/>
    <n v="3.77"/>
    <n v="0"/>
    <n v="0"/>
    <n v="1087"/>
    <n v="416"/>
    <n v="0"/>
    <n v="460"/>
    <n v="0"/>
    <n v="211"/>
    <n v="0.36670000000000003"/>
    <n v="0"/>
    <n v="0"/>
  </r>
  <r>
    <n v="2022"/>
    <n v="11"/>
    <x v="0"/>
    <x v="0"/>
    <s v="SEA"/>
    <s v="Seattle, WA: Seattle/Tacoma International"/>
    <n v="63"/>
    <n v="27"/>
    <n v="20.8"/>
    <n v="0"/>
    <n v="0"/>
    <n v="0"/>
    <n v="6.2"/>
    <n v="0"/>
    <n v="2"/>
    <n v="1089"/>
    <n v="702"/>
    <n v="0"/>
    <n v="0"/>
    <n v="0"/>
    <n v="387"/>
    <n v="0.42859999999999998"/>
    <n v="0"/>
    <n v="3.1699999999999999E-2"/>
  </r>
  <r>
    <n v="2022"/>
    <n v="11"/>
    <x v="1"/>
    <x v="1"/>
    <s v="SEA"/>
    <s v="Seattle, WA: Seattle/Tacoma International"/>
    <n v="89"/>
    <n v="25"/>
    <n v="8.8800000000000008"/>
    <n v="0"/>
    <n v="14.12"/>
    <n v="0.45"/>
    <n v="1.55"/>
    <n v="0"/>
    <n v="0"/>
    <n v="1505"/>
    <n v="549"/>
    <n v="0"/>
    <n v="900"/>
    <n v="19"/>
    <n v="37"/>
    <n v="0.28089999999999998"/>
    <n v="0"/>
    <n v="0"/>
  </r>
  <r>
    <n v="2022"/>
    <n v="11"/>
    <x v="2"/>
    <x v="2"/>
    <s v="SEA"/>
    <s v="Seattle, WA: Seattle/Tacoma International"/>
    <n v="1646"/>
    <n v="276"/>
    <n v="163"/>
    <n v="85"/>
    <n v="11"/>
    <n v="3"/>
    <n v="14"/>
    <n v="34"/>
    <n v="6"/>
    <n v="22369"/>
    <n v="9283"/>
    <n v="10561"/>
    <n v="1137"/>
    <n v="142"/>
    <n v="1246"/>
    <n v="0.16769999999999999"/>
    <n v="2.07E-2"/>
    <n v="3.5999999999999999E-3"/>
  </r>
  <r>
    <n v="2022"/>
    <n v="11"/>
    <x v="3"/>
    <x v="3"/>
    <s v="SEA"/>
    <s v="Seattle, WA: Seattle/Tacoma International"/>
    <n v="1915"/>
    <n v="454"/>
    <n v="87.96"/>
    <n v="34.96"/>
    <n v="194.18"/>
    <n v="0"/>
    <n v="136.9"/>
    <n v="19"/>
    <n v="1"/>
    <n v="26331"/>
    <n v="5251"/>
    <n v="3538"/>
    <n v="8234"/>
    <n v="0"/>
    <n v="9308"/>
    <n v="0.23710000000000001"/>
    <n v="9.9000000000000008E-3"/>
    <n v="5.0000000000000001E-4"/>
  </r>
  <r>
    <n v="2022"/>
    <n v="11"/>
    <x v="9"/>
    <x v="9"/>
    <s v="SEA"/>
    <s v="Seattle, WA: Seattle/Tacoma International"/>
    <n v="671"/>
    <n v="115"/>
    <n v="32.43"/>
    <n v="0"/>
    <n v="44.97"/>
    <n v="0"/>
    <n v="37.6"/>
    <n v="4"/>
    <n v="1"/>
    <n v="7896"/>
    <n v="2043"/>
    <n v="0"/>
    <n v="2365"/>
    <n v="0"/>
    <n v="3488"/>
    <n v="0.1714"/>
    <n v="6.0000000000000001E-3"/>
    <n v="1.5E-3"/>
  </r>
  <r>
    <n v="2022"/>
    <n v="11"/>
    <x v="10"/>
    <x v="10"/>
    <s v="SEA"/>
    <s v="Seattle, WA: Seattle/Tacoma International"/>
    <n v="602"/>
    <n v="122"/>
    <n v="41.86"/>
    <n v="0.26"/>
    <n v="26.1"/>
    <n v="2.1800000000000002"/>
    <n v="51.6"/>
    <n v="1"/>
    <n v="1"/>
    <n v="5789"/>
    <n v="1924"/>
    <n v="29"/>
    <n v="1404"/>
    <n v="112"/>
    <n v="2320"/>
    <n v="0.20269999999999999"/>
    <n v="1.6999999999999999E-3"/>
    <n v="1.6999999999999999E-3"/>
  </r>
  <r>
    <n v="2022"/>
    <n v="10"/>
    <x v="4"/>
    <x v="4"/>
    <s v="SEA"/>
    <s v="Seattle, WA: Seattle/Tacoma International"/>
    <n v="440"/>
    <n v="73"/>
    <n v="27.24"/>
    <n v="2.74"/>
    <n v="13.98"/>
    <n v="0"/>
    <n v="29.04"/>
    <n v="1"/>
    <n v="0"/>
    <n v="4061"/>
    <n v="1271"/>
    <n v="100"/>
    <n v="531"/>
    <n v="0"/>
    <n v="2159"/>
    <n v="0.16589999999999999"/>
    <n v="2.3E-3"/>
    <n v="0"/>
  </r>
  <r>
    <n v="2022"/>
    <n v="10"/>
    <x v="5"/>
    <x v="5"/>
    <s v="SEA"/>
    <s v="Seattle, WA: Seattle/Tacoma International"/>
    <n v="6123"/>
    <n v="746"/>
    <n v="206.78"/>
    <n v="16.89"/>
    <n v="272.51"/>
    <n v="2.8"/>
    <n v="247.02"/>
    <n v="37"/>
    <n v="5"/>
    <n v="37905"/>
    <n v="14456"/>
    <n v="1387"/>
    <n v="8345"/>
    <n v="68"/>
    <n v="13649"/>
    <n v="0.12180000000000001"/>
    <n v="6.0000000000000001E-3"/>
    <n v="8.0000000000000004E-4"/>
  </r>
  <r>
    <n v="2022"/>
    <n v="10"/>
    <x v="6"/>
    <x v="6"/>
    <s v="SEA"/>
    <s v="Seattle, WA: Seattle/Tacoma International"/>
    <n v="74"/>
    <n v="9"/>
    <n v="6.36"/>
    <n v="0"/>
    <n v="2"/>
    <n v="0"/>
    <n v="0.64"/>
    <n v="0"/>
    <n v="0"/>
    <n v="598"/>
    <n v="463"/>
    <n v="0"/>
    <n v="82"/>
    <n v="0"/>
    <n v="53"/>
    <n v="0.1216"/>
    <n v="0"/>
    <n v="0"/>
  </r>
  <r>
    <n v="2022"/>
    <n v="10"/>
    <x v="7"/>
    <x v="7"/>
    <s v="SEA"/>
    <s v="Seattle, WA: Seattle/Tacoma International"/>
    <n v="2601"/>
    <n v="250"/>
    <n v="133.78"/>
    <n v="1.08"/>
    <n v="49.87"/>
    <n v="0"/>
    <n v="65.27"/>
    <n v="4"/>
    <n v="2"/>
    <n v="19857"/>
    <n v="12829"/>
    <n v="220"/>
    <n v="1638"/>
    <n v="0"/>
    <n v="5170"/>
    <n v="9.6100000000000005E-2"/>
    <n v="1.5E-3"/>
    <n v="8.0000000000000004E-4"/>
  </r>
  <r>
    <n v="2022"/>
    <n v="10"/>
    <x v="8"/>
    <x v="8"/>
    <s v="SEA"/>
    <s v="Seattle, WA: Seattle/Tacoma International"/>
    <n v="54"/>
    <n v="9"/>
    <n v="4.07"/>
    <n v="0"/>
    <n v="2.08"/>
    <n v="0"/>
    <n v="2.85"/>
    <n v="2"/>
    <n v="0"/>
    <n v="613"/>
    <n v="237"/>
    <n v="0"/>
    <n v="54"/>
    <n v="0"/>
    <n v="322"/>
    <n v="0.16669999999999999"/>
    <n v="3.6999999999999998E-2"/>
    <n v="0"/>
  </r>
  <r>
    <n v="2022"/>
    <n v="10"/>
    <x v="0"/>
    <x v="0"/>
    <s v="SEA"/>
    <s v="Seattle, WA: Seattle/Tacoma International"/>
    <n v="63"/>
    <n v="40"/>
    <n v="30.08"/>
    <n v="0"/>
    <n v="0"/>
    <n v="0"/>
    <n v="9.92"/>
    <n v="0"/>
    <n v="0"/>
    <n v="1498"/>
    <n v="1160"/>
    <n v="0"/>
    <n v="0"/>
    <n v="0"/>
    <n v="338"/>
    <n v="0.63490000000000002"/>
    <n v="0"/>
    <n v="0"/>
  </r>
  <r>
    <n v="2022"/>
    <n v="10"/>
    <x v="1"/>
    <x v="1"/>
    <s v="SEA"/>
    <s v="Seattle, WA: Seattle/Tacoma International"/>
    <n v="93"/>
    <n v="14"/>
    <n v="4.5999999999999996"/>
    <n v="0.02"/>
    <n v="6.96"/>
    <n v="0"/>
    <n v="2.4300000000000002"/>
    <n v="6"/>
    <n v="0"/>
    <n v="781"/>
    <n v="232"/>
    <n v="2"/>
    <n v="243"/>
    <n v="0"/>
    <n v="304"/>
    <n v="0.15049999999999999"/>
    <n v="6.4500000000000002E-2"/>
    <n v="0"/>
  </r>
  <r>
    <n v="2022"/>
    <n v="10"/>
    <x v="2"/>
    <x v="2"/>
    <s v="SEA"/>
    <s v="Seattle, WA: Seattle/Tacoma International"/>
    <n v="1828"/>
    <n v="152"/>
    <n v="79"/>
    <n v="36"/>
    <n v="20"/>
    <n v="0"/>
    <n v="17"/>
    <n v="2"/>
    <n v="6"/>
    <n v="8816"/>
    <n v="3503"/>
    <n v="2872"/>
    <n v="1402"/>
    <n v="0"/>
    <n v="1039"/>
    <n v="8.3199999999999996E-2"/>
    <n v="1.1000000000000001E-3"/>
    <n v="3.3E-3"/>
  </r>
  <r>
    <n v="2022"/>
    <n v="10"/>
    <x v="3"/>
    <x v="3"/>
    <s v="SEA"/>
    <s v="Seattle, WA: Seattle/Tacoma International"/>
    <n v="2220"/>
    <n v="228"/>
    <n v="60.55"/>
    <n v="8.73"/>
    <n v="99.61"/>
    <n v="0"/>
    <n v="59.11"/>
    <n v="2"/>
    <n v="2"/>
    <n v="11753"/>
    <n v="4228"/>
    <n v="819"/>
    <n v="3381"/>
    <n v="0"/>
    <n v="3325"/>
    <n v="0.1027"/>
    <n v="8.9999999999999998E-4"/>
    <n v="8.9999999999999998E-4"/>
  </r>
  <r>
    <n v="2022"/>
    <n v="10"/>
    <x v="9"/>
    <x v="9"/>
    <s v="SEA"/>
    <s v="Seattle, WA: Seattle/Tacoma International"/>
    <n v="750"/>
    <n v="53"/>
    <n v="18.95"/>
    <n v="0"/>
    <n v="20.91"/>
    <n v="0"/>
    <n v="13.14"/>
    <n v="0"/>
    <n v="1"/>
    <n v="2289"/>
    <n v="803"/>
    <n v="0"/>
    <n v="670"/>
    <n v="0"/>
    <n v="816"/>
    <n v="7.0699999999999999E-2"/>
    <n v="0"/>
    <n v="1.2999999999999999E-3"/>
  </r>
  <r>
    <n v="2022"/>
    <n v="10"/>
    <x v="10"/>
    <x v="10"/>
    <s v="SEA"/>
    <s v="Seattle, WA: Seattle/Tacoma International"/>
    <n v="834"/>
    <n v="160"/>
    <n v="61.52"/>
    <n v="3.04"/>
    <n v="13.77"/>
    <n v="0"/>
    <n v="81.67"/>
    <n v="3"/>
    <n v="0"/>
    <n v="7225"/>
    <n v="2981"/>
    <n v="167"/>
    <n v="599"/>
    <n v="0"/>
    <n v="3478"/>
    <n v="0.1918"/>
    <n v="3.5999999999999999E-3"/>
    <n v="0"/>
  </r>
  <r>
    <n v="2022"/>
    <n v="9"/>
    <x v="4"/>
    <x v="4"/>
    <s v="SEA"/>
    <s v="Seattle, WA: Seattle/Tacoma International"/>
    <n v="440"/>
    <n v="99"/>
    <n v="46.94"/>
    <n v="3.76"/>
    <n v="27.51"/>
    <n v="1"/>
    <n v="19.79"/>
    <n v="3"/>
    <n v="2"/>
    <n v="7596"/>
    <n v="4878"/>
    <n v="302"/>
    <n v="976"/>
    <n v="30"/>
    <n v="1410"/>
    <n v="0.22500000000000001"/>
    <n v="6.7999999999999996E-3"/>
    <n v="4.4999999999999997E-3"/>
  </r>
  <r>
    <n v="2022"/>
    <n v="9"/>
    <x v="5"/>
    <x v="5"/>
    <s v="SEA"/>
    <s v="Seattle, WA: Seattle/Tacoma International"/>
    <n v="6303"/>
    <n v="907"/>
    <n v="235.38"/>
    <n v="23.1"/>
    <n v="330.46"/>
    <n v="1.56"/>
    <n v="316.5"/>
    <n v="54"/>
    <n v="8"/>
    <n v="42635"/>
    <n v="14366"/>
    <n v="1188"/>
    <n v="10871"/>
    <n v="73"/>
    <n v="16137"/>
    <n v="0.1439"/>
    <n v="8.6E-3"/>
    <n v="1.2999999999999999E-3"/>
  </r>
  <r>
    <n v="2022"/>
    <n v="9"/>
    <x v="6"/>
    <x v="6"/>
    <s v="SEA"/>
    <s v="Seattle, WA: Seattle/Tacoma International"/>
    <n v="89"/>
    <n v="19"/>
    <n v="12.2"/>
    <n v="1"/>
    <n v="2.44"/>
    <n v="0"/>
    <n v="3.36"/>
    <n v="0"/>
    <n v="1"/>
    <n v="1316"/>
    <n v="816"/>
    <n v="215"/>
    <n v="92"/>
    <n v="0"/>
    <n v="193"/>
    <n v="0.2135"/>
    <n v="0"/>
    <n v="1.12E-2"/>
  </r>
  <r>
    <n v="2022"/>
    <n v="9"/>
    <x v="7"/>
    <x v="7"/>
    <s v="SEA"/>
    <s v="Seattle, WA: Seattle/Tacoma International"/>
    <n v="2624"/>
    <n v="246"/>
    <n v="107.54"/>
    <n v="6.41"/>
    <n v="68.52"/>
    <n v="0"/>
    <n v="63.53"/>
    <n v="7"/>
    <n v="4"/>
    <n v="19180"/>
    <n v="12351"/>
    <n v="523"/>
    <n v="2368"/>
    <n v="0"/>
    <n v="3938"/>
    <n v="9.3799999999999994E-2"/>
    <n v="2.7000000000000001E-3"/>
    <n v="1.5E-3"/>
  </r>
  <r>
    <n v="2022"/>
    <n v="9"/>
    <x v="8"/>
    <x v="8"/>
    <s v="SEA"/>
    <s v="Seattle, WA: Seattle/Tacoma International"/>
    <n v="52"/>
    <n v="12"/>
    <n v="5.98"/>
    <n v="1.87"/>
    <n v="1.2"/>
    <n v="0"/>
    <n v="2.95"/>
    <n v="0"/>
    <n v="0"/>
    <n v="715"/>
    <n v="484"/>
    <n v="64"/>
    <n v="28"/>
    <n v="0"/>
    <n v="139"/>
    <n v="0.23080000000000001"/>
    <n v="0"/>
    <n v="0"/>
  </r>
  <r>
    <n v="2022"/>
    <n v="9"/>
    <x v="0"/>
    <x v="0"/>
    <s v="SEA"/>
    <s v="Seattle, WA: Seattle/Tacoma International"/>
    <n v="61"/>
    <n v="28"/>
    <n v="23.01"/>
    <n v="0"/>
    <n v="0"/>
    <n v="0"/>
    <n v="4.99"/>
    <n v="0"/>
    <n v="0"/>
    <n v="823"/>
    <n v="686"/>
    <n v="0"/>
    <n v="0"/>
    <n v="0"/>
    <n v="137"/>
    <n v="0.45900000000000002"/>
    <n v="0"/>
    <n v="0"/>
  </r>
  <r>
    <n v="2022"/>
    <n v="9"/>
    <x v="1"/>
    <x v="1"/>
    <s v="SEA"/>
    <s v="Seattle, WA: Seattle/Tacoma International"/>
    <n v="84"/>
    <n v="25"/>
    <n v="4.21"/>
    <n v="1.72"/>
    <n v="17.059999999999999"/>
    <n v="0"/>
    <n v="2"/>
    <n v="1"/>
    <n v="0"/>
    <n v="2014"/>
    <n v="666"/>
    <n v="134"/>
    <n v="1129"/>
    <n v="0"/>
    <n v="85"/>
    <n v="0.29759999999999998"/>
    <n v="1.1900000000000001E-2"/>
    <n v="0"/>
  </r>
  <r>
    <n v="2022"/>
    <n v="9"/>
    <x v="2"/>
    <x v="2"/>
    <s v="SEA"/>
    <s v="Seattle, WA: Seattle/Tacoma International"/>
    <n v="1837"/>
    <n v="158"/>
    <n v="92"/>
    <n v="27"/>
    <n v="9"/>
    <n v="0"/>
    <n v="30"/>
    <n v="1"/>
    <n v="3"/>
    <n v="8353"/>
    <n v="4277"/>
    <n v="1838"/>
    <n v="527"/>
    <n v="0"/>
    <n v="1711"/>
    <n v="8.5999999999999993E-2"/>
    <n v="5.0000000000000001E-4"/>
    <n v="1.6000000000000001E-3"/>
  </r>
  <r>
    <n v="2022"/>
    <n v="9"/>
    <x v="3"/>
    <x v="3"/>
    <s v="SEA"/>
    <s v="Seattle, WA: Seattle/Tacoma International"/>
    <n v="2799"/>
    <n v="362"/>
    <n v="86.08"/>
    <n v="3.48"/>
    <n v="129.99"/>
    <n v="0"/>
    <n v="142.44999999999999"/>
    <n v="2"/>
    <n v="2"/>
    <n v="19217"/>
    <n v="6089"/>
    <n v="206"/>
    <n v="4664"/>
    <n v="0"/>
    <n v="8258"/>
    <n v="0.1293"/>
    <n v="6.9999999999999999E-4"/>
    <n v="6.9999999999999999E-4"/>
  </r>
  <r>
    <n v="2022"/>
    <n v="9"/>
    <x v="9"/>
    <x v="9"/>
    <s v="SEA"/>
    <s v="Seattle, WA: Seattle/Tacoma International"/>
    <n v="709"/>
    <n v="55"/>
    <n v="16.170000000000002"/>
    <n v="6.13"/>
    <n v="12.82"/>
    <n v="0"/>
    <n v="19.88"/>
    <n v="0"/>
    <n v="0"/>
    <n v="3285"/>
    <n v="821"/>
    <n v="380"/>
    <n v="465"/>
    <n v="0"/>
    <n v="1619"/>
    <n v="7.7600000000000002E-2"/>
    <n v="0"/>
    <n v="0"/>
  </r>
  <r>
    <n v="2022"/>
    <n v="9"/>
    <x v="10"/>
    <x v="10"/>
    <s v="SEA"/>
    <s v="Seattle, WA: Seattle/Tacoma International"/>
    <n v="801"/>
    <n v="165"/>
    <n v="57.68"/>
    <n v="2.82"/>
    <n v="15.39"/>
    <n v="1"/>
    <n v="88.11"/>
    <n v="0"/>
    <n v="2"/>
    <n v="7986"/>
    <n v="2399"/>
    <n v="125"/>
    <n v="571"/>
    <n v="35"/>
    <n v="4856"/>
    <n v="0.20599999999999999"/>
    <n v="0"/>
    <n v="2.5000000000000001E-3"/>
  </r>
  <r>
    <n v="2022"/>
    <n v="8"/>
    <x v="4"/>
    <x v="4"/>
    <s v="SEA"/>
    <s v="Seattle, WA: Seattle/Tacoma International"/>
    <n v="522"/>
    <n v="128"/>
    <n v="43.66"/>
    <n v="15.3"/>
    <n v="26.13"/>
    <n v="0"/>
    <n v="42.91"/>
    <n v="12"/>
    <n v="0"/>
    <n v="6886"/>
    <n v="2166"/>
    <n v="1285"/>
    <n v="1027"/>
    <n v="0"/>
    <n v="2408"/>
    <n v="0.2452"/>
    <n v="2.3E-2"/>
    <n v="0"/>
  </r>
  <r>
    <n v="2022"/>
    <n v="8"/>
    <x v="5"/>
    <x v="5"/>
    <s v="SEA"/>
    <s v="Seattle, WA: Seattle/Tacoma International"/>
    <n v="6579"/>
    <n v="1078"/>
    <n v="291.05"/>
    <n v="40.75"/>
    <n v="338.02"/>
    <n v="11.38"/>
    <n v="396.79"/>
    <n v="30"/>
    <n v="6"/>
    <n v="56058"/>
    <n v="18408"/>
    <n v="3077"/>
    <n v="11505"/>
    <n v="359"/>
    <n v="22709"/>
    <n v="0.16389999999999999"/>
    <n v="4.5999999999999999E-3"/>
    <n v="8.9999999999999998E-4"/>
  </r>
  <r>
    <n v="2022"/>
    <n v="8"/>
    <x v="6"/>
    <x v="6"/>
    <s v="SEA"/>
    <s v="Seattle, WA: Seattle/Tacoma International"/>
    <n v="89"/>
    <n v="28"/>
    <n v="13.08"/>
    <n v="0.39"/>
    <n v="10.050000000000001"/>
    <n v="1"/>
    <n v="3.47"/>
    <n v="1"/>
    <n v="0"/>
    <n v="2221"/>
    <n v="1237"/>
    <n v="30"/>
    <n v="672"/>
    <n v="23"/>
    <n v="259"/>
    <n v="0.31459999999999999"/>
    <n v="1.12E-2"/>
    <n v="0"/>
  </r>
  <r>
    <n v="2022"/>
    <n v="8"/>
    <x v="7"/>
    <x v="7"/>
    <s v="SEA"/>
    <s v="Seattle, WA: Seattle/Tacoma International"/>
    <n v="2801"/>
    <n v="360"/>
    <n v="156.94"/>
    <n v="12.56"/>
    <n v="73.040000000000006"/>
    <n v="0"/>
    <n v="117.45"/>
    <n v="23"/>
    <n v="2"/>
    <n v="35723"/>
    <n v="22755"/>
    <n v="844"/>
    <n v="2624"/>
    <n v="0"/>
    <n v="9500"/>
    <n v="0.1285"/>
    <n v="8.2000000000000007E-3"/>
    <n v="6.9999999999999999E-4"/>
  </r>
  <r>
    <n v="2022"/>
    <n v="8"/>
    <x v="8"/>
    <x v="8"/>
    <s v="SEA"/>
    <s v="Seattle, WA: Seattle/Tacoma International"/>
    <n v="40"/>
    <n v="6"/>
    <n v="1.4"/>
    <n v="1"/>
    <n v="0.6"/>
    <n v="0"/>
    <n v="3"/>
    <n v="0"/>
    <n v="0"/>
    <n v="434"/>
    <n v="86"/>
    <n v="44"/>
    <n v="21"/>
    <n v="0"/>
    <n v="283"/>
    <n v="0.15"/>
    <n v="0"/>
    <n v="0"/>
  </r>
  <r>
    <n v="2022"/>
    <n v="8"/>
    <x v="0"/>
    <x v="0"/>
    <s v="SEA"/>
    <s v="Seattle, WA: Seattle/Tacoma International"/>
    <n v="62"/>
    <n v="27"/>
    <n v="25.61"/>
    <n v="0"/>
    <n v="0"/>
    <n v="0"/>
    <n v="1.39"/>
    <n v="0"/>
    <n v="0"/>
    <n v="729"/>
    <n v="630"/>
    <n v="0"/>
    <n v="0"/>
    <n v="0"/>
    <n v="99"/>
    <n v="0.4355"/>
    <n v="0"/>
    <n v="0"/>
  </r>
  <r>
    <n v="2022"/>
    <n v="8"/>
    <x v="1"/>
    <x v="1"/>
    <s v="SEA"/>
    <s v="Seattle, WA: Seattle/Tacoma International"/>
    <n v="62"/>
    <n v="7"/>
    <n v="0.87"/>
    <n v="0"/>
    <n v="6.04"/>
    <n v="0.09"/>
    <n v="0"/>
    <n v="1"/>
    <n v="0"/>
    <n v="365"/>
    <n v="26"/>
    <n v="0"/>
    <n v="330"/>
    <n v="9"/>
    <n v="0"/>
    <n v="0.1129"/>
    <n v="1.61E-2"/>
    <n v="0"/>
  </r>
  <r>
    <n v="2022"/>
    <n v="8"/>
    <x v="2"/>
    <x v="2"/>
    <s v="SEA"/>
    <s v="Seattle, WA: Seattle/Tacoma International"/>
    <n v="1857"/>
    <n v="146"/>
    <n v="100"/>
    <n v="23"/>
    <n v="7"/>
    <n v="0"/>
    <n v="16"/>
    <n v="1"/>
    <n v="1"/>
    <n v="8933"/>
    <n v="6326"/>
    <n v="1303"/>
    <n v="249"/>
    <n v="0"/>
    <n v="1055"/>
    <n v="7.8600000000000003E-2"/>
    <n v="5.0000000000000001E-4"/>
    <n v="5.0000000000000001E-4"/>
  </r>
  <r>
    <n v="2022"/>
    <n v="8"/>
    <x v="3"/>
    <x v="3"/>
    <s v="SEA"/>
    <s v="Seattle, WA: Seattle/Tacoma International"/>
    <n v="2652"/>
    <n v="277"/>
    <n v="82.77"/>
    <n v="2.69"/>
    <n v="79.73"/>
    <n v="0.88"/>
    <n v="110.94"/>
    <n v="10"/>
    <n v="1"/>
    <n v="12634"/>
    <n v="4669"/>
    <n v="139"/>
    <n v="2945"/>
    <n v="30"/>
    <n v="4851"/>
    <n v="0.10440000000000001"/>
    <n v="3.8E-3"/>
    <n v="4.0000000000000002E-4"/>
  </r>
  <r>
    <n v="2022"/>
    <n v="8"/>
    <x v="9"/>
    <x v="9"/>
    <s v="SEA"/>
    <s v="Seattle, WA: Seattle/Tacoma International"/>
    <n v="751"/>
    <n v="136"/>
    <n v="51.87"/>
    <n v="5.26"/>
    <n v="25.41"/>
    <n v="0"/>
    <n v="53.46"/>
    <n v="12"/>
    <n v="0"/>
    <n v="9423"/>
    <n v="3540"/>
    <n v="503"/>
    <n v="1157"/>
    <n v="0"/>
    <n v="4223"/>
    <n v="0.18110000000000001"/>
    <n v="1.6E-2"/>
    <n v="0"/>
  </r>
  <r>
    <n v="2022"/>
    <n v="8"/>
    <x v="10"/>
    <x v="10"/>
    <s v="SEA"/>
    <s v="Seattle, WA: Seattle/Tacoma International"/>
    <n v="926"/>
    <n v="244"/>
    <n v="87.39"/>
    <n v="1.83"/>
    <n v="16.690000000000001"/>
    <n v="1"/>
    <n v="137.09"/>
    <n v="12"/>
    <n v="0"/>
    <n v="12686"/>
    <n v="3693"/>
    <n v="168"/>
    <n v="790"/>
    <n v="149"/>
    <n v="7886"/>
    <n v="0.26350000000000001"/>
    <n v="1.2999999999999999E-2"/>
    <n v="0"/>
  </r>
  <r>
    <n v="2022"/>
    <n v="7"/>
    <x v="4"/>
    <x v="4"/>
    <s v="SEA"/>
    <s v="Seattle, WA: Seattle/Tacoma International"/>
    <n v="487"/>
    <n v="163"/>
    <n v="62.26"/>
    <n v="8.31"/>
    <n v="33.130000000000003"/>
    <n v="0.17"/>
    <n v="59.13"/>
    <n v="9"/>
    <n v="1"/>
    <n v="10316"/>
    <n v="4619"/>
    <n v="699"/>
    <n v="1164"/>
    <n v="19"/>
    <n v="3815"/>
    <n v="0.3347"/>
    <n v="1.8499999999999999E-2"/>
    <n v="2.0999999999999999E-3"/>
  </r>
  <r>
    <n v="2022"/>
    <n v="7"/>
    <x v="5"/>
    <x v="5"/>
    <s v="SEA"/>
    <s v="Seattle, WA: Seattle/Tacoma International"/>
    <n v="6521"/>
    <n v="1086"/>
    <n v="300.98"/>
    <n v="35.65"/>
    <n v="390.66"/>
    <n v="9.65"/>
    <n v="349.06"/>
    <n v="30"/>
    <n v="12"/>
    <n v="54557"/>
    <n v="18969"/>
    <n v="1920"/>
    <n v="12321"/>
    <n v="298"/>
    <n v="21049"/>
    <n v="0.16650000000000001"/>
    <n v="4.5999999999999999E-3"/>
    <n v="1.8E-3"/>
  </r>
  <r>
    <n v="2022"/>
    <n v="7"/>
    <x v="6"/>
    <x v="6"/>
    <s v="SEA"/>
    <s v="Seattle, WA: Seattle/Tacoma International"/>
    <n v="119"/>
    <n v="50"/>
    <n v="21.32"/>
    <n v="0.56000000000000005"/>
    <n v="24.24"/>
    <n v="0"/>
    <n v="3.88"/>
    <n v="0"/>
    <n v="0"/>
    <n v="3288"/>
    <n v="1951"/>
    <n v="42"/>
    <n v="943"/>
    <n v="0"/>
    <n v="352"/>
    <n v="0.42020000000000002"/>
    <n v="0"/>
    <n v="0"/>
  </r>
  <r>
    <n v="2022"/>
    <n v="7"/>
    <x v="7"/>
    <x v="7"/>
    <s v="SEA"/>
    <s v="Seattle, WA: Seattle/Tacoma International"/>
    <n v="2727"/>
    <n v="393"/>
    <n v="195.7"/>
    <n v="10.45"/>
    <n v="71.349999999999994"/>
    <n v="0"/>
    <n v="115.51"/>
    <n v="34"/>
    <n v="3"/>
    <n v="35042"/>
    <n v="21618"/>
    <n v="790"/>
    <n v="2588"/>
    <n v="0"/>
    <n v="10046"/>
    <n v="0.14410000000000001"/>
    <n v="1.2500000000000001E-2"/>
    <n v="1.1000000000000001E-3"/>
  </r>
  <r>
    <n v="2022"/>
    <n v="7"/>
    <x v="8"/>
    <x v="8"/>
    <s v="SEA"/>
    <s v="Seattle, WA: Seattle/Tacoma International"/>
    <n v="39"/>
    <n v="6"/>
    <n v="1.95"/>
    <n v="0.12"/>
    <n v="2.93"/>
    <n v="0"/>
    <n v="1"/>
    <n v="0"/>
    <n v="0"/>
    <n v="284"/>
    <n v="55"/>
    <n v="4"/>
    <n v="109"/>
    <n v="0"/>
    <n v="116"/>
    <n v="0.15379999999999999"/>
    <n v="0"/>
    <n v="0"/>
  </r>
  <r>
    <n v="2022"/>
    <n v="7"/>
    <x v="0"/>
    <x v="0"/>
    <s v="SEA"/>
    <s v="Seattle, WA: Seattle/Tacoma International"/>
    <n v="62"/>
    <n v="22"/>
    <n v="13.98"/>
    <n v="0"/>
    <n v="0"/>
    <n v="0"/>
    <n v="8.02"/>
    <n v="0"/>
    <n v="0"/>
    <n v="605"/>
    <n v="428"/>
    <n v="0"/>
    <n v="0"/>
    <n v="0"/>
    <n v="177"/>
    <n v="0.3548"/>
    <n v="0"/>
    <n v="0"/>
  </r>
  <r>
    <n v="2022"/>
    <n v="7"/>
    <x v="1"/>
    <x v="1"/>
    <s v="SEA"/>
    <s v="Seattle, WA: Seattle/Tacoma International"/>
    <n v="62"/>
    <n v="9"/>
    <n v="1.43"/>
    <n v="1.69"/>
    <n v="3.39"/>
    <n v="0"/>
    <n v="2.4900000000000002"/>
    <n v="0"/>
    <n v="0"/>
    <n v="395"/>
    <n v="70"/>
    <n v="73"/>
    <n v="91"/>
    <n v="0"/>
    <n v="161"/>
    <n v="0.1452"/>
    <n v="0"/>
    <n v="0"/>
  </r>
  <r>
    <n v="2022"/>
    <n v="7"/>
    <x v="2"/>
    <x v="2"/>
    <s v="SEA"/>
    <s v="Seattle, WA: Seattle/Tacoma International"/>
    <n v="1863"/>
    <n v="149"/>
    <n v="110"/>
    <n v="21"/>
    <n v="4"/>
    <n v="1"/>
    <n v="13"/>
    <n v="2"/>
    <n v="1"/>
    <n v="8952"/>
    <n v="6853"/>
    <n v="1481"/>
    <n v="170"/>
    <n v="15"/>
    <n v="433"/>
    <n v="0.08"/>
    <n v="1.1000000000000001E-3"/>
    <n v="5.0000000000000001E-4"/>
  </r>
  <r>
    <n v="2022"/>
    <n v="7"/>
    <x v="3"/>
    <x v="3"/>
    <s v="SEA"/>
    <s v="Seattle, WA: Seattle/Tacoma International"/>
    <n v="2735"/>
    <n v="276"/>
    <n v="86.71"/>
    <n v="5.35"/>
    <n v="57.28"/>
    <n v="0.99"/>
    <n v="125.67"/>
    <n v="7"/>
    <n v="2"/>
    <n v="14542"/>
    <n v="6566"/>
    <n v="227"/>
    <n v="1514"/>
    <n v="107"/>
    <n v="6128"/>
    <n v="0.1009"/>
    <n v="2.5999999999999999E-3"/>
    <n v="6.9999999999999999E-4"/>
  </r>
  <r>
    <n v="2022"/>
    <n v="7"/>
    <x v="9"/>
    <x v="9"/>
    <s v="SEA"/>
    <s v="Seattle, WA: Seattle/Tacoma International"/>
    <n v="762"/>
    <n v="159"/>
    <n v="64.19"/>
    <n v="7.24"/>
    <n v="27.06"/>
    <n v="0"/>
    <n v="60.51"/>
    <n v="1"/>
    <n v="0"/>
    <n v="12333"/>
    <n v="4549"/>
    <n v="530"/>
    <n v="1134"/>
    <n v="0"/>
    <n v="6120"/>
    <n v="0.2087"/>
    <n v="1.2999999999999999E-3"/>
    <n v="0"/>
  </r>
  <r>
    <n v="2022"/>
    <n v="7"/>
    <x v="10"/>
    <x v="10"/>
    <s v="SEA"/>
    <s v="Seattle, WA: Seattle/Tacoma International"/>
    <n v="925"/>
    <n v="214"/>
    <n v="89.8"/>
    <n v="1.58"/>
    <n v="19.23"/>
    <n v="0"/>
    <n v="103.39"/>
    <n v="5"/>
    <n v="0"/>
    <n v="12220"/>
    <n v="4208"/>
    <n v="166"/>
    <n v="768"/>
    <n v="0"/>
    <n v="7078"/>
    <n v="0.23139999999999999"/>
    <n v="5.4000000000000003E-3"/>
    <n v="0"/>
  </r>
  <r>
    <n v="2022"/>
    <n v="6"/>
    <x v="9"/>
    <x v="9"/>
    <s v="SEA"/>
    <s v="Seattle, WA: Seattle/Tacoma International"/>
    <n v="713"/>
    <n v="153"/>
    <n v="56.54"/>
    <n v="1.75"/>
    <n v="34.11"/>
    <n v="0"/>
    <n v="60.6"/>
    <n v="12"/>
    <n v="1"/>
    <n v="9756"/>
    <n v="3785"/>
    <n v="105"/>
    <n v="1190"/>
    <n v="0"/>
    <n v="4676"/>
    <n v="0.21460000000000001"/>
    <n v="1.6799999999999999E-2"/>
    <n v="1.4E-3"/>
  </r>
  <r>
    <n v="2022"/>
    <n v="6"/>
    <x v="10"/>
    <x v="10"/>
    <s v="SEA"/>
    <s v="Seattle, WA: Seattle/Tacoma International"/>
    <n v="883"/>
    <n v="267"/>
    <n v="128.29"/>
    <n v="0.08"/>
    <n v="22.8"/>
    <n v="1"/>
    <n v="114.83"/>
    <n v="3"/>
    <n v="4"/>
    <n v="11747"/>
    <n v="5477"/>
    <n v="12"/>
    <n v="769"/>
    <n v="22"/>
    <n v="5467"/>
    <n v="0.3024"/>
    <n v="3.3999999999999998E-3"/>
    <n v="4.4999999999999997E-3"/>
  </r>
  <r>
    <n v="2022"/>
    <n v="6"/>
    <x v="4"/>
    <x v="4"/>
    <s v="SEA"/>
    <s v="Seattle, WA: Seattle/Tacoma International"/>
    <n v="476"/>
    <n v="174"/>
    <n v="79.45"/>
    <n v="7.31"/>
    <n v="40.130000000000003"/>
    <n v="0"/>
    <n v="47.11"/>
    <n v="18"/>
    <n v="2"/>
    <n v="12241"/>
    <n v="4983"/>
    <n v="539"/>
    <n v="1643"/>
    <n v="0"/>
    <n v="5076"/>
    <n v="0.36549999999999999"/>
    <n v="3.78E-2"/>
    <n v="4.1999999999999997E-3"/>
  </r>
  <r>
    <n v="2022"/>
    <n v="6"/>
    <x v="5"/>
    <x v="5"/>
    <s v="SEA"/>
    <s v="Seattle, WA: Seattle/Tacoma International"/>
    <n v="5801"/>
    <n v="1169"/>
    <n v="316.81"/>
    <n v="26.17"/>
    <n v="464.87"/>
    <n v="7.59"/>
    <n v="353.55"/>
    <n v="50"/>
    <n v="11"/>
    <n v="58577"/>
    <n v="21509"/>
    <n v="1760"/>
    <n v="14722"/>
    <n v="195"/>
    <n v="20391"/>
    <n v="0.20150000000000001"/>
    <n v="8.6E-3"/>
    <n v="1.9E-3"/>
  </r>
  <r>
    <n v="2022"/>
    <n v="6"/>
    <x v="6"/>
    <x v="6"/>
    <s v="SEA"/>
    <s v="Seattle, WA: Seattle/Tacoma International"/>
    <n v="79"/>
    <n v="28"/>
    <n v="10.95"/>
    <n v="1.1599999999999999"/>
    <n v="12.85"/>
    <n v="0"/>
    <n v="3.03"/>
    <n v="1"/>
    <n v="0"/>
    <n v="1843"/>
    <n v="909"/>
    <n v="160"/>
    <n v="504"/>
    <n v="0"/>
    <n v="270"/>
    <n v="0.35439999999999999"/>
    <n v="1.2699999999999999E-2"/>
    <n v="0"/>
  </r>
  <r>
    <n v="2022"/>
    <n v="6"/>
    <x v="7"/>
    <x v="7"/>
    <s v="SEA"/>
    <s v="Seattle, WA: Seattle/Tacoma International"/>
    <n v="2476"/>
    <n v="448"/>
    <n v="217.13"/>
    <n v="10.43"/>
    <n v="89.44"/>
    <n v="0"/>
    <n v="130.99"/>
    <n v="131"/>
    <n v="5"/>
    <n v="35998"/>
    <n v="21612"/>
    <n v="701"/>
    <n v="3539"/>
    <n v="0"/>
    <n v="10146"/>
    <n v="0.18090000000000001"/>
    <n v="5.2900000000000003E-2"/>
    <n v="2E-3"/>
  </r>
  <r>
    <n v="2022"/>
    <n v="6"/>
    <x v="8"/>
    <x v="8"/>
    <s v="SEA"/>
    <s v="Seattle, WA: Seattle/Tacoma International"/>
    <n v="37"/>
    <n v="4"/>
    <n v="1"/>
    <n v="0.33"/>
    <n v="0.14000000000000001"/>
    <n v="0"/>
    <n v="2.5299999999999998"/>
    <n v="0"/>
    <n v="0"/>
    <n v="201"/>
    <n v="34"/>
    <n v="23"/>
    <n v="5"/>
    <n v="0"/>
    <n v="139"/>
    <n v="0.1081"/>
    <n v="0"/>
    <n v="0"/>
  </r>
  <r>
    <n v="2022"/>
    <n v="6"/>
    <x v="0"/>
    <x v="0"/>
    <s v="SEA"/>
    <s v="Seattle, WA: Seattle/Tacoma International"/>
    <n v="60"/>
    <n v="29"/>
    <n v="18.87"/>
    <n v="0"/>
    <n v="0"/>
    <n v="0"/>
    <n v="10.130000000000001"/>
    <n v="0"/>
    <n v="0"/>
    <n v="1359"/>
    <n v="888"/>
    <n v="0"/>
    <n v="0"/>
    <n v="0"/>
    <n v="471"/>
    <n v="0.48330000000000001"/>
    <n v="0"/>
    <n v="0"/>
  </r>
  <r>
    <n v="2022"/>
    <n v="6"/>
    <x v="1"/>
    <x v="1"/>
    <s v="SEA"/>
    <s v="Seattle, WA: Seattle/Tacoma International"/>
    <n v="60"/>
    <n v="7"/>
    <n v="2.34"/>
    <n v="0"/>
    <n v="3.74"/>
    <n v="0"/>
    <n v="0.93"/>
    <n v="0"/>
    <n v="0"/>
    <n v="590"/>
    <n v="232"/>
    <n v="0"/>
    <n v="257"/>
    <n v="0"/>
    <n v="101"/>
    <n v="0.1167"/>
    <n v="0"/>
    <n v="0"/>
  </r>
  <r>
    <n v="2022"/>
    <n v="6"/>
    <x v="2"/>
    <x v="2"/>
    <s v="SEA"/>
    <s v="Seattle, WA: Seattle/Tacoma International"/>
    <n v="1898"/>
    <n v="191"/>
    <n v="134"/>
    <n v="27"/>
    <n v="3"/>
    <n v="1"/>
    <n v="26"/>
    <n v="1"/>
    <n v="1"/>
    <n v="10722"/>
    <n v="7703"/>
    <n v="1481"/>
    <n v="70"/>
    <n v="35"/>
    <n v="1433"/>
    <n v="0.10059999999999999"/>
    <n v="5.0000000000000001E-4"/>
    <n v="5.0000000000000001E-4"/>
  </r>
  <r>
    <n v="2022"/>
    <n v="6"/>
    <x v="3"/>
    <x v="3"/>
    <s v="SEA"/>
    <s v="Seattle, WA: Seattle/Tacoma International"/>
    <n v="2685"/>
    <n v="408"/>
    <n v="114.79"/>
    <n v="3.35"/>
    <n v="93.17"/>
    <n v="0"/>
    <n v="196.69"/>
    <n v="21"/>
    <n v="1"/>
    <n v="20421"/>
    <n v="7948"/>
    <n v="204"/>
    <n v="2656"/>
    <n v="0"/>
    <n v="9613"/>
    <n v="0.152"/>
    <n v="7.7999999999999996E-3"/>
    <n v="4.0000000000000002E-4"/>
  </r>
  <r>
    <n v="2022"/>
    <n v="5"/>
    <x v="4"/>
    <x v="4"/>
    <s v="SEA"/>
    <s v="Seattle, WA: Seattle/Tacoma International"/>
    <n v="442"/>
    <n v="133"/>
    <n v="54.11"/>
    <n v="4.25"/>
    <n v="45.08"/>
    <n v="0.17"/>
    <n v="29.39"/>
    <n v="3"/>
    <n v="0"/>
    <n v="6773"/>
    <n v="2455"/>
    <n v="383"/>
    <n v="1611"/>
    <n v="10"/>
    <n v="2314"/>
    <n v="0.3009"/>
    <n v="6.7999999999999996E-3"/>
    <n v="0"/>
  </r>
  <r>
    <n v="2022"/>
    <n v="5"/>
    <x v="5"/>
    <x v="5"/>
    <s v="SEA"/>
    <s v="Seattle, WA: Seattle/Tacoma International"/>
    <n v="5842"/>
    <n v="1058"/>
    <n v="314.93"/>
    <n v="20.16"/>
    <n v="418.31"/>
    <n v="5.4"/>
    <n v="299.19"/>
    <n v="222"/>
    <n v="18"/>
    <n v="51596"/>
    <n v="20255"/>
    <n v="1323"/>
    <n v="12231"/>
    <n v="157"/>
    <n v="17630"/>
    <n v="0.18110000000000001"/>
    <n v="3.7999999999999999E-2"/>
    <n v="3.0999999999999999E-3"/>
  </r>
  <r>
    <n v="2022"/>
    <n v="5"/>
    <x v="6"/>
    <x v="6"/>
    <s v="SEA"/>
    <s v="Seattle, WA: Seattle/Tacoma International"/>
    <n v="90"/>
    <n v="30"/>
    <n v="17.47"/>
    <n v="0.21"/>
    <n v="9.7899999999999991"/>
    <n v="0"/>
    <n v="2.5299999999999998"/>
    <n v="0"/>
    <n v="0"/>
    <n v="1492"/>
    <n v="899"/>
    <n v="30"/>
    <n v="434"/>
    <n v="0"/>
    <n v="129"/>
    <n v="0.33329999999999999"/>
    <n v="0"/>
    <n v="0"/>
  </r>
  <r>
    <n v="2022"/>
    <n v="5"/>
    <x v="7"/>
    <x v="7"/>
    <s v="SEA"/>
    <s v="Seattle, WA: Seattle/Tacoma International"/>
    <n v="2397"/>
    <n v="325"/>
    <n v="157.71"/>
    <n v="3.82"/>
    <n v="89.47"/>
    <n v="0"/>
    <n v="74"/>
    <n v="87"/>
    <n v="1"/>
    <n v="23101"/>
    <n v="15101"/>
    <n v="268"/>
    <n v="2477"/>
    <n v="0"/>
    <n v="5255"/>
    <n v="0.1356"/>
    <n v="3.6299999999999999E-2"/>
    <n v="4.0000000000000002E-4"/>
  </r>
  <r>
    <n v="2022"/>
    <n v="5"/>
    <x v="8"/>
    <x v="8"/>
    <s v="SEA"/>
    <s v="Seattle, WA: Seattle/Tacoma International"/>
    <n v="40"/>
    <n v="10"/>
    <n v="4.22"/>
    <n v="1"/>
    <n v="2.71"/>
    <n v="0"/>
    <n v="2.0699999999999998"/>
    <n v="1"/>
    <n v="0"/>
    <n v="362"/>
    <n v="200"/>
    <n v="23"/>
    <n v="73"/>
    <n v="0"/>
    <n v="66"/>
    <n v="0.25"/>
    <n v="2.5000000000000001E-2"/>
    <n v="0"/>
  </r>
  <r>
    <n v="2022"/>
    <n v="5"/>
    <x v="0"/>
    <x v="0"/>
    <s v="SEA"/>
    <s v="Seattle, WA: Seattle/Tacoma International"/>
    <n v="62"/>
    <n v="23"/>
    <n v="19.62"/>
    <n v="0"/>
    <n v="0"/>
    <n v="0.67"/>
    <n v="2.71"/>
    <n v="0"/>
    <n v="0"/>
    <n v="886"/>
    <n v="799"/>
    <n v="0"/>
    <n v="0"/>
    <n v="10"/>
    <n v="77"/>
    <n v="0.371"/>
    <n v="0"/>
    <n v="0"/>
  </r>
  <r>
    <n v="2022"/>
    <n v="5"/>
    <x v="1"/>
    <x v="1"/>
    <s v="SEA"/>
    <s v="Seattle, WA: Seattle/Tacoma International"/>
    <n v="64"/>
    <n v="18"/>
    <n v="6.43"/>
    <n v="0"/>
    <n v="7"/>
    <n v="0"/>
    <n v="4.57"/>
    <n v="0"/>
    <n v="0"/>
    <n v="984"/>
    <n v="401"/>
    <n v="0"/>
    <n v="242"/>
    <n v="0"/>
    <n v="341"/>
    <n v="0.28129999999999999"/>
    <n v="0"/>
    <n v="0"/>
  </r>
  <r>
    <n v="2022"/>
    <n v="5"/>
    <x v="2"/>
    <x v="2"/>
    <s v="SEA"/>
    <s v="Seattle, WA: Seattle/Tacoma International"/>
    <n v="1863"/>
    <n v="163"/>
    <n v="130"/>
    <n v="14"/>
    <n v="0"/>
    <n v="0"/>
    <n v="19"/>
    <n v="2"/>
    <n v="0"/>
    <n v="8837"/>
    <n v="7097"/>
    <n v="746"/>
    <n v="0"/>
    <n v="0"/>
    <n v="994"/>
    <n v="8.7499999999999994E-2"/>
    <n v="1.1000000000000001E-3"/>
    <n v="0"/>
  </r>
  <r>
    <n v="2022"/>
    <n v="5"/>
    <x v="3"/>
    <x v="3"/>
    <s v="SEA"/>
    <s v="Seattle, WA: Seattle/Tacoma International"/>
    <n v="2531"/>
    <n v="354"/>
    <n v="96.02"/>
    <n v="1.07"/>
    <n v="86.25"/>
    <n v="0.12"/>
    <n v="170.55"/>
    <n v="21"/>
    <n v="0"/>
    <n v="18001"/>
    <n v="6681"/>
    <n v="20"/>
    <n v="2440"/>
    <n v="14"/>
    <n v="8846"/>
    <n v="0.1399"/>
    <n v="8.3000000000000001E-3"/>
    <n v="0"/>
  </r>
  <r>
    <n v="2022"/>
    <n v="5"/>
    <x v="9"/>
    <x v="9"/>
    <s v="SEA"/>
    <s v="Seattle, WA: Seattle/Tacoma International"/>
    <n v="608"/>
    <n v="124"/>
    <n v="49.95"/>
    <n v="2.48"/>
    <n v="20.39"/>
    <n v="0"/>
    <n v="51.19"/>
    <n v="9"/>
    <n v="2"/>
    <n v="7842"/>
    <n v="3145"/>
    <n v="262"/>
    <n v="623"/>
    <n v="0"/>
    <n v="3812"/>
    <n v="0.2039"/>
    <n v="1.4800000000000001E-2"/>
    <n v="3.3E-3"/>
  </r>
  <r>
    <n v="2022"/>
    <n v="5"/>
    <x v="10"/>
    <x v="10"/>
    <s v="SEA"/>
    <s v="Seattle, WA: Seattle/Tacoma International"/>
    <n v="828"/>
    <n v="203"/>
    <n v="98.82"/>
    <n v="0"/>
    <n v="24.16"/>
    <n v="1.65"/>
    <n v="78.37"/>
    <n v="2"/>
    <n v="1"/>
    <n v="7995"/>
    <n v="3342"/>
    <n v="0"/>
    <n v="744"/>
    <n v="47"/>
    <n v="3862"/>
    <n v="0.2452"/>
    <n v="2.3999999999999998E-3"/>
    <n v="1.1999999999999999E-3"/>
  </r>
  <r>
    <n v="2022"/>
    <n v="4"/>
    <x v="4"/>
    <x v="4"/>
    <s v="SEA"/>
    <s v="Seattle, WA: Seattle/Tacoma International"/>
    <n v="431"/>
    <n v="114"/>
    <n v="41.04"/>
    <n v="3.48"/>
    <n v="44.49"/>
    <n v="0.16"/>
    <n v="24.84"/>
    <n v="5"/>
    <n v="2"/>
    <n v="5543"/>
    <n v="2599"/>
    <n v="242"/>
    <n v="1286"/>
    <n v="3"/>
    <n v="1413"/>
    <n v="0.26450000000000001"/>
    <n v="1.1599999999999999E-2"/>
    <n v="4.5999999999999999E-3"/>
  </r>
  <r>
    <n v="2022"/>
    <n v="4"/>
    <x v="5"/>
    <x v="5"/>
    <s v="SEA"/>
    <s v="Seattle, WA: Seattle/Tacoma International"/>
    <n v="5833"/>
    <n v="1289"/>
    <n v="323.27999999999997"/>
    <n v="22"/>
    <n v="517.07000000000005"/>
    <n v="2.62"/>
    <n v="424.03"/>
    <n v="370"/>
    <n v="30"/>
    <n v="66030"/>
    <n v="19303"/>
    <n v="1720"/>
    <n v="17459"/>
    <n v="100"/>
    <n v="27448"/>
    <n v="0.221"/>
    <n v="6.3399999999999998E-2"/>
    <n v="5.1000000000000004E-3"/>
  </r>
  <r>
    <n v="2022"/>
    <n v="4"/>
    <x v="6"/>
    <x v="6"/>
    <s v="SEA"/>
    <s v="Seattle, WA: Seattle/Tacoma International"/>
    <n v="72"/>
    <n v="29"/>
    <n v="16.98"/>
    <n v="0"/>
    <n v="7.9"/>
    <n v="0"/>
    <n v="4.12"/>
    <n v="4"/>
    <n v="0"/>
    <n v="1814"/>
    <n v="1134"/>
    <n v="0"/>
    <n v="295"/>
    <n v="0"/>
    <n v="385"/>
    <n v="0.40279999999999999"/>
    <n v="5.5599999999999997E-2"/>
    <n v="0"/>
  </r>
  <r>
    <n v="2022"/>
    <n v="4"/>
    <x v="7"/>
    <x v="7"/>
    <s v="SEA"/>
    <s v="Seattle, WA: Seattle/Tacoma International"/>
    <n v="2240"/>
    <n v="239"/>
    <n v="119.68"/>
    <n v="2.78"/>
    <n v="54.18"/>
    <n v="0"/>
    <n v="62.36"/>
    <n v="9"/>
    <n v="8"/>
    <n v="24063"/>
    <n v="13496"/>
    <n v="534"/>
    <n v="2240"/>
    <n v="0"/>
    <n v="7793"/>
    <n v="0.1067"/>
    <n v="4.0000000000000001E-3"/>
    <n v="3.5999999999999999E-3"/>
  </r>
  <r>
    <n v="2022"/>
    <n v="4"/>
    <x v="8"/>
    <x v="8"/>
    <s v="SEA"/>
    <s v="Seattle, WA: Seattle/Tacoma International"/>
    <n v="29"/>
    <n v="11"/>
    <n v="3.1"/>
    <n v="0"/>
    <n v="3.06"/>
    <n v="0"/>
    <n v="4.8499999999999996"/>
    <n v="1"/>
    <n v="0"/>
    <n v="642"/>
    <n v="69"/>
    <n v="0"/>
    <n v="96"/>
    <n v="0"/>
    <n v="477"/>
    <n v="0.37930000000000003"/>
    <n v="3.4500000000000003E-2"/>
    <n v="0"/>
  </r>
  <r>
    <n v="2022"/>
    <n v="4"/>
    <x v="0"/>
    <x v="0"/>
    <s v="SEA"/>
    <s v="Seattle, WA: Seattle/Tacoma International"/>
    <n v="60"/>
    <n v="24"/>
    <n v="17.96"/>
    <n v="0"/>
    <n v="0"/>
    <n v="0.98"/>
    <n v="5.05"/>
    <n v="0"/>
    <n v="0"/>
    <n v="729"/>
    <n v="586"/>
    <n v="0"/>
    <n v="0"/>
    <n v="23"/>
    <n v="120"/>
    <n v="0.4"/>
    <n v="0"/>
    <n v="0"/>
  </r>
  <r>
    <n v="2022"/>
    <n v="4"/>
    <x v="1"/>
    <x v="1"/>
    <s v="SEA"/>
    <s v="Seattle, WA: Seattle/Tacoma International"/>
    <n v="79"/>
    <n v="18"/>
    <n v="8.4499999999999993"/>
    <n v="0"/>
    <n v="4.1500000000000004"/>
    <n v="0"/>
    <n v="5.41"/>
    <n v="14"/>
    <n v="0"/>
    <n v="1103"/>
    <n v="674"/>
    <n v="0"/>
    <n v="283"/>
    <n v="0"/>
    <n v="146"/>
    <n v="0.2278"/>
    <n v="0.1772"/>
    <n v="0"/>
  </r>
  <r>
    <n v="2022"/>
    <n v="4"/>
    <x v="2"/>
    <x v="2"/>
    <s v="SEA"/>
    <s v="Seattle, WA: Seattle/Tacoma International"/>
    <n v="1620"/>
    <n v="179"/>
    <n v="121"/>
    <n v="27"/>
    <n v="6"/>
    <n v="4"/>
    <n v="21"/>
    <n v="1"/>
    <n v="5"/>
    <n v="16063"/>
    <n v="11252"/>
    <n v="2149"/>
    <n v="560"/>
    <n v="430"/>
    <n v="1672"/>
    <n v="0.1105"/>
    <n v="5.9999999999999995E-4"/>
    <n v="3.0999999999999999E-3"/>
  </r>
  <r>
    <n v="2022"/>
    <n v="4"/>
    <x v="3"/>
    <x v="3"/>
    <s v="SEA"/>
    <s v="Seattle, WA: Seattle/Tacoma International"/>
    <n v="2252"/>
    <n v="401"/>
    <n v="104.99"/>
    <n v="12.39"/>
    <n v="125.39"/>
    <n v="2"/>
    <n v="156.22999999999999"/>
    <n v="41"/>
    <n v="4"/>
    <n v="22947"/>
    <n v="7580"/>
    <n v="1085"/>
    <n v="6020"/>
    <n v="46"/>
    <n v="8216"/>
    <n v="0.17810000000000001"/>
    <n v="1.8200000000000001E-2"/>
    <n v="1.8E-3"/>
  </r>
  <r>
    <n v="2022"/>
    <n v="4"/>
    <x v="9"/>
    <x v="9"/>
    <s v="SEA"/>
    <s v="Seattle, WA: Seattle/Tacoma International"/>
    <n v="593"/>
    <n v="97"/>
    <n v="35.49"/>
    <n v="2.04"/>
    <n v="23.86"/>
    <n v="0"/>
    <n v="35.61"/>
    <n v="3"/>
    <n v="4"/>
    <n v="5616"/>
    <n v="1736"/>
    <n v="208"/>
    <n v="734"/>
    <n v="0"/>
    <n v="2938"/>
    <n v="0.1636"/>
    <n v="5.1000000000000004E-3"/>
    <n v="6.7000000000000002E-3"/>
  </r>
  <r>
    <n v="2022"/>
    <n v="4"/>
    <x v="10"/>
    <x v="10"/>
    <s v="SEA"/>
    <s v="Seattle, WA: Seattle/Tacoma International"/>
    <n v="740"/>
    <n v="237"/>
    <n v="104.75"/>
    <n v="0"/>
    <n v="27.52"/>
    <n v="0.7"/>
    <n v="104.03"/>
    <n v="3"/>
    <n v="2"/>
    <n v="11926"/>
    <n v="4415"/>
    <n v="0"/>
    <n v="1229"/>
    <n v="23"/>
    <n v="6259"/>
    <n v="0.32029999999999997"/>
    <n v="4.1000000000000003E-3"/>
    <n v="2.7000000000000001E-3"/>
  </r>
  <r>
    <n v="2022"/>
    <n v="3"/>
    <x v="4"/>
    <x v="4"/>
    <s v="SEA"/>
    <s v="Seattle, WA: Seattle/Tacoma International"/>
    <n v="380"/>
    <n v="79"/>
    <n v="32.340000000000003"/>
    <n v="0.52"/>
    <n v="22.3"/>
    <n v="0.57999999999999996"/>
    <n v="23.27"/>
    <n v="2"/>
    <n v="0"/>
    <n v="4419"/>
    <n v="2147"/>
    <n v="34"/>
    <n v="629"/>
    <n v="15"/>
    <n v="1594"/>
    <n v="0.2079"/>
    <n v="5.3E-3"/>
    <n v="0"/>
  </r>
  <r>
    <n v="2022"/>
    <n v="3"/>
    <x v="5"/>
    <x v="5"/>
    <s v="SEA"/>
    <s v="Seattle, WA: Seattle/Tacoma International"/>
    <n v="5777"/>
    <n v="965"/>
    <n v="254.2"/>
    <n v="22.81"/>
    <n v="402.09"/>
    <n v="4.53"/>
    <n v="281.37"/>
    <n v="87"/>
    <n v="9"/>
    <n v="43951"/>
    <n v="13801"/>
    <n v="1698"/>
    <n v="11289"/>
    <n v="394"/>
    <n v="16769"/>
    <n v="0.16700000000000001"/>
    <n v="1.5100000000000001E-2"/>
    <n v="1.6000000000000001E-3"/>
  </r>
  <r>
    <n v="2022"/>
    <n v="3"/>
    <x v="6"/>
    <x v="6"/>
    <s v="SEA"/>
    <s v="Seattle, WA: Seattle/Tacoma International"/>
    <n v="75"/>
    <n v="11"/>
    <n v="6.29"/>
    <n v="1"/>
    <n v="3.64"/>
    <n v="0"/>
    <n v="7.0000000000000007E-2"/>
    <n v="2"/>
    <n v="2"/>
    <n v="510"/>
    <n v="316"/>
    <n v="32"/>
    <n v="153"/>
    <n v="0"/>
    <n v="9"/>
    <n v="0.1467"/>
    <n v="2.6700000000000002E-2"/>
    <n v="2.6700000000000002E-2"/>
  </r>
  <r>
    <n v="2022"/>
    <n v="3"/>
    <x v="7"/>
    <x v="7"/>
    <s v="SEA"/>
    <s v="Seattle, WA: Seattle/Tacoma International"/>
    <n v="2295"/>
    <n v="332"/>
    <n v="140.44"/>
    <n v="11.18"/>
    <n v="91.29"/>
    <n v="0"/>
    <n v="89.09"/>
    <n v="6"/>
    <n v="3"/>
    <n v="23749"/>
    <n v="11999"/>
    <n v="2257"/>
    <n v="2889"/>
    <n v="0"/>
    <n v="6604"/>
    <n v="0.1447"/>
    <n v="2.5999999999999999E-3"/>
    <n v="1.2999999999999999E-3"/>
  </r>
  <r>
    <n v="2022"/>
    <n v="3"/>
    <x v="8"/>
    <x v="8"/>
    <s v="SEA"/>
    <s v="Seattle, WA: Seattle/Tacoma International"/>
    <n v="24"/>
    <n v="7"/>
    <n v="3.11"/>
    <n v="0"/>
    <n v="1.3"/>
    <n v="0"/>
    <n v="2.59"/>
    <n v="0"/>
    <n v="0"/>
    <n v="329"/>
    <n v="137"/>
    <n v="0"/>
    <n v="42"/>
    <n v="0"/>
    <n v="150"/>
    <n v="0.29170000000000001"/>
    <n v="0"/>
    <n v="0"/>
  </r>
  <r>
    <n v="2022"/>
    <n v="3"/>
    <x v="0"/>
    <x v="0"/>
    <s v="SEA"/>
    <s v="Seattle, WA: Seattle/Tacoma International"/>
    <n v="62"/>
    <n v="23"/>
    <n v="20.77"/>
    <n v="0"/>
    <n v="0.06"/>
    <n v="0"/>
    <n v="2.17"/>
    <n v="0"/>
    <n v="1"/>
    <n v="909"/>
    <n v="821"/>
    <n v="0"/>
    <n v="1"/>
    <n v="0"/>
    <n v="87"/>
    <n v="0.371"/>
    <n v="0"/>
    <n v="1.61E-2"/>
  </r>
  <r>
    <n v="2022"/>
    <n v="3"/>
    <x v="1"/>
    <x v="1"/>
    <s v="SEA"/>
    <s v="Seattle, WA: Seattle/Tacoma International"/>
    <n v="85"/>
    <n v="11"/>
    <n v="0.37"/>
    <n v="0.16"/>
    <n v="6.36"/>
    <n v="0"/>
    <n v="4.12"/>
    <n v="3"/>
    <n v="0"/>
    <n v="454"/>
    <n v="32"/>
    <n v="7"/>
    <n v="211"/>
    <n v="0"/>
    <n v="204"/>
    <n v="0.12939999999999999"/>
    <n v="3.5299999999999998E-2"/>
    <n v="0"/>
  </r>
  <r>
    <n v="2022"/>
    <n v="3"/>
    <x v="2"/>
    <x v="2"/>
    <s v="SEA"/>
    <s v="Seattle, WA: Seattle/Tacoma International"/>
    <n v="1605"/>
    <n v="133"/>
    <n v="87"/>
    <n v="22"/>
    <n v="1"/>
    <n v="0"/>
    <n v="23"/>
    <n v="0"/>
    <n v="5"/>
    <n v="7336"/>
    <n v="4708"/>
    <n v="928"/>
    <n v="32"/>
    <n v="0"/>
    <n v="1668"/>
    <n v="8.2900000000000001E-2"/>
    <n v="0"/>
    <n v="3.0999999999999999E-3"/>
  </r>
  <r>
    <n v="2022"/>
    <n v="3"/>
    <x v="3"/>
    <x v="3"/>
    <s v="SEA"/>
    <s v="Seattle, WA: Seattle/Tacoma International"/>
    <n v="2338"/>
    <n v="263"/>
    <n v="81.12"/>
    <n v="8.42"/>
    <n v="74.64"/>
    <n v="3.5"/>
    <n v="95.32"/>
    <n v="20"/>
    <n v="4"/>
    <n v="13725"/>
    <n v="5734"/>
    <n v="655"/>
    <n v="2085"/>
    <n v="166"/>
    <n v="5085"/>
    <n v="0.1125"/>
    <n v="8.6E-3"/>
    <n v="1.6999999999999999E-3"/>
  </r>
  <r>
    <n v="2022"/>
    <n v="3"/>
    <x v="9"/>
    <x v="9"/>
    <s v="SEA"/>
    <s v="Seattle, WA: Seattle/Tacoma International"/>
    <n v="566"/>
    <n v="100"/>
    <n v="41.67"/>
    <n v="1"/>
    <n v="21.63"/>
    <n v="0"/>
    <n v="35.700000000000003"/>
    <n v="0"/>
    <n v="0"/>
    <n v="4910"/>
    <n v="1803"/>
    <n v="197"/>
    <n v="763"/>
    <n v="0"/>
    <n v="2147"/>
    <n v="0.1767"/>
    <n v="0"/>
    <n v="0"/>
  </r>
  <r>
    <n v="2022"/>
    <n v="3"/>
    <x v="10"/>
    <x v="10"/>
    <s v="SEA"/>
    <s v="Seattle, WA: Seattle/Tacoma International"/>
    <n v="561"/>
    <n v="158"/>
    <n v="63.29"/>
    <n v="0"/>
    <n v="15.02"/>
    <n v="0"/>
    <n v="79.69"/>
    <n v="5"/>
    <n v="0"/>
    <n v="6833"/>
    <n v="2814"/>
    <n v="0"/>
    <n v="521"/>
    <n v="0"/>
    <n v="3498"/>
    <n v="0.28160000000000002"/>
    <n v="8.8999999999999999E-3"/>
    <n v="0"/>
  </r>
  <r>
    <n v="2022"/>
    <n v="2"/>
    <x v="4"/>
    <x v="4"/>
    <s v="SEA"/>
    <s v="Seattle, WA: Seattle/Tacoma International"/>
    <n v="349"/>
    <n v="66"/>
    <n v="38.4"/>
    <n v="4.66"/>
    <n v="14.24"/>
    <n v="0"/>
    <n v="8.7100000000000009"/>
    <n v="24"/>
    <n v="0"/>
    <n v="3256"/>
    <n v="2055"/>
    <n v="244"/>
    <n v="446"/>
    <n v="0"/>
    <n v="511"/>
    <n v="0.18909999999999999"/>
    <n v="6.88E-2"/>
    <n v="0"/>
  </r>
  <r>
    <n v="2022"/>
    <n v="2"/>
    <x v="5"/>
    <x v="5"/>
    <s v="SEA"/>
    <s v="Seattle, WA: Seattle/Tacoma International"/>
    <n v="5012"/>
    <n v="901"/>
    <n v="208.44"/>
    <n v="25.39"/>
    <n v="402.09"/>
    <n v="3.37"/>
    <n v="261.70999999999998"/>
    <n v="74"/>
    <n v="10"/>
    <n v="39956"/>
    <n v="12332"/>
    <n v="2040"/>
    <n v="12018"/>
    <n v="166"/>
    <n v="13400"/>
    <n v="0.17979999999999999"/>
    <n v="1.4800000000000001E-2"/>
    <n v="2E-3"/>
  </r>
  <r>
    <n v="2022"/>
    <n v="2"/>
    <x v="6"/>
    <x v="6"/>
    <s v="SEA"/>
    <s v="Seattle, WA: Seattle/Tacoma International"/>
    <n v="68"/>
    <n v="17"/>
    <n v="10.43"/>
    <n v="0"/>
    <n v="2.66"/>
    <n v="0"/>
    <n v="3.91"/>
    <n v="5"/>
    <n v="1"/>
    <n v="1326"/>
    <n v="739"/>
    <n v="0"/>
    <n v="161"/>
    <n v="0"/>
    <n v="426"/>
    <n v="0.25"/>
    <n v="7.3499999999999996E-2"/>
    <n v="1.47E-2"/>
  </r>
  <r>
    <n v="2022"/>
    <n v="2"/>
    <x v="7"/>
    <x v="7"/>
    <s v="SEA"/>
    <s v="Seattle, WA: Seattle/Tacoma International"/>
    <n v="1942"/>
    <n v="216"/>
    <n v="91.97"/>
    <n v="13.58"/>
    <n v="67.81"/>
    <n v="0.91"/>
    <n v="41.73"/>
    <n v="10"/>
    <n v="3"/>
    <n v="16243"/>
    <n v="10499"/>
    <n v="858"/>
    <n v="2075"/>
    <n v="84"/>
    <n v="2727"/>
    <n v="0.11119999999999999"/>
    <n v="5.1000000000000004E-3"/>
    <n v="1.5E-3"/>
  </r>
  <r>
    <n v="2022"/>
    <n v="2"/>
    <x v="8"/>
    <x v="8"/>
    <s v="SEA"/>
    <s v="Seattle, WA: Seattle/Tacoma International"/>
    <n v="33"/>
    <n v="4"/>
    <n v="1.05"/>
    <n v="0"/>
    <n v="0"/>
    <n v="0"/>
    <n v="2.95"/>
    <n v="1"/>
    <n v="0"/>
    <n v="401"/>
    <n v="60"/>
    <n v="0"/>
    <n v="0"/>
    <n v="0"/>
    <n v="341"/>
    <n v="0.1212"/>
    <n v="3.0300000000000001E-2"/>
    <n v="0"/>
  </r>
  <r>
    <n v="2022"/>
    <n v="2"/>
    <x v="0"/>
    <x v="0"/>
    <s v="SEA"/>
    <s v="Seattle, WA: Seattle/Tacoma International"/>
    <n v="56"/>
    <n v="13"/>
    <n v="10.65"/>
    <n v="0"/>
    <n v="0"/>
    <n v="0"/>
    <n v="2.35"/>
    <n v="0"/>
    <n v="0"/>
    <n v="356"/>
    <n v="279"/>
    <n v="0"/>
    <n v="0"/>
    <n v="0"/>
    <n v="77"/>
    <n v="0.2321"/>
    <n v="0"/>
    <n v="0"/>
  </r>
  <r>
    <n v="2022"/>
    <n v="2"/>
    <x v="1"/>
    <x v="1"/>
    <s v="SEA"/>
    <s v="Seattle, WA: Seattle/Tacoma International"/>
    <n v="68"/>
    <n v="9"/>
    <n v="1.68"/>
    <n v="0"/>
    <n v="2.33"/>
    <n v="0"/>
    <n v="4.99"/>
    <n v="2"/>
    <n v="0"/>
    <n v="734"/>
    <n v="100"/>
    <n v="0"/>
    <n v="250"/>
    <n v="0"/>
    <n v="384"/>
    <n v="0.13239999999999999"/>
    <n v="2.9399999999999999E-2"/>
    <n v="0"/>
  </r>
  <r>
    <n v="2022"/>
    <n v="2"/>
    <x v="2"/>
    <x v="2"/>
    <s v="SEA"/>
    <s v="Seattle, WA: Seattle/Tacoma International"/>
    <n v="1492"/>
    <n v="162"/>
    <n v="91"/>
    <n v="31"/>
    <n v="4"/>
    <n v="2"/>
    <n v="34"/>
    <n v="4"/>
    <n v="4"/>
    <n v="9527"/>
    <n v="5160"/>
    <n v="1906"/>
    <n v="223"/>
    <n v="94"/>
    <n v="2144"/>
    <n v="0.1086"/>
    <n v="2.7000000000000001E-3"/>
    <n v="2.7000000000000001E-3"/>
  </r>
  <r>
    <n v="2022"/>
    <n v="2"/>
    <x v="3"/>
    <x v="3"/>
    <s v="SEA"/>
    <s v="Seattle, WA: Seattle/Tacoma International"/>
    <n v="2062"/>
    <n v="304"/>
    <n v="72.31"/>
    <n v="29.21"/>
    <n v="97.18"/>
    <n v="0"/>
    <n v="105.3"/>
    <n v="21"/>
    <n v="6"/>
    <n v="15171"/>
    <n v="5199"/>
    <n v="1183"/>
    <n v="2651"/>
    <n v="0"/>
    <n v="6138"/>
    <n v="0.1474"/>
    <n v="1.0200000000000001E-2"/>
    <n v="2.8999999999999998E-3"/>
  </r>
  <r>
    <n v="2022"/>
    <n v="2"/>
    <x v="9"/>
    <x v="9"/>
    <s v="SEA"/>
    <s v="Seattle, WA: Seattle/Tacoma International"/>
    <n v="481"/>
    <n v="77"/>
    <n v="35.51"/>
    <n v="0.13"/>
    <n v="16.25"/>
    <n v="0"/>
    <n v="25.11"/>
    <n v="5"/>
    <n v="0"/>
    <n v="3461"/>
    <n v="1229"/>
    <n v="39"/>
    <n v="595"/>
    <n v="0"/>
    <n v="1598"/>
    <n v="0.16009999999999999"/>
    <n v="1.04E-2"/>
    <n v="0"/>
  </r>
  <r>
    <n v="2022"/>
    <n v="2"/>
    <x v="10"/>
    <x v="10"/>
    <s v="SEA"/>
    <s v="Seattle, WA: Seattle/Tacoma International"/>
    <n v="420"/>
    <n v="79"/>
    <n v="41.24"/>
    <n v="0"/>
    <n v="3.81"/>
    <n v="0"/>
    <n v="33.96"/>
    <n v="9"/>
    <n v="0"/>
    <n v="3009"/>
    <n v="1408"/>
    <n v="0"/>
    <n v="175"/>
    <n v="0"/>
    <n v="1426"/>
    <n v="0.18809999999999999"/>
    <n v="2.1399999999999999E-2"/>
    <n v="0"/>
  </r>
  <r>
    <n v="2022"/>
    <n v="1"/>
    <x v="4"/>
    <x v="4"/>
    <s v="SEA"/>
    <s v="Seattle, WA: Seattle/Tacoma International"/>
    <n v="408"/>
    <n v="60"/>
    <n v="32.799999999999997"/>
    <n v="1.74"/>
    <n v="9.98"/>
    <n v="0.64"/>
    <n v="14.84"/>
    <n v="5"/>
    <n v="4"/>
    <n v="4152"/>
    <n v="2534"/>
    <n v="119"/>
    <n v="490"/>
    <n v="16"/>
    <n v="993"/>
    <n v="0.14710000000000001"/>
    <n v="1.23E-2"/>
    <n v="9.7999999999999997E-3"/>
  </r>
  <r>
    <n v="2022"/>
    <n v="1"/>
    <x v="5"/>
    <x v="5"/>
    <s v="SEA"/>
    <s v="Seattle, WA: Seattle/Tacoma International"/>
    <n v="5096"/>
    <n v="1136"/>
    <n v="311.29000000000002"/>
    <n v="27.1"/>
    <n v="462.11"/>
    <n v="4.05"/>
    <n v="331.45"/>
    <n v="367"/>
    <n v="23"/>
    <n v="63216"/>
    <n v="19814"/>
    <n v="2383"/>
    <n v="18515"/>
    <n v="107"/>
    <n v="22397"/>
    <n v="0.22289999999999999"/>
    <n v="7.1999999999999995E-2"/>
    <n v="4.4999999999999997E-3"/>
  </r>
  <r>
    <n v="2022"/>
    <n v="1"/>
    <x v="6"/>
    <x v="6"/>
    <s v="SEA"/>
    <s v="Seattle, WA: Seattle/Tacoma International"/>
    <n v="74"/>
    <n v="18"/>
    <n v="8.3000000000000007"/>
    <n v="1.86"/>
    <n v="6.17"/>
    <n v="0"/>
    <n v="1.66"/>
    <n v="9"/>
    <n v="0"/>
    <n v="1130"/>
    <n v="762"/>
    <n v="58"/>
    <n v="175"/>
    <n v="0"/>
    <n v="135"/>
    <n v="0.2432"/>
    <n v="0.1216"/>
    <n v="0"/>
  </r>
  <r>
    <n v="2022"/>
    <n v="1"/>
    <x v="7"/>
    <x v="7"/>
    <s v="SEA"/>
    <s v="Seattle, WA: Seattle/Tacoma International"/>
    <n v="2171"/>
    <n v="326"/>
    <n v="150.07"/>
    <n v="10.25"/>
    <n v="89.55"/>
    <n v="0"/>
    <n v="76.13"/>
    <n v="84"/>
    <n v="15"/>
    <n v="23872"/>
    <n v="12535"/>
    <n v="844"/>
    <n v="3491"/>
    <n v="0"/>
    <n v="7002"/>
    <n v="0.1502"/>
    <n v="3.8699999999999998E-2"/>
    <n v="6.8999999999999999E-3"/>
  </r>
  <r>
    <n v="2022"/>
    <n v="1"/>
    <x v="8"/>
    <x v="8"/>
    <s v="SEA"/>
    <s v="Seattle, WA: Seattle/Tacoma International"/>
    <n v="36"/>
    <n v="5"/>
    <n v="2.59"/>
    <n v="0"/>
    <n v="1.42"/>
    <n v="0"/>
    <n v="0.99"/>
    <n v="3"/>
    <n v="0"/>
    <n v="785"/>
    <n v="604"/>
    <n v="0"/>
    <n v="95"/>
    <n v="0"/>
    <n v="86"/>
    <n v="0.1389"/>
    <n v="8.3299999999999999E-2"/>
    <n v="0"/>
  </r>
  <r>
    <n v="2022"/>
    <n v="1"/>
    <x v="0"/>
    <x v="0"/>
    <s v="SEA"/>
    <s v="Seattle, WA: Seattle/Tacoma International"/>
    <n v="66"/>
    <n v="23"/>
    <n v="19.440000000000001"/>
    <n v="0.96"/>
    <n v="0"/>
    <n v="0.82"/>
    <n v="1.78"/>
    <n v="0"/>
    <n v="0"/>
    <n v="1153"/>
    <n v="901"/>
    <n v="103"/>
    <n v="0"/>
    <n v="37"/>
    <n v="112"/>
    <n v="0.34849999999999998"/>
    <n v="0"/>
    <n v="0"/>
  </r>
  <r>
    <n v="2022"/>
    <n v="1"/>
    <x v="1"/>
    <x v="1"/>
    <s v="SEA"/>
    <s v="Seattle, WA: Seattle/Tacoma International"/>
    <n v="53"/>
    <n v="6"/>
    <n v="1.65"/>
    <n v="0"/>
    <n v="2.35"/>
    <n v="0"/>
    <n v="2"/>
    <n v="0"/>
    <n v="0"/>
    <n v="201"/>
    <n v="40"/>
    <n v="0"/>
    <n v="45"/>
    <n v="0"/>
    <n v="116"/>
    <n v="0.1132"/>
    <n v="0"/>
    <n v="0"/>
  </r>
  <r>
    <n v="2022"/>
    <n v="1"/>
    <x v="2"/>
    <x v="2"/>
    <s v="SEA"/>
    <s v="Seattle, WA: Seattle/Tacoma International"/>
    <n v="1676"/>
    <n v="237"/>
    <n v="143"/>
    <n v="56"/>
    <n v="8"/>
    <n v="0"/>
    <n v="30"/>
    <n v="129"/>
    <n v="35"/>
    <n v="18807"/>
    <n v="9140"/>
    <n v="6998"/>
    <n v="551"/>
    <n v="0"/>
    <n v="2118"/>
    <n v="0.1414"/>
    <n v="7.6999999999999999E-2"/>
    <n v="2.0899999999999998E-2"/>
  </r>
  <r>
    <n v="2022"/>
    <n v="1"/>
    <x v="3"/>
    <x v="3"/>
    <s v="SEA"/>
    <s v="Seattle, WA: Seattle/Tacoma International"/>
    <n v="2437"/>
    <n v="662"/>
    <n v="150.86000000000001"/>
    <n v="50.28"/>
    <n v="203.15"/>
    <n v="0.4"/>
    <n v="257.31"/>
    <n v="132"/>
    <n v="9"/>
    <n v="40184"/>
    <n v="10218"/>
    <n v="4561"/>
    <n v="7995"/>
    <n v="6"/>
    <n v="17404"/>
    <n v="0.27160000000000001"/>
    <n v="5.4199999999999998E-2"/>
    <n v="3.7000000000000002E-3"/>
  </r>
  <r>
    <n v="2022"/>
    <n v="1"/>
    <x v="9"/>
    <x v="9"/>
    <s v="SEA"/>
    <s v="Seattle, WA: Seattle/Tacoma International"/>
    <n v="455"/>
    <n v="112"/>
    <n v="63.33"/>
    <n v="1.06"/>
    <n v="15.71"/>
    <n v="0"/>
    <n v="31.9"/>
    <n v="12"/>
    <n v="1"/>
    <n v="7118"/>
    <n v="3330"/>
    <n v="89"/>
    <n v="766"/>
    <n v="0"/>
    <n v="2933"/>
    <n v="0.2462"/>
    <n v="2.64E-2"/>
    <n v="2.2000000000000001E-3"/>
  </r>
  <r>
    <n v="2022"/>
    <n v="1"/>
    <x v="10"/>
    <x v="10"/>
    <s v="SEA"/>
    <s v="Seattle, WA: Seattle/Tacoma International"/>
    <n v="478"/>
    <n v="90"/>
    <n v="51.44"/>
    <n v="0.28000000000000003"/>
    <n v="7.01"/>
    <n v="0"/>
    <n v="31.27"/>
    <n v="25"/>
    <n v="2"/>
    <n v="5414"/>
    <n v="2684"/>
    <n v="11"/>
    <n v="387"/>
    <n v="0"/>
    <n v="2332"/>
    <n v="0.1883"/>
    <n v="5.2299999999999999E-2"/>
    <n v="4.1999999999999997E-3"/>
  </r>
  <r>
    <n v="2021"/>
    <n v="12"/>
    <x v="4"/>
    <x v="4"/>
    <s v="SEA"/>
    <s v="Seattle, WA: Seattle/Tacoma International"/>
    <n v="492"/>
    <n v="104"/>
    <n v="43.31"/>
    <n v="0.87"/>
    <n v="32.47"/>
    <n v="0.71"/>
    <n v="26.64"/>
    <n v="0"/>
    <n v="4"/>
    <n v="5733"/>
    <n v="2234"/>
    <n v="38"/>
    <n v="1656"/>
    <n v="20"/>
    <n v="1785"/>
    <n v="0.2114"/>
    <n v="0"/>
    <n v="8.0999999999999996E-3"/>
  </r>
  <r>
    <n v="2021"/>
    <n v="12"/>
    <x v="5"/>
    <x v="5"/>
    <s v="SEA"/>
    <s v="Seattle, WA: Seattle/Tacoma International"/>
    <n v="5098"/>
    <n v="1425"/>
    <n v="341.2"/>
    <n v="32.409999999999997"/>
    <n v="599.39"/>
    <n v="8.3800000000000008"/>
    <n v="443.62"/>
    <n v="383"/>
    <n v="26"/>
    <n v="83952"/>
    <n v="22840"/>
    <n v="4135"/>
    <n v="26829"/>
    <n v="262"/>
    <n v="29886"/>
    <n v="0.27950000000000003"/>
    <n v="7.51E-2"/>
    <n v="5.1000000000000004E-3"/>
  </r>
  <r>
    <n v="2021"/>
    <n v="12"/>
    <x v="6"/>
    <x v="6"/>
    <s v="SEA"/>
    <s v="Seattle, WA: Seattle/Tacoma International"/>
    <n v="75"/>
    <n v="36"/>
    <n v="9.02"/>
    <n v="0.39"/>
    <n v="23.36"/>
    <n v="0.04"/>
    <n v="3.2"/>
    <n v="4"/>
    <n v="0"/>
    <n v="1976"/>
    <n v="588"/>
    <n v="69"/>
    <n v="959"/>
    <n v="3"/>
    <n v="357"/>
    <n v="0.48"/>
    <n v="5.33E-2"/>
    <n v="0"/>
  </r>
  <r>
    <n v="2021"/>
    <n v="12"/>
    <x v="7"/>
    <x v="7"/>
    <s v="SEA"/>
    <s v="Seattle, WA: Seattle/Tacoma International"/>
    <n v="2389"/>
    <n v="503"/>
    <n v="194.09"/>
    <n v="10.33"/>
    <n v="172.91"/>
    <n v="0"/>
    <n v="125.66"/>
    <n v="188"/>
    <n v="8"/>
    <n v="46947"/>
    <n v="21017"/>
    <n v="1502"/>
    <n v="9240"/>
    <n v="0"/>
    <n v="15188"/>
    <n v="0.21049999999999999"/>
    <n v="7.8700000000000006E-2"/>
    <n v="3.3E-3"/>
  </r>
  <r>
    <n v="2021"/>
    <n v="12"/>
    <x v="8"/>
    <x v="8"/>
    <s v="SEA"/>
    <s v="Seattle, WA: Seattle/Tacoma International"/>
    <n v="40"/>
    <n v="9"/>
    <n v="3.33"/>
    <n v="0"/>
    <n v="4.67"/>
    <n v="0"/>
    <n v="1"/>
    <n v="0"/>
    <n v="0"/>
    <n v="805"/>
    <n v="150"/>
    <n v="0"/>
    <n v="617"/>
    <n v="0"/>
    <n v="38"/>
    <n v="0.22500000000000001"/>
    <n v="0"/>
    <n v="0"/>
  </r>
  <r>
    <n v="2021"/>
    <n v="12"/>
    <x v="0"/>
    <x v="0"/>
    <s v="SEA"/>
    <s v="Seattle, WA: Seattle/Tacoma International"/>
    <n v="78"/>
    <n v="35"/>
    <n v="30.3"/>
    <n v="0.85"/>
    <n v="0"/>
    <n v="0"/>
    <n v="3.85"/>
    <n v="0"/>
    <n v="0"/>
    <n v="2052"/>
    <n v="1451"/>
    <n v="28"/>
    <n v="0"/>
    <n v="0"/>
    <n v="573"/>
    <n v="0.44869999999999999"/>
    <n v="0"/>
    <n v="0"/>
  </r>
  <r>
    <n v="2021"/>
    <n v="12"/>
    <x v="1"/>
    <x v="1"/>
    <s v="SEA"/>
    <s v="Seattle, WA: Seattle/Tacoma International"/>
    <n v="54"/>
    <n v="13"/>
    <n v="2.59"/>
    <n v="0"/>
    <n v="4.8"/>
    <n v="0"/>
    <n v="5.61"/>
    <n v="1"/>
    <n v="0"/>
    <n v="901"/>
    <n v="241"/>
    <n v="0"/>
    <n v="363"/>
    <n v="0"/>
    <n v="297"/>
    <n v="0.2407"/>
    <n v="1.8499999999999999E-2"/>
    <n v="0"/>
  </r>
  <r>
    <n v="2021"/>
    <n v="12"/>
    <x v="2"/>
    <x v="2"/>
    <s v="SEA"/>
    <s v="Seattle, WA: Seattle/Tacoma International"/>
    <n v="1532"/>
    <n v="283"/>
    <n v="169"/>
    <n v="71"/>
    <n v="7"/>
    <n v="0"/>
    <n v="36"/>
    <n v="168"/>
    <n v="4"/>
    <n v="26576"/>
    <n v="13677"/>
    <n v="9551"/>
    <n v="384"/>
    <n v="0"/>
    <n v="2964"/>
    <n v="0.1847"/>
    <n v="0.10970000000000001"/>
    <n v="2.5999999999999999E-3"/>
  </r>
  <r>
    <n v="2021"/>
    <n v="12"/>
    <x v="3"/>
    <x v="3"/>
    <s v="SEA"/>
    <s v="Seattle, WA: Seattle/Tacoma International"/>
    <n v="2283"/>
    <n v="576"/>
    <n v="127.49"/>
    <n v="58.31"/>
    <n v="216.62"/>
    <n v="0.16"/>
    <n v="173.41"/>
    <n v="157"/>
    <n v="3"/>
    <n v="41762"/>
    <n v="11053"/>
    <n v="5448"/>
    <n v="10437"/>
    <n v="4"/>
    <n v="14820"/>
    <n v="0.25230000000000002"/>
    <n v="6.88E-2"/>
    <n v="1.2999999999999999E-3"/>
  </r>
  <r>
    <n v="2021"/>
    <n v="12"/>
    <x v="9"/>
    <x v="9"/>
    <s v="SEA"/>
    <s v="Seattle, WA: Seattle/Tacoma International"/>
    <n v="624"/>
    <n v="165"/>
    <n v="77.040000000000006"/>
    <n v="0"/>
    <n v="47.5"/>
    <n v="0"/>
    <n v="40.46"/>
    <n v="24"/>
    <n v="2"/>
    <n v="8433"/>
    <n v="3764"/>
    <n v="0"/>
    <n v="1813"/>
    <n v="0"/>
    <n v="2856"/>
    <n v="0.26440000000000002"/>
    <n v="3.85E-2"/>
    <n v="3.2000000000000002E-3"/>
  </r>
  <r>
    <n v="2021"/>
    <n v="12"/>
    <x v="10"/>
    <x v="10"/>
    <s v="SEA"/>
    <s v="Seattle, WA: Seattle/Tacoma International"/>
    <n v="501"/>
    <n v="193"/>
    <n v="96.46"/>
    <n v="1"/>
    <n v="20.6"/>
    <n v="1.37"/>
    <n v="73.569999999999993"/>
    <n v="6"/>
    <n v="2"/>
    <n v="9623"/>
    <n v="4341"/>
    <n v="24"/>
    <n v="912"/>
    <n v="26"/>
    <n v="4320"/>
    <n v="0.38519999999999999"/>
    <n v="1.2E-2"/>
    <n v="4.0000000000000001E-3"/>
  </r>
  <r>
    <n v="2021"/>
    <n v="11"/>
    <x v="4"/>
    <x v="4"/>
    <s v="SEA"/>
    <s v="Seattle, WA: Seattle/Tacoma International"/>
    <n v="501"/>
    <n v="92"/>
    <n v="44.01"/>
    <n v="0.57999999999999996"/>
    <n v="25.73"/>
    <n v="0.21"/>
    <n v="21.48"/>
    <n v="7"/>
    <n v="2"/>
    <n v="4658"/>
    <n v="2059"/>
    <n v="15"/>
    <n v="738"/>
    <n v="19"/>
    <n v="1827"/>
    <n v="0.18360000000000001"/>
    <n v="1.4E-2"/>
    <n v="4.0000000000000001E-3"/>
  </r>
  <r>
    <n v="2021"/>
    <n v="11"/>
    <x v="5"/>
    <x v="5"/>
    <s v="SEA"/>
    <s v="Seattle, WA: Seattle/Tacoma International"/>
    <n v="5317"/>
    <n v="1019"/>
    <n v="270.77"/>
    <n v="17.03"/>
    <n v="475.82"/>
    <n v="5.63"/>
    <n v="249.76"/>
    <n v="72"/>
    <n v="14"/>
    <n v="44662"/>
    <n v="14457"/>
    <n v="851"/>
    <n v="14315"/>
    <n v="185"/>
    <n v="14854"/>
    <n v="0.19159999999999999"/>
    <n v="1.35E-2"/>
    <n v="2.5999999999999999E-3"/>
  </r>
  <r>
    <n v="2021"/>
    <n v="11"/>
    <x v="6"/>
    <x v="6"/>
    <s v="SEA"/>
    <s v="Seattle, WA: Seattle/Tacoma International"/>
    <n v="73"/>
    <n v="15"/>
    <n v="8.32"/>
    <n v="0"/>
    <n v="6.68"/>
    <n v="0"/>
    <n v="0"/>
    <n v="0"/>
    <n v="0"/>
    <n v="677"/>
    <n v="516"/>
    <n v="0"/>
    <n v="161"/>
    <n v="0"/>
    <n v="0"/>
    <n v="0.20549999999999999"/>
    <n v="0"/>
    <n v="0"/>
  </r>
  <r>
    <n v="2021"/>
    <n v="11"/>
    <x v="7"/>
    <x v="7"/>
    <s v="SEA"/>
    <s v="Seattle, WA: Seattle/Tacoma International"/>
    <n v="2323"/>
    <n v="272"/>
    <n v="126.04"/>
    <n v="3.7"/>
    <n v="85.76"/>
    <n v="3"/>
    <n v="53.5"/>
    <n v="0"/>
    <n v="3"/>
    <n v="18725"/>
    <n v="12763"/>
    <n v="346"/>
    <n v="2174"/>
    <n v="127"/>
    <n v="3315"/>
    <n v="0.1171"/>
    <n v="0"/>
    <n v="1.2999999999999999E-3"/>
  </r>
  <r>
    <n v="2021"/>
    <n v="11"/>
    <x v="8"/>
    <x v="8"/>
    <s v="SEA"/>
    <s v="Seattle, WA: Seattle/Tacoma International"/>
    <n v="39"/>
    <n v="4"/>
    <n v="0.96"/>
    <n v="0"/>
    <n v="2.2000000000000002"/>
    <n v="0"/>
    <n v="0.84"/>
    <n v="0"/>
    <n v="0"/>
    <n v="227"/>
    <n v="21"/>
    <n v="0"/>
    <n v="78"/>
    <n v="0"/>
    <n v="128"/>
    <n v="0.1026"/>
    <n v="0"/>
    <n v="0"/>
  </r>
  <r>
    <n v="2021"/>
    <n v="11"/>
    <x v="0"/>
    <x v="0"/>
    <s v="SEA"/>
    <s v="Seattle, WA: Seattle/Tacoma International"/>
    <n v="66"/>
    <n v="3"/>
    <n v="2.91"/>
    <n v="0"/>
    <n v="0"/>
    <n v="0"/>
    <n v="0.09"/>
    <n v="0"/>
    <n v="1"/>
    <n v="94"/>
    <n v="89"/>
    <n v="0"/>
    <n v="0"/>
    <n v="0"/>
    <n v="5"/>
    <n v="4.5499999999999999E-2"/>
    <n v="0"/>
    <n v="1.52E-2"/>
  </r>
  <r>
    <n v="2021"/>
    <n v="11"/>
    <x v="1"/>
    <x v="1"/>
    <s v="SEA"/>
    <s v="Seattle, WA: Seattle/Tacoma International"/>
    <n v="60"/>
    <n v="10"/>
    <n v="5.26"/>
    <n v="0"/>
    <n v="2.73"/>
    <n v="0.06"/>
    <n v="1.95"/>
    <n v="0"/>
    <n v="0"/>
    <n v="721"/>
    <n v="309"/>
    <n v="0"/>
    <n v="103"/>
    <n v="7"/>
    <n v="302"/>
    <n v="0.16669999999999999"/>
    <n v="0"/>
    <n v="0"/>
  </r>
  <r>
    <n v="2021"/>
    <n v="11"/>
    <x v="2"/>
    <x v="2"/>
    <s v="SEA"/>
    <s v="Seattle, WA: Seattle/Tacoma International"/>
    <n v="1565"/>
    <n v="146"/>
    <n v="106"/>
    <n v="24"/>
    <n v="3"/>
    <n v="0"/>
    <n v="13"/>
    <n v="3"/>
    <n v="3"/>
    <n v="8021"/>
    <n v="5808"/>
    <n v="1265"/>
    <n v="87"/>
    <n v="0"/>
    <n v="861"/>
    <n v="9.3299999999999994E-2"/>
    <n v="1.9E-3"/>
    <n v="1.9E-3"/>
  </r>
  <r>
    <n v="2021"/>
    <n v="11"/>
    <x v="3"/>
    <x v="3"/>
    <s v="SEA"/>
    <s v="Seattle, WA: Seattle/Tacoma International"/>
    <n v="2304"/>
    <n v="244"/>
    <n v="60.47"/>
    <n v="9.98"/>
    <n v="89.68"/>
    <n v="0"/>
    <n v="83.87"/>
    <n v="10"/>
    <n v="6"/>
    <n v="12812"/>
    <n v="3942"/>
    <n v="498"/>
    <n v="2703"/>
    <n v="0"/>
    <n v="5669"/>
    <n v="0.10589999999999999"/>
    <n v="4.3E-3"/>
    <n v="2.5999999999999999E-3"/>
  </r>
  <r>
    <n v="2021"/>
    <n v="11"/>
    <x v="9"/>
    <x v="9"/>
    <s v="SEA"/>
    <s v="Seattle, WA: Seattle/Tacoma International"/>
    <n v="674"/>
    <n v="87"/>
    <n v="40.65"/>
    <n v="0"/>
    <n v="24.41"/>
    <n v="0"/>
    <n v="21.95"/>
    <n v="1"/>
    <n v="4"/>
    <n v="4059"/>
    <n v="1675"/>
    <n v="0"/>
    <n v="741"/>
    <n v="0"/>
    <n v="1643"/>
    <n v="0.12909999999999999"/>
    <n v="1.5E-3"/>
    <n v="5.8999999999999999E-3"/>
  </r>
  <r>
    <n v="2021"/>
    <n v="11"/>
    <x v="10"/>
    <x v="10"/>
    <s v="SEA"/>
    <s v="Seattle, WA: Seattle/Tacoma International"/>
    <n v="559"/>
    <n v="126"/>
    <n v="60.11"/>
    <n v="0"/>
    <n v="16.86"/>
    <n v="0"/>
    <n v="49.03"/>
    <n v="3"/>
    <n v="1"/>
    <n v="5042"/>
    <n v="2304"/>
    <n v="0"/>
    <n v="481"/>
    <n v="0"/>
    <n v="2257"/>
    <n v="0.22539999999999999"/>
    <n v="5.4000000000000003E-3"/>
    <n v="1.8E-3"/>
  </r>
  <r>
    <n v="2021"/>
    <n v="10"/>
    <x v="3"/>
    <x v="3"/>
    <s v="SEA"/>
    <s v="Seattle, WA: Seattle/Tacoma International"/>
    <n v="2286"/>
    <n v="198"/>
    <n v="51.9"/>
    <n v="1.33"/>
    <n v="81.05"/>
    <n v="0"/>
    <n v="63.72"/>
    <n v="8"/>
    <n v="6"/>
    <n v="9676"/>
    <n v="3049"/>
    <n v="97"/>
    <n v="3076"/>
    <n v="0"/>
    <n v="3454"/>
    <n v="8.6599999999999996E-2"/>
    <n v="3.5000000000000001E-3"/>
    <n v="2.5999999999999999E-3"/>
  </r>
  <r>
    <n v="2021"/>
    <n v="10"/>
    <x v="9"/>
    <x v="9"/>
    <s v="SEA"/>
    <s v="Seattle, WA: Seattle/Tacoma International"/>
    <n v="731"/>
    <n v="88"/>
    <n v="29.57"/>
    <n v="3.01"/>
    <n v="17.45"/>
    <n v="0"/>
    <n v="37.96"/>
    <n v="2"/>
    <n v="1"/>
    <n v="4972"/>
    <n v="1213"/>
    <n v="242"/>
    <n v="896"/>
    <n v="0"/>
    <n v="2621"/>
    <n v="0.12039999999999999"/>
    <n v="2.7000000000000001E-3"/>
    <n v="1.4E-3"/>
  </r>
  <r>
    <n v="2021"/>
    <n v="10"/>
    <x v="10"/>
    <x v="10"/>
    <s v="SEA"/>
    <s v="Seattle, WA: Seattle/Tacoma International"/>
    <n v="887"/>
    <n v="228"/>
    <n v="101.48"/>
    <n v="0.28000000000000003"/>
    <n v="24.05"/>
    <n v="0"/>
    <n v="102.19"/>
    <n v="32"/>
    <n v="1"/>
    <n v="11361"/>
    <n v="4869"/>
    <n v="5"/>
    <n v="868"/>
    <n v="0"/>
    <n v="5619"/>
    <n v="0.25700000000000001"/>
    <n v="3.61E-2"/>
    <n v="1.1000000000000001E-3"/>
  </r>
  <r>
    <n v="2021"/>
    <n v="10"/>
    <x v="4"/>
    <x v="4"/>
    <s v="SEA"/>
    <s v="Seattle, WA: Seattle/Tacoma International"/>
    <n v="602"/>
    <n v="142"/>
    <n v="63.6"/>
    <n v="0.52"/>
    <n v="37.42"/>
    <n v="0.38"/>
    <n v="40.08"/>
    <n v="26"/>
    <n v="2"/>
    <n v="9268"/>
    <n v="4701"/>
    <n v="28"/>
    <n v="1422"/>
    <n v="6"/>
    <n v="3111"/>
    <n v="0.2359"/>
    <n v="4.3200000000000002E-2"/>
    <n v="3.3E-3"/>
  </r>
  <r>
    <n v="2021"/>
    <n v="10"/>
    <x v="5"/>
    <x v="5"/>
    <s v="SEA"/>
    <s v="Seattle, WA: Seattle/Tacoma International"/>
    <n v="5953"/>
    <n v="950"/>
    <n v="253.25"/>
    <n v="15.63"/>
    <n v="428.36"/>
    <n v="3.16"/>
    <n v="249.6"/>
    <n v="60"/>
    <n v="8"/>
    <n v="43942"/>
    <n v="14322"/>
    <n v="840"/>
    <n v="13355"/>
    <n v="96"/>
    <n v="15329"/>
    <n v="0.15959999999999999"/>
    <n v="1.01E-2"/>
    <n v="1.2999999999999999E-3"/>
  </r>
  <r>
    <n v="2021"/>
    <n v="10"/>
    <x v="6"/>
    <x v="6"/>
    <s v="SEA"/>
    <s v="Seattle, WA: Seattle/Tacoma International"/>
    <n v="77"/>
    <n v="11"/>
    <n v="5.75"/>
    <n v="1"/>
    <n v="3"/>
    <n v="0"/>
    <n v="1.25"/>
    <n v="0"/>
    <n v="0"/>
    <n v="928"/>
    <n v="541"/>
    <n v="193"/>
    <n v="143"/>
    <n v="0"/>
    <n v="51"/>
    <n v="0.1429"/>
    <n v="0"/>
    <n v="0"/>
  </r>
  <r>
    <n v="2021"/>
    <n v="10"/>
    <x v="7"/>
    <x v="7"/>
    <s v="SEA"/>
    <s v="Seattle, WA: Seattle/Tacoma International"/>
    <n v="2510"/>
    <n v="247"/>
    <n v="100.72"/>
    <n v="2.92"/>
    <n v="94.71"/>
    <n v="0"/>
    <n v="48.65"/>
    <n v="1"/>
    <n v="6"/>
    <n v="15140"/>
    <n v="8609"/>
    <n v="94"/>
    <n v="2747"/>
    <n v="0"/>
    <n v="3690"/>
    <n v="9.8400000000000001E-2"/>
    <n v="4.0000000000000002E-4"/>
    <n v="2.3999999999999998E-3"/>
  </r>
  <r>
    <n v="2021"/>
    <n v="10"/>
    <x v="8"/>
    <x v="8"/>
    <s v="SEA"/>
    <s v="Seattle, WA: Seattle/Tacoma International"/>
    <n v="65"/>
    <n v="12"/>
    <n v="7.29"/>
    <n v="0"/>
    <n v="2.85"/>
    <n v="0"/>
    <n v="1.86"/>
    <n v="0"/>
    <n v="0"/>
    <n v="447"/>
    <n v="186"/>
    <n v="0"/>
    <n v="78"/>
    <n v="0"/>
    <n v="183"/>
    <n v="0.18459999999999999"/>
    <n v="0"/>
    <n v="0"/>
  </r>
  <r>
    <n v="2021"/>
    <n v="10"/>
    <x v="0"/>
    <x v="0"/>
    <s v="SEA"/>
    <s v="Seattle, WA: Seattle/Tacoma International"/>
    <n v="62"/>
    <n v="13"/>
    <n v="9.91"/>
    <n v="0"/>
    <n v="0"/>
    <n v="0"/>
    <n v="3.09"/>
    <n v="0"/>
    <n v="0"/>
    <n v="480"/>
    <n v="241"/>
    <n v="0"/>
    <n v="0"/>
    <n v="0"/>
    <n v="239"/>
    <n v="0.2097"/>
    <n v="0"/>
    <n v="0"/>
  </r>
  <r>
    <n v="2021"/>
    <n v="10"/>
    <x v="1"/>
    <x v="1"/>
    <s v="SEA"/>
    <s v="Seattle, WA: Seattle/Tacoma International"/>
    <n v="65"/>
    <n v="10"/>
    <n v="3.35"/>
    <n v="0"/>
    <n v="4.8899999999999997"/>
    <n v="0"/>
    <n v="1.76"/>
    <n v="1"/>
    <n v="0"/>
    <n v="293"/>
    <n v="128"/>
    <n v="0"/>
    <n v="113"/>
    <n v="0"/>
    <n v="52"/>
    <n v="0.15379999999999999"/>
    <n v="1.54E-2"/>
    <n v="0"/>
  </r>
  <r>
    <n v="2021"/>
    <n v="10"/>
    <x v="2"/>
    <x v="2"/>
    <s v="SEA"/>
    <s v="Seattle, WA: Seattle/Tacoma International"/>
    <n v="1834"/>
    <n v="187"/>
    <n v="114"/>
    <n v="36"/>
    <n v="6"/>
    <n v="2"/>
    <n v="29"/>
    <n v="43"/>
    <n v="6"/>
    <n v="14140"/>
    <n v="8603"/>
    <n v="2666"/>
    <n v="617"/>
    <n v="203"/>
    <n v="2051"/>
    <n v="0.10199999999999999"/>
    <n v="2.3400000000000001E-2"/>
    <n v="3.3E-3"/>
  </r>
  <r>
    <n v="2021"/>
    <n v="9"/>
    <x v="4"/>
    <x v="4"/>
    <s v="SEA"/>
    <s v="Seattle, WA: Seattle/Tacoma International"/>
    <n v="540"/>
    <n v="98"/>
    <n v="38.99"/>
    <n v="3.68"/>
    <n v="32.89"/>
    <n v="0"/>
    <n v="22.44"/>
    <n v="2"/>
    <n v="2"/>
    <n v="6118"/>
    <n v="3222"/>
    <n v="328"/>
    <n v="1124"/>
    <n v="0"/>
    <n v="1444"/>
    <n v="0.18149999999999999"/>
    <n v="3.7000000000000002E-3"/>
    <n v="3.7000000000000002E-3"/>
  </r>
  <r>
    <n v="2021"/>
    <n v="9"/>
    <x v="5"/>
    <x v="5"/>
    <s v="SEA"/>
    <s v="Seattle, WA: Seattle/Tacoma International"/>
    <n v="5911"/>
    <n v="783"/>
    <n v="182.69"/>
    <n v="11.86"/>
    <n v="358.95"/>
    <n v="4.1100000000000003"/>
    <n v="225.39"/>
    <n v="39"/>
    <n v="5"/>
    <n v="37880"/>
    <n v="12638"/>
    <n v="725"/>
    <n v="11079"/>
    <n v="141"/>
    <n v="13297"/>
    <n v="0.13250000000000001"/>
    <n v="6.6E-3"/>
    <n v="8.0000000000000004E-4"/>
  </r>
  <r>
    <n v="2021"/>
    <n v="9"/>
    <x v="6"/>
    <x v="6"/>
    <s v="SEA"/>
    <s v="Seattle, WA: Seattle/Tacoma International"/>
    <n v="101"/>
    <n v="24"/>
    <n v="11.09"/>
    <n v="1.08"/>
    <n v="8.5399999999999991"/>
    <n v="0"/>
    <n v="3.29"/>
    <n v="4"/>
    <n v="0"/>
    <n v="1921"/>
    <n v="913"/>
    <n v="312"/>
    <n v="433"/>
    <n v="0"/>
    <n v="263"/>
    <n v="0.23760000000000001"/>
    <n v="3.9600000000000003E-2"/>
    <n v="0"/>
  </r>
  <r>
    <n v="2021"/>
    <n v="9"/>
    <x v="7"/>
    <x v="7"/>
    <s v="SEA"/>
    <s v="Seattle, WA: Seattle/Tacoma International"/>
    <n v="2445"/>
    <n v="265"/>
    <n v="118.28"/>
    <n v="3.13"/>
    <n v="105.38"/>
    <n v="2"/>
    <n v="36.200000000000003"/>
    <n v="1"/>
    <n v="4"/>
    <n v="16631"/>
    <n v="10439"/>
    <n v="208"/>
    <n v="3126"/>
    <n v="78"/>
    <n v="2780"/>
    <n v="0.1084"/>
    <n v="4.0000000000000002E-4"/>
    <n v="1.6000000000000001E-3"/>
  </r>
  <r>
    <n v="2021"/>
    <n v="9"/>
    <x v="8"/>
    <x v="8"/>
    <s v="SEA"/>
    <s v="Seattle, WA: Seattle/Tacoma International"/>
    <n v="65"/>
    <n v="14"/>
    <n v="6.16"/>
    <n v="0.38"/>
    <n v="5.0999999999999996"/>
    <n v="0"/>
    <n v="2.36"/>
    <n v="0"/>
    <n v="0"/>
    <n v="520"/>
    <n v="241"/>
    <n v="6"/>
    <n v="145"/>
    <n v="0"/>
    <n v="128"/>
    <n v="0.21540000000000001"/>
    <n v="0"/>
    <n v="0"/>
  </r>
  <r>
    <n v="2021"/>
    <n v="9"/>
    <x v="0"/>
    <x v="0"/>
    <s v="SEA"/>
    <s v="Seattle, WA: Seattle/Tacoma International"/>
    <n v="60"/>
    <n v="13"/>
    <n v="12.42"/>
    <n v="0"/>
    <n v="0"/>
    <n v="0"/>
    <n v="0.57999999999999996"/>
    <n v="0"/>
    <n v="1"/>
    <n v="389"/>
    <n v="368"/>
    <n v="0"/>
    <n v="0"/>
    <n v="0"/>
    <n v="21"/>
    <n v="0.2167"/>
    <n v="0"/>
    <n v="1.67E-2"/>
  </r>
  <r>
    <n v="2021"/>
    <n v="9"/>
    <x v="1"/>
    <x v="1"/>
    <s v="SEA"/>
    <s v="Seattle, WA: Seattle/Tacoma International"/>
    <n v="62"/>
    <n v="8"/>
    <n v="2.68"/>
    <n v="1"/>
    <n v="2.41"/>
    <n v="1"/>
    <n v="0.91"/>
    <n v="0"/>
    <n v="0"/>
    <n v="237"/>
    <n v="48"/>
    <n v="51"/>
    <n v="53"/>
    <n v="65"/>
    <n v="20"/>
    <n v="0.129"/>
    <n v="0"/>
    <n v="0"/>
  </r>
  <r>
    <n v="2021"/>
    <n v="9"/>
    <x v="2"/>
    <x v="2"/>
    <s v="SEA"/>
    <s v="Seattle, WA: Seattle/Tacoma International"/>
    <n v="1870"/>
    <n v="146"/>
    <n v="101"/>
    <n v="25"/>
    <n v="9"/>
    <n v="0"/>
    <n v="11"/>
    <n v="0"/>
    <n v="3"/>
    <n v="8345"/>
    <n v="5690"/>
    <n v="1029"/>
    <n v="337"/>
    <n v="0"/>
    <n v="1289"/>
    <n v="7.8100000000000003E-2"/>
    <n v="0"/>
    <n v="1.6000000000000001E-3"/>
  </r>
  <r>
    <n v="2021"/>
    <n v="9"/>
    <x v="3"/>
    <x v="3"/>
    <s v="SEA"/>
    <s v="Seattle, WA: Seattle/Tacoma International"/>
    <n v="2760"/>
    <n v="333"/>
    <n v="76.75"/>
    <n v="1"/>
    <n v="128.06"/>
    <n v="0.17"/>
    <n v="127.02"/>
    <n v="9"/>
    <n v="1"/>
    <n v="16755"/>
    <n v="6810"/>
    <n v="30"/>
    <n v="3831"/>
    <n v="11"/>
    <n v="6073"/>
    <n v="0.1207"/>
    <n v="3.3E-3"/>
    <n v="4.0000000000000002E-4"/>
  </r>
  <r>
    <n v="2021"/>
    <n v="9"/>
    <x v="9"/>
    <x v="9"/>
    <s v="SEA"/>
    <s v="Seattle, WA: Seattle/Tacoma International"/>
    <n v="729"/>
    <n v="115"/>
    <n v="39.9"/>
    <n v="5.67"/>
    <n v="40.6"/>
    <n v="0"/>
    <n v="28.83"/>
    <n v="4"/>
    <n v="0"/>
    <n v="5582"/>
    <n v="1822"/>
    <n v="458"/>
    <n v="1142"/>
    <n v="0"/>
    <n v="2160"/>
    <n v="0.1578"/>
    <n v="5.4999999999999997E-3"/>
    <n v="0"/>
  </r>
  <r>
    <n v="2021"/>
    <n v="9"/>
    <x v="10"/>
    <x v="10"/>
    <s v="SEA"/>
    <s v="Seattle, WA: Seattle/Tacoma International"/>
    <n v="950"/>
    <n v="157"/>
    <n v="68.33"/>
    <n v="2.4500000000000002"/>
    <n v="31.93"/>
    <n v="1.03"/>
    <n v="53.26"/>
    <n v="8"/>
    <n v="0"/>
    <n v="6958"/>
    <n v="3522"/>
    <n v="109"/>
    <n v="949"/>
    <n v="18"/>
    <n v="2360"/>
    <n v="0.1653"/>
    <n v="8.3999999999999995E-3"/>
    <n v="0"/>
  </r>
  <r>
    <n v="2021"/>
    <n v="8"/>
    <x v="4"/>
    <x v="4"/>
    <s v="SEA"/>
    <s v="Seattle, WA: Seattle/Tacoma International"/>
    <n v="641"/>
    <n v="184"/>
    <n v="76.05"/>
    <n v="12.1"/>
    <n v="48.49"/>
    <n v="1.1399999999999999"/>
    <n v="46.21"/>
    <n v="29"/>
    <n v="2"/>
    <n v="11907"/>
    <n v="5272"/>
    <n v="1221"/>
    <n v="1586"/>
    <n v="54"/>
    <n v="3774"/>
    <n v="0.28710000000000002"/>
    <n v="4.5199999999999997E-2"/>
    <n v="3.0999999999999999E-3"/>
  </r>
  <r>
    <n v="2021"/>
    <n v="8"/>
    <x v="5"/>
    <x v="5"/>
    <s v="SEA"/>
    <s v="Seattle, WA: Seattle/Tacoma International"/>
    <n v="6018"/>
    <n v="1150"/>
    <n v="298.23"/>
    <n v="26.14"/>
    <n v="458.15"/>
    <n v="8.16"/>
    <n v="359.32"/>
    <n v="48"/>
    <n v="1"/>
    <n v="56676"/>
    <n v="17600"/>
    <n v="2436"/>
    <n v="13679"/>
    <n v="243"/>
    <n v="22718"/>
    <n v="0.19109999999999999"/>
    <n v="8.0000000000000002E-3"/>
    <n v="2.0000000000000001E-4"/>
  </r>
  <r>
    <n v="2021"/>
    <n v="8"/>
    <x v="6"/>
    <x v="6"/>
    <s v="SEA"/>
    <s v="Seattle, WA: Seattle/Tacoma International"/>
    <n v="134"/>
    <n v="37"/>
    <n v="21.8"/>
    <n v="0.64"/>
    <n v="7.17"/>
    <n v="0"/>
    <n v="7.39"/>
    <n v="0"/>
    <n v="0"/>
    <n v="2268"/>
    <n v="1247"/>
    <n v="49"/>
    <n v="456"/>
    <n v="0"/>
    <n v="516"/>
    <n v="0.27610000000000001"/>
    <n v="0"/>
    <n v="0"/>
  </r>
  <r>
    <n v="2021"/>
    <n v="8"/>
    <x v="7"/>
    <x v="7"/>
    <s v="SEA"/>
    <s v="Seattle, WA: Seattle/Tacoma International"/>
    <n v="2579"/>
    <n v="312"/>
    <n v="157.36000000000001"/>
    <n v="9.33"/>
    <n v="71.98"/>
    <n v="1.3"/>
    <n v="72.02"/>
    <n v="3"/>
    <n v="1"/>
    <n v="21446"/>
    <n v="12954"/>
    <n v="561"/>
    <n v="2244"/>
    <n v="52"/>
    <n v="5635"/>
    <n v="0.121"/>
    <n v="1.1999999999999999E-3"/>
    <n v="4.0000000000000002E-4"/>
  </r>
  <r>
    <n v="2021"/>
    <n v="8"/>
    <x v="8"/>
    <x v="8"/>
    <s v="SEA"/>
    <s v="Seattle, WA: Seattle/Tacoma International"/>
    <n v="73"/>
    <n v="15"/>
    <n v="7.04"/>
    <n v="0.74"/>
    <n v="2.95"/>
    <n v="0"/>
    <n v="4.2699999999999996"/>
    <n v="0"/>
    <n v="0"/>
    <n v="893"/>
    <n v="374"/>
    <n v="62"/>
    <n v="85"/>
    <n v="0"/>
    <n v="372"/>
    <n v="0.20549999999999999"/>
    <n v="0"/>
    <n v="0"/>
  </r>
  <r>
    <n v="2021"/>
    <n v="8"/>
    <x v="0"/>
    <x v="0"/>
    <s v="SEA"/>
    <s v="Seattle, WA: Seattle/Tacoma International"/>
    <n v="62"/>
    <n v="20"/>
    <n v="15.39"/>
    <n v="0"/>
    <n v="0"/>
    <n v="0"/>
    <n v="4.6100000000000003"/>
    <n v="0"/>
    <n v="0"/>
    <n v="771"/>
    <n v="615"/>
    <n v="0"/>
    <n v="0"/>
    <n v="0"/>
    <n v="156"/>
    <n v="0.3226"/>
    <n v="0"/>
    <n v="0"/>
  </r>
  <r>
    <n v="2021"/>
    <n v="8"/>
    <x v="1"/>
    <x v="1"/>
    <s v="SEA"/>
    <s v="Seattle, WA: Seattle/Tacoma International"/>
    <n v="62"/>
    <n v="8"/>
    <n v="2.1800000000000002"/>
    <n v="1"/>
    <n v="1.07"/>
    <n v="0"/>
    <n v="3.75"/>
    <n v="7"/>
    <n v="0"/>
    <n v="538"/>
    <n v="170"/>
    <n v="100"/>
    <n v="25"/>
    <n v="0"/>
    <n v="243"/>
    <n v="0.129"/>
    <n v="0.1129"/>
    <n v="0"/>
  </r>
  <r>
    <n v="2021"/>
    <n v="8"/>
    <x v="2"/>
    <x v="2"/>
    <s v="SEA"/>
    <s v="Seattle, WA: Seattle/Tacoma International"/>
    <n v="2478"/>
    <n v="248"/>
    <n v="153"/>
    <n v="25"/>
    <n v="10"/>
    <n v="1"/>
    <n v="59"/>
    <n v="9"/>
    <n v="1"/>
    <n v="14543"/>
    <n v="7646"/>
    <n v="2373"/>
    <n v="432"/>
    <n v="29"/>
    <n v="4063"/>
    <n v="0.10009999999999999"/>
    <n v="3.5999999999999999E-3"/>
    <n v="4.0000000000000002E-4"/>
  </r>
  <r>
    <n v="2021"/>
    <n v="8"/>
    <x v="3"/>
    <x v="3"/>
    <s v="SEA"/>
    <s v="Seattle, WA: Seattle/Tacoma International"/>
    <n v="2961"/>
    <n v="464"/>
    <n v="97.53"/>
    <n v="7.78"/>
    <n v="155.54"/>
    <n v="0"/>
    <n v="203.16"/>
    <n v="27"/>
    <n v="0"/>
    <n v="21320"/>
    <n v="6469"/>
    <n v="398"/>
    <n v="4298"/>
    <n v="0"/>
    <n v="10155"/>
    <n v="0.15670000000000001"/>
    <n v="9.1000000000000004E-3"/>
    <n v="0"/>
  </r>
  <r>
    <n v="2021"/>
    <n v="8"/>
    <x v="9"/>
    <x v="9"/>
    <s v="SEA"/>
    <s v="Seattle, WA: Seattle/Tacoma International"/>
    <n v="742"/>
    <n v="186"/>
    <n v="67.97"/>
    <n v="10.33"/>
    <n v="56.46"/>
    <n v="0"/>
    <n v="51.24"/>
    <n v="5"/>
    <n v="0"/>
    <n v="10343"/>
    <n v="3599"/>
    <n v="821"/>
    <n v="2166"/>
    <n v="0"/>
    <n v="3757"/>
    <n v="0.25069999999999998"/>
    <n v="6.7000000000000002E-3"/>
    <n v="0"/>
  </r>
  <r>
    <n v="2021"/>
    <n v="8"/>
    <x v="10"/>
    <x v="10"/>
    <s v="SEA"/>
    <s v="Seattle, WA: Seattle/Tacoma International"/>
    <n v="1001"/>
    <n v="325"/>
    <n v="155.82"/>
    <n v="0.42"/>
    <n v="42.85"/>
    <n v="1.39"/>
    <n v="124.53"/>
    <n v="12"/>
    <n v="2"/>
    <n v="16802"/>
    <n v="7804"/>
    <n v="82"/>
    <n v="1556"/>
    <n v="91"/>
    <n v="7269"/>
    <n v="0.32469999999999999"/>
    <n v="1.2E-2"/>
    <n v="2E-3"/>
  </r>
  <r>
    <n v="2021"/>
    <n v="7"/>
    <x v="7"/>
    <x v="7"/>
    <s v="SEA"/>
    <s v="Seattle, WA: Seattle/Tacoma International"/>
    <n v="2581"/>
    <n v="240"/>
    <n v="128.69999999999999"/>
    <n v="12.2"/>
    <n v="45.7"/>
    <n v="2"/>
    <n v="51.4"/>
    <n v="4"/>
    <n v="1"/>
    <n v="22985"/>
    <n v="15449"/>
    <n v="2432"/>
    <n v="1388"/>
    <n v="72"/>
    <n v="3644"/>
    <n v="9.2999999999999999E-2"/>
    <n v="1.5E-3"/>
    <n v="4.0000000000000002E-4"/>
  </r>
  <r>
    <n v="2021"/>
    <n v="7"/>
    <x v="8"/>
    <x v="8"/>
    <s v="SEA"/>
    <s v="Seattle, WA: Seattle/Tacoma International"/>
    <n v="72"/>
    <n v="11"/>
    <n v="4.26"/>
    <n v="2.0699999999999998"/>
    <n v="1.9"/>
    <n v="0"/>
    <n v="2.78"/>
    <n v="1"/>
    <n v="0"/>
    <n v="619"/>
    <n v="196"/>
    <n v="79"/>
    <n v="98"/>
    <n v="0"/>
    <n v="246"/>
    <n v="0.15279999999999999"/>
    <n v="1.3899999999999999E-2"/>
    <n v="0"/>
  </r>
  <r>
    <n v="2021"/>
    <n v="7"/>
    <x v="0"/>
    <x v="0"/>
    <s v="SEA"/>
    <s v="Seattle, WA: Seattle/Tacoma International"/>
    <n v="62"/>
    <n v="16"/>
    <n v="13.22"/>
    <n v="0"/>
    <n v="0"/>
    <n v="0"/>
    <n v="2.78"/>
    <n v="0"/>
    <n v="0"/>
    <n v="427"/>
    <n v="360"/>
    <n v="0"/>
    <n v="0"/>
    <n v="0"/>
    <n v="67"/>
    <n v="0.2581"/>
    <n v="0"/>
    <n v="0"/>
  </r>
  <r>
    <n v="2021"/>
    <n v="7"/>
    <x v="1"/>
    <x v="1"/>
    <s v="SEA"/>
    <s v="Seattle, WA: Seattle/Tacoma International"/>
    <n v="49"/>
    <n v="13"/>
    <n v="1.0900000000000001"/>
    <n v="1.22"/>
    <n v="1.89"/>
    <n v="0"/>
    <n v="8.8000000000000007"/>
    <n v="0"/>
    <n v="0"/>
    <n v="875"/>
    <n v="60"/>
    <n v="45"/>
    <n v="86"/>
    <n v="0"/>
    <n v="684"/>
    <n v="0.26529999999999998"/>
    <n v="0"/>
    <n v="0"/>
  </r>
  <r>
    <n v="2021"/>
    <n v="7"/>
    <x v="2"/>
    <x v="2"/>
    <s v="SEA"/>
    <s v="Seattle, WA: Seattle/Tacoma International"/>
    <n v="2647"/>
    <n v="293"/>
    <n v="165"/>
    <n v="45"/>
    <n v="5"/>
    <n v="3"/>
    <n v="75"/>
    <n v="6"/>
    <n v="14"/>
    <n v="21507"/>
    <n v="12892"/>
    <n v="3936"/>
    <n v="165"/>
    <n v="57"/>
    <n v="4457"/>
    <n v="0.11070000000000001"/>
    <n v="2.3E-3"/>
    <n v="5.3E-3"/>
  </r>
  <r>
    <n v="2021"/>
    <n v="7"/>
    <x v="3"/>
    <x v="3"/>
    <s v="SEA"/>
    <s v="Seattle, WA: Seattle/Tacoma International"/>
    <n v="2921"/>
    <n v="369"/>
    <n v="105.55"/>
    <n v="5.51"/>
    <n v="85.68"/>
    <n v="0.27"/>
    <n v="171.98"/>
    <n v="22"/>
    <n v="1"/>
    <n v="17734"/>
    <n v="6879"/>
    <n v="333"/>
    <n v="2173"/>
    <n v="6"/>
    <n v="8343"/>
    <n v="0.1263"/>
    <n v="7.4999999999999997E-3"/>
    <n v="2.9999999999999997E-4"/>
  </r>
  <r>
    <n v="2021"/>
    <n v="7"/>
    <x v="9"/>
    <x v="9"/>
    <s v="SEA"/>
    <s v="Seattle, WA: Seattle/Tacoma International"/>
    <n v="731"/>
    <n v="200"/>
    <n v="64.930000000000007"/>
    <n v="17.16"/>
    <n v="44.4"/>
    <n v="0"/>
    <n v="73.510000000000005"/>
    <n v="7"/>
    <n v="0"/>
    <n v="13612"/>
    <n v="3269"/>
    <n v="1963"/>
    <n v="1760"/>
    <n v="0"/>
    <n v="6620"/>
    <n v="0.27360000000000001"/>
    <n v="9.5999999999999992E-3"/>
    <n v="0"/>
  </r>
  <r>
    <n v="2021"/>
    <n v="7"/>
    <x v="10"/>
    <x v="10"/>
    <s v="SEA"/>
    <s v="Seattle, WA: Seattle/Tacoma International"/>
    <n v="978"/>
    <n v="260"/>
    <n v="117.06"/>
    <n v="2.19"/>
    <n v="27.15"/>
    <n v="0"/>
    <n v="113.61"/>
    <n v="16"/>
    <n v="0"/>
    <n v="13012"/>
    <n v="5535"/>
    <n v="180"/>
    <n v="894"/>
    <n v="0"/>
    <n v="6403"/>
    <n v="0.26579999999999998"/>
    <n v="1.6400000000000001E-2"/>
    <n v="0"/>
  </r>
  <r>
    <n v="2021"/>
    <n v="7"/>
    <x v="4"/>
    <x v="4"/>
    <s v="SEA"/>
    <s v="Seattle, WA: Seattle/Tacoma International"/>
    <n v="657"/>
    <n v="157"/>
    <n v="73.099999999999994"/>
    <n v="7.82"/>
    <n v="26.87"/>
    <n v="1.34"/>
    <n v="47.87"/>
    <n v="7"/>
    <n v="1"/>
    <n v="12587"/>
    <n v="6606"/>
    <n v="652"/>
    <n v="950"/>
    <n v="35"/>
    <n v="4344"/>
    <n v="0.23899999999999999"/>
    <n v="1.0699999999999999E-2"/>
    <n v="1.5E-3"/>
  </r>
  <r>
    <n v="2021"/>
    <n v="7"/>
    <x v="5"/>
    <x v="5"/>
    <s v="SEA"/>
    <s v="Seattle, WA: Seattle/Tacoma International"/>
    <n v="5785"/>
    <n v="930"/>
    <n v="254.99"/>
    <n v="29.94"/>
    <n v="342.51"/>
    <n v="5.1100000000000003"/>
    <n v="297.45"/>
    <n v="42"/>
    <n v="10"/>
    <n v="43728"/>
    <n v="14230"/>
    <n v="1865"/>
    <n v="9744"/>
    <n v="124"/>
    <n v="17765"/>
    <n v="0.1608"/>
    <n v="7.3000000000000001E-3"/>
    <n v="1.6999999999999999E-3"/>
  </r>
  <r>
    <n v="2021"/>
    <n v="7"/>
    <x v="6"/>
    <x v="6"/>
    <s v="SEA"/>
    <s v="Seattle, WA: Seattle/Tacoma International"/>
    <n v="133"/>
    <n v="41"/>
    <n v="23.84"/>
    <n v="2.68"/>
    <n v="3.16"/>
    <n v="0.47"/>
    <n v="10.85"/>
    <n v="6"/>
    <n v="2"/>
    <n v="4517"/>
    <n v="2215"/>
    <n v="421"/>
    <n v="198"/>
    <n v="60"/>
    <n v="1623"/>
    <n v="0.30830000000000002"/>
    <n v="4.5100000000000001E-2"/>
    <n v="1.4999999999999999E-2"/>
  </r>
  <r>
    <n v="2021"/>
    <n v="6"/>
    <x v="4"/>
    <x v="4"/>
    <s v="SEA"/>
    <s v="Seattle, WA: Seattle/Tacoma International"/>
    <n v="612"/>
    <n v="185"/>
    <n v="83.13"/>
    <n v="13.48"/>
    <n v="36.07"/>
    <n v="0.34"/>
    <n v="51.97"/>
    <n v="18"/>
    <n v="2"/>
    <n v="11558"/>
    <n v="4554"/>
    <n v="1287"/>
    <n v="1546"/>
    <n v="11"/>
    <n v="4160"/>
    <n v="0.30230000000000001"/>
    <n v="2.9399999999999999E-2"/>
    <n v="3.3E-3"/>
  </r>
  <r>
    <n v="2021"/>
    <n v="6"/>
    <x v="5"/>
    <x v="5"/>
    <s v="SEA"/>
    <s v="Seattle, WA: Seattle/Tacoma International"/>
    <n v="5709"/>
    <n v="1146"/>
    <n v="272.33"/>
    <n v="21.27"/>
    <n v="483.52"/>
    <n v="6.73"/>
    <n v="362.15"/>
    <n v="103"/>
    <n v="6"/>
    <n v="53671"/>
    <n v="16327"/>
    <n v="1254"/>
    <n v="15724"/>
    <n v="208"/>
    <n v="20158"/>
    <n v="0.20069999999999999"/>
    <n v="1.7999999999999999E-2"/>
    <n v="1.1000000000000001E-3"/>
  </r>
  <r>
    <n v="2021"/>
    <n v="6"/>
    <x v="6"/>
    <x v="6"/>
    <s v="SEA"/>
    <s v="Seattle, WA: Seattle/Tacoma International"/>
    <n v="101"/>
    <n v="23"/>
    <n v="7.41"/>
    <n v="1.74"/>
    <n v="8.1199999999999992"/>
    <n v="0.02"/>
    <n v="5.71"/>
    <n v="1"/>
    <n v="1"/>
    <n v="1530"/>
    <n v="580"/>
    <n v="188"/>
    <n v="338"/>
    <n v="2"/>
    <n v="422"/>
    <n v="0.22770000000000001"/>
    <n v="9.9000000000000008E-3"/>
    <n v="9.9000000000000008E-3"/>
  </r>
  <r>
    <n v="2021"/>
    <n v="6"/>
    <x v="7"/>
    <x v="7"/>
    <s v="SEA"/>
    <s v="Seattle, WA: Seattle/Tacoma International"/>
    <n v="2403"/>
    <n v="245"/>
    <n v="117.3"/>
    <n v="7.39"/>
    <n v="64.62"/>
    <n v="1"/>
    <n v="54.69"/>
    <n v="1"/>
    <n v="4"/>
    <n v="22261"/>
    <n v="13009"/>
    <n v="2606"/>
    <n v="2003"/>
    <n v="25"/>
    <n v="4618"/>
    <n v="0.10199999999999999"/>
    <n v="4.0000000000000002E-4"/>
    <n v="1.6999999999999999E-3"/>
  </r>
  <r>
    <n v="2021"/>
    <n v="6"/>
    <x v="8"/>
    <x v="8"/>
    <s v="SEA"/>
    <s v="Seattle, WA: Seattle/Tacoma International"/>
    <n v="65"/>
    <n v="12"/>
    <n v="3.17"/>
    <n v="0"/>
    <n v="5.82"/>
    <n v="0"/>
    <n v="3.01"/>
    <n v="1"/>
    <n v="0"/>
    <n v="764"/>
    <n v="134"/>
    <n v="0"/>
    <n v="208"/>
    <n v="0"/>
    <n v="422"/>
    <n v="0.18459999999999999"/>
    <n v="1.54E-2"/>
    <n v="0"/>
  </r>
  <r>
    <n v="2021"/>
    <n v="6"/>
    <x v="0"/>
    <x v="0"/>
    <s v="SEA"/>
    <s v="Seattle, WA: Seattle/Tacoma International"/>
    <n v="60"/>
    <n v="12"/>
    <n v="11.72"/>
    <n v="0"/>
    <n v="0"/>
    <n v="0"/>
    <n v="0.28000000000000003"/>
    <n v="0"/>
    <n v="1"/>
    <n v="383"/>
    <n v="369"/>
    <n v="0"/>
    <n v="0"/>
    <n v="0"/>
    <n v="14"/>
    <n v="0.2"/>
    <n v="0"/>
    <n v="1.67E-2"/>
  </r>
  <r>
    <n v="2021"/>
    <n v="6"/>
    <x v="1"/>
    <x v="1"/>
    <s v="SEA"/>
    <s v="Seattle, WA: Seattle/Tacoma International"/>
    <n v="49"/>
    <n v="6"/>
    <n v="2.23"/>
    <n v="0.33"/>
    <n v="3.44"/>
    <n v="0"/>
    <n v="0"/>
    <n v="0"/>
    <n v="0"/>
    <n v="279"/>
    <n v="205"/>
    <n v="6"/>
    <n v="68"/>
    <n v="0"/>
    <n v="0"/>
    <n v="0.12239999999999999"/>
    <n v="0"/>
    <n v="0"/>
  </r>
  <r>
    <n v="2021"/>
    <n v="6"/>
    <x v="2"/>
    <x v="2"/>
    <s v="SEA"/>
    <s v="Seattle, WA: Seattle/Tacoma International"/>
    <n v="2444"/>
    <n v="319"/>
    <n v="213"/>
    <n v="44"/>
    <n v="4"/>
    <n v="2"/>
    <n v="56"/>
    <n v="2"/>
    <n v="0"/>
    <n v="24603"/>
    <n v="15282"/>
    <n v="4671"/>
    <n v="333"/>
    <n v="50"/>
    <n v="4267"/>
    <n v="0.1305"/>
    <n v="8.0000000000000004E-4"/>
    <n v="0"/>
  </r>
  <r>
    <n v="2021"/>
    <n v="6"/>
    <x v="3"/>
    <x v="3"/>
    <s v="SEA"/>
    <s v="Seattle, WA: Seattle/Tacoma International"/>
    <n v="2943"/>
    <n v="341"/>
    <n v="107.69"/>
    <n v="8.1"/>
    <n v="85.95"/>
    <n v="0.65"/>
    <n v="138.61000000000001"/>
    <n v="35"/>
    <n v="1"/>
    <n v="15609"/>
    <n v="6054"/>
    <n v="276"/>
    <n v="2230"/>
    <n v="13"/>
    <n v="7036"/>
    <n v="0.1159"/>
    <n v="1.1900000000000001E-2"/>
    <n v="2.9999999999999997E-4"/>
  </r>
  <r>
    <n v="2021"/>
    <n v="6"/>
    <x v="9"/>
    <x v="9"/>
    <s v="SEA"/>
    <s v="Seattle, WA: Seattle/Tacoma International"/>
    <n v="505"/>
    <n v="125"/>
    <n v="43.18"/>
    <n v="10.35"/>
    <n v="42.5"/>
    <n v="0"/>
    <n v="28.97"/>
    <n v="3"/>
    <n v="1"/>
    <n v="6521"/>
    <n v="1739"/>
    <n v="875"/>
    <n v="1552"/>
    <n v="0"/>
    <n v="2355"/>
    <n v="0.2475"/>
    <n v="5.8999999999999999E-3"/>
    <n v="2E-3"/>
  </r>
  <r>
    <n v="2021"/>
    <n v="6"/>
    <x v="10"/>
    <x v="10"/>
    <s v="SEA"/>
    <s v="Seattle, WA: Seattle/Tacoma International"/>
    <n v="890"/>
    <n v="305"/>
    <n v="126.57"/>
    <n v="1.3"/>
    <n v="42.72"/>
    <n v="0"/>
    <n v="134.41"/>
    <n v="24"/>
    <n v="0"/>
    <n v="18975"/>
    <n v="7290"/>
    <n v="132"/>
    <n v="1677"/>
    <n v="0"/>
    <n v="9876"/>
    <n v="0.3427"/>
    <n v="2.7E-2"/>
    <n v="0"/>
  </r>
  <r>
    <n v="2021"/>
    <n v="5"/>
    <x v="4"/>
    <x v="4"/>
    <s v="SEA"/>
    <s v="Seattle, WA: Seattle/Tacoma International"/>
    <n v="462"/>
    <n v="76"/>
    <n v="24.22"/>
    <n v="4.49"/>
    <n v="26.3"/>
    <n v="1.19"/>
    <n v="19.79"/>
    <n v="6"/>
    <n v="2"/>
    <n v="4190"/>
    <n v="1005"/>
    <n v="475"/>
    <n v="838"/>
    <n v="84"/>
    <n v="1788"/>
    <n v="0.16450000000000001"/>
    <n v="1.2999999999999999E-2"/>
    <n v="4.3E-3"/>
  </r>
  <r>
    <n v="2021"/>
    <n v="5"/>
    <x v="5"/>
    <x v="5"/>
    <s v="SEA"/>
    <s v="Seattle, WA: Seattle/Tacoma International"/>
    <n v="5602"/>
    <n v="514"/>
    <n v="145.56"/>
    <n v="9.61"/>
    <n v="222.87"/>
    <n v="2.4700000000000002"/>
    <n v="133.49"/>
    <n v="13"/>
    <n v="5"/>
    <n v="21971"/>
    <n v="8481"/>
    <n v="950"/>
    <n v="5981"/>
    <n v="68"/>
    <n v="6491"/>
    <n v="9.1800000000000007E-2"/>
    <n v="2.3E-3"/>
    <n v="8.9999999999999998E-4"/>
  </r>
  <r>
    <n v="2021"/>
    <n v="5"/>
    <x v="6"/>
    <x v="6"/>
    <s v="SEA"/>
    <s v="Seattle, WA: Seattle/Tacoma International"/>
    <n v="77"/>
    <n v="11"/>
    <n v="2.8"/>
    <n v="0.56000000000000005"/>
    <n v="6.5"/>
    <n v="0"/>
    <n v="1.1399999999999999"/>
    <n v="1"/>
    <n v="0"/>
    <n v="401"/>
    <n v="153"/>
    <n v="34"/>
    <n v="173"/>
    <n v="0"/>
    <n v="41"/>
    <n v="0.1429"/>
    <n v="1.2999999999999999E-2"/>
    <n v="0"/>
  </r>
  <r>
    <n v="2021"/>
    <n v="5"/>
    <x v="7"/>
    <x v="7"/>
    <s v="SEA"/>
    <s v="Seattle, WA: Seattle/Tacoma International"/>
    <n v="2097"/>
    <n v="176"/>
    <n v="77.22"/>
    <n v="3.23"/>
    <n v="62.47"/>
    <n v="1"/>
    <n v="32.08"/>
    <n v="1"/>
    <n v="2"/>
    <n v="10837"/>
    <n v="5681"/>
    <n v="500"/>
    <n v="1501"/>
    <n v="51"/>
    <n v="3104"/>
    <n v="8.3900000000000002E-2"/>
    <n v="5.0000000000000001E-4"/>
    <n v="1E-3"/>
  </r>
  <r>
    <n v="2021"/>
    <n v="5"/>
    <x v="8"/>
    <x v="8"/>
    <s v="SEA"/>
    <s v="Seattle, WA: Seattle/Tacoma International"/>
    <n v="50"/>
    <n v="6"/>
    <n v="2.54"/>
    <n v="0"/>
    <n v="1.25"/>
    <n v="0"/>
    <n v="2.21"/>
    <n v="0"/>
    <n v="0"/>
    <n v="291"/>
    <n v="61"/>
    <n v="0"/>
    <n v="51"/>
    <n v="0"/>
    <n v="179"/>
    <n v="0.12"/>
    <n v="0"/>
    <n v="0"/>
  </r>
  <r>
    <n v="2021"/>
    <n v="5"/>
    <x v="0"/>
    <x v="0"/>
    <s v="SEA"/>
    <s v="Seattle, WA: Seattle/Tacoma International"/>
    <n v="62"/>
    <n v="8"/>
    <n v="6.71"/>
    <n v="0"/>
    <n v="0"/>
    <n v="0"/>
    <n v="1.29"/>
    <n v="0"/>
    <n v="0"/>
    <n v="218"/>
    <n v="165"/>
    <n v="0"/>
    <n v="0"/>
    <n v="0"/>
    <n v="53"/>
    <n v="0.129"/>
    <n v="0"/>
    <n v="0"/>
  </r>
  <r>
    <n v="2021"/>
    <n v="5"/>
    <x v="1"/>
    <x v="1"/>
    <s v="SEA"/>
    <s v="Seattle, WA: Seattle/Tacoma International"/>
    <n v="61"/>
    <n v="6"/>
    <n v="0.2"/>
    <n v="0.65"/>
    <n v="4.53"/>
    <n v="0"/>
    <n v="0.63"/>
    <n v="0"/>
    <n v="0"/>
    <n v="115"/>
    <n v="3"/>
    <n v="11"/>
    <n v="86"/>
    <n v="0"/>
    <n v="15"/>
    <n v="9.8400000000000001E-2"/>
    <n v="0"/>
    <n v="0"/>
  </r>
  <r>
    <n v="2021"/>
    <n v="5"/>
    <x v="2"/>
    <x v="2"/>
    <s v="SEA"/>
    <s v="Seattle, WA: Seattle/Tacoma International"/>
    <n v="2036"/>
    <n v="151"/>
    <n v="114"/>
    <n v="20"/>
    <n v="2"/>
    <n v="1"/>
    <n v="14"/>
    <n v="1"/>
    <n v="3"/>
    <n v="9463"/>
    <n v="6741"/>
    <n v="1919"/>
    <n v="85"/>
    <n v="32"/>
    <n v="686"/>
    <n v="7.4200000000000002E-2"/>
    <n v="5.0000000000000001E-4"/>
    <n v="1.5E-3"/>
  </r>
  <r>
    <n v="2021"/>
    <n v="5"/>
    <x v="3"/>
    <x v="3"/>
    <s v="SEA"/>
    <s v="Seattle, WA: Seattle/Tacoma International"/>
    <n v="3004"/>
    <n v="274"/>
    <n v="84.09"/>
    <n v="2.98"/>
    <n v="110.92"/>
    <n v="0.94"/>
    <n v="75.069999999999993"/>
    <n v="15"/>
    <n v="4"/>
    <n v="13965"/>
    <n v="7150"/>
    <n v="194"/>
    <n v="3135"/>
    <n v="17"/>
    <n v="3469"/>
    <n v="9.1200000000000003E-2"/>
    <n v="5.0000000000000001E-3"/>
    <n v="1.2999999999999999E-3"/>
  </r>
  <r>
    <n v="2021"/>
    <n v="5"/>
    <x v="9"/>
    <x v="9"/>
    <s v="SEA"/>
    <s v="Seattle, WA: Seattle/Tacoma International"/>
    <n v="406"/>
    <n v="53"/>
    <n v="20.29"/>
    <n v="4.8600000000000003"/>
    <n v="16.149999999999999"/>
    <n v="0"/>
    <n v="11.7"/>
    <n v="0"/>
    <n v="0"/>
    <n v="2928"/>
    <n v="1067"/>
    <n v="362"/>
    <n v="503"/>
    <n v="0"/>
    <n v="996"/>
    <n v="0.1305"/>
    <n v="0"/>
    <n v="0"/>
  </r>
  <r>
    <n v="2021"/>
    <n v="5"/>
    <x v="10"/>
    <x v="10"/>
    <s v="SEA"/>
    <s v="Seattle, WA: Seattle/Tacoma International"/>
    <n v="554"/>
    <n v="110"/>
    <n v="53.36"/>
    <n v="1.45"/>
    <n v="8.4499999999999993"/>
    <n v="0"/>
    <n v="46.74"/>
    <n v="0"/>
    <n v="0"/>
    <n v="5880"/>
    <n v="2267"/>
    <n v="89"/>
    <n v="191"/>
    <n v="0"/>
    <n v="3333"/>
    <n v="0.1986"/>
    <n v="0"/>
    <n v="0"/>
  </r>
  <r>
    <n v="2021"/>
    <n v="4"/>
    <x v="7"/>
    <x v="7"/>
    <s v="SEA"/>
    <s v="Seattle, WA: Seattle/Tacoma International"/>
    <n v="1747"/>
    <n v="77"/>
    <n v="38.75"/>
    <n v="1"/>
    <n v="21.5"/>
    <n v="0"/>
    <n v="15.75"/>
    <n v="1"/>
    <n v="2"/>
    <n v="7663"/>
    <n v="5433"/>
    <n v="103"/>
    <n v="632"/>
    <n v="0"/>
    <n v="1495"/>
    <n v="4.41E-2"/>
    <n v="5.9999999999999995E-4"/>
    <n v="1.1000000000000001E-3"/>
  </r>
  <r>
    <n v="2021"/>
    <n v="4"/>
    <x v="8"/>
    <x v="8"/>
    <s v="SEA"/>
    <s v="Seattle, WA: Seattle/Tacoma International"/>
    <n v="42"/>
    <n v="3"/>
    <n v="1"/>
    <n v="0"/>
    <n v="1"/>
    <n v="0"/>
    <n v="1"/>
    <n v="0"/>
    <n v="0"/>
    <n v="356"/>
    <n v="17"/>
    <n v="0"/>
    <n v="28"/>
    <n v="0"/>
    <n v="311"/>
    <n v="7.1400000000000005E-2"/>
    <n v="0"/>
    <n v="0"/>
  </r>
  <r>
    <n v="2021"/>
    <n v="4"/>
    <x v="0"/>
    <x v="0"/>
    <s v="SEA"/>
    <s v="Seattle, WA: Seattle/Tacoma International"/>
    <n v="61"/>
    <n v="23"/>
    <n v="22.95"/>
    <n v="0"/>
    <n v="0"/>
    <n v="0"/>
    <n v="0.05"/>
    <n v="0"/>
    <n v="0"/>
    <n v="627"/>
    <n v="625"/>
    <n v="0"/>
    <n v="0"/>
    <n v="0"/>
    <n v="2"/>
    <n v="0.377"/>
    <n v="0"/>
    <n v="0"/>
  </r>
  <r>
    <n v="2021"/>
    <n v="4"/>
    <x v="1"/>
    <x v="1"/>
    <s v="SEA"/>
    <s v="Seattle, WA: Seattle/Tacoma International"/>
    <n v="58"/>
    <n v="6"/>
    <n v="1.1299999999999999"/>
    <n v="0"/>
    <n v="3.06"/>
    <n v="0"/>
    <n v="1.8"/>
    <n v="0"/>
    <n v="0"/>
    <n v="136"/>
    <n v="19"/>
    <n v="0"/>
    <n v="74"/>
    <n v="0"/>
    <n v="43"/>
    <n v="0.10340000000000001"/>
    <n v="0"/>
    <n v="0"/>
  </r>
  <r>
    <n v="2021"/>
    <n v="4"/>
    <x v="2"/>
    <x v="2"/>
    <s v="SEA"/>
    <s v="Seattle, WA: Seattle/Tacoma International"/>
    <n v="1793"/>
    <n v="87"/>
    <n v="64"/>
    <n v="15"/>
    <n v="2"/>
    <n v="1"/>
    <n v="5"/>
    <n v="0"/>
    <n v="2"/>
    <n v="5286"/>
    <n v="3277"/>
    <n v="1664"/>
    <n v="65"/>
    <n v="20"/>
    <n v="260"/>
    <n v="4.8500000000000001E-2"/>
    <n v="0"/>
    <n v="1.1000000000000001E-3"/>
  </r>
  <r>
    <n v="2021"/>
    <n v="4"/>
    <x v="3"/>
    <x v="3"/>
    <s v="SEA"/>
    <s v="Seattle, WA: Seattle/Tacoma International"/>
    <n v="2787"/>
    <n v="202"/>
    <n v="51.35"/>
    <n v="0.91"/>
    <n v="85.19"/>
    <n v="0.71"/>
    <n v="63.84"/>
    <n v="16"/>
    <n v="1"/>
    <n v="8092"/>
    <n v="2675"/>
    <n v="37"/>
    <n v="2533"/>
    <n v="20"/>
    <n v="2827"/>
    <n v="7.2499999999999995E-2"/>
    <n v="5.7000000000000002E-3"/>
    <n v="4.0000000000000002E-4"/>
  </r>
  <r>
    <n v="2021"/>
    <n v="4"/>
    <x v="9"/>
    <x v="9"/>
    <s v="SEA"/>
    <s v="Seattle, WA: Seattle/Tacoma International"/>
    <n v="315"/>
    <n v="28"/>
    <n v="11.5"/>
    <n v="1"/>
    <n v="11.49"/>
    <n v="0"/>
    <n v="4.0199999999999996"/>
    <n v="0"/>
    <n v="0"/>
    <n v="1361"/>
    <n v="560"/>
    <n v="56"/>
    <n v="335"/>
    <n v="0"/>
    <n v="410"/>
    <n v="8.8900000000000007E-2"/>
    <n v="0"/>
    <n v="0"/>
  </r>
  <r>
    <n v="2021"/>
    <n v="4"/>
    <x v="10"/>
    <x v="10"/>
    <s v="SEA"/>
    <s v="Seattle, WA: Seattle/Tacoma International"/>
    <n v="448"/>
    <n v="48"/>
    <n v="28.13"/>
    <n v="0"/>
    <n v="5.29"/>
    <n v="0"/>
    <n v="14.58"/>
    <n v="0"/>
    <n v="1"/>
    <n v="1964"/>
    <n v="1262"/>
    <n v="0"/>
    <n v="158"/>
    <n v="0"/>
    <n v="544"/>
    <n v="0.1071"/>
    <n v="0"/>
    <n v="2.2000000000000001E-3"/>
  </r>
  <r>
    <n v="2021"/>
    <n v="4"/>
    <x v="4"/>
    <x v="4"/>
    <s v="SEA"/>
    <s v="Seattle, WA: Seattle/Tacoma International"/>
    <n v="426"/>
    <n v="41"/>
    <n v="19.399999999999999"/>
    <n v="0.2"/>
    <n v="13.34"/>
    <n v="0"/>
    <n v="8.06"/>
    <n v="1"/>
    <n v="1"/>
    <n v="2565"/>
    <n v="1573"/>
    <n v="25"/>
    <n v="390"/>
    <n v="0"/>
    <n v="577"/>
    <n v="9.6199999999999994E-2"/>
    <n v="2.3E-3"/>
    <n v="2.3E-3"/>
  </r>
  <r>
    <n v="2021"/>
    <n v="4"/>
    <x v="5"/>
    <x v="5"/>
    <s v="SEA"/>
    <s v="Seattle, WA: Seattle/Tacoma International"/>
    <n v="5402"/>
    <n v="519"/>
    <n v="159.68"/>
    <n v="2.71"/>
    <n v="215.52"/>
    <n v="1.21"/>
    <n v="139.88"/>
    <n v="42"/>
    <n v="2"/>
    <n v="23431"/>
    <n v="8437"/>
    <n v="150"/>
    <n v="5563"/>
    <n v="217"/>
    <n v="9064"/>
    <n v="9.6100000000000005E-2"/>
    <n v="7.7999999999999996E-3"/>
    <n v="4.0000000000000002E-4"/>
  </r>
  <r>
    <n v="2021"/>
    <n v="4"/>
    <x v="6"/>
    <x v="6"/>
    <s v="SEA"/>
    <s v="Seattle, WA: Seattle/Tacoma International"/>
    <n v="36"/>
    <n v="4"/>
    <n v="3.58"/>
    <n v="0"/>
    <n v="0.25"/>
    <n v="0"/>
    <n v="0.17"/>
    <n v="0"/>
    <n v="0"/>
    <n v="201"/>
    <n v="189"/>
    <n v="0"/>
    <n v="5"/>
    <n v="0"/>
    <n v="7"/>
    <n v="0.1111"/>
    <n v="0"/>
    <n v="0"/>
  </r>
  <r>
    <n v="2021"/>
    <n v="3"/>
    <x v="4"/>
    <x v="4"/>
    <s v="SEA"/>
    <s v="Seattle, WA: Seattle/Tacoma International"/>
    <n v="375"/>
    <n v="40"/>
    <n v="19.7"/>
    <n v="0.35"/>
    <n v="9.6199999999999992"/>
    <n v="0.43"/>
    <n v="9.89"/>
    <n v="2"/>
    <n v="0"/>
    <n v="2256"/>
    <n v="1176"/>
    <n v="6"/>
    <n v="251"/>
    <n v="12"/>
    <n v="811"/>
    <n v="0.1067"/>
    <n v="5.3E-3"/>
    <n v="0"/>
  </r>
  <r>
    <n v="2021"/>
    <n v="3"/>
    <x v="5"/>
    <x v="5"/>
    <s v="SEA"/>
    <s v="Seattle, WA: Seattle/Tacoma International"/>
    <n v="5209"/>
    <n v="491"/>
    <n v="141.06"/>
    <n v="6.01"/>
    <n v="200.17"/>
    <n v="1.86"/>
    <n v="141.9"/>
    <n v="88"/>
    <n v="5"/>
    <n v="25690"/>
    <n v="10172"/>
    <n v="414"/>
    <n v="5406"/>
    <n v="72"/>
    <n v="9626"/>
    <n v="9.4299999999999995E-2"/>
    <n v="1.6899999999999998E-2"/>
    <n v="1E-3"/>
  </r>
  <r>
    <n v="2021"/>
    <n v="3"/>
    <x v="6"/>
    <x v="6"/>
    <s v="SEA"/>
    <s v="Seattle, WA: Seattle/Tacoma International"/>
    <n v="25"/>
    <n v="5"/>
    <n v="4.91"/>
    <n v="0"/>
    <n v="0"/>
    <n v="0.09"/>
    <n v="0"/>
    <n v="0"/>
    <n v="0"/>
    <n v="201"/>
    <n v="195"/>
    <n v="0"/>
    <n v="0"/>
    <n v="6"/>
    <n v="0"/>
    <n v="0.2"/>
    <n v="0"/>
    <n v="0"/>
  </r>
  <r>
    <n v="2021"/>
    <n v="3"/>
    <x v="7"/>
    <x v="7"/>
    <s v="SEA"/>
    <s v="Seattle, WA: Seattle/Tacoma International"/>
    <n v="1721"/>
    <n v="96"/>
    <n v="52.01"/>
    <n v="1.51"/>
    <n v="29.22"/>
    <n v="0"/>
    <n v="13.27"/>
    <n v="1"/>
    <n v="2"/>
    <n v="7425"/>
    <n v="5532"/>
    <n v="50"/>
    <n v="809"/>
    <n v="0"/>
    <n v="1034"/>
    <n v="5.5800000000000002E-2"/>
    <n v="5.9999999999999995E-4"/>
    <n v="1.1999999999999999E-3"/>
  </r>
  <r>
    <n v="2021"/>
    <n v="3"/>
    <x v="8"/>
    <x v="8"/>
    <s v="SEA"/>
    <s v="Seattle, WA: Seattle/Tacoma International"/>
    <n v="39"/>
    <n v="3"/>
    <n v="1.7"/>
    <n v="0"/>
    <n v="1.3"/>
    <n v="0"/>
    <n v="0"/>
    <n v="2"/>
    <n v="0"/>
    <n v="66"/>
    <n v="38"/>
    <n v="0"/>
    <n v="28"/>
    <n v="0"/>
    <n v="0"/>
    <n v="7.6899999999999996E-2"/>
    <n v="5.1299999999999998E-2"/>
    <n v="0"/>
  </r>
  <r>
    <n v="2021"/>
    <n v="3"/>
    <x v="0"/>
    <x v="0"/>
    <s v="SEA"/>
    <s v="Seattle, WA: Seattle/Tacoma International"/>
    <n v="62"/>
    <n v="18"/>
    <n v="15.95"/>
    <n v="0"/>
    <n v="0.5"/>
    <n v="0"/>
    <n v="1.56"/>
    <n v="0"/>
    <n v="0"/>
    <n v="568"/>
    <n v="513"/>
    <n v="0"/>
    <n v="17"/>
    <n v="0"/>
    <n v="38"/>
    <n v="0.2903"/>
    <n v="0"/>
    <n v="0"/>
  </r>
  <r>
    <n v="2021"/>
    <n v="3"/>
    <x v="1"/>
    <x v="1"/>
    <s v="SEA"/>
    <s v="Seattle, WA: Seattle/Tacoma International"/>
    <n v="51"/>
    <n v="7"/>
    <n v="2"/>
    <n v="0"/>
    <n v="5"/>
    <n v="0"/>
    <n v="0"/>
    <n v="0"/>
    <n v="1"/>
    <n v="367"/>
    <n v="158"/>
    <n v="0"/>
    <n v="209"/>
    <n v="0"/>
    <n v="0"/>
    <n v="0.13730000000000001"/>
    <n v="0"/>
    <n v="1.9599999999999999E-2"/>
  </r>
  <r>
    <n v="2021"/>
    <n v="3"/>
    <x v="2"/>
    <x v="2"/>
    <s v="SEA"/>
    <s v="Seattle, WA: Seattle/Tacoma International"/>
    <n v="1768"/>
    <n v="109"/>
    <n v="86"/>
    <n v="12"/>
    <n v="2"/>
    <n v="0"/>
    <n v="9"/>
    <n v="9"/>
    <n v="1"/>
    <n v="6021"/>
    <n v="3815"/>
    <n v="1503"/>
    <n v="141"/>
    <n v="0"/>
    <n v="562"/>
    <n v="6.1699999999999998E-2"/>
    <n v="5.1000000000000004E-3"/>
    <n v="5.9999999999999995E-4"/>
  </r>
  <r>
    <n v="2021"/>
    <n v="3"/>
    <x v="3"/>
    <x v="3"/>
    <s v="SEA"/>
    <s v="Seattle, WA: Seattle/Tacoma International"/>
    <n v="2911"/>
    <n v="285"/>
    <n v="78.67"/>
    <n v="5.38"/>
    <n v="111.58"/>
    <n v="0.38"/>
    <n v="88.99"/>
    <n v="29"/>
    <n v="4"/>
    <n v="13580"/>
    <n v="6301"/>
    <n v="273"/>
    <n v="2884"/>
    <n v="6"/>
    <n v="4116"/>
    <n v="9.7900000000000001E-2"/>
    <n v="0.01"/>
    <n v="1.4E-3"/>
  </r>
  <r>
    <n v="2021"/>
    <n v="3"/>
    <x v="9"/>
    <x v="9"/>
    <s v="SEA"/>
    <s v="Seattle, WA: Seattle/Tacoma International"/>
    <n v="312"/>
    <n v="18"/>
    <n v="6.84"/>
    <n v="1.19"/>
    <n v="6"/>
    <n v="0"/>
    <n v="3.97"/>
    <n v="6"/>
    <n v="0"/>
    <n v="943"/>
    <n v="303"/>
    <n v="91"/>
    <n v="179"/>
    <n v="0"/>
    <n v="370"/>
    <n v="5.7700000000000001E-2"/>
    <n v="1.9199999999999998E-2"/>
    <n v="0"/>
  </r>
  <r>
    <n v="2021"/>
    <n v="3"/>
    <x v="10"/>
    <x v="10"/>
    <s v="SEA"/>
    <s v="Seattle, WA: Seattle/Tacoma International"/>
    <n v="405"/>
    <n v="53"/>
    <n v="28.51"/>
    <n v="0"/>
    <n v="5.41"/>
    <n v="0.96"/>
    <n v="18.12"/>
    <n v="9"/>
    <n v="0"/>
    <n v="2621"/>
    <n v="1166"/>
    <n v="0"/>
    <n v="193"/>
    <n v="47"/>
    <n v="1215"/>
    <n v="0.13089999999999999"/>
    <n v="2.2200000000000001E-2"/>
    <n v="0"/>
  </r>
  <r>
    <n v="2021"/>
    <n v="2"/>
    <x v="4"/>
    <x v="4"/>
    <s v="SEA"/>
    <s v="Seattle, WA: Seattle/Tacoma International"/>
    <n v="283"/>
    <n v="55"/>
    <n v="19.29"/>
    <n v="4.4400000000000004"/>
    <n v="22.13"/>
    <n v="0"/>
    <n v="9.14"/>
    <n v="21"/>
    <n v="0"/>
    <n v="3285"/>
    <n v="1480"/>
    <n v="275"/>
    <n v="706"/>
    <n v="0"/>
    <n v="824"/>
    <n v="0.1943"/>
    <n v="7.4200000000000002E-2"/>
    <n v="0"/>
  </r>
  <r>
    <n v="2021"/>
    <n v="2"/>
    <x v="5"/>
    <x v="5"/>
    <s v="SEA"/>
    <s v="Seattle, WA: Seattle/Tacoma International"/>
    <n v="4186"/>
    <n v="892"/>
    <n v="112.1"/>
    <n v="28.17"/>
    <n v="634.89"/>
    <n v="2.17"/>
    <n v="114.68"/>
    <n v="277"/>
    <n v="6"/>
    <n v="47555"/>
    <n v="9151"/>
    <n v="4138"/>
    <n v="23715"/>
    <n v="51"/>
    <n v="10500"/>
    <n v="0.21310000000000001"/>
    <n v="6.6199999999999995E-2"/>
    <n v="1.4E-3"/>
  </r>
  <r>
    <n v="2021"/>
    <n v="2"/>
    <x v="6"/>
    <x v="6"/>
    <s v="SEA"/>
    <s v="Seattle, WA: Seattle/Tacoma International"/>
    <n v="13"/>
    <n v="4"/>
    <n v="0.19"/>
    <n v="0"/>
    <n v="3.09"/>
    <n v="0"/>
    <n v="0.72"/>
    <n v="0"/>
    <n v="0"/>
    <n v="160"/>
    <n v="18"/>
    <n v="0"/>
    <n v="73"/>
    <n v="0"/>
    <n v="69"/>
    <n v="0.30769999999999997"/>
    <n v="0"/>
    <n v="0"/>
  </r>
  <r>
    <n v="2021"/>
    <n v="2"/>
    <x v="7"/>
    <x v="7"/>
    <s v="SEA"/>
    <s v="Seattle, WA: Seattle/Tacoma International"/>
    <n v="1389"/>
    <n v="170"/>
    <n v="41.14"/>
    <n v="8.65"/>
    <n v="96.87"/>
    <n v="0"/>
    <n v="23.34"/>
    <n v="13"/>
    <n v="4"/>
    <n v="10864"/>
    <n v="4320"/>
    <n v="1400"/>
    <n v="2920"/>
    <n v="0"/>
    <n v="2224"/>
    <n v="0.12239999999999999"/>
    <n v="9.4000000000000004E-3"/>
    <n v="2.8999999999999998E-3"/>
  </r>
  <r>
    <n v="2021"/>
    <n v="2"/>
    <x v="8"/>
    <x v="8"/>
    <s v="SEA"/>
    <s v="Seattle, WA: Seattle/Tacoma International"/>
    <n v="18"/>
    <n v="4"/>
    <n v="0.03"/>
    <n v="0.61"/>
    <n v="3.36"/>
    <n v="0"/>
    <n v="0"/>
    <n v="0"/>
    <n v="0"/>
    <n v="162"/>
    <n v="1"/>
    <n v="36"/>
    <n v="125"/>
    <n v="0"/>
    <n v="0"/>
    <n v="0.22220000000000001"/>
    <n v="0"/>
    <n v="0"/>
  </r>
  <r>
    <n v="2021"/>
    <n v="2"/>
    <x v="0"/>
    <x v="0"/>
    <s v="SEA"/>
    <s v="Seattle, WA: Seattle/Tacoma International"/>
    <n v="56"/>
    <n v="5"/>
    <n v="4"/>
    <n v="0"/>
    <n v="0"/>
    <n v="0"/>
    <n v="1"/>
    <n v="0"/>
    <n v="1"/>
    <n v="133"/>
    <n v="115"/>
    <n v="0"/>
    <n v="0"/>
    <n v="0"/>
    <n v="18"/>
    <n v="8.9300000000000004E-2"/>
    <n v="0"/>
    <n v="1.7899999999999999E-2"/>
  </r>
  <r>
    <n v="2021"/>
    <n v="2"/>
    <x v="1"/>
    <x v="1"/>
    <s v="SEA"/>
    <s v="Seattle, WA: Seattle/Tacoma International"/>
    <n v="28"/>
    <n v="8"/>
    <n v="0.98"/>
    <n v="0"/>
    <n v="7.02"/>
    <n v="0"/>
    <n v="0"/>
    <n v="0"/>
    <n v="0"/>
    <n v="350"/>
    <n v="201"/>
    <n v="0"/>
    <n v="149"/>
    <n v="0"/>
    <n v="0"/>
    <n v="0.28570000000000001"/>
    <n v="0"/>
    <n v="0"/>
  </r>
  <r>
    <n v="2021"/>
    <n v="2"/>
    <x v="2"/>
    <x v="2"/>
    <s v="SEA"/>
    <s v="Seattle, WA: Seattle/Tacoma International"/>
    <n v="1520"/>
    <n v="182"/>
    <n v="132"/>
    <n v="40"/>
    <n v="3"/>
    <n v="0"/>
    <n v="7"/>
    <n v="53"/>
    <n v="3"/>
    <n v="11422"/>
    <n v="7697"/>
    <n v="2999"/>
    <n v="274"/>
    <n v="0"/>
    <n v="452"/>
    <n v="0.1197"/>
    <n v="3.49E-2"/>
    <n v="2E-3"/>
  </r>
  <r>
    <n v="2021"/>
    <n v="2"/>
    <x v="3"/>
    <x v="3"/>
    <s v="SEA"/>
    <s v="Seattle, WA: Seattle/Tacoma International"/>
    <n v="2536"/>
    <n v="512"/>
    <n v="87.06"/>
    <n v="44.96"/>
    <n v="260.54000000000002"/>
    <n v="0"/>
    <n v="119.43"/>
    <n v="201"/>
    <n v="7"/>
    <n v="26398"/>
    <n v="6338"/>
    <n v="3818"/>
    <n v="9327"/>
    <n v="0"/>
    <n v="6915"/>
    <n v="0.2019"/>
    <n v="7.9299999999999995E-2"/>
    <n v="2.8E-3"/>
  </r>
  <r>
    <n v="2021"/>
    <n v="2"/>
    <x v="9"/>
    <x v="9"/>
    <s v="SEA"/>
    <s v="Seattle, WA: Seattle/Tacoma International"/>
    <n v="228"/>
    <n v="51"/>
    <n v="12.1"/>
    <n v="5.18"/>
    <n v="27.13"/>
    <n v="0"/>
    <n v="6.59"/>
    <n v="5"/>
    <n v="0"/>
    <n v="2216"/>
    <n v="451"/>
    <n v="274"/>
    <n v="847"/>
    <n v="0"/>
    <n v="644"/>
    <n v="0.22370000000000001"/>
    <n v="2.1899999999999999E-2"/>
    <n v="0"/>
  </r>
  <r>
    <n v="2021"/>
    <n v="2"/>
    <x v="10"/>
    <x v="10"/>
    <s v="SEA"/>
    <s v="Seattle, WA: Seattle/Tacoma International"/>
    <n v="299"/>
    <n v="48"/>
    <n v="21.34"/>
    <n v="0"/>
    <n v="9.91"/>
    <n v="1"/>
    <n v="15.76"/>
    <n v="18"/>
    <n v="0"/>
    <n v="1477"/>
    <n v="677"/>
    <n v="0"/>
    <n v="302"/>
    <n v="28"/>
    <n v="470"/>
    <n v="0.1605"/>
    <n v="6.0199999999999997E-2"/>
    <n v="0"/>
  </r>
  <r>
    <n v="2021"/>
    <n v="1"/>
    <x v="4"/>
    <x v="4"/>
    <s v="SEA"/>
    <s v="Seattle, WA: Seattle/Tacoma International"/>
    <n v="330"/>
    <n v="22"/>
    <n v="5.53"/>
    <n v="1.1100000000000001"/>
    <n v="8.81"/>
    <n v="0"/>
    <n v="6.55"/>
    <n v="2"/>
    <n v="0"/>
    <n v="933"/>
    <n v="261"/>
    <n v="68"/>
    <n v="225"/>
    <n v="0"/>
    <n v="379"/>
    <n v="6.6699999999999995E-2"/>
    <n v="6.1000000000000004E-3"/>
    <n v="0"/>
  </r>
  <r>
    <n v="2021"/>
    <n v="1"/>
    <x v="5"/>
    <x v="5"/>
    <s v="SEA"/>
    <s v="Seattle, WA: Seattle/Tacoma International"/>
    <n v="3806"/>
    <n v="298"/>
    <n v="75.89"/>
    <n v="5.19"/>
    <n v="170.36"/>
    <n v="1"/>
    <n v="45.56"/>
    <n v="23"/>
    <n v="4"/>
    <n v="12780"/>
    <n v="4400"/>
    <n v="468"/>
    <n v="4661"/>
    <n v="30"/>
    <n v="3221"/>
    <n v="7.8299999999999995E-2"/>
    <n v="6.0000000000000001E-3"/>
    <n v="1.1000000000000001E-3"/>
  </r>
  <r>
    <n v="2021"/>
    <n v="1"/>
    <x v="6"/>
    <x v="6"/>
    <s v="SEA"/>
    <s v="Seattle, WA: Seattle/Tacoma International"/>
    <n v="20"/>
    <n v="1"/>
    <n v="0.55000000000000004"/>
    <n v="0"/>
    <n v="0.2"/>
    <n v="0"/>
    <n v="0.25"/>
    <n v="0"/>
    <n v="0"/>
    <n v="40"/>
    <n v="22"/>
    <n v="0"/>
    <n v="8"/>
    <n v="0"/>
    <n v="10"/>
    <n v="0.05"/>
    <n v="0"/>
    <n v="0"/>
  </r>
  <r>
    <n v="2021"/>
    <n v="1"/>
    <x v="7"/>
    <x v="7"/>
    <s v="SEA"/>
    <s v="Seattle, WA: Seattle/Tacoma International"/>
    <n v="1572"/>
    <n v="98"/>
    <n v="45.01"/>
    <n v="0.28999999999999998"/>
    <n v="33.35"/>
    <n v="0"/>
    <n v="19.350000000000001"/>
    <n v="3"/>
    <n v="3"/>
    <n v="7224"/>
    <n v="4572"/>
    <n v="11"/>
    <n v="946"/>
    <n v="0"/>
    <n v="1695"/>
    <n v="6.2300000000000001E-2"/>
    <n v="1.9E-3"/>
    <n v="1.9E-3"/>
  </r>
  <r>
    <n v="2021"/>
    <n v="1"/>
    <x v="8"/>
    <x v="8"/>
    <s v="SEA"/>
    <s v="Seattle, WA: Seattle/Tacoma International"/>
    <n v="25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21"/>
    <n v="1"/>
    <x v="0"/>
    <x v="0"/>
    <s v="SEA"/>
    <s v="Seattle, WA: Seattle/Tacoma International"/>
    <n v="62"/>
    <n v="16"/>
    <n v="15.05"/>
    <n v="0"/>
    <n v="0"/>
    <n v="0"/>
    <n v="0.95"/>
    <n v="0"/>
    <n v="0"/>
    <n v="508"/>
    <n v="470"/>
    <n v="0"/>
    <n v="0"/>
    <n v="0"/>
    <n v="38"/>
    <n v="0.2581"/>
    <n v="0"/>
    <n v="0"/>
  </r>
  <r>
    <n v="2021"/>
    <n v="1"/>
    <x v="1"/>
    <x v="1"/>
    <s v="SEA"/>
    <s v="Seattle, WA: Seattle/Tacoma International"/>
    <n v="36"/>
    <n v="1"/>
    <n v="0.9"/>
    <n v="0"/>
    <n v="0.1"/>
    <n v="0"/>
    <n v="0"/>
    <n v="0"/>
    <n v="1"/>
    <n v="21"/>
    <n v="19"/>
    <n v="0"/>
    <n v="2"/>
    <n v="0"/>
    <n v="0"/>
    <n v="2.7799999999999998E-2"/>
    <n v="0"/>
    <n v="2.7799999999999998E-2"/>
  </r>
  <r>
    <n v="2021"/>
    <n v="1"/>
    <x v="2"/>
    <x v="2"/>
    <s v="SEA"/>
    <s v="Seattle, WA: Seattle/Tacoma International"/>
    <n v="1718"/>
    <n v="106"/>
    <n v="70"/>
    <n v="21"/>
    <n v="0"/>
    <n v="1"/>
    <n v="14"/>
    <n v="2"/>
    <n v="6"/>
    <n v="9000"/>
    <n v="4689"/>
    <n v="3194"/>
    <n v="0"/>
    <n v="19"/>
    <n v="1098"/>
    <n v="6.1699999999999998E-2"/>
    <n v="1.1999999999999999E-3"/>
    <n v="3.5000000000000001E-3"/>
  </r>
  <r>
    <n v="2021"/>
    <n v="1"/>
    <x v="3"/>
    <x v="3"/>
    <s v="SEA"/>
    <s v="Seattle, WA: Seattle/Tacoma International"/>
    <n v="2505"/>
    <n v="208"/>
    <n v="74.09"/>
    <n v="12.4"/>
    <n v="59.68"/>
    <n v="0"/>
    <n v="61.83"/>
    <n v="38"/>
    <n v="3"/>
    <n v="10725"/>
    <n v="4865"/>
    <n v="639"/>
    <n v="1755"/>
    <n v="0"/>
    <n v="3466"/>
    <n v="8.3000000000000004E-2"/>
    <n v="1.52E-2"/>
    <n v="1.1999999999999999E-3"/>
  </r>
  <r>
    <n v="2021"/>
    <n v="1"/>
    <x v="9"/>
    <x v="9"/>
    <s v="SEA"/>
    <s v="Seattle, WA: Seattle/Tacoma International"/>
    <n v="248"/>
    <n v="10"/>
    <n v="3.07"/>
    <n v="0.46"/>
    <n v="4"/>
    <n v="0"/>
    <n v="2.4700000000000002"/>
    <n v="0"/>
    <n v="0"/>
    <n v="454"/>
    <n v="213"/>
    <n v="18"/>
    <n v="87"/>
    <n v="0"/>
    <n v="136"/>
    <n v="4.0300000000000002E-2"/>
    <n v="0"/>
    <n v="0"/>
  </r>
  <r>
    <n v="2021"/>
    <n v="1"/>
    <x v="10"/>
    <x v="10"/>
    <s v="SEA"/>
    <s v="Seattle, WA: Seattle/Tacoma International"/>
    <n v="351"/>
    <n v="30"/>
    <n v="13.51"/>
    <n v="0"/>
    <n v="1.76"/>
    <n v="0"/>
    <n v="14.72"/>
    <n v="0"/>
    <n v="0"/>
    <n v="1272"/>
    <n v="578"/>
    <n v="0"/>
    <n v="46"/>
    <n v="0"/>
    <n v="648"/>
    <n v="8.5500000000000007E-2"/>
    <n v="0"/>
    <n v="0"/>
  </r>
  <r>
    <n v="2020"/>
    <n v="12"/>
    <x v="4"/>
    <x v="4"/>
    <s v="SEA"/>
    <s v="Seattle, WA: Seattle/Tacoma International"/>
    <n v="337"/>
    <n v="34"/>
    <n v="13.72"/>
    <n v="0"/>
    <n v="11.3"/>
    <n v="0"/>
    <n v="8.98"/>
    <n v="0"/>
    <n v="0"/>
    <n v="1872"/>
    <n v="722"/>
    <n v="0"/>
    <n v="525"/>
    <n v="0"/>
    <n v="625"/>
    <n v="0.1009"/>
    <n v="0"/>
    <n v="0"/>
  </r>
  <r>
    <n v="2020"/>
    <n v="12"/>
    <x v="5"/>
    <x v="5"/>
    <s v="SEA"/>
    <s v="Seattle, WA: Seattle/Tacoma International"/>
    <n v="3812"/>
    <n v="235"/>
    <n v="64.400000000000006"/>
    <n v="10.24"/>
    <n v="109.48"/>
    <n v="1.47"/>
    <n v="49.41"/>
    <n v="47"/>
    <n v="6"/>
    <n v="11162"/>
    <n v="4013"/>
    <n v="669"/>
    <n v="3119"/>
    <n v="28"/>
    <n v="3333"/>
    <n v="6.1600000000000002E-2"/>
    <n v="1.23E-2"/>
    <n v="1.6000000000000001E-3"/>
  </r>
  <r>
    <n v="2020"/>
    <n v="12"/>
    <x v="6"/>
    <x v="6"/>
    <s v="SEA"/>
    <s v="Seattle, WA: Seattle/Tacoma International"/>
    <n v="37"/>
    <n v="7"/>
    <n v="3.44"/>
    <n v="0.48"/>
    <n v="3.08"/>
    <n v="0"/>
    <n v="0"/>
    <n v="1"/>
    <n v="0"/>
    <n v="521"/>
    <n v="263"/>
    <n v="64"/>
    <n v="194"/>
    <n v="0"/>
    <n v="0"/>
    <n v="0.18920000000000001"/>
    <n v="2.7E-2"/>
    <n v="0"/>
  </r>
  <r>
    <n v="2020"/>
    <n v="12"/>
    <x v="7"/>
    <x v="7"/>
    <s v="SEA"/>
    <s v="Seattle, WA: Seattle/Tacoma International"/>
    <n v="1669"/>
    <n v="155"/>
    <n v="54.1"/>
    <n v="5.43"/>
    <n v="79.12"/>
    <n v="0"/>
    <n v="16.350000000000001"/>
    <n v="27"/>
    <n v="2"/>
    <n v="10126"/>
    <n v="5677"/>
    <n v="600"/>
    <n v="2768"/>
    <n v="0"/>
    <n v="1081"/>
    <n v="9.2899999999999996E-2"/>
    <n v="1.6199999999999999E-2"/>
    <n v="1.1999999999999999E-3"/>
  </r>
  <r>
    <n v="2020"/>
    <n v="12"/>
    <x v="8"/>
    <x v="8"/>
    <s v="SEA"/>
    <s v="Seattle, WA: Seattle/Tacoma International"/>
    <n v="45"/>
    <n v="5"/>
    <n v="1.58"/>
    <n v="0"/>
    <n v="3.38"/>
    <n v="0"/>
    <n v="0.04"/>
    <n v="0"/>
    <n v="0"/>
    <n v="133"/>
    <n v="30"/>
    <n v="0"/>
    <n v="102"/>
    <n v="0"/>
    <n v="1"/>
    <n v="0.1111"/>
    <n v="0"/>
    <n v="0"/>
  </r>
  <r>
    <n v="2020"/>
    <n v="12"/>
    <x v="0"/>
    <x v="0"/>
    <s v="SEA"/>
    <s v="Seattle, WA: Seattle/Tacoma International"/>
    <n v="54"/>
    <n v="9"/>
    <n v="9"/>
    <n v="0"/>
    <n v="0"/>
    <n v="0"/>
    <n v="0"/>
    <n v="0"/>
    <n v="0"/>
    <n v="274"/>
    <n v="274"/>
    <n v="0"/>
    <n v="0"/>
    <n v="0"/>
    <n v="0"/>
    <n v="0.16669999999999999"/>
    <n v="0"/>
    <n v="0"/>
  </r>
  <r>
    <n v="2020"/>
    <n v="12"/>
    <x v="1"/>
    <x v="1"/>
    <s v="SEA"/>
    <s v="Seattle, WA: Seattle/Tacoma International"/>
    <n v="43"/>
    <n v="10"/>
    <n v="0.37"/>
    <n v="0"/>
    <n v="8"/>
    <n v="0.7"/>
    <n v="0.93"/>
    <n v="0"/>
    <n v="0"/>
    <n v="256"/>
    <n v="10"/>
    <n v="0"/>
    <n v="199"/>
    <n v="19"/>
    <n v="28"/>
    <n v="0.2326"/>
    <n v="0"/>
    <n v="0"/>
  </r>
  <r>
    <n v="2020"/>
    <n v="12"/>
    <x v="2"/>
    <x v="2"/>
    <s v="SEA"/>
    <s v="Seattle, WA: Seattle/Tacoma International"/>
    <n v="1883"/>
    <n v="160"/>
    <n v="109"/>
    <n v="35"/>
    <n v="3"/>
    <n v="0"/>
    <n v="13"/>
    <n v="16"/>
    <n v="10"/>
    <n v="10028"/>
    <n v="4687"/>
    <n v="4435"/>
    <n v="258"/>
    <n v="0"/>
    <n v="648"/>
    <n v="8.5000000000000006E-2"/>
    <n v="8.5000000000000006E-3"/>
    <n v="5.3E-3"/>
  </r>
  <r>
    <n v="2020"/>
    <n v="12"/>
    <x v="3"/>
    <x v="3"/>
    <s v="SEA"/>
    <s v="Seattle, WA: Seattle/Tacoma International"/>
    <n v="2810"/>
    <n v="286"/>
    <n v="68.95"/>
    <n v="19.47"/>
    <n v="123.83"/>
    <n v="0"/>
    <n v="73.75"/>
    <n v="54"/>
    <n v="3"/>
    <n v="11804"/>
    <n v="4370"/>
    <n v="997"/>
    <n v="3364"/>
    <n v="0"/>
    <n v="3073"/>
    <n v="0.1018"/>
    <n v="1.9199999999999998E-2"/>
    <n v="1.1000000000000001E-3"/>
  </r>
  <r>
    <n v="2020"/>
    <n v="12"/>
    <x v="9"/>
    <x v="9"/>
    <s v="SEA"/>
    <s v="Seattle, WA: Seattle/Tacoma International"/>
    <n v="363"/>
    <n v="26"/>
    <n v="13.36"/>
    <n v="1.02"/>
    <n v="5.2"/>
    <n v="0"/>
    <n v="6.41"/>
    <n v="2"/>
    <n v="1"/>
    <n v="1161"/>
    <n v="456"/>
    <n v="75"/>
    <n v="159"/>
    <n v="0"/>
    <n v="471"/>
    <n v="7.1599999999999997E-2"/>
    <n v="5.4999999999999997E-3"/>
    <n v="2.8E-3"/>
  </r>
  <r>
    <n v="2020"/>
    <n v="12"/>
    <x v="10"/>
    <x v="10"/>
    <s v="SEA"/>
    <s v="Seattle, WA: Seattle/Tacoma International"/>
    <n v="402"/>
    <n v="52"/>
    <n v="29.02"/>
    <n v="0"/>
    <n v="7.5"/>
    <n v="0"/>
    <n v="15.48"/>
    <n v="0"/>
    <n v="1"/>
    <n v="1747"/>
    <n v="1006"/>
    <n v="0"/>
    <n v="209"/>
    <n v="0"/>
    <n v="532"/>
    <n v="0.12939999999999999"/>
    <n v="0"/>
    <n v="2.5000000000000001E-3"/>
  </r>
  <r>
    <n v="2020"/>
    <n v="11"/>
    <x v="4"/>
    <x v="4"/>
    <s v="SEA"/>
    <s v="Seattle, WA: Seattle/Tacoma International"/>
    <n v="355"/>
    <n v="31"/>
    <n v="12.82"/>
    <n v="1"/>
    <n v="16.55"/>
    <n v="0.34"/>
    <n v="0.28999999999999998"/>
    <n v="0"/>
    <n v="0"/>
    <n v="781"/>
    <n v="361"/>
    <n v="31"/>
    <n v="357"/>
    <n v="27"/>
    <n v="5"/>
    <n v="8.7300000000000003E-2"/>
    <n v="0"/>
    <n v="0"/>
  </r>
  <r>
    <n v="2020"/>
    <n v="11"/>
    <x v="5"/>
    <x v="5"/>
    <s v="SEA"/>
    <s v="Seattle, WA: Seattle/Tacoma International"/>
    <n v="3884"/>
    <n v="368"/>
    <n v="113.47"/>
    <n v="4.63"/>
    <n v="152.69"/>
    <n v="0.7"/>
    <n v="96.51"/>
    <n v="38"/>
    <n v="4"/>
    <n v="18098"/>
    <n v="8022"/>
    <n v="265"/>
    <n v="4232"/>
    <n v="16"/>
    <n v="5563"/>
    <n v="9.4700000000000006E-2"/>
    <n v="9.7999999999999997E-3"/>
    <n v="1E-3"/>
  </r>
  <r>
    <n v="2020"/>
    <n v="11"/>
    <x v="6"/>
    <x v="6"/>
    <s v="SEA"/>
    <s v="Seattle, WA: Seattle/Tacoma International"/>
    <n v="42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20"/>
    <n v="11"/>
    <x v="7"/>
    <x v="7"/>
    <s v="SEA"/>
    <s v="Seattle, WA: Seattle/Tacoma International"/>
    <n v="1792"/>
    <n v="122"/>
    <n v="36.89"/>
    <n v="2.6"/>
    <n v="70.25"/>
    <n v="0"/>
    <n v="12.25"/>
    <n v="35"/>
    <n v="2"/>
    <n v="5930"/>
    <n v="3169"/>
    <n v="90"/>
    <n v="2031"/>
    <n v="0"/>
    <n v="640"/>
    <n v="6.8099999999999994E-2"/>
    <n v="1.95E-2"/>
    <n v="1.1000000000000001E-3"/>
  </r>
  <r>
    <n v="2020"/>
    <n v="11"/>
    <x v="8"/>
    <x v="8"/>
    <s v="SEA"/>
    <s v="Seattle, WA: Seattle/Tacoma International"/>
    <n v="54"/>
    <n v="2"/>
    <n v="1"/>
    <n v="0"/>
    <n v="1"/>
    <n v="0"/>
    <n v="0"/>
    <n v="0"/>
    <n v="0"/>
    <n v="45"/>
    <n v="29"/>
    <n v="0"/>
    <n v="16"/>
    <n v="0"/>
    <n v="0"/>
    <n v="3.6999999999999998E-2"/>
    <n v="0"/>
    <n v="0"/>
  </r>
  <r>
    <n v="2020"/>
    <n v="11"/>
    <x v="0"/>
    <x v="0"/>
    <s v="SEA"/>
    <s v="Seattle, WA: Seattle/Tacoma International"/>
    <n v="37"/>
    <n v="8"/>
    <n v="8"/>
    <n v="0"/>
    <n v="0"/>
    <n v="0"/>
    <n v="0"/>
    <n v="0"/>
    <n v="0"/>
    <n v="439"/>
    <n v="439"/>
    <n v="0"/>
    <n v="0"/>
    <n v="0"/>
    <n v="0"/>
    <n v="0.2162"/>
    <n v="0"/>
    <n v="0"/>
  </r>
  <r>
    <n v="2020"/>
    <n v="11"/>
    <x v="1"/>
    <x v="1"/>
    <s v="SEA"/>
    <s v="Seattle, WA: Seattle/Tacoma International"/>
    <n v="47"/>
    <n v="10"/>
    <n v="0.23"/>
    <n v="0"/>
    <n v="8.17"/>
    <n v="0"/>
    <n v="1.61"/>
    <n v="0"/>
    <n v="0"/>
    <n v="218"/>
    <n v="5"/>
    <n v="0"/>
    <n v="171"/>
    <n v="0"/>
    <n v="42"/>
    <n v="0.21279999999999999"/>
    <n v="0"/>
    <n v="0"/>
  </r>
  <r>
    <n v="2020"/>
    <n v="11"/>
    <x v="2"/>
    <x v="2"/>
    <s v="SEA"/>
    <s v="Seattle, WA: Seattle/Tacoma International"/>
    <n v="1824"/>
    <n v="114"/>
    <n v="81"/>
    <n v="16"/>
    <n v="2"/>
    <n v="0"/>
    <n v="15"/>
    <n v="4"/>
    <n v="8"/>
    <n v="4757"/>
    <n v="3124"/>
    <n v="796"/>
    <n v="85"/>
    <n v="0"/>
    <n v="752"/>
    <n v="6.25E-2"/>
    <n v="2.2000000000000001E-3"/>
    <n v="4.4000000000000003E-3"/>
  </r>
  <r>
    <n v="2020"/>
    <n v="11"/>
    <x v="3"/>
    <x v="3"/>
    <s v="SEA"/>
    <s v="Seattle, WA: Seattle/Tacoma International"/>
    <n v="2671"/>
    <n v="272"/>
    <n v="89.79"/>
    <n v="10.58"/>
    <n v="108.72"/>
    <n v="0"/>
    <n v="62.92"/>
    <n v="31"/>
    <n v="1"/>
    <n v="13030"/>
    <n v="6379"/>
    <n v="603"/>
    <n v="2800"/>
    <n v="0"/>
    <n v="3248"/>
    <n v="0.1018"/>
    <n v="1.1599999999999999E-2"/>
    <n v="4.0000000000000002E-4"/>
  </r>
  <r>
    <n v="2020"/>
    <n v="11"/>
    <x v="9"/>
    <x v="9"/>
    <s v="SEA"/>
    <s v="Seattle, WA: Seattle/Tacoma International"/>
    <n v="382"/>
    <n v="21"/>
    <n v="7.37"/>
    <n v="0.71"/>
    <n v="7.92"/>
    <n v="0"/>
    <n v="5"/>
    <n v="1"/>
    <n v="1"/>
    <n v="865"/>
    <n v="362"/>
    <n v="25"/>
    <n v="267"/>
    <n v="0"/>
    <n v="211"/>
    <n v="5.5E-2"/>
    <n v="2.5999999999999999E-3"/>
    <n v="2.5999999999999999E-3"/>
  </r>
  <r>
    <n v="2020"/>
    <n v="11"/>
    <x v="10"/>
    <x v="10"/>
    <s v="SEA"/>
    <s v="Seattle, WA: Seattle/Tacoma International"/>
    <n v="405"/>
    <n v="11"/>
    <n v="6.22"/>
    <n v="1"/>
    <n v="0.92"/>
    <n v="0"/>
    <n v="2.86"/>
    <n v="4"/>
    <n v="0"/>
    <n v="635"/>
    <n v="484"/>
    <n v="20"/>
    <n v="25"/>
    <n v="0"/>
    <n v="106"/>
    <n v="2.7199999999999998E-2"/>
    <n v="9.9000000000000008E-3"/>
    <n v="0"/>
  </r>
  <r>
    <n v="2020"/>
    <n v="10"/>
    <x v="4"/>
    <x v="4"/>
    <s v="SEA"/>
    <s v="Seattle, WA: Seattle/Tacoma International"/>
    <n v="373"/>
    <n v="92"/>
    <n v="26.53"/>
    <n v="1.1499999999999999"/>
    <n v="58.73"/>
    <n v="0"/>
    <n v="5.59"/>
    <n v="0"/>
    <n v="1"/>
    <n v="3691"/>
    <n v="1366"/>
    <n v="22"/>
    <n v="1821"/>
    <n v="0"/>
    <n v="482"/>
    <n v="0.24660000000000001"/>
    <n v="0"/>
    <n v="2.7000000000000001E-3"/>
  </r>
  <r>
    <n v="2020"/>
    <n v="10"/>
    <x v="5"/>
    <x v="5"/>
    <s v="SEA"/>
    <s v="Seattle, WA: Seattle/Tacoma International"/>
    <n v="3980"/>
    <n v="325"/>
    <n v="77.099999999999994"/>
    <n v="4.88"/>
    <n v="184.25"/>
    <n v="1"/>
    <n v="57.77"/>
    <n v="10"/>
    <n v="6"/>
    <n v="14136"/>
    <n v="5422"/>
    <n v="302"/>
    <n v="4970"/>
    <n v="39"/>
    <n v="3403"/>
    <n v="8.1699999999999995E-2"/>
    <n v="2.5000000000000001E-3"/>
    <n v="1.5E-3"/>
  </r>
  <r>
    <n v="2020"/>
    <n v="10"/>
    <x v="6"/>
    <x v="6"/>
    <s v="SEA"/>
    <s v="Seattle, WA: Seattle/Tacoma International"/>
    <n v="30"/>
    <n v="2"/>
    <n v="1"/>
    <n v="0"/>
    <n v="1"/>
    <n v="0"/>
    <n v="0"/>
    <n v="0"/>
    <n v="0"/>
    <n v="39"/>
    <n v="15"/>
    <n v="0"/>
    <n v="24"/>
    <n v="0"/>
    <n v="0"/>
    <n v="6.6699999999999995E-2"/>
    <n v="0"/>
    <n v="0"/>
  </r>
  <r>
    <n v="2020"/>
    <n v="10"/>
    <x v="7"/>
    <x v="7"/>
    <s v="SEA"/>
    <s v="Seattle, WA: Seattle/Tacoma International"/>
    <n v="1765"/>
    <n v="160"/>
    <n v="38.35"/>
    <n v="3.57"/>
    <n v="102.39"/>
    <n v="1"/>
    <n v="14.7"/>
    <n v="5"/>
    <n v="3"/>
    <n v="6836"/>
    <n v="2823"/>
    <n v="446"/>
    <n v="2559"/>
    <n v="56"/>
    <n v="952"/>
    <n v="9.0700000000000003E-2"/>
    <n v="2.8E-3"/>
    <n v="1.6999999999999999E-3"/>
  </r>
  <r>
    <n v="2020"/>
    <n v="10"/>
    <x v="8"/>
    <x v="8"/>
    <s v="SEA"/>
    <s v="Seattle, WA: Seattle/Tacoma International"/>
    <n v="59"/>
    <n v="11"/>
    <n v="3.22"/>
    <n v="0"/>
    <n v="5.18"/>
    <n v="0"/>
    <n v="2.6"/>
    <n v="0"/>
    <n v="0"/>
    <n v="280"/>
    <n v="94"/>
    <n v="0"/>
    <n v="92"/>
    <n v="0"/>
    <n v="94"/>
    <n v="0.18640000000000001"/>
    <n v="0"/>
    <n v="0"/>
  </r>
  <r>
    <n v="2020"/>
    <n v="10"/>
    <x v="0"/>
    <x v="0"/>
    <s v="SEA"/>
    <s v="Seattle, WA: Seattle/Tacoma International"/>
    <n v="31"/>
    <n v="1"/>
    <n v="0.77"/>
    <n v="0"/>
    <n v="0"/>
    <n v="0"/>
    <n v="0.23"/>
    <n v="0"/>
    <n v="0"/>
    <n v="22"/>
    <n v="17"/>
    <n v="0"/>
    <n v="0"/>
    <n v="0"/>
    <n v="5"/>
    <n v="3.2300000000000002E-2"/>
    <n v="0"/>
    <n v="0"/>
  </r>
  <r>
    <n v="2020"/>
    <n v="10"/>
    <x v="1"/>
    <x v="1"/>
    <s v="SEA"/>
    <s v="Seattle, WA: Seattle/Tacoma International"/>
    <n v="43"/>
    <n v="2"/>
    <n v="1"/>
    <n v="0"/>
    <n v="1"/>
    <n v="0"/>
    <n v="0"/>
    <n v="0"/>
    <n v="0"/>
    <n v="74"/>
    <n v="23"/>
    <n v="0"/>
    <n v="51"/>
    <n v="0"/>
    <n v="0"/>
    <n v="4.65E-2"/>
    <n v="0"/>
    <n v="0"/>
  </r>
  <r>
    <n v="2020"/>
    <n v="10"/>
    <x v="2"/>
    <x v="2"/>
    <s v="SEA"/>
    <s v="Seattle, WA: Seattle/Tacoma International"/>
    <n v="1863"/>
    <n v="152"/>
    <n v="92"/>
    <n v="44"/>
    <n v="2"/>
    <n v="0"/>
    <n v="14"/>
    <n v="0"/>
    <n v="24"/>
    <n v="9199"/>
    <n v="3727"/>
    <n v="4598"/>
    <n v="64"/>
    <n v="0"/>
    <n v="810"/>
    <n v="8.1600000000000006E-2"/>
    <n v="0"/>
    <n v="1.29E-2"/>
  </r>
  <r>
    <n v="2020"/>
    <n v="10"/>
    <x v="3"/>
    <x v="3"/>
    <s v="SEA"/>
    <s v="Seattle, WA: Seattle/Tacoma International"/>
    <n v="2759"/>
    <n v="242"/>
    <n v="55.2"/>
    <n v="12.83"/>
    <n v="119.76"/>
    <n v="0"/>
    <n v="54.21"/>
    <n v="21"/>
    <n v="7"/>
    <n v="10621"/>
    <n v="3876"/>
    <n v="1338"/>
    <n v="3390"/>
    <n v="0"/>
    <n v="2017"/>
    <n v="8.77E-2"/>
    <n v="7.6E-3"/>
    <n v="2.5000000000000001E-3"/>
  </r>
  <r>
    <n v="2020"/>
    <n v="10"/>
    <x v="9"/>
    <x v="9"/>
    <s v="SEA"/>
    <s v="Seattle, WA: Seattle/Tacoma International"/>
    <n v="464"/>
    <n v="37"/>
    <n v="8.77"/>
    <n v="0"/>
    <n v="22.84"/>
    <n v="0"/>
    <n v="5.39"/>
    <n v="1"/>
    <n v="1"/>
    <n v="1437"/>
    <n v="559"/>
    <n v="0"/>
    <n v="588"/>
    <n v="0"/>
    <n v="290"/>
    <n v="7.9699999999999993E-2"/>
    <n v="2.2000000000000001E-3"/>
    <n v="2.2000000000000001E-3"/>
  </r>
  <r>
    <n v="2020"/>
    <n v="10"/>
    <x v="10"/>
    <x v="10"/>
    <s v="SEA"/>
    <s v="Seattle, WA: Seattle/Tacoma International"/>
    <n v="394"/>
    <n v="29"/>
    <n v="6.37"/>
    <n v="0"/>
    <n v="14.47"/>
    <n v="0"/>
    <n v="8.16"/>
    <n v="1"/>
    <n v="0"/>
    <n v="768"/>
    <n v="143"/>
    <n v="0"/>
    <n v="364"/>
    <n v="0"/>
    <n v="261"/>
    <n v="7.3599999999999999E-2"/>
    <n v="2.5000000000000001E-3"/>
    <n v="0"/>
  </r>
  <r>
    <n v="2020"/>
    <n v="9"/>
    <x v="4"/>
    <x v="4"/>
    <s v="SEA"/>
    <s v="Seattle, WA: Seattle/Tacoma International"/>
    <n v="323"/>
    <n v="33"/>
    <n v="17.88"/>
    <n v="3"/>
    <n v="10.130000000000001"/>
    <n v="0"/>
    <n v="1.99"/>
    <n v="1"/>
    <n v="1"/>
    <n v="1906"/>
    <n v="1280"/>
    <n v="99"/>
    <n v="359"/>
    <n v="0"/>
    <n v="168"/>
    <n v="0.1022"/>
    <n v="3.0999999999999999E-3"/>
    <n v="3.0999999999999999E-3"/>
  </r>
  <r>
    <n v="2020"/>
    <n v="9"/>
    <x v="5"/>
    <x v="5"/>
    <s v="SEA"/>
    <s v="Seattle, WA: Seattle/Tacoma International"/>
    <n v="3740"/>
    <n v="216"/>
    <n v="70.680000000000007"/>
    <n v="10.51"/>
    <n v="97.89"/>
    <n v="2.14"/>
    <n v="34.78"/>
    <n v="17"/>
    <n v="2"/>
    <n v="8506"/>
    <n v="3125"/>
    <n v="531"/>
    <n v="2313"/>
    <n v="65"/>
    <n v="2472"/>
    <n v="5.7799999999999997E-2"/>
    <n v="4.4999999999999997E-3"/>
    <n v="5.0000000000000001E-4"/>
  </r>
  <r>
    <n v="2020"/>
    <n v="9"/>
    <x v="6"/>
    <x v="6"/>
    <s v="SEA"/>
    <s v="Seattle, WA: Seattle/Tacoma International"/>
    <n v="28"/>
    <n v="1"/>
    <n v="0.86"/>
    <n v="0"/>
    <n v="0.14000000000000001"/>
    <n v="0"/>
    <n v="0"/>
    <n v="0"/>
    <n v="0"/>
    <n v="22"/>
    <n v="19"/>
    <n v="0"/>
    <n v="3"/>
    <n v="0"/>
    <n v="0"/>
    <n v="3.5700000000000003E-2"/>
    <n v="0"/>
    <n v="0"/>
  </r>
  <r>
    <n v="2020"/>
    <n v="9"/>
    <x v="7"/>
    <x v="7"/>
    <s v="SEA"/>
    <s v="Seattle, WA: Seattle/Tacoma International"/>
    <n v="1738"/>
    <n v="88"/>
    <n v="31.43"/>
    <n v="1.69"/>
    <n v="41.23"/>
    <n v="0"/>
    <n v="13.65"/>
    <n v="1"/>
    <n v="1"/>
    <n v="3594"/>
    <n v="1523"/>
    <n v="224"/>
    <n v="1134"/>
    <n v="0"/>
    <n v="713"/>
    <n v="5.0599999999999999E-2"/>
    <n v="5.9999999999999995E-4"/>
    <n v="5.9999999999999995E-4"/>
  </r>
  <r>
    <n v="2020"/>
    <n v="9"/>
    <x v="8"/>
    <x v="8"/>
    <s v="SEA"/>
    <s v="Seattle, WA: Seattle/Tacoma International"/>
    <n v="55"/>
    <n v="3"/>
    <n v="2"/>
    <n v="0"/>
    <n v="1"/>
    <n v="0"/>
    <n v="0"/>
    <n v="0"/>
    <n v="0"/>
    <n v="104"/>
    <n v="86"/>
    <n v="0"/>
    <n v="18"/>
    <n v="0"/>
    <n v="0"/>
    <n v="5.45E-2"/>
    <n v="0"/>
    <n v="0"/>
  </r>
  <r>
    <n v="2020"/>
    <n v="9"/>
    <x v="0"/>
    <x v="0"/>
    <s v="SEA"/>
    <s v="Seattle, WA: Seattle/Tacoma International"/>
    <n v="30"/>
    <n v="1"/>
    <n v="1"/>
    <n v="0"/>
    <n v="0"/>
    <n v="0"/>
    <n v="0"/>
    <n v="0"/>
    <n v="0"/>
    <n v="45"/>
    <n v="45"/>
    <n v="0"/>
    <n v="0"/>
    <n v="0"/>
    <n v="0"/>
    <n v="3.3300000000000003E-2"/>
    <n v="0"/>
    <n v="0"/>
  </r>
  <r>
    <n v="2020"/>
    <n v="9"/>
    <x v="1"/>
    <x v="1"/>
    <s v="SEA"/>
    <s v="Seattle, WA: Seattle/Tacoma International"/>
    <n v="34"/>
    <n v="3"/>
    <n v="0"/>
    <n v="0"/>
    <n v="2"/>
    <n v="0"/>
    <n v="1"/>
    <n v="0"/>
    <n v="0"/>
    <n v="84"/>
    <n v="0"/>
    <n v="0"/>
    <n v="67"/>
    <n v="0"/>
    <n v="17"/>
    <n v="8.8200000000000001E-2"/>
    <n v="0"/>
    <n v="0"/>
  </r>
  <r>
    <n v="2020"/>
    <n v="9"/>
    <x v="2"/>
    <x v="2"/>
    <s v="SEA"/>
    <s v="Seattle, WA: Seattle/Tacoma International"/>
    <n v="1454"/>
    <n v="74"/>
    <n v="50"/>
    <n v="15"/>
    <n v="0"/>
    <n v="2"/>
    <n v="7"/>
    <n v="26"/>
    <n v="1"/>
    <n v="6215"/>
    <n v="4448"/>
    <n v="1421"/>
    <n v="0"/>
    <n v="115"/>
    <n v="231"/>
    <n v="5.0900000000000001E-2"/>
    <n v="1.7899999999999999E-2"/>
    <n v="6.9999999999999999E-4"/>
  </r>
  <r>
    <n v="2020"/>
    <n v="9"/>
    <x v="3"/>
    <x v="3"/>
    <s v="SEA"/>
    <s v="Seattle, WA: Seattle/Tacoma International"/>
    <n v="3013"/>
    <n v="199"/>
    <n v="82.76"/>
    <n v="1.97"/>
    <n v="53.5"/>
    <n v="0"/>
    <n v="60.77"/>
    <n v="171"/>
    <n v="0"/>
    <n v="11261"/>
    <n v="6864"/>
    <n v="153"/>
    <n v="1467"/>
    <n v="0"/>
    <n v="2777"/>
    <n v="6.6000000000000003E-2"/>
    <n v="5.6800000000000003E-2"/>
    <n v="0"/>
  </r>
  <r>
    <n v="2020"/>
    <n v="9"/>
    <x v="9"/>
    <x v="9"/>
    <s v="SEA"/>
    <s v="Seattle, WA: Seattle/Tacoma International"/>
    <n v="497"/>
    <n v="9"/>
    <n v="6.01"/>
    <n v="0"/>
    <n v="1.2"/>
    <n v="0"/>
    <n v="1.79"/>
    <n v="15"/>
    <n v="0"/>
    <n v="317"/>
    <n v="189"/>
    <n v="0"/>
    <n v="20"/>
    <n v="0"/>
    <n v="108"/>
    <n v="1.8100000000000002E-2"/>
    <n v="3.0200000000000001E-2"/>
    <n v="0"/>
  </r>
  <r>
    <n v="2020"/>
    <n v="9"/>
    <x v="10"/>
    <x v="10"/>
    <s v="SEA"/>
    <s v="Seattle, WA: Seattle/Tacoma International"/>
    <n v="436"/>
    <n v="19"/>
    <n v="7.77"/>
    <n v="0"/>
    <n v="2.42"/>
    <n v="0"/>
    <n v="8.81"/>
    <n v="2"/>
    <n v="0"/>
    <n v="995"/>
    <n v="450"/>
    <n v="0"/>
    <n v="59"/>
    <n v="0"/>
    <n v="486"/>
    <n v="4.36E-2"/>
    <n v="4.5999999999999999E-3"/>
    <n v="0"/>
  </r>
  <r>
    <n v="2020"/>
    <n v="8"/>
    <x v="4"/>
    <x v="4"/>
    <s v="SEA"/>
    <s v="Seattle, WA: Seattle/Tacoma International"/>
    <n v="382"/>
    <n v="34"/>
    <n v="15.82"/>
    <n v="4.42"/>
    <n v="9.66"/>
    <n v="1.37"/>
    <n v="2.72"/>
    <n v="1"/>
    <n v="1"/>
    <n v="1529"/>
    <n v="893"/>
    <n v="169"/>
    <n v="312"/>
    <n v="38"/>
    <n v="117"/>
    <n v="8.8999999999999996E-2"/>
    <n v="2.5999999999999999E-3"/>
    <n v="2.5999999999999999E-3"/>
  </r>
  <r>
    <n v="2020"/>
    <n v="8"/>
    <x v="5"/>
    <x v="5"/>
    <s v="SEA"/>
    <s v="Seattle, WA: Seattle/Tacoma International"/>
    <n v="3515"/>
    <n v="245"/>
    <n v="68.489999999999995"/>
    <n v="11.96"/>
    <n v="101.97"/>
    <n v="2.77"/>
    <n v="59.81"/>
    <n v="5"/>
    <n v="4"/>
    <n v="10199"/>
    <n v="3180"/>
    <n v="733"/>
    <n v="2818"/>
    <n v="62"/>
    <n v="3406"/>
    <n v="6.9699999999999998E-2"/>
    <n v="1.4E-3"/>
    <n v="1.1000000000000001E-3"/>
  </r>
  <r>
    <n v="2020"/>
    <n v="8"/>
    <x v="6"/>
    <x v="6"/>
    <s v="SEA"/>
    <s v="Seattle, WA: Seattle/Tacoma International"/>
    <n v="50"/>
    <n v="3"/>
    <n v="1"/>
    <n v="0"/>
    <n v="1"/>
    <n v="1"/>
    <n v="0"/>
    <n v="1"/>
    <n v="0"/>
    <n v="69"/>
    <n v="19"/>
    <n v="0"/>
    <n v="16"/>
    <n v="34"/>
    <n v="0"/>
    <n v="0.06"/>
    <n v="0.02"/>
    <n v="0"/>
  </r>
  <r>
    <n v="2020"/>
    <n v="8"/>
    <x v="7"/>
    <x v="7"/>
    <s v="SEA"/>
    <s v="Seattle, WA: Seattle/Tacoma International"/>
    <n v="1842"/>
    <n v="127"/>
    <n v="52.19"/>
    <n v="6.54"/>
    <n v="37.79"/>
    <n v="1"/>
    <n v="28.48"/>
    <n v="6"/>
    <n v="1"/>
    <n v="7690"/>
    <n v="4059"/>
    <n v="269"/>
    <n v="1203"/>
    <n v="21"/>
    <n v="1629"/>
    <n v="6.8900000000000003E-2"/>
    <n v="3.3E-3"/>
    <n v="5.0000000000000001E-4"/>
  </r>
  <r>
    <n v="2020"/>
    <n v="8"/>
    <x v="8"/>
    <x v="8"/>
    <s v="SEA"/>
    <s v="Seattle, WA: Seattle/Tacoma International"/>
    <n v="80"/>
    <n v="7"/>
    <n v="2.5299999999999998"/>
    <n v="0.65"/>
    <n v="1.98"/>
    <n v="0"/>
    <n v="1.84"/>
    <n v="0"/>
    <n v="0"/>
    <n v="428"/>
    <n v="151"/>
    <n v="13"/>
    <n v="61"/>
    <n v="0"/>
    <n v="203"/>
    <n v="8.7499999999999994E-2"/>
    <n v="0"/>
    <n v="0"/>
  </r>
  <r>
    <n v="2020"/>
    <n v="8"/>
    <x v="0"/>
    <x v="0"/>
    <s v="SEA"/>
    <s v="Seattle, WA: Seattle/Tacoma International"/>
    <n v="31"/>
    <n v="6"/>
    <n v="6"/>
    <n v="0"/>
    <n v="0"/>
    <n v="0"/>
    <n v="0"/>
    <n v="0"/>
    <n v="0"/>
    <n v="231"/>
    <n v="231"/>
    <n v="0"/>
    <n v="0"/>
    <n v="0"/>
    <n v="0"/>
    <n v="0.19350000000000001"/>
    <n v="0"/>
    <n v="0"/>
  </r>
  <r>
    <n v="2020"/>
    <n v="8"/>
    <x v="1"/>
    <x v="1"/>
    <s v="SEA"/>
    <s v="Seattle, WA: Seattle/Tacoma International"/>
    <n v="50"/>
    <n v="2"/>
    <n v="1"/>
    <n v="0"/>
    <n v="1"/>
    <n v="0"/>
    <n v="0"/>
    <n v="0"/>
    <n v="0"/>
    <n v="59"/>
    <n v="41"/>
    <n v="0"/>
    <n v="18"/>
    <n v="0"/>
    <n v="0"/>
    <n v="0.04"/>
    <n v="0"/>
    <n v="0"/>
  </r>
  <r>
    <n v="2020"/>
    <n v="8"/>
    <x v="2"/>
    <x v="2"/>
    <s v="SEA"/>
    <s v="Seattle, WA: Seattle/Tacoma International"/>
    <n v="2072"/>
    <n v="68"/>
    <n v="50"/>
    <n v="3"/>
    <n v="2"/>
    <n v="0"/>
    <n v="13"/>
    <n v="26"/>
    <n v="0"/>
    <n v="6120"/>
    <n v="4981"/>
    <n v="358"/>
    <n v="47"/>
    <n v="0"/>
    <n v="734"/>
    <n v="3.2800000000000003E-2"/>
    <n v="1.2500000000000001E-2"/>
    <n v="0"/>
  </r>
  <r>
    <n v="2020"/>
    <n v="8"/>
    <x v="3"/>
    <x v="3"/>
    <s v="SEA"/>
    <s v="Seattle, WA: Seattle/Tacoma International"/>
    <n v="3241"/>
    <n v="235"/>
    <n v="85.08"/>
    <n v="7.36"/>
    <n v="65.81"/>
    <n v="0"/>
    <n v="76.760000000000005"/>
    <n v="44"/>
    <n v="1"/>
    <n v="11433"/>
    <n v="5754"/>
    <n v="401"/>
    <n v="1726"/>
    <n v="0"/>
    <n v="3552"/>
    <n v="7.2499999999999995E-2"/>
    <n v="1.3599999999999999E-2"/>
    <n v="2.9999999999999997E-4"/>
  </r>
  <r>
    <n v="2020"/>
    <n v="8"/>
    <x v="9"/>
    <x v="9"/>
    <s v="SEA"/>
    <s v="Seattle, WA: Seattle/Tacoma International"/>
    <n v="398"/>
    <n v="8"/>
    <n v="1"/>
    <n v="1.95"/>
    <n v="1.31"/>
    <n v="0"/>
    <n v="3.75"/>
    <n v="14"/>
    <n v="0"/>
    <n v="399"/>
    <n v="27"/>
    <n v="112"/>
    <n v="55"/>
    <n v="0"/>
    <n v="205"/>
    <n v="2.01E-2"/>
    <n v="3.5200000000000002E-2"/>
    <n v="0"/>
  </r>
  <r>
    <n v="2020"/>
    <n v="8"/>
    <x v="10"/>
    <x v="10"/>
    <s v="SEA"/>
    <s v="Seattle, WA: Seattle/Tacoma International"/>
    <n v="684"/>
    <n v="22"/>
    <n v="11"/>
    <n v="0"/>
    <n v="4"/>
    <n v="0"/>
    <n v="7"/>
    <n v="6"/>
    <n v="0"/>
    <n v="825"/>
    <n v="479"/>
    <n v="0"/>
    <n v="125"/>
    <n v="0"/>
    <n v="221"/>
    <n v="3.2199999999999999E-2"/>
    <n v="8.8000000000000005E-3"/>
    <n v="0"/>
  </r>
  <r>
    <n v="2020"/>
    <n v="7"/>
    <x v="4"/>
    <x v="4"/>
    <s v="SEA"/>
    <s v="Seattle, WA: Seattle/Tacoma International"/>
    <n v="374"/>
    <n v="58"/>
    <n v="31.07"/>
    <n v="4.63"/>
    <n v="14.11"/>
    <n v="1"/>
    <n v="7.19"/>
    <n v="0"/>
    <n v="1"/>
    <n v="3018"/>
    <n v="1508"/>
    <n v="302"/>
    <n v="386"/>
    <n v="43"/>
    <n v="779"/>
    <n v="0.15509999999999999"/>
    <n v="0"/>
    <n v="2.7000000000000001E-3"/>
  </r>
  <r>
    <n v="2020"/>
    <n v="7"/>
    <x v="5"/>
    <x v="5"/>
    <s v="SEA"/>
    <s v="Seattle, WA: Seattle/Tacoma International"/>
    <n v="2692"/>
    <n v="132"/>
    <n v="43.98"/>
    <n v="7.26"/>
    <n v="45.83"/>
    <n v="0.95"/>
    <n v="33.97"/>
    <n v="26"/>
    <n v="0"/>
    <n v="6170"/>
    <n v="2804"/>
    <n v="220"/>
    <n v="1097"/>
    <n v="20"/>
    <n v="2029"/>
    <n v="4.9000000000000002E-2"/>
    <n v="9.7000000000000003E-3"/>
    <n v="0"/>
  </r>
  <r>
    <n v="2020"/>
    <n v="7"/>
    <x v="6"/>
    <x v="6"/>
    <s v="SEA"/>
    <s v="Seattle, WA: Seattle/Tacoma International"/>
    <n v="62"/>
    <n v="2"/>
    <n v="1"/>
    <n v="0"/>
    <n v="1"/>
    <n v="0"/>
    <n v="0"/>
    <n v="0"/>
    <n v="0"/>
    <n v="35"/>
    <n v="17"/>
    <n v="0"/>
    <n v="18"/>
    <n v="0"/>
    <n v="0"/>
    <n v="3.2300000000000002E-2"/>
    <n v="0"/>
    <n v="0"/>
  </r>
  <r>
    <n v="2020"/>
    <n v="7"/>
    <x v="7"/>
    <x v="7"/>
    <s v="SEA"/>
    <s v="Seattle, WA: Seattle/Tacoma International"/>
    <n v="1537"/>
    <n v="117"/>
    <n v="59.73"/>
    <n v="4.4000000000000004"/>
    <n v="39.06"/>
    <n v="0"/>
    <n v="13.81"/>
    <n v="18"/>
    <n v="3"/>
    <n v="7506"/>
    <n v="5538"/>
    <n v="183"/>
    <n v="1083"/>
    <n v="0"/>
    <n v="702"/>
    <n v="7.6100000000000001E-2"/>
    <n v="1.17E-2"/>
    <n v="2E-3"/>
  </r>
  <r>
    <n v="2020"/>
    <n v="7"/>
    <x v="8"/>
    <x v="8"/>
    <s v="SEA"/>
    <s v="Seattle, WA: Seattle/Tacoma International"/>
    <n v="70"/>
    <n v="5"/>
    <n v="1.8"/>
    <n v="0"/>
    <n v="2.4700000000000002"/>
    <n v="0"/>
    <n v="0.73"/>
    <n v="2"/>
    <n v="0"/>
    <n v="184"/>
    <n v="96"/>
    <n v="0"/>
    <n v="60"/>
    <n v="0"/>
    <n v="28"/>
    <n v="7.1400000000000005E-2"/>
    <n v="2.86E-2"/>
    <n v="0"/>
  </r>
  <r>
    <n v="2020"/>
    <n v="7"/>
    <x v="0"/>
    <x v="0"/>
    <s v="SEA"/>
    <s v="Seattle, WA: Seattle/Tacoma International"/>
    <n v="31"/>
    <n v="5"/>
    <n v="5"/>
    <n v="0"/>
    <n v="0"/>
    <n v="0"/>
    <n v="0"/>
    <n v="1"/>
    <n v="0"/>
    <n v="122"/>
    <n v="122"/>
    <n v="0"/>
    <n v="0"/>
    <n v="0"/>
    <n v="0"/>
    <n v="0.1613"/>
    <n v="3.2300000000000002E-2"/>
    <n v="0"/>
  </r>
  <r>
    <n v="2020"/>
    <n v="7"/>
    <x v="1"/>
    <x v="1"/>
    <s v="SEA"/>
    <s v="Seattle, WA: Seattle/Tacoma International"/>
    <n v="62"/>
    <n v="2"/>
    <n v="1"/>
    <n v="0"/>
    <n v="0"/>
    <n v="0"/>
    <n v="1"/>
    <n v="0"/>
    <n v="0"/>
    <n v="186"/>
    <n v="116"/>
    <n v="0"/>
    <n v="0"/>
    <n v="0"/>
    <n v="70"/>
    <n v="3.2300000000000002E-2"/>
    <n v="0"/>
    <n v="0"/>
  </r>
  <r>
    <n v="2020"/>
    <n v="7"/>
    <x v="2"/>
    <x v="2"/>
    <s v="SEA"/>
    <s v="Seattle, WA: Seattle/Tacoma International"/>
    <n v="1709"/>
    <n v="70"/>
    <n v="39"/>
    <n v="3"/>
    <n v="1"/>
    <n v="0"/>
    <n v="27"/>
    <n v="13"/>
    <n v="0"/>
    <n v="4380"/>
    <n v="2432"/>
    <n v="518"/>
    <n v="58"/>
    <n v="0"/>
    <n v="1372"/>
    <n v="4.1000000000000002E-2"/>
    <n v="7.6E-3"/>
    <n v="0"/>
  </r>
  <r>
    <n v="2020"/>
    <n v="7"/>
    <x v="3"/>
    <x v="3"/>
    <s v="SEA"/>
    <s v="Seattle, WA: Seattle/Tacoma International"/>
    <n v="2741"/>
    <n v="177"/>
    <n v="70.58"/>
    <n v="3.54"/>
    <n v="68.02"/>
    <n v="0"/>
    <n v="34.85"/>
    <n v="12"/>
    <n v="2"/>
    <n v="10040"/>
    <n v="6349"/>
    <n v="272"/>
    <n v="1699"/>
    <n v="0"/>
    <n v="1720"/>
    <n v="6.4600000000000005E-2"/>
    <n v="4.4000000000000003E-3"/>
    <n v="6.9999999999999999E-4"/>
  </r>
  <r>
    <n v="2020"/>
    <n v="7"/>
    <x v="9"/>
    <x v="9"/>
    <s v="SEA"/>
    <s v="Seattle, WA: Seattle/Tacoma International"/>
    <n v="304"/>
    <n v="15"/>
    <n v="8.8000000000000007"/>
    <n v="1.5"/>
    <n v="3.2"/>
    <n v="0"/>
    <n v="1.5"/>
    <n v="0"/>
    <n v="1"/>
    <n v="670"/>
    <n v="470"/>
    <n v="50"/>
    <n v="64"/>
    <n v="0"/>
    <n v="86"/>
    <n v="4.9299999999999997E-2"/>
    <n v="0"/>
    <n v="3.3E-3"/>
  </r>
  <r>
    <n v="2020"/>
    <n v="7"/>
    <x v="10"/>
    <x v="10"/>
    <s v="SEA"/>
    <s v="Seattle, WA: Seattle/Tacoma International"/>
    <n v="639"/>
    <n v="28"/>
    <n v="11.86"/>
    <n v="4.5999999999999996"/>
    <n v="5.07"/>
    <n v="0"/>
    <n v="6.47"/>
    <n v="2"/>
    <n v="1"/>
    <n v="1092"/>
    <n v="384"/>
    <n v="279"/>
    <n v="159"/>
    <n v="0"/>
    <n v="270"/>
    <n v="4.3799999999999999E-2"/>
    <n v="3.0999999999999999E-3"/>
    <n v="1.6000000000000001E-3"/>
  </r>
  <r>
    <n v="2020"/>
    <n v="6"/>
    <x v="4"/>
    <x v="4"/>
    <s v="SEA"/>
    <s v="Seattle, WA: Seattle/Tacoma International"/>
    <n v="226"/>
    <n v="17"/>
    <n v="9.6199999999999992"/>
    <n v="0.88"/>
    <n v="3.25"/>
    <n v="0"/>
    <n v="3.24"/>
    <n v="0"/>
    <n v="0"/>
    <n v="892"/>
    <n v="523"/>
    <n v="61"/>
    <n v="114"/>
    <n v="0"/>
    <n v="194"/>
    <n v="7.5200000000000003E-2"/>
    <n v="0"/>
    <n v="0"/>
  </r>
  <r>
    <n v="2020"/>
    <n v="6"/>
    <x v="5"/>
    <x v="5"/>
    <s v="SEA"/>
    <s v="Seattle, WA: Seattle/Tacoma International"/>
    <n v="2317"/>
    <n v="174"/>
    <n v="61.6"/>
    <n v="6.42"/>
    <n v="86.95"/>
    <n v="1.9"/>
    <n v="17.13"/>
    <n v="51"/>
    <n v="2"/>
    <n v="7713"/>
    <n v="4374"/>
    <n v="333"/>
    <n v="2099"/>
    <n v="40"/>
    <n v="867"/>
    <n v="7.51E-2"/>
    <n v="2.1999999999999999E-2"/>
    <n v="8.9999999999999998E-4"/>
  </r>
  <r>
    <n v="2020"/>
    <n v="6"/>
    <x v="6"/>
    <x v="6"/>
    <s v="SEA"/>
    <s v="Seattle, WA: Seattle/Tacoma International"/>
    <n v="12"/>
    <n v="2"/>
    <n v="0.19"/>
    <n v="0"/>
    <n v="1.81"/>
    <n v="0"/>
    <n v="0"/>
    <n v="0"/>
    <n v="0"/>
    <n v="44"/>
    <n v="5"/>
    <n v="0"/>
    <n v="39"/>
    <n v="0"/>
    <n v="0"/>
    <n v="0.16669999999999999"/>
    <n v="0"/>
    <n v="0"/>
  </r>
  <r>
    <n v="2020"/>
    <n v="6"/>
    <x v="7"/>
    <x v="7"/>
    <s v="SEA"/>
    <s v="Seattle, WA: Seattle/Tacoma International"/>
    <n v="1009"/>
    <n v="56"/>
    <n v="26.27"/>
    <n v="1"/>
    <n v="23.04"/>
    <n v="0"/>
    <n v="5.69"/>
    <n v="1"/>
    <n v="1"/>
    <n v="2933"/>
    <n v="1852"/>
    <n v="23"/>
    <n v="569"/>
    <n v="0"/>
    <n v="489"/>
    <n v="5.5500000000000001E-2"/>
    <n v="1E-3"/>
    <n v="1E-3"/>
  </r>
  <r>
    <n v="2020"/>
    <n v="6"/>
    <x v="8"/>
    <x v="8"/>
    <s v="SEA"/>
    <s v="Seattle, WA: Seattle/Tacoma International"/>
    <n v="4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20"/>
    <n v="6"/>
    <x v="0"/>
    <x v="0"/>
    <s v="SEA"/>
    <s v="Seattle, WA: Seattle/Tacoma International"/>
    <n v="30"/>
    <n v="4"/>
    <n v="4"/>
    <n v="0"/>
    <n v="0"/>
    <n v="0"/>
    <n v="0"/>
    <n v="0"/>
    <n v="0"/>
    <n v="158"/>
    <n v="158"/>
    <n v="0"/>
    <n v="0"/>
    <n v="0"/>
    <n v="0"/>
    <n v="0.1333"/>
    <n v="0"/>
    <n v="0"/>
  </r>
  <r>
    <n v="2020"/>
    <n v="6"/>
    <x v="1"/>
    <x v="1"/>
    <s v="SEA"/>
    <s v="Seattle, WA: Seattle/Tacoma International"/>
    <n v="27"/>
    <n v="4"/>
    <n v="2.61"/>
    <n v="0"/>
    <n v="0.47"/>
    <n v="0"/>
    <n v="0.92"/>
    <n v="0"/>
    <n v="0"/>
    <n v="344"/>
    <n v="182"/>
    <n v="0"/>
    <n v="39"/>
    <n v="0"/>
    <n v="123"/>
    <n v="0.14810000000000001"/>
    <n v="0"/>
    <n v="0"/>
  </r>
  <r>
    <n v="2020"/>
    <n v="6"/>
    <x v="2"/>
    <x v="2"/>
    <s v="SEA"/>
    <s v="Seattle, WA: Seattle/Tacoma International"/>
    <n v="1412"/>
    <n v="66"/>
    <n v="59"/>
    <n v="0"/>
    <n v="0"/>
    <n v="0"/>
    <n v="7"/>
    <n v="34"/>
    <n v="0"/>
    <n v="2633"/>
    <n v="2211"/>
    <n v="0"/>
    <n v="0"/>
    <n v="0"/>
    <n v="422"/>
    <n v="4.6699999999999998E-2"/>
    <n v="2.41E-2"/>
    <n v="0"/>
  </r>
  <r>
    <n v="2020"/>
    <n v="6"/>
    <x v="3"/>
    <x v="3"/>
    <s v="SEA"/>
    <s v="Seattle, WA: Seattle/Tacoma International"/>
    <n v="2150"/>
    <n v="148"/>
    <n v="56.29"/>
    <n v="3.5"/>
    <n v="65.45"/>
    <n v="0"/>
    <n v="22.76"/>
    <n v="60"/>
    <n v="2"/>
    <n v="6048"/>
    <n v="3177"/>
    <n v="299"/>
    <n v="1551"/>
    <n v="0"/>
    <n v="1021"/>
    <n v="6.88E-2"/>
    <n v="2.7900000000000001E-2"/>
    <n v="8.9999999999999998E-4"/>
  </r>
  <r>
    <n v="2020"/>
    <n v="6"/>
    <x v="9"/>
    <x v="9"/>
    <s v="SEA"/>
    <s v="Seattle, WA: Seattle/Tacoma International"/>
    <n v="86"/>
    <n v="4"/>
    <n v="2.21"/>
    <n v="0.64"/>
    <n v="0.36"/>
    <n v="0"/>
    <n v="0.79"/>
    <n v="0"/>
    <n v="0"/>
    <n v="269"/>
    <n v="107"/>
    <n v="63"/>
    <n v="35"/>
    <n v="0"/>
    <n v="64"/>
    <n v="4.65E-2"/>
    <n v="0"/>
    <n v="0"/>
  </r>
  <r>
    <n v="2020"/>
    <n v="6"/>
    <x v="10"/>
    <x v="10"/>
    <s v="SEA"/>
    <s v="Seattle, WA: Seattle/Tacoma International"/>
    <n v="515"/>
    <n v="22"/>
    <n v="6.58"/>
    <n v="0"/>
    <n v="5.93"/>
    <n v="0"/>
    <n v="9.49"/>
    <n v="0"/>
    <n v="0"/>
    <n v="685"/>
    <n v="180"/>
    <n v="0"/>
    <n v="194"/>
    <n v="0"/>
    <n v="311"/>
    <n v="4.2700000000000002E-2"/>
    <n v="0"/>
    <n v="0"/>
  </r>
  <r>
    <n v="2020"/>
    <n v="5"/>
    <x v="4"/>
    <x v="4"/>
    <s v="SEA"/>
    <s v="Seattle, WA: Seattle/Tacoma International"/>
    <n v="165"/>
    <n v="6"/>
    <n v="4.67"/>
    <n v="0"/>
    <n v="1.33"/>
    <n v="0"/>
    <n v="0"/>
    <n v="0"/>
    <n v="1"/>
    <n v="182"/>
    <n v="158"/>
    <n v="0"/>
    <n v="24"/>
    <n v="0"/>
    <n v="0"/>
    <n v="3.6400000000000002E-2"/>
    <n v="0"/>
    <n v="6.1000000000000004E-3"/>
  </r>
  <r>
    <n v="2020"/>
    <n v="5"/>
    <x v="5"/>
    <x v="5"/>
    <s v="SEA"/>
    <s v="Seattle, WA: Seattle/Tacoma International"/>
    <n v="1433"/>
    <n v="31"/>
    <n v="17.100000000000001"/>
    <n v="1"/>
    <n v="8.26"/>
    <n v="2.64"/>
    <n v="2"/>
    <n v="13"/>
    <n v="1"/>
    <n v="1808"/>
    <n v="1248"/>
    <n v="117"/>
    <n v="253"/>
    <n v="107"/>
    <n v="83"/>
    <n v="2.1600000000000001E-2"/>
    <n v="9.1000000000000004E-3"/>
    <n v="6.9999999999999999E-4"/>
  </r>
  <r>
    <n v="2020"/>
    <n v="5"/>
    <x v="6"/>
    <x v="6"/>
    <s v="SEA"/>
    <s v="Seattle, WA: Seattle/Tacoma International"/>
    <n v="23"/>
    <n v="0"/>
    <n v="0"/>
    <n v="0"/>
    <n v="0"/>
    <n v="0"/>
    <n v="0"/>
    <n v="4"/>
    <n v="0"/>
    <n v="0"/>
    <n v="0"/>
    <n v="0"/>
    <n v="0"/>
    <n v="0"/>
    <n v="0"/>
    <n v="0"/>
    <n v="0.1739"/>
    <n v="0"/>
  </r>
  <r>
    <n v="2020"/>
    <n v="5"/>
    <x v="7"/>
    <x v="7"/>
    <s v="SEA"/>
    <s v="Seattle, WA: Seattle/Tacoma International"/>
    <n v="806"/>
    <n v="43"/>
    <n v="20.68"/>
    <n v="0.77"/>
    <n v="19.09"/>
    <n v="0"/>
    <n v="2.46"/>
    <n v="2"/>
    <n v="1"/>
    <n v="2795"/>
    <n v="1700"/>
    <n v="17"/>
    <n v="1000"/>
    <n v="0"/>
    <n v="78"/>
    <n v="5.33E-2"/>
    <n v="2.5000000000000001E-3"/>
    <n v="1.1999999999999999E-3"/>
  </r>
  <r>
    <n v="2020"/>
    <n v="5"/>
    <x v="8"/>
    <x v="8"/>
    <s v="SEA"/>
    <s v="Seattle, WA: Seattle/Tacoma International"/>
    <n v="26"/>
    <n v="1"/>
    <n v="0"/>
    <n v="0"/>
    <n v="1"/>
    <n v="0"/>
    <n v="0"/>
    <n v="0"/>
    <n v="0"/>
    <n v="29"/>
    <n v="0"/>
    <n v="0"/>
    <n v="29"/>
    <n v="0"/>
    <n v="0"/>
    <n v="3.85E-2"/>
    <n v="0"/>
    <n v="0"/>
  </r>
  <r>
    <n v="2020"/>
    <n v="5"/>
    <x v="0"/>
    <x v="0"/>
    <s v="SEA"/>
    <s v="Seattle, WA: Seattle/Tacoma International"/>
    <n v="31"/>
    <n v="1"/>
    <n v="1"/>
    <n v="0"/>
    <n v="0"/>
    <n v="0"/>
    <n v="0"/>
    <n v="0"/>
    <n v="0"/>
    <n v="33"/>
    <n v="33"/>
    <n v="0"/>
    <n v="0"/>
    <n v="0"/>
    <n v="0"/>
    <n v="3.2300000000000002E-2"/>
    <n v="0"/>
    <n v="0"/>
  </r>
  <r>
    <n v="2020"/>
    <n v="5"/>
    <x v="1"/>
    <x v="1"/>
    <s v="SEA"/>
    <s v="Seattle, WA: Seattle/Tacoma International"/>
    <n v="13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20"/>
    <n v="5"/>
    <x v="2"/>
    <x v="2"/>
    <s v="SEA"/>
    <s v="Seattle, WA: Seattle/Tacoma International"/>
    <n v="1058"/>
    <n v="20"/>
    <n v="11.81"/>
    <n v="0.37"/>
    <n v="4.8099999999999996"/>
    <n v="0"/>
    <n v="3"/>
    <n v="66"/>
    <n v="0"/>
    <n v="1283"/>
    <n v="834"/>
    <n v="28"/>
    <n v="138"/>
    <n v="0"/>
    <n v="283"/>
    <n v="1.89E-2"/>
    <n v="6.2399999999999997E-2"/>
    <n v="0"/>
  </r>
  <r>
    <n v="2020"/>
    <n v="5"/>
    <x v="3"/>
    <x v="3"/>
    <s v="SEA"/>
    <s v="Seattle, WA: Seattle/Tacoma International"/>
    <n v="1363"/>
    <n v="59"/>
    <n v="21.58"/>
    <n v="5.04"/>
    <n v="10.32"/>
    <n v="0"/>
    <n v="22.07"/>
    <n v="119"/>
    <n v="0"/>
    <n v="3076"/>
    <n v="1581"/>
    <n v="134"/>
    <n v="296"/>
    <n v="0"/>
    <n v="1065"/>
    <n v="4.3299999999999998E-2"/>
    <n v="8.7300000000000003E-2"/>
    <n v="0"/>
  </r>
  <r>
    <n v="2020"/>
    <n v="5"/>
    <x v="9"/>
    <x v="9"/>
    <s v="SEA"/>
    <s v="Seattle, WA: Seattle/Tacoma International"/>
    <n v="65"/>
    <n v="5"/>
    <n v="3.4"/>
    <n v="0"/>
    <n v="1.6"/>
    <n v="0"/>
    <n v="0"/>
    <n v="0"/>
    <n v="0"/>
    <n v="180"/>
    <n v="150"/>
    <n v="0"/>
    <n v="30"/>
    <n v="0"/>
    <n v="0"/>
    <n v="7.6899999999999996E-2"/>
    <n v="0"/>
    <n v="0"/>
  </r>
  <r>
    <n v="2020"/>
    <n v="5"/>
    <x v="10"/>
    <x v="10"/>
    <s v="SEA"/>
    <s v="Seattle, WA: Seattle/Tacoma International"/>
    <n v="388"/>
    <n v="8"/>
    <n v="3.64"/>
    <n v="0"/>
    <n v="2.1800000000000002"/>
    <n v="0"/>
    <n v="2.1800000000000002"/>
    <n v="15"/>
    <n v="0"/>
    <n v="210"/>
    <n v="112"/>
    <n v="0"/>
    <n v="46"/>
    <n v="0"/>
    <n v="52"/>
    <n v="2.06E-2"/>
    <n v="3.8699999999999998E-2"/>
    <n v="0"/>
  </r>
  <r>
    <n v="2020"/>
    <n v="4"/>
    <x v="2"/>
    <x v="2"/>
    <s v="SEA"/>
    <s v="Seattle, WA: Seattle/Tacoma International"/>
    <n v="1169"/>
    <n v="40"/>
    <n v="24.4"/>
    <n v="0"/>
    <n v="13.6"/>
    <n v="0"/>
    <n v="2"/>
    <n v="190"/>
    <n v="0"/>
    <n v="3496"/>
    <n v="3058"/>
    <n v="0"/>
    <n v="344"/>
    <n v="0"/>
    <n v="94"/>
    <n v="3.4200000000000001E-2"/>
    <n v="0.16250000000000001"/>
    <n v="0"/>
  </r>
  <r>
    <n v="2020"/>
    <n v="4"/>
    <x v="3"/>
    <x v="3"/>
    <s v="SEA"/>
    <s v="Seattle, WA: Seattle/Tacoma International"/>
    <n v="1211"/>
    <n v="28"/>
    <n v="14.94"/>
    <n v="1.32"/>
    <n v="10.75"/>
    <n v="0"/>
    <n v="1"/>
    <n v="210"/>
    <n v="2"/>
    <n v="1134"/>
    <n v="750"/>
    <n v="38"/>
    <n v="295"/>
    <n v="0"/>
    <n v="51"/>
    <n v="2.3099999999999999E-2"/>
    <n v="0.1734"/>
    <n v="1.6999999999999999E-3"/>
  </r>
  <r>
    <n v="2020"/>
    <n v="4"/>
    <x v="9"/>
    <x v="9"/>
    <s v="SEA"/>
    <s v="Seattle, WA: Seattle/Tacoma International"/>
    <n v="194"/>
    <n v="0"/>
    <n v="0"/>
    <n v="0"/>
    <n v="0"/>
    <n v="0"/>
    <n v="0"/>
    <n v="89"/>
    <n v="0"/>
    <n v="0"/>
    <n v="0"/>
    <n v="0"/>
    <n v="0"/>
    <n v="0"/>
    <n v="0"/>
    <n v="0"/>
    <n v="0.45879999999999999"/>
    <n v="0"/>
  </r>
  <r>
    <n v="2020"/>
    <n v="4"/>
    <x v="10"/>
    <x v="10"/>
    <s v="SEA"/>
    <s v="Seattle, WA: Seattle/Tacoma International"/>
    <n v="664"/>
    <n v="9"/>
    <n v="6.03"/>
    <n v="0"/>
    <n v="1.85"/>
    <n v="0"/>
    <n v="1.1200000000000001"/>
    <n v="318"/>
    <n v="0"/>
    <n v="304"/>
    <n v="170"/>
    <n v="0"/>
    <n v="54"/>
    <n v="0"/>
    <n v="80"/>
    <n v="1.3599999999999999E-2"/>
    <n v="0.47889999999999999"/>
    <n v="0"/>
  </r>
  <r>
    <n v="2020"/>
    <n v="4"/>
    <x v="4"/>
    <x v="4"/>
    <s v="SEA"/>
    <s v="Seattle, WA: Seattle/Tacoma International"/>
    <n v="289"/>
    <n v="13"/>
    <n v="6.61"/>
    <n v="1.52"/>
    <n v="3.42"/>
    <n v="0"/>
    <n v="1.45"/>
    <n v="62"/>
    <n v="0"/>
    <n v="557"/>
    <n v="270"/>
    <n v="115"/>
    <n v="91"/>
    <n v="0"/>
    <n v="81"/>
    <n v="4.4999999999999998E-2"/>
    <n v="0.2145"/>
    <n v="0"/>
  </r>
  <r>
    <n v="2020"/>
    <n v="4"/>
    <x v="5"/>
    <x v="5"/>
    <s v="SEA"/>
    <s v="Seattle, WA: Seattle/Tacoma International"/>
    <n v="1793"/>
    <n v="36"/>
    <n v="18.940000000000001"/>
    <n v="0.74"/>
    <n v="9.5399999999999991"/>
    <n v="1"/>
    <n v="5.79"/>
    <n v="434"/>
    <n v="0"/>
    <n v="1966"/>
    <n v="1211"/>
    <n v="31"/>
    <n v="311"/>
    <n v="25"/>
    <n v="388"/>
    <n v="2.01E-2"/>
    <n v="0.24210000000000001"/>
    <n v="0"/>
  </r>
  <r>
    <n v="2020"/>
    <n v="4"/>
    <x v="6"/>
    <x v="6"/>
    <s v="SEA"/>
    <s v="Seattle, WA: Seattle/Tacoma International"/>
    <n v="38"/>
    <n v="0"/>
    <n v="0"/>
    <n v="0"/>
    <n v="0"/>
    <n v="0"/>
    <n v="0"/>
    <n v="13"/>
    <n v="0"/>
    <n v="0"/>
    <n v="0"/>
    <n v="0"/>
    <n v="0"/>
    <n v="0"/>
    <n v="0"/>
    <n v="0"/>
    <n v="0.34210000000000002"/>
    <n v="0"/>
  </r>
  <r>
    <n v="2020"/>
    <n v="4"/>
    <x v="12"/>
    <x v="12"/>
    <s v="SEA"/>
    <s v="Seattle, WA: Seattle/Tacoma International"/>
    <n v="24"/>
    <n v="2"/>
    <n v="0"/>
    <n v="0"/>
    <n v="0.2"/>
    <n v="0"/>
    <n v="1.8"/>
    <n v="14"/>
    <n v="0"/>
    <n v="165"/>
    <n v="0"/>
    <n v="0"/>
    <n v="22"/>
    <n v="0"/>
    <n v="143"/>
    <n v="8.3299999999999999E-2"/>
    <n v="0.58330000000000004"/>
    <n v="0"/>
  </r>
  <r>
    <n v="2020"/>
    <n v="4"/>
    <x v="7"/>
    <x v="7"/>
    <s v="SEA"/>
    <s v="Seattle, WA: Seattle/Tacoma International"/>
    <n v="945"/>
    <n v="72"/>
    <n v="37.44"/>
    <n v="0.56000000000000005"/>
    <n v="30.66"/>
    <n v="0"/>
    <n v="3.33"/>
    <n v="151"/>
    <n v="1"/>
    <n v="6824"/>
    <n v="5819"/>
    <n v="35"/>
    <n v="868"/>
    <n v="0"/>
    <n v="102"/>
    <n v="7.6200000000000004E-2"/>
    <n v="0.1598"/>
    <n v="1.1000000000000001E-3"/>
  </r>
  <r>
    <n v="2020"/>
    <n v="4"/>
    <x v="8"/>
    <x v="8"/>
    <s v="SEA"/>
    <s v="Seattle, WA: Seattle/Tacoma International"/>
    <n v="20"/>
    <n v="0"/>
    <n v="0"/>
    <n v="0"/>
    <n v="0"/>
    <n v="0"/>
    <n v="0"/>
    <n v="5"/>
    <n v="0"/>
    <n v="0"/>
    <n v="0"/>
    <n v="0"/>
    <n v="0"/>
    <n v="0"/>
    <n v="0"/>
    <n v="0"/>
    <n v="0.25"/>
    <n v="0"/>
  </r>
  <r>
    <n v="2020"/>
    <n v="4"/>
    <x v="1"/>
    <x v="1"/>
    <s v="SEA"/>
    <s v="Seattle, WA: Seattle/Tacoma International"/>
    <n v="44"/>
    <n v="1"/>
    <n v="1"/>
    <n v="0"/>
    <n v="0"/>
    <n v="0"/>
    <n v="0"/>
    <n v="7"/>
    <n v="0"/>
    <n v="44"/>
    <n v="44"/>
    <n v="0"/>
    <n v="0"/>
    <n v="0"/>
    <n v="0"/>
    <n v="2.2700000000000001E-2"/>
    <n v="0.15909999999999999"/>
    <n v="0"/>
  </r>
  <r>
    <n v="2020"/>
    <n v="3"/>
    <x v="4"/>
    <x v="4"/>
    <s v="SEA"/>
    <s v="Seattle, WA: Seattle/Tacoma International"/>
    <n v="535"/>
    <n v="82"/>
    <n v="32.75"/>
    <n v="1.29"/>
    <n v="34.64"/>
    <n v="0"/>
    <n v="13.31"/>
    <n v="70"/>
    <n v="0"/>
    <n v="3992"/>
    <n v="1553"/>
    <n v="151"/>
    <n v="1380"/>
    <n v="0"/>
    <n v="908"/>
    <n v="0.15329999999999999"/>
    <n v="0.1308"/>
    <n v="0"/>
  </r>
  <r>
    <n v="2020"/>
    <n v="3"/>
    <x v="5"/>
    <x v="5"/>
    <s v="SEA"/>
    <s v="Seattle, WA: Seattle/Tacoma International"/>
    <n v="5704"/>
    <n v="634"/>
    <n v="130.97"/>
    <n v="4.8099999999999996"/>
    <n v="320"/>
    <n v="3"/>
    <n v="175.23"/>
    <n v="840"/>
    <n v="1"/>
    <n v="33134"/>
    <n v="9295"/>
    <n v="350"/>
    <n v="11846"/>
    <n v="68"/>
    <n v="11575"/>
    <n v="0.11119999999999999"/>
    <n v="0.14729999999999999"/>
    <n v="2.0000000000000001E-4"/>
  </r>
  <r>
    <n v="2020"/>
    <n v="3"/>
    <x v="6"/>
    <x v="6"/>
    <s v="SEA"/>
    <s v="Seattle, WA: Seattle/Tacoma International"/>
    <n v="177"/>
    <n v="17"/>
    <n v="3.85"/>
    <n v="0"/>
    <n v="11.23"/>
    <n v="0"/>
    <n v="1.92"/>
    <n v="34"/>
    <n v="0"/>
    <n v="851"/>
    <n v="162"/>
    <n v="0"/>
    <n v="569"/>
    <n v="0"/>
    <n v="120"/>
    <n v="9.6000000000000002E-2"/>
    <n v="0.19209999999999999"/>
    <n v="0"/>
  </r>
  <r>
    <n v="2020"/>
    <n v="3"/>
    <x v="12"/>
    <x v="12"/>
    <s v="SEA"/>
    <s v="Seattle, WA: Seattle/Tacoma International"/>
    <n v="413"/>
    <n v="32"/>
    <n v="14.81"/>
    <n v="0"/>
    <n v="11.21"/>
    <n v="0"/>
    <n v="5.98"/>
    <n v="62"/>
    <n v="0"/>
    <n v="3470"/>
    <n v="2032"/>
    <n v="0"/>
    <n v="742"/>
    <n v="0"/>
    <n v="696"/>
    <n v="7.7499999999999999E-2"/>
    <n v="0.15010000000000001"/>
    <n v="0"/>
  </r>
  <r>
    <n v="2020"/>
    <n v="3"/>
    <x v="7"/>
    <x v="7"/>
    <s v="SEA"/>
    <s v="Seattle, WA: Seattle/Tacoma International"/>
    <n v="2646"/>
    <n v="242"/>
    <n v="62.35"/>
    <n v="3.19"/>
    <n v="123.34"/>
    <n v="0.42"/>
    <n v="52.69"/>
    <n v="482"/>
    <n v="0"/>
    <n v="17608"/>
    <n v="8891"/>
    <n v="347"/>
    <n v="4642"/>
    <n v="39"/>
    <n v="3689"/>
    <n v="9.1499999999999998E-2"/>
    <n v="0.1822"/>
    <n v="0"/>
  </r>
  <r>
    <n v="2020"/>
    <n v="3"/>
    <x v="8"/>
    <x v="8"/>
    <s v="SEA"/>
    <s v="Seattle, WA: Seattle/Tacoma International"/>
    <n v="34"/>
    <n v="3"/>
    <n v="0"/>
    <n v="0"/>
    <n v="2"/>
    <n v="0"/>
    <n v="1"/>
    <n v="13"/>
    <n v="0"/>
    <n v="90"/>
    <n v="0"/>
    <n v="0"/>
    <n v="70"/>
    <n v="0"/>
    <n v="20"/>
    <n v="8.8200000000000001E-2"/>
    <n v="0.38240000000000002"/>
    <n v="0"/>
  </r>
  <r>
    <n v="2020"/>
    <n v="3"/>
    <x v="0"/>
    <x v="0"/>
    <s v="SEA"/>
    <s v="Seattle, WA: Seattle/Tacoma International"/>
    <n v="70"/>
    <n v="35"/>
    <n v="32.619999999999997"/>
    <n v="0"/>
    <n v="0"/>
    <n v="0.17"/>
    <n v="2.21"/>
    <n v="8"/>
    <n v="0"/>
    <n v="1258"/>
    <n v="1196"/>
    <n v="0"/>
    <n v="0"/>
    <n v="4"/>
    <n v="58"/>
    <n v="0.5"/>
    <n v="0.1143"/>
    <n v="0"/>
  </r>
  <r>
    <n v="2020"/>
    <n v="3"/>
    <x v="1"/>
    <x v="1"/>
    <s v="SEA"/>
    <s v="Seattle, WA: Seattle/Tacoma International"/>
    <n v="93"/>
    <n v="8"/>
    <n v="1.2"/>
    <n v="0"/>
    <n v="5.24"/>
    <n v="0"/>
    <n v="1.56"/>
    <n v="20"/>
    <n v="0"/>
    <n v="788"/>
    <n v="51"/>
    <n v="0"/>
    <n v="566"/>
    <n v="0"/>
    <n v="171"/>
    <n v="8.5999999999999993E-2"/>
    <n v="0.21510000000000001"/>
    <n v="0"/>
  </r>
  <r>
    <n v="2020"/>
    <n v="3"/>
    <x v="2"/>
    <x v="2"/>
    <s v="SEA"/>
    <s v="Seattle, WA: Seattle/Tacoma International"/>
    <n v="1540"/>
    <n v="146"/>
    <n v="33.43"/>
    <n v="7.6"/>
    <n v="72.790000000000006"/>
    <n v="0"/>
    <n v="32.17"/>
    <n v="79"/>
    <n v="0"/>
    <n v="7570"/>
    <n v="1770"/>
    <n v="934"/>
    <n v="2699"/>
    <n v="0"/>
    <n v="2167"/>
    <n v="9.4799999999999995E-2"/>
    <n v="5.1299999999999998E-2"/>
    <n v="0"/>
  </r>
  <r>
    <n v="2020"/>
    <n v="3"/>
    <x v="3"/>
    <x v="3"/>
    <s v="SEA"/>
    <s v="Seattle, WA: Seattle/Tacoma International"/>
    <n v="2816"/>
    <n v="226"/>
    <n v="39.5"/>
    <n v="9.5299999999999994"/>
    <n v="119.94"/>
    <n v="0"/>
    <n v="57.03"/>
    <n v="348"/>
    <n v="1"/>
    <n v="10697"/>
    <n v="2517"/>
    <n v="620"/>
    <n v="4926"/>
    <n v="0"/>
    <n v="2634"/>
    <n v="8.0299999999999996E-2"/>
    <n v="0.1236"/>
    <n v="4.0000000000000002E-4"/>
  </r>
  <r>
    <n v="2020"/>
    <n v="3"/>
    <x v="9"/>
    <x v="9"/>
    <s v="SEA"/>
    <s v="Seattle, WA: Seattle/Tacoma International"/>
    <n v="714"/>
    <n v="69"/>
    <n v="14.6"/>
    <n v="0.59"/>
    <n v="34.869999999999997"/>
    <n v="0"/>
    <n v="18.940000000000001"/>
    <n v="151"/>
    <n v="1"/>
    <n v="4828"/>
    <n v="1350"/>
    <n v="23"/>
    <n v="1837"/>
    <n v="0"/>
    <n v="1618"/>
    <n v="9.6600000000000005E-2"/>
    <n v="0.21149999999999999"/>
    <n v="1.4E-3"/>
  </r>
  <r>
    <n v="2020"/>
    <n v="3"/>
    <x v="10"/>
    <x v="10"/>
    <s v="SEA"/>
    <s v="Seattle, WA: Seattle/Tacoma International"/>
    <n v="787"/>
    <n v="59"/>
    <n v="15.32"/>
    <n v="0.94"/>
    <n v="25.99"/>
    <n v="0.41"/>
    <n v="16.34"/>
    <n v="126"/>
    <n v="1"/>
    <n v="2294"/>
    <n v="553"/>
    <n v="17"/>
    <n v="1099"/>
    <n v="9"/>
    <n v="616"/>
    <n v="7.4999999999999997E-2"/>
    <n v="0.16009999999999999"/>
    <n v="1.2999999999999999E-3"/>
  </r>
  <r>
    <n v="2020"/>
    <n v="2"/>
    <x v="4"/>
    <x v="4"/>
    <s v="SEA"/>
    <s v="Seattle, WA: Seattle/Tacoma International"/>
    <n v="463"/>
    <n v="86"/>
    <n v="34.08"/>
    <n v="0.53"/>
    <n v="26.05"/>
    <n v="0.3"/>
    <n v="25.04"/>
    <n v="4"/>
    <n v="1"/>
    <n v="5151"/>
    <n v="2577"/>
    <n v="16"/>
    <n v="834"/>
    <n v="6"/>
    <n v="1718"/>
    <n v="0.1857"/>
    <n v="8.6E-3"/>
    <n v="2.2000000000000001E-3"/>
  </r>
  <r>
    <n v="2020"/>
    <n v="2"/>
    <x v="5"/>
    <x v="5"/>
    <s v="SEA"/>
    <s v="Seattle, WA: Seattle/Tacoma International"/>
    <n v="5183"/>
    <n v="828"/>
    <n v="165.82"/>
    <n v="11.34"/>
    <n v="429.76"/>
    <n v="2.14"/>
    <n v="218.94"/>
    <n v="47"/>
    <n v="5"/>
    <n v="43679"/>
    <n v="12628"/>
    <n v="610"/>
    <n v="14017"/>
    <n v="67"/>
    <n v="16357"/>
    <n v="0.1598"/>
    <n v="9.1000000000000004E-3"/>
    <n v="1E-3"/>
  </r>
  <r>
    <n v="2020"/>
    <n v="2"/>
    <x v="6"/>
    <x v="6"/>
    <s v="SEA"/>
    <s v="Seattle, WA: Seattle/Tacoma International"/>
    <n v="163"/>
    <n v="23"/>
    <n v="11.03"/>
    <n v="0"/>
    <n v="7.3"/>
    <n v="0"/>
    <n v="4.67"/>
    <n v="0"/>
    <n v="0"/>
    <n v="1464"/>
    <n v="878"/>
    <n v="0"/>
    <n v="231"/>
    <n v="0"/>
    <n v="355"/>
    <n v="0.1411"/>
    <n v="0"/>
    <n v="0"/>
  </r>
  <r>
    <n v="2020"/>
    <n v="2"/>
    <x v="12"/>
    <x v="12"/>
    <s v="SEA"/>
    <s v="Seattle, WA: Seattle/Tacoma International"/>
    <n v="351"/>
    <n v="51"/>
    <n v="12.38"/>
    <n v="1.25"/>
    <n v="23.66"/>
    <n v="0"/>
    <n v="13.71"/>
    <n v="0"/>
    <n v="2"/>
    <n v="3486"/>
    <n v="1981"/>
    <n v="90"/>
    <n v="726"/>
    <n v="0"/>
    <n v="689"/>
    <n v="0.14530000000000001"/>
    <n v="0"/>
    <n v="5.7000000000000002E-3"/>
  </r>
  <r>
    <n v="2020"/>
    <n v="2"/>
    <x v="7"/>
    <x v="7"/>
    <s v="SEA"/>
    <s v="Seattle, WA: Seattle/Tacoma International"/>
    <n v="2349"/>
    <n v="278"/>
    <n v="78.52"/>
    <n v="6.65"/>
    <n v="111.13"/>
    <n v="1"/>
    <n v="80.7"/>
    <n v="0"/>
    <n v="0"/>
    <n v="15524"/>
    <n v="5140"/>
    <n v="843"/>
    <n v="3379"/>
    <n v="85"/>
    <n v="6077"/>
    <n v="0.1183"/>
    <n v="0"/>
    <n v="0"/>
  </r>
  <r>
    <n v="2020"/>
    <n v="2"/>
    <x v="8"/>
    <x v="8"/>
    <s v="SEA"/>
    <s v="Seattle, WA: Seattle/Tacoma International"/>
    <n v="29"/>
    <n v="7"/>
    <n v="2.3199999999999998"/>
    <n v="0"/>
    <n v="1.68"/>
    <n v="0"/>
    <n v="3"/>
    <n v="0"/>
    <n v="0"/>
    <n v="322"/>
    <n v="85"/>
    <n v="0"/>
    <n v="36"/>
    <n v="0"/>
    <n v="201"/>
    <n v="0.2414"/>
    <n v="0"/>
    <n v="0"/>
  </r>
  <r>
    <n v="2020"/>
    <n v="2"/>
    <x v="0"/>
    <x v="0"/>
    <s v="SEA"/>
    <s v="Seattle, WA: Seattle/Tacoma International"/>
    <n v="71"/>
    <n v="29"/>
    <n v="25.78"/>
    <n v="0"/>
    <n v="0"/>
    <n v="0.28000000000000003"/>
    <n v="2.94"/>
    <n v="1"/>
    <n v="0"/>
    <n v="1286"/>
    <n v="996"/>
    <n v="0"/>
    <n v="0"/>
    <n v="20"/>
    <n v="270"/>
    <n v="0.40849999999999997"/>
    <n v="1.41E-2"/>
    <n v="0"/>
  </r>
  <r>
    <n v="2020"/>
    <n v="2"/>
    <x v="1"/>
    <x v="1"/>
    <s v="SEA"/>
    <s v="Seattle, WA: Seattle/Tacoma International"/>
    <n v="83"/>
    <n v="6"/>
    <n v="1.48"/>
    <n v="0"/>
    <n v="2.5499999999999998"/>
    <n v="0"/>
    <n v="1.97"/>
    <n v="0"/>
    <n v="0"/>
    <n v="972"/>
    <n v="228"/>
    <n v="0"/>
    <n v="277"/>
    <n v="0"/>
    <n v="467"/>
    <n v="7.2300000000000003E-2"/>
    <n v="0"/>
    <n v="0"/>
  </r>
  <r>
    <n v="2020"/>
    <n v="2"/>
    <x v="2"/>
    <x v="2"/>
    <s v="SEA"/>
    <s v="Seattle, WA: Seattle/Tacoma International"/>
    <n v="1490"/>
    <n v="234"/>
    <n v="66.81"/>
    <n v="40.619999999999997"/>
    <n v="126.57"/>
    <n v="0"/>
    <n v="0"/>
    <n v="4"/>
    <n v="11"/>
    <n v="13546"/>
    <n v="4580"/>
    <n v="4745"/>
    <n v="4221"/>
    <n v="0"/>
    <n v="0"/>
    <n v="0.157"/>
    <n v="2.7000000000000001E-3"/>
    <n v="7.4000000000000003E-3"/>
  </r>
  <r>
    <n v="2020"/>
    <n v="2"/>
    <x v="3"/>
    <x v="3"/>
    <s v="SEA"/>
    <s v="Seattle, WA: Seattle/Tacoma International"/>
    <n v="2827"/>
    <n v="470"/>
    <n v="65.17"/>
    <n v="5.52"/>
    <n v="250.13"/>
    <n v="0"/>
    <n v="149.18"/>
    <n v="35"/>
    <n v="8"/>
    <n v="19689"/>
    <n v="4406"/>
    <n v="410"/>
    <n v="8221"/>
    <n v="0"/>
    <n v="6652"/>
    <n v="0.1663"/>
    <n v="1.24E-2"/>
    <n v="2.8E-3"/>
  </r>
  <r>
    <n v="2020"/>
    <n v="2"/>
    <x v="9"/>
    <x v="9"/>
    <s v="SEA"/>
    <s v="Seattle, WA: Seattle/Tacoma International"/>
    <n v="571"/>
    <n v="70"/>
    <n v="19.18"/>
    <n v="1.86"/>
    <n v="32.369999999999997"/>
    <n v="0"/>
    <n v="16.59"/>
    <n v="0"/>
    <n v="0"/>
    <n v="3571"/>
    <n v="1010"/>
    <n v="158"/>
    <n v="1168"/>
    <n v="0"/>
    <n v="1235"/>
    <n v="0.1226"/>
    <n v="0"/>
    <n v="0"/>
  </r>
  <r>
    <n v="2020"/>
    <n v="2"/>
    <x v="10"/>
    <x v="10"/>
    <s v="SEA"/>
    <s v="Seattle, WA: Seattle/Tacoma International"/>
    <n v="696"/>
    <n v="83"/>
    <n v="28.55"/>
    <n v="0"/>
    <n v="30.14"/>
    <n v="0"/>
    <n v="24.31"/>
    <n v="3"/>
    <n v="0"/>
    <n v="3430"/>
    <n v="1170"/>
    <n v="0"/>
    <n v="829"/>
    <n v="0"/>
    <n v="1431"/>
    <n v="0.1193"/>
    <n v="4.3E-3"/>
    <n v="0"/>
  </r>
  <r>
    <n v="2020"/>
    <n v="1"/>
    <x v="4"/>
    <x v="4"/>
    <s v="SEA"/>
    <s v="Seattle, WA: Seattle/Tacoma International"/>
    <n v="481"/>
    <n v="98"/>
    <n v="35.85"/>
    <n v="1.74"/>
    <n v="39.93"/>
    <n v="0"/>
    <n v="20.47"/>
    <n v="2"/>
    <n v="0"/>
    <n v="4836"/>
    <n v="1552"/>
    <n v="340"/>
    <n v="1301"/>
    <n v="0"/>
    <n v="1643"/>
    <n v="0.20369999999999999"/>
    <n v="4.1999999999999997E-3"/>
    <n v="0"/>
  </r>
  <r>
    <n v="2020"/>
    <n v="1"/>
    <x v="5"/>
    <x v="5"/>
    <s v="SEA"/>
    <s v="Seattle, WA: Seattle/Tacoma International"/>
    <n v="5562"/>
    <n v="1325"/>
    <n v="212.41"/>
    <n v="23.47"/>
    <n v="745.38"/>
    <n v="2.72"/>
    <n v="341.02"/>
    <n v="95"/>
    <n v="7"/>
    <n v="60204"/>
    <n v="12663"/>
    <n v="1773"/>
    <n v="25354"/>
    <n v="84"/>
    <n v="20330"/>
    <n v="0.2382"/>
    <n v="1.7100000000000001E-2"/>
    <n v="1.2999999999999999E-3"/>
  </r>
  <r>
    <n v="2020"/>
    <n v="1"/>
    <x v="6"/>
    <x v="6"/>
    <s v="SEA"/>
    <s v="Seattle, WA: Seattle/Tacoma International"/>
    <n v="145"/>
    <n v="21"/>
    <n v="7.49"/>
    <n v="0.96"/>
    <n v="9.86"/>
    <n v="0"/>
    <n v="2.68"/>
    <n v="0"/>
    <n v="0"/>
    <n v="798"/>
    <n v="437"/>
    <n v="25"/>
    <n v="254"/>
    <n v="0"/>
    <n v="82"/>
    <n v="0.14480000000000001"/>
    <n v="0"/>
    <n v="0"/>
  </r>
  <r>
    <n v="2020"/>
    <n v="1"/>
    <x v="12"/>
    <x v="12"/>
    <s v="SEA"/>
    <s v="Seattle, WA: Seattle/Tacoma International"/>
    <n v="676"/>
    <n v="154"/>
    <n v="26.58"/>
    <n v="2.08"/>
    <n v="61.33"/>
    <n v="0"/>
    <n v="64.010000000000005"/>
    <n v="0"/>
    <n v="1"/>
    <n v="10171"/>
    <n v="3604"/>
    <n v="103"/>
    <n v="1969"/>
    <n v="0"/>
    <n v="4495"/>
    <n v="0.2278"/>
    <n v="0"/>
    <n v="1.5E-3"/>
  </r>
  <r>
    <n v="2020"/>
    <n v="1"/>
    <x v="7"/>
    <x v="7"/>
    <s v="SEA"/>
    <s v="Seattle, WA: Seattle/Tacoma International"/>
    <n v="2509"/>
    <n v="374"/>
    <n v="87.77"/>
    <n v="5.35"/>
    <n v="190.5"/>
    <n v="0"/>
    <n v="90.37"/>
    <n v="1"/>
    <n v="3"/>
    <n v="19093"/>
    <n v="6799"/>
    <n v="278"/>
    <n v="5625"/>
    <n v="0"/>
    <n v="6391"/>
    <n v="0.14910000000000001"/>
    <n v="4.0000000000000002E-4"/>
    <n v="1.1999999999999999E-3"/>
  </r>
  <r>
    <n v="2020"/>
    <n v="1"/>
    <x v="8"/>
    <x v="8"/>
    <s v="SEA"/>
    <s v="Seattle, WA: Seattle/Tacoma International"/>
    <n v="33"/>
    <n v="12"/>
    <n v="5.79"/>
    <n v="0"/>
    <n v="4.6900000000000004"/>
    <n v="0"/>
    <n v="1.52"/>
    <n v="0"/>
    <n v="0"/>
    <n v="757"/>
    <n v="299"/>
    <n v="0"/>
    <n v="206"/>
    <n v="0"/>
    <n v="252"/>
    <n v="0.36359999999999998"/>
    <n v="0"/>
    <n v="0"/>
  </r>
  <r>
    <n v="2020"/>
    <n v="1"/>
    <x v="0"/>
    <x v="0"/>
    <s v="SEA"/>
    <s v="Seattle, WA: Seattle/Tacoma International"/>
    <n v="78"/>
    <n v="22"/>
    <n v="19.29"/>
    <n v="0"/>
    <n v="0.5"/>
    <n v="0"/>
    <n v="2.21"/>
    <n v="0"/>
    <n v="0"/>
    <n v="753"/>
    <n v="630"/>
    <n v="0"/>
    <n v="12"/>
    <n v="0"/>
    <n v="111"/>
    <n v="0.28210000000000002"/>
    <n v="0"/>
    <n v="0"/>
  </r>
  <r>
    <n v="2020"/>
    <n v="1"/>
    <x v="1"/>
    <x v="1"/>
    <s v="SEA"/>
    <s v="Seattle, WA: Seattle/Tacoma International"/>
    <n v="91"/>
    <n v="13"/>
    <n v="2.9"/>
    <n v="0"/>
    <n v="9.7200000000000006"/>
    <n v="0"/>
    <n v="0.39"/>
    <n v="2"/>
    <n v="0"/>
    <n v="453"/>
    <n v="165"/>
    <n v="0"/>
    <n v="271"/>
    <n v="0"/>
    <n v="17"/>
    <n v="0.1429"/>
    <n v="2.1999999999999999E-2"/>
    <n v="0"/>
  </r>
  <r>
    <n v="2020"/>
    <n v="1"/>
    <x v="2"/>
    <x v="2"/>
    <s v="SEA"/>
    <s v="Seattle, WA: Seattle/Tacoma International"/>
    <n v="1279"/>
    <n v="255"/>
    <n v="77.319999999999993"/>
    <n v="27.34"/>
    <n v="148.93"/>
    <n v="0"/>
    <n v="1.4"/>
    <n v="6"/>
    <n v="1"/>
    <n v="14575"/>
    <n v="6443"/>
    <n v="2590"/>
    <n v="5449"/>
    <n v="0"/>
    <n v="93"/>
    <n v="0.19939999999999999"/>
    <n v="4.7000000000000002E-3"/>
    <n v="8.0000000000000004E-4"/>
  </r>
  <r>
    <n v="2020"/>
    <n v="1"/>
    <x v="3"/>
    <x v="3"/>
    <s v="SEA"/>
    <s v="Seattle, WA: Seattle/Tacoma International"/>
    <n v="3042"/>
    <n v="734"/>
    <n v="102.22"/>
    <n v="24.88"/>
    <n v="355.16"/>
    <n v="1.1000000000000001"/>
    <n v="250.64"/>
    <n v="143"/>
    <n v="3"/>
    <n v="34065"/>
    <n v="7002"/>
    <n v="1418"/>
    <n v="13345"/>
    <n v="31"/>
    <n v="12269"/>
    <n v="0.24129999999999999"/>
    <n v="4.7E-2"/>
    <n v="1E-3"/>
  </r>
  <r>
    <n v="2020"/>
    <n v="1"/>
    <x v="9"/>
    <x v="9"/>
    <s v="SEA"/>
    <s v="Seattle, WA: Seattle/Tacoma International"/>
    <n v="629"/>
    <n v="106"/>
    <n v="21.65"/>
    <n v="0"/>
    <n v="53.42"/>
    <n v="0"/>
    <n v="30.93"/>
    <n v="3"/>
    <n v="1"/>
    <n v="5109"/>
    <n v="901"/>
    <n v="0"/>
    <n v="1788"/>
    <n v="0"/>
    <n v="2420"/>
    <n v="0.16850000000000001"/>
    <n v="4.7999999999999996E-3"/>
    <n v="1.6000000000000001E-3"/>
  </r>
  <r>
    <n v="2020"/>
    <n v="1"/>
    <x v="10"/>
    <x v="10"/>
    <s v="SEA"/>
    <s v="Seattle, WA: Seattle/Tacoma International"/>
    <n v="775"/>
    <n v="161"/>
    <n v="48.22"/>
    <n v="2.12"/>
    <n v="66.959999999999994"/>
    <n v="0"/>
    <n v="43.7"/>
    <n v="4"/>
    <n v="0"/>
    <n v="5891"/>
    <n v="1798"/>
    <n v="126"/>
    <n v="2019"/>
    <n v="0"/>
    <n v="1948"/>
    <n v="0.2077"/>
    <n v="5.1999999999999998E-3"/>
    <n v="0"/>
  </r>
  <r>
    <n v="2020"/>
    <n v="1"/>
    <x v="13"/>
    <x v="13"/>
    <s v="SEA"/>
    <s v="Seattle, WA: Seattle/Tacoma International"/>
    <n v="3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19"/>
    <n v="12"/>
    <x v="4"/>
    <x v="4"/>
    <s v="SEA"/>
    <s v="Seattle, WA: Seattle/Tacoma International"/>
    <n v="574"/>
    <n v="108"/>
    <n v="43.93"/>
    <n v="1.52"/>
    <n v="28.07"/>
    <n v="0.62"/>
    <n v="33.86"/>
    <n v="0"/>
    <n v="1"/>
    <n v="5313"/>
    <n v="2390"/>
    <n v="38"/>
    <n v="792"/>
    <n v="48"/>
    <n v="2045"/>
    <n v="0.18820000000000001"/>
    <n v="0"/>
    <n v="1.6999999999999999E-3"/>
  </r>
  <r>
    <n v="2019"/>
    <n v="12"/>
    <x v="5"/>
    <x v="5"/>
    <s v="SEA"/>
    <s v="Seattle, WA: Seattle/Tacoma International"/>
    <n v="5754"/>
    <n v="1451"/>
    <n v="272.69"/>
    <n v="17.239999999999998"/>
    <n v="637.24"/>
    <n v="4.32"/>
    <n v="519.51"/>
    <n v="53"/>
    <n v="4"/>
    <n v="79347"/>
    <n v="16760"/>
    <n v="1290"/>
    <n v="24126"/>
    <n v="105"/>
    <n v="37066"/>
    <n v="0.25219999999999998"/>
    <n v="9.1999999999999998E-3"/>
    <n v="6.9999999999999999E-4"/>
  </r>
  <r>
    <n v="2019"/>
    <n v="12"/>
    <x v="6"/>
    <x v="6"/>
    <s v="SEA"/>
    <s v="Seattle, WA: Seattle/Tacoma International"/>
    <n v="166"/>
    <n v="51"/>
    <n v="19.420000000000002"/>
    <n v="0.19"/>
    <n v="19.79"/>
    <n v="0"/>
    <n v="11.6"/>
    <n v="0"/>
    <n v="0"/>
    <n v="4077"/>
    <n v="1538"/>
    <n v="40"/>
    <n v="732"/>
    <n v="0"/>
    <n v="1767"/>
    <n v="0.30719999999999997"/>
    <n v="0"/>
    <n v="0"/>
  </r>
  <r>
    <n v="2019"/>
    <n v="12"/>
    <x v="12"/>
    <x v="12"/>
    <s v="SEA"/>
    <s v="Seattle, WA: Seattle/Tacoma International"/>
    <n v="550"/>
    <n v="92"/>
    <n v="16.12"/>
    <n v="1.68"/>
    <n v="39.69"/>
    <n v="0.03"/>
    <n v="34.479999999999997"/>
    <n v="2"/>
    <n v="0"/>
    <n v="5599"/>
    <n v="1718"/>
    <n v="66"/>
    <n v="1396"/>
    <n v="3"/>
    <n v="2416"/>
    <n v="0.1673"/>
    <n v="3.5999999999999999E-3"/>
    <n v="0"/>
  </r>
  <r>
    <n v="2019"/>
    <n v="12"/>
    <x v="7"/>
    <x v="7"/>
    <s v="SEA"/>
    <s v="Seattle, WA: Seattle/Tacoma International"/>
    <n v="2513"/>
    <n v="381"/>
    <n v="105.4"/>
    <n v="9.32"/>
    <n v="131.47"/>
    <n v="0"/>
    <n v="134.81"/>
    <n v="0"/>
    <n v="5"/>
    <n v="23181"/>
    <n v="6984"/>
    <n v="443"/>
    <n v="5872"/>
    <n v="0"/>
    <n v="9882"/>
    <n v="0.15160000000000001"/>
    <n v="0"/>
    <n v="2E-3"/>
  </r>
  <r>
    <n v="2019"/>
    <n v="12"/>
    <x v="8"/>
    <x v="8"/>
    <s v="SEA"/>
    <s v="Seattle, WA: Seattle/Tacoma International"/>
    <n v="33"/>
    <n v="6"/>
    <n v="0.78"/>
    <n v="0.08"/>
    <n v="3.38"/>
    <n v="0"/>
    <n v="1.76"/>
    <n v="0"/>
    <n v="0"/>
    <n v="401"/>
    <n v="35"/>
    <n v="19"/>
    <n v="114"/>
    <n v="0"/>
    <n v="233"/>
    <n v="0.18179999999999999"/>
    <n v="0"/>
    <n v="0"/>
  </r>
  <r>
    <n v="2019"/>
    <n v="12"/>
    <x v="0"/>
    <x v="0"/>
    <s v="SEA"/>
    <s v="Seattle, WA: Seattle/Tacoma International"/>
    <n v="79"/>
    <n v="27"/>
    <n v="20.67"/>
    <n v="0"/>
    <n v="0"/>
    <n v="1.33"/>
    <n v="5"/>
    <n v="0"/>
    <n v="0"/>
    <n v="1035"/>
    <n v="713"/>
    <n v="0"/>
    <n v="0"/>
    <n v="31"/>
    <n v="291"/>
    <n v="0.34179999999999999"/>
    <n v="0"/>
    <n v="0"/>
  </r>
  <r>
    <n v="2019"/>
    <n v="12"/>
    <x v="1"/>
    <x v="1"/>
    <s v="SEA"/>
    <s v="Seattle, WA: Seattle/Tacoma International"/>
    <n v="117"/>
    <n v="14"/>
    <n v="4.3600000000000003"/>
    <n v="0"/>
    <n v="8.15"/>
    <n v="0"/>
    <n v="1.5"/>
    <n v="0"/>
    <n v="0"/>
    <n v="703"/>
    <n v="115"/>
    <n v="0"/>
    <n v="497"/>
    <n v="0"/>
    <n v="91"/>
    <n v="0.1197"/>
    <n v="0"/>
    <n v="0"/>
  </r>
  <r>
    <n v="2019"/>
    <n v="12"/>
    <x v="2"/>
    <x v="2"/>
    <s v="SEA"/>
    <s v="Seattle, WA: Seattle/Tacoma International"/>
    <n v="1410"/>
    <n v="203"/>
    <n v="40.97"/>
    <n v="10.07"/>
    <n v="79.819999999999993"/>
    <n v="2.41"/>
    <n v="69.73"/>
    <n v="8"/>
    <n v="1"/>
    <n v="12661"/>
    <n v="3389"/>
    <n v="1833"/>
    <n v="3204"/>
    <n v="54"/>
    <n v="4181"/>
    <n v="0.14399999999999999"/>
    <n v="5.7000000000000002E-3"/>
    <n v="6.9999999999999999E-4"/>
  </r>
  <r>
    <n v="2019"/>
    <n v="12"/>
    <x v="3"/>
    <x v="3"/>
    <s v="SEA"/>
    <s v="Seattle, WA: Seattle/Tacoma International"/>
    <n v="3176"/>
    <n v="902"/>
    <n v="128.56"/>
    <n v="21.91"/>
    <n v="384.43"/>
    <n v="0.98"/>
    <n v="366.12"/>
    <n v="115"/>
    <n v="4"/>
    <n v="42944"/>
    <n v="8580"/>
    <n v="885"/>
    <n v="13705"/>
    <n v="35"/>
    <n v="19739"/>
    <n v="0.28399999999999997"/>
    <n v="3.6200000000000003E-2"/>
    <n v="1.2999999999999999E-3"/>
  </r>
  <r>
    <n v="2019"/>
    <n v="12"/>
    <x v="9"/>
    <x v="9"/>
    <s v="SEA"/>
    <s v="Seattle, WA: Seattle/Tacoma International"/>
    <n v="730"/>
    <n v="146"/>
    <n v="27.27"/>
    <n v="1.26"/>
    <n v="52.73"/>
    <n v="0"/>
    <n v="64.739999999999995"/>
    <n v="1"/>
    <n v="1"/>
    <n v="8279"/>
    <n v="1301"/>
    <n v="90"/>
    <n v="1901"/>
    <n v="0"/>
    <n v="4987"/>
    <n v="0.2"/>
    <n v="1.4E-3"/>
    <n v="1.4E-3"/>
  </r>
  <r>
    <n v="2019"/>
    <n v="12"/>
    <x v="10"/>
    <x v="10"/>
    <s v="SEA"/>
    <s v="Seattle, WA: Seattle/Tacoma International"/>
    <n v="932"/>
    <n v="281"/>
    <n v="119.05"/>
    <n v="0.97"/>
    <n v="60.45"/>
    <n v="0"/>
    <n v="100.53"/>
    <n v="2"/>
    <n v="0"/>
    <n v="11801"/>
    <n v="4779"/>
    <n v="62"/>
    <n v="2141"/>
    <n v="0"/>
    <n v="4819"/>
    <n v="0.30149999999999999"/>
    <n v="2.0999999999999999E-3"/>
    <n v="0"/>
  </r>
  <r>
    <n v="2019"/>
    <n v="12"/>
    <x v="13"/>
    <x v="13"/>
    <s v="SEA"/>
    <s v="Seattle, WA: Seattle/Tacoma International"/>
    <n v="9"/>
    <n v="2"/>
    <n v="0.5"/>
    <n v="0"/>
    <n v="1.5"/>
    <n v="0"/>
    <n v="0"/>
    <n v="0"/>
    <n v="0"/>
    <n v="141"/>
    <n v="33"/>
    <n v="0"/>
    <n v="108"/>
    <n v="0"/>
    <n v="0"/>
    <n v="0.22220000000000001"/>
    <n v="0"/>
    <n v="0"/>
  </r>
  <r>
    <n v="2019"/>
    <n v="11"/>
    <x v="4"/>
    <x v="4"/>
    <s v="SEA"/>
    <s v="Seattle, WA: Seattle/Tacoma International"/>
    <n v="596"/>
    <n v="97"/>
    <n v="33.75"/>
    <n v="1.1100000000000001"/>
    <n v="29.04"/>
    <n v="0.04"/>
    <n v="33.049999999999997"/>
    <n v="3"/>
    <n v="2"/>
    <n v="5249"/>
    <n v="1685"/>
    <n v="58"/>
    <n v="840"/>
    <n v="8"/>
    <n v="2658"/>
    <n v="0.1628"/>
    <n v="5.0000000000000001E-3"/>
    <n v="3.3999999999999998E-3"/>
  </r>
  <r>
    <n v="2019"/>
    <n v="11"/>
    <x v="5"/>
    <x v="5"/>
    <s v="SEA"/>
    <s v="Seattle, WA: Seattle/Tacoma International"/>
    <n v="5507"/>
    <n v="938"/>
    <n v="174.98"/>
    <n v="10.99"/>
    <n v="487.39"/>
    <n v="1.27"/>
    <n v="263.36"/>
    <n v="41"/>
    <n v="10"/>
    <n v="43798"/>
    <n v="11828"/>
    <n v="779"/>
    <n v="16182"/>
    <n v="35"/>
    <n v="14974"/>
    <n v="0.17030000000000001"/>
    <n v="7.4000000000000003E-3"/>
    <n v="1.8E-3"/>
  </r>
  <r>
    <n v="2019"/>
    <n v="11"/>
    <x v="6"/>
    <x v="6"/>
    <s v="SEA"/>
    <s v="Seattle, WA: Seattle/Tacoma International"/>
    <n v="164"/>
    <n v="26"/>
    <n v="9.27"/>
    <n v="0"/>
    <n v="12.6"/>
    <n v="0"/>
    <n v="4.13"/>
    <n v="0"/>
    <n v="0"/>
    <n v="1807"/>
    <n v="891"/>
    <n v="0"/>
    <n v="347"/>
    <n v="0"/>
    <n v="569"/>
    <n v="0.1585"/>
    <n v="0"/>
    <n v="0"/>
  </r>
  <r>
    <n v="2019"/>
    <n v="11"/>
    <x v="12"/>
    <x v="12"/>
    <s v="SEA"/>
    <s v="Seattle, WA: Seattle/Tacoma International"/>
    <n v="834"/>
    <n v="174"/>
    <n v="34.229999999999997"/>
    <n v="11.98"/>
    <n v="50.4"/>
    <n v="0"/>
    <n v="77.39"/>
    <n v="0"/>
    <n v="8"/>
    <n v="14093"/>
    <n v="3535"/>
    <n v="1902"/>
    <n v="2252"/>
    <n v="0"/>
    <n v="6404"/>
    <n v="0.20860000000000001"/>
    <n v="0"/>
    <n v="9.5999999999999992E-3"/>
  </r>
  <r>
    <n v="2019"/>
    <n v="11"/>
    <x v="7"/>
    <x v="7"/>
    <s v="SEA"/>
    <s v="Seattle, WA: Seattle/Tacoma International"/>
    <n v="2329"/>
    <n v="295"/>
    <n v="76.11"/>
    <n v="6.44"/>
    <n v="119.23"/>
    <n v="1"/>
    <n v="92.21"/>
    <n v="0"/>
    <n v="7"/>
    <n v="18157"/>
    <n v="6877"/>
    <n v="872"/>
    <n v="3920"/>
    <n v="41"/>
    <n v="6447"/>
    <n v="0.12670000000000001"/>
    <n v="0"/>
    <n v="3.0000000000000001E-3"/>
  </r>
  <r>
    <n v="2019"/>
    <n v="11"/>
    <x v="8"/>
    <x v="8"/>
    <s v="SEA"/>
    <s v="Seattle, WA: Seattle/Tacoma International"/>
    <n v="49"/>
    <n v="15"/>
    <n v="7.8"/>
    <n v="0"/>
    <n v="4.45"/>
    <n v="0"/>
    <n v="2.76"/>
    <n v="0"/>
    <n v="0"/>
    <n v="682"/>
    <n v="301"/>
    <n v="0"/>
    <n v="193"/>
    <n v="0"/>
    <n v="188"/>
    <n v="0.30609999999999998"/>
    <n v="0"/>
    <n v="0"/>
  </r>
  <r>
    <n v="2019"/>
    <n v="11"/>
    <x v="0"/>
    <x v="0"/>
    <s v="SEA"/>
    <s v="Seattle, WA: Seattle/Tacoma International"/>
    <n v="60"/>
    <n v="20"/>
    <n v="17.02"/>
    <n v="0.28000000000000003"/>
    <n v="0"/>
    <n v="0.98"/>
    <n v="1.72"/>
    <n v="0"/>
    <n v="0"/>
    <n v="698"/>
    <n v="521"/>
    <n v="9"/>
    <n v="0"/>
    <n v="58"/>
    <n v="110"/>
    <n v="0.33329999999999999"/>
    <n v="0"/>
    <n v="0"/>
  </r>
  <r>
    <n v="2019"/>
    <n v="11"/>
    <x v="1"/>
    <x v="1"/>
    <s v="SEA"/>
    <s v="Seattle, WA: Seattle/Tacoma International"/>
    <n v="124"/>
    <n v="11"/>
    <n v="3.48"/>
    <n v="0"/>
    <n v="6.41"/>
    <n v="0"/>
    <n v="1.1100000000000001"/>
    <n v="0"/>
    <n v="0"/>
    <n v="669"/>
    <n v="180"/>
    <n v="0"/>
    <n v="441"/>
    <n v="0"/>
    <n v="48"/>
    <n v="8.8700000000000001E-2"/>
    <n v="0"/>
    <n v="0"/>
  </r>
  <r>
    <n v="2019"/>
    <n v="11"/>
    <x v="2"/>
    <x v="2"/>
    <s v="SEA"/>
    <s v="Seattle, WA: Seattle/Tacoma International"/>
    <n v="993"/>
    <n v="167"/>
    <n v="15.6"/>
    <n v="10.19"/>
    <n v="76.680000000000007"/>
    <n v="0"/>
    <n v="64.53"/>
    <n v="5"/>
    <n v="13"/>
    <n v="17379"/>
    <n v="2242"/>
    <n v="2762"/>
    <n v="2877"/>
    <n v="0"/>
    <n v="9498"/>
    <n v="0.16819999999999999"/>
    <n v="5.0000000000000001E-3"/>
    <n v="1.3100000000000001E-2"/>
  </r>
  <r>
    <n v="2019"/>
    <n v="11"/>
    <x v="3"/>
    <x v="3"/>
    <s v="SEA"/>
    <s v="Seattle, WA: Seattle/Tacoma International"/>
    <n v="2987"/>
    <n v="596"/>
    <n v="74.510000000000005"/>
    <n v="14.05"/>
    <n v="333.05"/>
    <n v="1"/>
    <n v="173.39"/>
    <n v="61"/>
    <n v="7"/>
    <n v="24073"/>
    <n v="3848"/>
    <n v="820"/>
    <n v="11190"/>
    <n v="37"/>
    <n v="8178"/>
    <n v="0.19950000000000001"/>
    <n v="2.0400000000000001E-2"/>
    <n v="2.3E-3"/>
  </r>
  <r>
    <n v="2019"/>
    <n v="11"/>
    <x v="9"/>
    <x v="9"/>
    <s v="SEA"/>
    <s v="Seattle, WA: Seattle/Tacoma International"/>
    <n v="747"/>
    <n v="136"/>
    <n v="25.18"/>
    <n v="2.25"/>
    <n v="68.17"/>
    <n v="0"/>
    <n v="40.4"/>
    <n v="2"/>
    <n v="1"/>
    <n v="7221"/>
    <n v="1185"/>
    <n v="124"/>
    <n v="1980"/>
    <n v="0"/>
    <n v="3932"/>
    <n v="0.18210000000000001"/>
    <n v="2.7000000000000001E-3"/>
    <n v="1.2999999999999999E-3"/>
  </r>
  <r>
    <n v="2019"/>
    <n v="11"/>
    <x v="10"/>
    <x v="10"/>
    <s v="SEA"/>
    <s v="Seattle, WA: Seattle/Tacoma International"/>
    <n v="879"/>
    <n v="161"/>
    <n v="56.12"/>
    <n v="1.53"/>
    <n v="54.89"/>
    <n v="0"/>
    <n v="48.46"/>
    <n v="7"/>
    <n v="2"/>
    <n v="7035"/>
    <n v="2770"/>
    <n v="68"/>
    <n v="1580"/>
    <n v="0"/>
    <n v="2617"/>
    <n v="0.1832"/>
    <n v="8.0000000000000002E-3"/>
    <n v="2.3E-3"/>
  </r>
  <r>
    <n v="2019"/>
    <n v="10"/>
    <x v="4"/>
    <x v="4"/>
    <s v="SEA"/>
    <s v="Seattle, WA: Seattle/Tacoma International"/>
    <n v="635"/>
    <n v="153"/>
    <n v="44.17"/>
    <n v="5.42"/>
    <n v="53.92"/>
    <n v="0"/>
    <n v="49.49"/>
    <n v="2"/>
    <n v="2"/>
    <n v="8487"/>
    <n v="2588"/>
    <n v="329"/>
    <n v="2061"/>
    <n v="0"/>
    <n v="3509"/>
    <n v="0.2409"/>
    <n v="3.0999999999999999E-3"/>
    <n v="3.0999999999999999E-3"/>
  </r>
  <r>
    <n v="2019"/>
    <n v="10"/>
    <x v="5"/>
    <x v="5"/>
    <s v="SEA"/>
    <s v="Seattle, WA: Seattle/Tacoma International"/>
    <n v="5789"/>
    <n v="1104"/>
    <n v="169.88"/>
    <n v="7.17"/>
    <n v="677.48"/>
    <n v="1.37"/>
    <n v="248.11"/>
    <n v="25"/>
    <n v="13"/>
    <n v="51872"/>
    <n v="13182"/>
    <n v="574"/>
    <n v="21864"/>
    <n v="59"/>
    <n v="16193"/>
    <n v="0.19070000000000001"/>
    <n v="4.3E-3"/>
    <n v="2.2000000000000001E-3"/>
  </r>
  <r>
    <n v="2019"/>
    <n v="10"/>
    <x v="6"/>
    <x v="6"/>
    <s v="SEA"/>
    <s v="Seattle, WA: Seattle/Tacoma International"/>
    <n v="176"/>
    <n v="33"/>
    <n v="11.63"/>
    <n v="0"/>
    <n v="15.34"/>
    <n v="0.74"/>
    <n v="5.29"/>
    <n v="0"/>
    <n v="0"/>
    <n v="1754"/>
    <n v="793"/>
    <n v="0"/>
    <n v="526"/>
    <n v="37"/>
    <n v="398"/>
    <n v="0.1875"/>
    <n v="0"/>
    <n v="0"/>
  </r>
  <r>
    <n v="2019"/>
    <n v="10"/>
    <x v="12"/>
    <x v="12"/>
    <s v="SEA"/>
    <s v="Seattle, WA: Seattle/Tacoma International"/>
    <n v="1168"/>
    <n v="251"/>
    <n v="62.5"/>
    <n v="4.12"/>
    <n v="70.13"/>
    <n v="0"/>
    <n v="114.25"/>
    <n v="11"/>
    <n v="2"/>
    <n v="23645"/>
    <n v="10934"/>
    <n v="611"/>
    <n v="2508"/>
    <n v="0"/>
    <n v="9592"/>
    <n v="0.21490000000000001"/>
    <n v="9.4000000000000004E-3"/>
    <n v="1.6999999999999999E-3"/>
  </r>
  <r>
    <n v="2019"/>
    <n v="10"/>
    <x v="7"/>
    <x v="7"/>
    <s v="SEA"/>
    <s v="Seattle, WA: Seattle/Tacoma International"/>
    <n v="2600"/>
    <n v="298"/>
    <n v="87.87"/>
    <n v="6.62"/>
    <n v="138.34"/>
    <n v="0"/>
    <n v="65.180000000000007"/>
    <n v="0"/>
    <n v="5"/>
    <n v="15865"/>
    <n v="5799"/>
    <n v="611"/>
    <n v="4187"/>
    <n v="0"/>
    <n v="5268"/>
    <n v="0.11459999999999999"/>
    <n v="0"/>
    <n v="1.9E-3"/>
  </r>
  <r>
    <n v="2019"/>
    <n v="10"/>
    <x v="8"/>
    <x v="8"/>
    <s v="SEA"/>
    <s v="Seattle, WA: Seattle/Tacoma International"/>
    <n v="76"/>
    <n v="29"/>
    <n v="7.08"/>
    <n v="0.9"/>
    <n v="11.76"/>
    <n v="0"/>
    <n v="9.26"/>
    <n v="0"/>
    <n v="0"/>
    <n v="1830"/>
    <n v="330"/>
    <n v="58"/>
    <n v="743"/>
    <n v="0"/>
    <n v="699"/>
    <n v="0.38159999999999999"/>
    <n v="0"/>
    <n v="0"/>
  </r>
  <r>
    <n v="2019"/>
    <n v="10"/>
    <x v="0"/>
    <x v="0"/>
    <s v="SEA"/>
    <s v="Seattle, WA: Seattle/Tacoma International"/>
    <n v="62"/>
    <n v="25"/>
    <n v="21.57"/>
    <n v="0"/>
    <n v="0"/>
    <n v="1.9"/>
    <n v="1.53"/>
    <n v="0"/>
    <n v="0"/>
    <n v="940"/>
    <n v="835"/>
    <n v="0"/>
    <n v="0"/>
    <n v="54"/>
    <n v="51"/>
    <n v="0.4032"/>
    <n v="0"/>
    <n v="0"/>
  </r>
  <r>
    <n v="2019"/>
    <n v="10"/>
    <x v="1"/>
    <x v="1"/>
    <s v="SEA"/>
    <s v="Seattle, WA: Seattle/Tacoma International"/>
    <n v="135"/>
    <n v="39"/>
    <n v="8.7799999999999994"/>
    <n v="0.16"/>
    <n v="17.899999999999999"/>
    <n v="0"/>
    <n v="12.16"/>
    <n v="2"/>
    <n v="0"/>
    <n v="2250"/>
    <n v="534"/>
    <n v="16"/>
    <n v="961"/>
    <n v="0"/>
    <n v="739"/>
    <n v="0.28889999999999999"/>
    <n v="1.4800000000000001E-2"/>
    <n v="0"/>
  </r>
  <r>
    <n v="2019"/>
    <n v="10"/>
    <x v="2"/>
    <x v="2"/>
    <s v="SEA"/>
    <s v="Seattle, WA: Seattle/Tacoma International"/>
    <n v="807"/>
    <n v="113"/>
    <n v="24.26"/>
    <n v="3.5"/>
    <n v="61.44"/>
    <n v="0"/>
    <n v="23.8"/>
    <n v="5"/>
    <n v="2"/>
    <n v="5711"/>
    <n v="2135"/>
    <n v="245"/>
    <n v="1911"/>
    <n v="0"/>
    <n v="1420"/>
    <n v="0.14000000000000001"/>
    <n v="6.1999999999999998E-3"/>
    <n v="2.5000000000000001E-3"/>
  </r>
  <r>
    <n v="2019"/>
    <n v="10"/>
    <x v="3"/>
    <x v="3"/>
    <s v="SEA"/>
    <s v="Seattle, WA: Seattle/Tacoma International"/>
    <n v="3120"/>
    <n v="579"/>
    <n v="69.099999999999994"/>
    <n v="2.44"/>
    <n v="358.83"/>
    <n v="0"/>
    <n v="148.63"/>
    <n v="29"/>
    <n v="3"/>
    <n v="25223"/>
    <n v="4376"/>
    <n v="200"/>
    <n v="12039"/>
    <n v="0"/>
    <n v="8608"/>
    <n v="0.18559999999999999"/>
    <n v="9.2999999999999992E-3"/>
    <n v="1E-3"/>
  </r>
  <r>
    <n v="2019"/>
    <n v="10"/>
    <x v="9"/>
    <x v="9"/>
    <s v="SEA"/>
    <s v="Seattle, WA: Seattle/Tacoma International"/>
    <n v="846"/>
    <n v="162"/>
    <n v="28.08"/>
    <n v="2.8"/>
    <n v="72.69"/>
    <n v="0"/>
    <n v="58.42"/>
    <n v="1"/>
    <n v="1"/>
    <n v="8354"/>
    <n v="1499"/>
    <n v="216"/>
    <n v="2648"/>
    <n v="0"/>
    <n v="3991"/>
    <n v="0.1915"/>
    <n v="1.1999999999999999E-3"/>
    <n v="1.1999999999999999E-3"/>
  </r>
  <r>
    <n v="2019"/>
    <n v="10"/>
    <x v="10"/>
    <x v="10"/>
    <s v="SEA"/>
    <s v="Seattle, WA: Seattle/Tacoma International"/>
    <n v="904"/>
    <n v="169"/>
    <n v="61.08"/>
    <n v="1.1599999999999999"/>
    <n v="58.88"/>
    <n v="0.9"/>
    <n v="46.99"/>
    <n v="9"/>
    <n v="1"/>
    <n v="7262"/>
    <n v="3234"/>
    <n v="36"/>
    <n v="1969"/>
    <n v="113"/>
    <n v="1910"/>
    <n v="0.18690000000000001"/>
    <n v="0.01"/>
    <n v="1.1000000000000001E-3"/>
  </r>
  <r>
    <n v="2019"/>
    <n v="9"/>
    <x v="4"/>
    <x v="4"/>
    <s v="SEA"/>
    <s v="Seattle, WA: Seattle/Tacoma International"/>
    <n v="616"/>
    <n v="115"/>
    <n v="32.65"/>
    <n v="4.84"/>
    <n v="35.770000000000003"/>
    <n v="0"/>
    <n v="41.73"/>
    <n v="1"/>
    <n v="4"/>
    <n v="5795"/>
    <n v="1559"/>
    <n v="291"/>
    <n v="1355"/>
    <n v="0"/>
    <n v="2590"/>
    <n v="0.1867"/>
    <n v="1.6000000000000001E-3"/>
    <n v="6.4999999999999997E-3"/>
  </r>
  <r>
    <n v="2019"/>
    <n v="9"/>
    <x v="5"/>
    <x v="5"/>
    <s v="SEA"/>
    <s v="Seattle, WA: Seattle/Tacoma International"/>
    <n v="5852"/>
    <n v="1234"/>
    <n v="186.56"/>
    <n v="13.63"/>
    <n v="711.54"/>
    <n v="4.58"/>
    <n v="317.69"/>
    <n v="32"/>
    <n v="17"/>
    <n v="53163"/>
    <n v="12775"/>
    <n v="950"/>
    <n v="23563"/>
    <n v="193"/>
    <n v="15682"/>
    <n v="0.2109"/>
    <n v="5.4999999999999997E-3"/>
    <n v="2.8999999999999998E-3"/>
  </r>
  <r>
    <n v="2019"/>
    <n v="9"/>
    <x v="6"/>
    <x v="6"/>
    <s v="SEA"/>
    <s v="Seattle, WA: Seattle/Tacoma International"/>
    <n v="187"/>
    <n v="41"/>
    <n v="9.49"/>
    <n v="0.72"/>
    <n v="21.56"/>
    <n v="0"/>
    <n v="9.24"/>
    <n v="0"/>
    <n v="1"/>
    <n v="2607"/>
    <n v="804"/>
    <n v="23"/>
    <n v="673"/>
    <n v="0"/>
    <n v="1107"/>
    <n v="0.21929999999999999"/>
    <n v="0"/>
    <n v="5.3E-3"/>
  </r>
  <r>
    <n v="2019"/>
    <n v="9"/>
    <x v="12"/>
    <x v="12"/>
    <s v="SEA"/>
    <s v="Seattle, WA: Seattle/Tacoma International"/>
    <n v="1175"/>
    <n v="231"/>
    <n v="39.630000000000003"/>
    <n v="3"/>
    <n v="91.91"/>
    <n v="0"/>
    <n v="96.45"/>
    <n v="1"/>
    <n v="1"/>
    <n v="16150"/>
    <n v="6366"/>
    <n v="89"/>
    <n v="3138"/>
    <n v="0"/>
    <n v="6557"/>
    <n v="0.1966"/>
    <n v="8.9999999999999998E-4"/>
    <n v="8.9999999999999998E-4"/>
  </r>
  <r>
    <n v="2019"/>
    <n v="9"/>
    <x v="7"/>
    <x v="7"/>
    <s v="SEA"/>
    <s v="Seattle, WA: Seattle/Tacoma International"/>
    <n v="2617"/>
    <n v="369"/>
    <n v="95.29"/>
    <n v="8.41"/>
    <n v="143.77000000000001"/>
    <n v="1"/>
    <n v="120.53"/>
    <n v="0"/>
    <n v="4"/>
    <n v="26380"/>
    <n v="9736"/>
    <n v="687"/>
    <n v="5106"/>
    <n v="62"/>
    <n v="10789"/>
    <n v="0.14099999999999999"/>
    <n v="0"/>
    <n v="1.5E-3"/>
  </r>
  <r>
    <n v="2019"/>
    <n v="9"/>
    <x v="8"/>
    <x v="8"/>
    <s v="SEA"/>
    <s v="Seattle, WA: Seattle/Tacoma International"/>
    <n v="72"/>
    <n v="10"/>
    <n v="3.33"/>
    <n v="0.83"/>
    <n v="3.4"/>
    <n v="0"/>
    <n v="2.4500000000000002"/>
    <n v="0"/>
    <n v="0"/>
    <n v="422"/>
    <n v="182"/>
    <n v="19"/>
    <n v="128"/>
    <n v="0"/>
    <n v="93"/>
    <n v="0.1389"/>
    <n v="0"/>
    <n v="0"/>
  </r>
  <r>
    <n v="2019"/>
    <n v="9"/>
    <x v="0"/>
    <x v="0"/>
    <s v="SEA"/>
    <s v="Seattle, WA: Seattle/Tacoma International"/>
    <n v="60"/>
    <n v="28"/>
    <n v="22.63"/>
    <n v="0.45"/>
    <n v="2.02"/>
    <n v="0"/>
    <n v="2.9"/>
    <n v="0"/>
    <n v="0"/>
    <n v="963"/>
    <n v="655"/>
    <n v="30"/>
    <n v="75"/>
    <n v="0"/>
    <n v="203"/>
    <n v="0.4667"/>
    <n v="0"/>
    <n v="0"/>
  </r>
  <r>
    <n v="2019"/>
    <n v="9"/>
    <x v="1"/>
    <x v="1"/>
    <s v="SEA"/>
    <s v="Seattle, WA: Seattle/Tacoma International"/>
    <n v="153"/>
    <n v="25"/>
    <n v="5.62"/>
    <n v="0"/>
    <n v="13.82"/>
    <n v="0"/>
    <n v="5.56"/>
    <n v="0"/>
    <n v="0"/>
    <n v="1118"/>
    <n v="248"/>
    <n v="0"/>
    <n v="619"/>
    <n v="0"/>
    <n v="251"/>
    <n v="0.16339999999999999"/>
    <n v="0"/>
    <n v="0"/>
  </r>
  <r>
    <n v="2019"/>
    <n v="9"/>
    <x v="2"/>
    <x v="2"/>
    <s v="SEA"/>
    <s v="Seattle, WA: Seattle/Tacoma International"/>
    <n v="784"/>
    <n v="86"/>
    <n v="18.38"/>
    <n v="3.21"/>
    <n v="41.73"/>
    <n v="0"/>
    <n v="22.68"/>
    <n v="0"/>
    <n v="1"/>
    <n v="3641"/>
    <n v="1085"/>
    <n v="224"/>
    <n v="1182"/>
    <n v="0"/>
    <n v="1150"/>
    <n v="0.10970000000000001"/>
    <n v="0"/>
    <n v="1.2999999999999999E-3"/>
  </r>
  <r>
    <n v="2019"/>
    <n v="9"/>
    <x v="3"/>
    <x v="3"/>
    <s v="SEA"/>
    <s v="Seattle, WA: Seattle/Tacoma International"/>
    <n v="2854"/>
    <n v="415"/>
    <n v="54"/>
    <n v="3.34"/>
    <n v="248.06"/>
    <n v="0"/>
    <n v="109.61"/>
    <n v="33"/>
    <n v="8"/>
    <n v="16494"/>
    <n v="3611"/>
    <n v="137"/>
    <n v="8187"/>
    <n v="0"/>
    <n v="4559"/>
    <n v="0.1454"/>
    <n v="1.1599999999999999E-2"/>
    <n v="2.8E-3"/>
  </r>
  <r>
    <n v="2019"/>
    <n v="9"/>
    <x v="9"/>
    <x v="9"/>
    <s v="SEA"/>
    <s v="Seattle, WA: Seattle/Tacoma International"/>
    <n v="876"/>
    <n v="173"/>
    <n v="37.08"/>
    <n v="6.48"/>
    <n v="71.16"/>
    <n v="0"/>
    <n v="58.28"/>
    <n v="8"/>
    <n v="2"/>
    <n v="9556"/>
    <n v="2251"/>
    <n v="418"/>
    <n v="2283"/>
    <n v="0"/>
    <n v="4604"/>
    <n v="0.19750000000000001"/>
    <n v="9.1000000000000004E-3"/>
    <n v="2.3E-3"/>
  </r>
  <r>
    <n v="2019"/>
    <n v="9"/>
    <x v="10"/>
    <x v="10"/>
    <s v="SEA"/>
    <s v="Seattle, WA: Seattle/Tacoma International"/>
    <n v="1019"/>
    <n v="140"/>
    <n v="41.81"/>
    <n v="0.16"/>
    <n v="56.25"/>
    <n v="0"/>
    <n v="41.78"/>
    <n v="4"/>
    <n v="2"/>
    <n v="5917"/>
    <n v="2042"/>
    <n v="7"/>
    <n v="1737"/>
    <n v="0"/>
    <n v="2131"/>
    <n v="0.13739999999999999"/>
    <n v="3.8999999999999998E-3"/>
    <n v="2E-3"/>
  </r>
  <r>
    <n v="2019"/>
    <n v="8"/>
    <x v="7"/>
    <x v="7"/>
    <s v="SEA"/>
    <s v="Seattle, WA: Seattle/Tacoma International"/>
    <n v="3190"/>
    <n v="563"/>
    <n v="172.56"/>
    <n v="5.63"/>
    <n v="209.71"/>
    <n v="0"/>
    <n v="175.09"/>
    <n v="2"/>
    <n v="3"/>
    <n v="38123"/>
    <n v="17665"/>
    <n v="462"/>
    <n v="8351"/>
    <n v="0"/>
    <n v="11645"/>
    <n v="0.17649999999999999"/>
    <n v="5.9999999999999995E-4"/>
    <n v="8.9999999999999998E-4"/>
  </r>
  <r>
    <n v="2019"/>
    <n v="8"/>
    <x v="8"/>
    <x v="8"/>
    <s v="SEA"/>
    <s v="Seattle, WA: Seattle/Tacoma International"/>
    <n v="93"/>
    <n v="33"/>
    <n v="9.91"/>
    <n v="0"/>
    <n v="15.61"/>
    <n v="0"/>
    <n v="7.48"/>
    <n v="1"/>
    <n v="0"/>
    <n v="1374"/>
    <n v="367"/>
    <n v="0"/>
    <n v="498"/>
    <n v="0"/>
    <n v="509"/>
    <n v="0.3548"/>
    <n v="1.0800000000000001E-2"/>
    <n v="0"/>
  </r>
  <r>
    <n v="2019"/>
    <n v="8"/>
    <x v="0"/>
    <x v="0"/>
    <s v="SEA"/>
    <s v="Seattle, WA: Seattle/Tacoma International"/>
    <n v="63"/>
    <n v="22"/>
    <n v="14.64"/>
    <n v="0"/>
    <n v="0"/>
    <n v="0"/>
    <n v="7.36"/>
    <n v="0"/>
    <n v="0"/>
    <n v="908"/>
    <n v="701"/>
    <n v="0"/>
    <n v="0"/>
    <n v="0"/>
    <n v="207"/>
    <n v="0.34920000000000001"/>
    <n v="0"/>
    <n v="0"/>
  </r>
  <r>
    <n v="2019"/>
    <n v="8"/>
    <x v="1"/>
    <x v="1"/>
    <s v="SEA"/>
    <s v="Seattle, WA: Seattle/Tacoma International"/>
    <n v="279"/>
    <n v="102"/>
    <n v="22.19"/>
    <n v="0.54"/>
    <n v="56.79"/>
    <n v="0"/>
    <n v="22.47"/>
    <n v="10"/>
    <n v="0"/>
    <n v="5452"/>
    <n v="1451"/>
    <n v="27"/>
    <n v="2789"/>
    <n v="0"/>
    <n v="1185"/>
    <n v="0.36559999999999998"/>
    <n v="3.5799999999999998E-2"/>
    <n v="0"/>
  </r>
  <r>
    <n v="2019"/>
    <n v="8"/>
    <x v="2"/>
    <x v="2"/>
    <s v="SEA"/>
    <s v="Seattle, WA: Seattle/Tacoma International"/>
    <n v="651"/>
    <n v="131"/>
    <n v="18.3"/>
    <n v="2.59"/>
    <n v="84.76"/>
    <n v="0.63"/>
    <n v="24.73"/>
    <n v="6"/>
    <n v="0"/>
    <n v="7773"/>
    <n v="3144"/>
    <n v="392"/>
    <n v="3117"/>
    <n v="15"/>
    <n v="1105"/>
    <n v="0.20119999999999999"/>
    <n v="9.1999999999999998E-3"/>
    <n v="0"/>
  </r>
  <r>
    <n v="2019"/>
    <n v="8"/>
    <x v="3"/>
    <x v="3"/>
    <s v="SEA"/>
    <s v="Seattle, WA: Seattle/Tacoma International"/>
    <n v="2970"/>
    <n v="661"/>
    <n v="63.54"/>
    <n v="3.85"/>
    <n v="447.54"/>
    <n v="0"/>
    <n v="146.07"/>
    <n v="43"/>
    <n v="3"/>
    <n v="27424"/>
    <n v="4542"/>
    <n v="201"/>
    <n v="16367"/>
    <n v="0"/>
    <n v="6314"/>
    <n v="0.22259999999999999"/>
    <n v="1.4500000000000001E-2"/>
    <n v="1E-3"/>
  </r>
  <r>
    <n v="2019"/>
    <n v="8"/>
    <x v="9"/>
    <x v="9"/>
    <s v="SEA"/>
    <s v="Seattle, WA: Seattle/Tacoma International"/>
    <n v="1157"/>
    <n v="332"/>
    <n v="62.36"/>
    <n v="8.1300000000000008"/>
    <n v="136.58000000000001"/>
    <n v="0"/>
    <n v="124.93"/>
    <n v="4"/>
    <n v="0"/>
    <n v="20781"/>
    <n v="4049"/>
    <n v="1040"/>
    <n v="5863"/>
    <n v="0"/>
    <n v="9829"/>
    <n v="0.28689999999999999"/>
    <n v="3.5000000000000001E-3"/>
    <n v="0"/>
  </r>
  <r>
    <n v="2019"/>
    <n v="8"/>
    <x v="10"/>
    <x v="10"/>
    <s v="SEA"/>
    <s v="Seattle, WA: Seattle/Tacoma International"/>
    <n v="1106"/>
    <n v="306"/>
    <n v="77.81"/>
    <n v="2.23"/>
    <n v="134.88"/>
    <n v="1"/>
    <n v="90.09"/>
    <n v="0"/>
    <n v="1"/>
    <n v="14236"/>
    <n v="3629"/>
    <n v="343"/>
    <n v="5149"/>
    <n v="15"/>
    <n v="5100"/>
    <n v="0.2767"/>
    <n v="0"/>
    <n v="8.9999999999999998E-4"/>
  </r>
  <r>
    <n v="2019"/>
    <n v="8"/>
    <x v="4"/>
    <x v="4"/>
    <s v="SEA"/>
    <s v="Seattle, WA: Seattle/Tacoma International"/>
    <n v="813"/>
    <n v="274"/>
    <n v="94.28"/>
    <n v="11.73"/>
    <n v="85.27"/>
    <n v="1.9"/>
    <n v="80.81"/>
    <n v="13"/>
    <n v="1"/>
    <n v="17807"/>
    <n v="6145"/>
    <n v="978"/>
    <n v="3660"/>
    <n v="158"/>
    <n v="6866"/>
    <n v="0.33700000000000002"/>
    <n v="1.6E-2"/>
    <n v="1.1999999999999999E-3"/>
  </r>
  <r>
    <n v="2019"/>
    <n v="8"/>
    <x v="5"/>
    <x v="5"/>
    <s v="SEA"/>
    <s v="Seattle, WA: Seattle/Tacoma International"/>
    <n v="6572"/>
    <n v="1572"/>
    <n v="222.64"/>
    <n v="15.96"/>
    <n v="848.76"/>
    <n v="6.46"/>
    <n v="478.18"/>
    <n v="54"/>
    <n v="7"/>
    <n v="72289"/>
    <n v="13698"/>
    <n v="1169"/>
    <n v="28556"/>
    <n v="190"/>
    <n v="28676"/>
    <n v="0.2392"/>
    <n v="8.2000000000000007E-3"/>
    <n v="1.1000000000000001E-3"/>
  </r>
  <r>
    <n v="2019"/>
    <n v="8"/>
    <x v="6"/>
    <x v="6"/>
    <s v="SEA"/>
    <s v="Seattle, WA: Seattle/Tacoma International"/>
    <n v="217"/>
    <n v="42"/>
    <n v="13.64"/>
    <n v="0.19"/>
    <n v="24.4"/>
    <n v="0"/>
    <n v="3.77"/>
    <n v="0"/>
    <n v="0"/>
    <n v="1777"/>
    <n v="660"/>
    <n v="9"/>
    <n v="920"/>
    <n v="0"/>
    <n v="188"/>
    <n v="0.19350000000000001"/>
    <n v="0"/>
    <n v="0"/>
  </r>
  <r>
    <n v="2019"/>
    <n v="8"/>
    <x v="12"/>
    <x v="12"/>
    <s v="SEA"/>
    <s v="Seattle, WA: Seattle/Tacoma International"/>
    <n v="1406"/>
    <n v="360"/>
    <n v="51.27"/>
    <n v="5.32"/>
    <n v="126.39"/>
    <n v="0"/>
    <n v="177.02"/>
    <n v="4"/>
    <n v="1"/>
    <n v="26020"/>
    <n v="6045"/>
    <n v="470"/>
    <n v="4517"/>
    <n v="0"/>
    <n v="14988"/>
    <n v="0.25600000000000001"/>
    <n v="2.8E-3"/>
    <n v="6.9999999999999999E-4"/>
  </r>
  <r>
    <n v="2019"/>
    <n v="7"/>
    <x v="4"/>
    <x v="4"/>
    <s v="SEA"/>
    <s v="Seattle, WA: Seattle/Tacoma International"/>
    <n v="791"/>
    <n v="242"/>
    <n v="96.85"/>
    <n v="12.88"/>
    <n v="51.82"/>
    <n v="0.7"/>
    <n v="79.760000000000005"/>
    <n v="23"/>
    <n v="2"/>
    <n v="16673"/>
    <n v="6265"/>
    <n v="1272"/>
    <n v="1868"/>
    <n v="26"/>
    <n v="7242"/>
    <n v="0.30590000000000001"/>
    <n v="2.9100000000000001E-2"/>
    <n v="2.5000000000000001E-3"/>
  </r>
  <r>
    <n v="2019"/>
    <n v="7"/>
    <x v="5"/>
    <x v="5"/>
    <s v="SEA"/>
    <s v="Seattle, WA: Seattle/Tacoma International"/>
    <n v="6489"/>
    <n v="1065"/>
    <n v="232.33"/>
    <n v="22.92"/>
    <n v="472.53"/>
    <n v="4.16"/>
    <n v="333.06"/>
    <n v="43"/>
    <n v="3"/>
    <n v="54081"/>
    <n v="17260"/>
    <n v="1882"/>
    <n v="15919"/>
    <n v="134"/>
    <n v="18886"/>
    <n v="0.1641"/>
    <n v="6.6E-3"/>
    <n v="5.0000000000000001E-4"/>
  </r>
  <r>
    <n v="2019"/>
    <n v="7"/>
    <x v="6"/>
    <x v="6"/>
    <s v="SEA"/>
    <s v="Seattle, WA: Seattle/Tacoma International"/>
    <n v="217"/>
    <n v="39"/>
    <n v="14.96"/>
    <n v="1"/>
    <n v="10.7"/>
    <n v="0"/>
    <n v="12.34"/>
    <n v="0"/>
    <n v="0"/>
    <n v="3882"/>
    <n v="1451"/>
    <n v="264"/>
    <n v="962"/>
    <n v="0"/>
    <n v="1205"/>
    <n v="0.1797"/>
    <n v="0"/>
    <n v="0"/>
  </r>
  <r>
    <n v="2019"/>
    <n v="7"/>
    <x v="12"/>
    <x v="12"/>
    <s v="SEA"/>
    <s v="Seattle, WA: Seattle/Tacoma International"/>
    <n v="1392"/>
    <n v="303"/>
    <n v="65.599999999999994"/>
    <n v="1.28"/>
    <n v="82.72"/>
    <n v="0"/>
    <n v="153.4"/>
    <n v="0"/>
    <n v="1"/>
    <n v="23002"/>
    <n v="8306"/>
    <n v="63"/>
    <n v="2926"/>
    <n v="0"/>
    <n v="11707"/>
    <n v="0.2177"/>
    <n v="0"/>
    <n v="6.9999999999999999E-4"/>
  </r>
  <r>
    <n v="2019"/>
    <n v="7"/>
    <x v="7"/>
    <x v="7"/>
    <s v="SEA"/>
    <s v="Seattle, WA: Seattle/Tacoma International"/>
    <n v="3179"/>
    <n v="486"/>
    <n v="164.2"/>
    <n v="12.74"/>
    <n v="144.85"/>
    <n v="1"/>
    <n v="163.21"/>
    <n v="2"/>
    <n v="2"/>
    <n v="32376"/>
    <n v="12676"/>
    <n v="1070"/>
    <n v="7309"/>
    <n v="15"/>
    <n v="11306"/>
    <n v="0.15290000000000001"/>
    <n v="5.9999999999999995E-4"/>
    <n v="5.9999999999999995E-4"/>
  </r>
  <r>
    <n v="2019"/>
    <n v="7"/>
    <x v="8"/>
    <x v="8"/>
    <s v="SEA"/>
    <s v="Seattle, WA: Seattle/Tacoma International"/>
    <n v="93"/>
    <n v="44"/>
    <n v="19.86"/>
    <n v="3.21"/>
    <n v="13.05"/>
    <n v="0"/>
    <n v="7.88"/>
    <n v="5"/>
    <n v="0"/>
    <n v="2691"/>
    <n v="1119"/>
    <n v="98"/>
    <n v="616"/>
    <n v="0"/>
    <n v="858"/>
    <n v="0.47310000000000002"/>
    <n v="5.3800000000000001E-2"/>
    <n v="0"/>
  </r>
  <r>
    <n v="2019"/>
    <n v="7"/>
    <x v="0"/>
    <x v="0"/>
    <s v="SEA"/>
    <s v="Seattle, WA: Seattle/Tacoma International"/>
    <n v="62"/>
    <n v="28"/>
    <n v="21.35"/>
    <n v="0"/>
    <n v="0.5"/>
    <n v="0"/>
    <n v="6.15"/>
    <n v="0"/>
    <n v="0"/>
    <n v="709"/>
    <n v="542"/>
    <n v="0"/>
    <n v="10"/>
    <n v="0"/>
    <n v="157"/>
    <n v="0.4516"/>
    <n v="0"/>
    <n v="0"/>
  </r>
  <r>
    <n v="2019"/>
    <n v="7"/>
    <x v="1"/>
    <x v="1"/>
    <s v="SEA"/>
    <s v="Seattle, WA: Seattle/Tacoma International"/>
    <n v="279"/>
    <n v="79"/>
    <n v="15.18"/>
    <n v="1.02"/>
    <n v="36.020000000000003"/>
    <n v="0"/>
    <n v="26.78"/>
    <n v="3"/>
    <n v="0"/>
    <n v="4719"/>
    <n v="862"/>
    <n v="70"/>
    <n v="1842"/>
    <n v="0"/>
    <n v="1945"/>
    <n v="0.28320000000000001"/>
    <n v="1.0800000000000001E-2"/>
    <n v="0"/>
  </r>
  <r>
    <n v="2019"/>
    <n v="7"/>
    <x v="2"/>
    <x v="2"/>
    <s v="SEA"/>
    <s v="Seattle, WA: Seattle/Tacoma International"/>
    <n v="540"/>
    <n v="66"/>
    <n v="10.64"/>
    <n v="0.03"/>
    <n v="31.25"/>
    <n v="0"/>
    <n v="24.09"/>
    <n v="1"/>
    <n v="1"/>
    <n v="3130"/>
    <n v="651"/>
    <n v="2"/>
    <n v="989"/>
    <n v="0"/>
    <n v="1488"/>
    <n v="0.1222"/>
    <n v="1.9E-3"/>
    <n v="1.9E-3"/>
  </r>
  <r>
    <n v="2019"/>
    <n v="7"/>
    <x v="3"/>
    <x v="3"/>
    <s v="SEA"/>
    <s v="Seattle, WA: Seattle/Tacoma International"/>
    <n v="2929"/>
    <n v="488"/>
    <n v="58.53"/>
    <n v="8.77"/>
    <n v="291.77999999999997"/>
    <n v="1.47"/>
    <n v="127.46"/>
    <n v="24"/>
    <n v="0"/>
    <n v="17802"/>
    <n v="3011"/>
    <n v="412"/>
    <n v="8805"/>
    <n v="30"/>
    <n v="5544"/>
    <n v="0.1666"/>
    <n v="8.2000000000000007E-3"/>
    <n v="0"/>
  </r>
  <r>
    <n v="2019"/>
    <n v="7"/>
    <x v="9"/>
    <x v="9"/>
    <s v="SEA"/>
    <s v="Seattle, WA: Seattle/Tacoma International"/>
    <n v="1036"/>
    <n v="262"/>
    <n v="66.83"/>
    <n v="20.57"/>
    <n v="67.38"/>
    <n v="0"/>
    <n v="107.22"/>
    <n v="9"/>
    <n v="2"/>
    <n v="17981"/>
    <n v="3510"/>
    <n v="2577"/>
    <n v="2652"/>
    <n v="0"/>
    <n v="9242"/>
    <n v="0.25290000000000001"/>
    <n v="8.6999999999999994E-3"/>
    <n v="1.9E-3"/>
  </r>
  <r>
    <n v="2019"/>
    <n v="7"/>
    <x v="10"/>
    <x v="10"/>
    <s v="SEA"/>
    <s v="Seattle, WA: Seattle/Tacoma International"/>
    <n v="1166"/>
    <n v="252"/>
    <n v="80.849999999999994"/>
    <n v="4.46"/>
    <n v="72.91"/>
    <n v="0"/>
    <n v="93.77"/>
    <n v="2"/>
    <n v="1"/>
    <n v="10847"/>
    <n v="3312"/>
    <n v="394"/>
    <n v="2476"/>
    <n v="0"/>
    <n v="4665"/>
    <n v="0.21609999999999999"/>
    <n v="1.6999999999999999E-3"/>
    <n v="8.9999999999999998E-4"/>
  </r>
  <r>
    <n v="2019"/>
    <n v="6"/>
    <x v="4"/>
    <x v="4"/>
    <s v="SEA"/>
    <s v="Seattle, WA: Seattle/Tacoma International"/>
    <n v="764"/>
    <n v="304"/>
    <n v="124.31"/>
    <n v="16.28"/>
    <n v="61.7"/>
    <n v="0"/>
    <n v="101.71"/>
    <n v="43"/>
    <n v="0"/>
    <n v="19080"/>
    <n v="7672"/>
    <n v="1430"/>
    <n v="2449"/>
    <n v="0"/>
    <n v="7529"/>
    <n v="0.39789999999999998"/>
    <n v="5.6300000000000003E-2"/>
    <n v="0"/>
  </r>
  <r>
    <n v="2019"/>
    <n v="6"/>
    <x v="5"/>
    <x v="5"/>
    <s v="SEA"/>
    <s v="Seattle, WA: Seattle/Tacoma International"/>
    <n v="6109"/>
    <n v="1114"/>
    <n v="245.22"/>
    <n v="34.270000000000003"/>
    <n v="519.32000000000005"/>
    <n v="6.44"/>
    <n v="308.76"/>
    <n v="49"/>
    <n v="6"/>
    <n v="56275"/>
    <n v="17621"/>
    <n v="1922"/>
    <n v="16720"/>
    <n v="166"/>
    <n v="19846"/>
    <n v="0.18240000000000001"/>
    <n v="8.0000000000000002E-3"/>
    <n v="1E-3"/>
  </r>
  <r>
    <n v="2019"/>
    <n v="6"/>
    <x v="6"/>
    <x v="6"/>
    <s v="SEA"/>
    <s v="Seattle, WA: Seattle/Tacoma International"/>
    <n v="206"/>
    <n v="37"/>
    <n v="11.37"/>
    <n v="0.78"/>
    <n v="13.12"/>
    <n v="0"/>
    <n v="11.73"/>
    <n v="1"/>
    <n v="0"/>
    <n v="1960"/>
    <n v="848"/>
    <n v="42"/>
    <n v="429"/>
    <n v="0"/>
    <n v="641"/>
    <n v="0.17960000000000001"/>
    <n v="4.8999999999999998E-3"/>
    <n v="0"/>
  </r>
  <r>
    <n v="2019"/>
    <n v="6"/>
    <x v="12"/>
    <x v="12"/>
    <s v="SEA"/>
    <s v="Seattle, WA: Seattle/Tacoma International"/>
    <n v="1373"/>
    <n v="264"/>
    <n v="56.83"/>
    <n v="4.42"/>
    <n v="74.03"/>
    <n v="0.95"/>
    <n v="127.77"/>
    <n v="0"/>
    <n v="1"/>
    <n v="16381"/>
    <n v="4325"/>
    <n v="514"/>
    <n v="2751"/>
    <n v="40"/>
    <n v="8751"/>
    <n v="0.1923"/>
    <n v="0"/>
    <n v="6.9999999999999999E-4"/>
  </r>
  <r>
    <n v="2019"/>
    <n v="6"/>
    <x v="7"/>
    <x v="7"/>
    <s v="SEA"/>
    <s v="Seattle, WA: Seattle/Tacoma International"/>
    <n v="2910"/>
    <n v="482"/>
    <n v="168.01"/>
    <n v="11.66"/>
    <n v="149.9"/>
    <n v="0"/>
    <n v="152.44"/>
    <n v="2"/>
    <n v="1"/>
    <n v="27015"/>
    <n v="12414"/>
    <n v="623"/>
    <n v="4770"/>
    <n v="0"/>
    <n v="9208"/>
    <n v="0.1656"/>
    <n v="6.9999999999999999E-4"/>
    <n v="2.9999999999999997E-4"/>
  </r>
  <r>
    <n v="2019"/>
    <n v="6"/>
    <x v="8"/>
    <x v="8"/>
    <s v="SEA"/>
    <s v="Seattle, WA: Seattle/Tacoma International"/>
    <n v="89"/>
    <n v="47"/>
    <n v="17.63"/>
    <n v="1.1299999999999999"/>
    <n v="15.54"/>
    <n v="0"/>
    <n v="12.7"/>
    <n v="2"/>
    <n v="0"/>
    <n v="2389"/>
    <n v="789"/>
    <n v="22"/>
    <n v="581"/>
    <n v="0"/>
    <n v="997"/>
    <n v="0.52810000000000001"/>
    <n v="2.2499999999999999E-2"/>
    <n v="0"/>
  </r>
  <r>
    <n v="2019"/>
    <n v="6"/>
    <x v="0"/>
    <x v="0"/>
    <s v="SEA"/>
    <s v="Seattle, WA: Seattle/Tacoma International"/>
    <n v="60"/>
    <n v="27"/>
    <n v="21.46"/>
    <n v="0"/>
    <n v="0.37"/>
    <n v="1"/>
    <n v="4.17"/>
    <n v="0"/>
    <n v="0"/>
    <n v="852"/>
    <n v="516"/>
    <n v="0"/>
    <n v="7"/>
    <n v="161"/>
    <n v="168"/>
    <n v="0.45"/>
    <n v="0"/>
    <n v="0"/>
  </r>
  <r>
    <n v="2019"/>
    <n v="6"/>
    <x v="1"/>
    <x v="1"/>
    <s v="SEA"/>
    <s v="Seattle, WA: Seattle/Tacoma International"/>
    <n v="270"/>
    <n v="84"/>
    <n v="19.25"/>
    <n v="0.61"/>
    <n v="43.17"/>
    <n v="0.44"/>
    <n v="20.53"/>
    <n v="8"/>
    <n v="0"/>
    <n v="4204"/>
    <n v="936"/>
    <n v="27"/>
    <n v="1982"/>
    <n v="8"/>
    <n v="1251"/>
    <n v="0.31109999999999999"/>
    <n v="2.9600000000000001E-2"/>
    <n v="0"/>
  </r>
  <r>
    <n v="2019"/>
    <n v="6"/>
    <x v="2"/>
    <x v="2"/>
    <s v="SEA"/>
    <s v="Seattle, WA: Seattle/Tacoma International"/>
    <n v="557"/>
    <n v="74"/>
    <n v="13.36"/>
    <n v="2.44"/>
    <n v="42.07"/>
    <n v="0"/>
    <n v="16.12"/>
    <n v="0"/>
    <n v="0"/>
    <n v="3630"/>
    <n v="922"/>
    <n v="752"/>
    <n v="1266"/>
    <n v="0"/>
    <n v="690"/>
    <n v="0.13289999999999999"/>
    <n v="0"/>
    <n v="0"/>
  </r>
  <r>
    <n v="2019"/>
    <n v="6"/>
    <x v="3"/>
    <x v="3"/>
    <s v="SEA"/>
    <s v="Seattle, WA: Seattle/Tacoma International"/>
    <n v="2808"/>
    <n v="498"/>
    <n v="61.91"/>
    <n v="4.76"/>
    <n v="310.13"/>
    <n v="1.18"/>
    <n v="120.02"/>
    <n v="8"/>
    <n v="1"/>
    <n v="20024"/>
    <n v="3537"/>
    <n v="250"/>
    <n v="10420"/>
    <n v="39"/>
    <n v="5778"/>
    <n v="0.1774"/>
    <n v="2.8E-3"/>
    <n v="4.0000000000000002E-4"/>
  </r>
  <r>
    <n v="2019"/>
    <n v="6"/>
    <x v="9"/>
    <x v="9"/>
    <s v="SEA"/>
    <s v="Seattle, WA: Seattle/Tacoma International"/>
    <n v="971"/>
    <n v="294"/>
    <n v="66.06"/>
    <n v="19.82"/>
    <n v="96.54"/>
    <n v="0.93"/>
    <n v="110.65"/>
    <n v="7"/>
    <n v="1"/>
    <n v="21247"/>
    <n v="4568"/>
    <n v="1929"/>
    <n v="3845"/>
    <n v="14"/>
    <n v="10891"/>
    <n v="0.30280000000000001"/>
    <n v="7.1999999999999998E-3"/>
    <n v="1E-3"/>
  </r>
  <r>
    <n v="2019"/>
    <n v="6"/>
    <x v="10"/>
    <x v="10"/>
    <s v="SEA"/>
    <s v="Seattle, WA: Seattle/Tacoma International"/>
    <n v="1063"/>
    <n v="333"/>
    <n v="117.7"/>
    <n v="1.93"/>
    <n v="85.42"/>
    <n v="0.78"/>
    <n v="127.16"/>
    <n v="4"/>
    <n v="0"/>
    <n v="15505"/>
    <n v="5488"/>
    <n v="79"/>
    <n v="2863"/>
    <n v="67"/>
    <n v="7008"/>
    <n v="0.31330000000000002"/>
    <n v="3.8E-3"/>
    <n v="0"/>
  </r>
  <r>
    <n v="2019"/>
    <n v="5"/>
    <x v="4"/>
    <x v="4"/>
    <s v="SEA"/>
    <s v="Seattle, WA: Seattle/Tacoma International"/>
    <n v="690"/>
    <n v="239"/>
    <n v="76.8"/>
    <n v="15.37"/>
    <n v="57.82"/>
    <n v="0.18"/>
    <n v="88.82"/>
    <n v="18"/>
    <n v="2"/>
    <n v="14606"/>
    <n v="4822"/>
    <n v="1454"/>
    <n v="2585"/>
    <n v="15"/>
    <n v="5730"/>
    <n v="0.34639999999999999"/>
    <n v="2.6100000000000002E-2"/>
    <n v="2.8999999999999998E-3"/>
  </r>
  <r>
    <n v="2019"/>
    <n v="5"/>
    <x v="5"/>
    <x v="5"/>
    <s v="SEA"/>
    <s v="Seattle, WA: Seattle/Tacoma International"/>
    <n v="5961"/>
    <n v="942"/>
    <n v="196.2"/>
    <n v="16.420000000000002"/>
    <n v="444.89"/>
    <n v="2.79"/>
    <n v="281.7"/>
    <n v="22"/>
    <n v="6"/>
    <n v="40936"/>
    <n v="10518"/>
    <n v="1372"/>
    <n v="13006"/>
    <n v="55"/>
    <n v="15985"/>
    <n v="0.158"/>
    <n v="3.7000000000000002E-3"/>
    <n v="1E-3"/>
  </r>
  <r>
    <n v="2019"/>
    <n v="5"/>
    <x v="6"/>
    <x v="6"/>
    <s v="SEA"/>
    <s v="Seattle, WA: Seattle/Tacoma International"/>
    <n v="187"/>
    <n v="30"/>
    <n v="6.32"/>
    <n v="1"/>
    <n v="12.54"/>
    <n v="0"/>
    <n v="10.15"/>
    <n v="0"/>
    <n v="1"/>
    <n v="1635"/>
    <n v="372"/>
    <n v="78"/>
    <n v="432"/>
    <n v="0"/>
    <n v="753"/>
    <n v="0.16039999999999999"/>
    <n v="0"/>
    <n v="5.3E-3"/>
  </r>
  <r>
    <n v="2019"/>
    <n v="5"/>
    <x v="12"/>
    <x v="12"/>
    <s v="SEA"/>
    <s v="Seattle, WA: Seattle/Tacoma International"/>
    <n v="1439"/>
    <n v="270"/>
    <n v="64.47"/>
    <n v="2.0699999999999998"/>
    <n v="59.8"/>
    <n v="0"/>
    <n v="143.65"/>
    <n v="3"/>
    <n v="5"/>
    <n v="23934"/>
    <n v="9414"/>
    <n v="368"/>
    <n v="2631"/>
    <n v="0"/>
    <n v="11521"/>
    <n v="0.18759999999999999"/>
    <n v="2.0999999999999999E-3"/>
    <n v="3.5000000000000001E-3"/>
  </r>
  <r>
    <n v="2019"/>
    <n v="5"/>
    <x v="7"/>
    <x v="7"/>
    <s v="SEA"/>
    <s v="Seattle, WA: Seattle/Tacoma International"/>
    <n v="2494"/>
    <n v="323"/>
    <n v="87.8"/>
    <n v="13.41"/>
    <n v="119.01"/>
    <n v="0.28999999999999998"/>
    <n v="102.49"/>
    <n v="0"/>
    <n v="3"/>
    <n v="16740"/>
    <n v="5998"/>
    <n v="652"/>
    <n v="3262"/>
    <n v="23"/>
    <n v="6805"/>
    <n v="0.1295"/>
    <n v="0"/>
    <n v="1.1999999999999999E-3"/>
  </r>
  <r>
    <n v="2019"/>
    <n v="5"/>
    <x v="8"/>
    <x v="8"/>
    <s v="SEA"/>
    <s v="Seattle, WA: Seattle/Tacoma International"/>
    <n v="82"/>
    <n v="29"/>
    <n v="10.72"/>
    <n v="0.78"/>
    <n v="4.25"/>
    <n v="0"/>
    <n v="13.25"/>
    <n v="1"/>
    <n v="0"/>
    <n v="1460"/>
    <n v="556"/>
    <n v="19"/>
    <n v="213"/>
    <n v="0"/>
    <n v="672"/>
    <n v="0.35370000000000001"/>
    <n v="1.2200000000000001E-2"/>
    <n v="0"/>
  </r>
  <r>
    <n v="2019"/>
    <n v="5"/>
    <x v="0"/>
    <x v="0"/>
    <s v="SEA"/>
    <s v="Seattle, WA: Seattle/Tacoma International"/>
    <n v="62"/>
    <n v="35"/>
    <n v="23.57"/>
    <n v="0.84"/>
    <n v="0"/>
    <n v="1.62"/>
    <n v="8.9600000000000009"/>
    <n v="0"/>
    <n v="0"/>
    <n v="1540"/>
    <n v="775"/>
    <n v="21"/>
    <n v="0"/>
    <n v="55"/>
    <n v="689"/>
    <n v="0.5645"/>
    <n v="0"/>
    <n v="0"/>
  </r>
  <r>
    <n v="2019"/>
    <n v="5"/>
    <x v="1"/>
    <x v="1"/>
    <s v="SEA"/>
    <s v="Seattle, WA: Seattle/Tacoma International"/>
    <n v="273"/>
    <n v="88"/>
    <n v="15.97"/>
    <n v="0.76"/>
    <n v="38.42"/>
    <n v="0"/>
    <n v="32.85"/>
    <n v="9"/>
    <n v="0"/>
    <n v="5705"/>
    <n v="968"/>
    <n v="22"/>
    <n v="1653"/>
    <n v="0"/>
    <n v="3062"/>
    <n v="0.32229999999999998"/>
    <n v="3.3000000000000002E-2"/>
    <n v="0"/>
  </r>
  <r>
    <n v="2019"/>
    <n v="5"/>
    <x v="2"/>
    <x v="2"/>
    <s v="SEA"/>
    <s v="Seattle, WA: Seattle/Tacoma International"/>
    <n v="573"/>
    <n v="57"/>
    <n v="15.94"/>
    <n v="2.57"/>
    <n v="26.15"/>
    <n v="0"/>
    <n v="12.34"/>
    <n v="0"/>
    <n v="2"/>
    <n v="3012"/>
    <n v="1434"/>
    <n v="50"/>
    <n v="727"/>
    <n v="0"/>
    <n v="801"/>
    <n v="9.9500000000000005E-2"/>
    <n v="0"/>
    <n v="3.5000000000000001E-3"/>
  </r>
  <r>
    <n v="2019"/>
    <n v="5"/>
    <x v="3"/>
    <x v="3"/>
    <s v="SEA"/>
    <s v="Seattle, WA: Seattle/Tacoma International"/>
    <n v="2813"/>
    <n v="328"/>
    <n v="51.48"/>
    <n v="8.23"/>
    <n v="167.81"/>
    <n v="0"/>
    <n v="100.49"/>
    <n v="12"/>
    <n v="2"/>
    <n v="13886"/>
    <n v="3816"/>
    <n v="530"/>
    <n v="4508"/>
    <n v="0"/>
    <n v="5032"/>
    <n v="0.1166"/>
    <n v="4.3E-3"/>
    <n v="6.9999999999999999E-4"/>
  </r>
  <r>
    <n v="2019"/>
    <n v="5"/>
    <x v="9"/>
    <x v="9"/>
    <s v="SEA"/>
    <s v="Seattle, WA: Seattle/Tacoma International"/>
    <n v="825"/>
    <n v="196"/>
    <n v="52.5"/>
    <n v="8.41"/>
    <n v="71.62"/>
    <n v="0"/>
    <n v="63.46"/>
    <n v="4"/>
    <n v="0"/>
    <n v="13255"/>
    <n v="3168"/>
    <n v="1442"/>
    <n v="2768"/>
    <n v="0"/>
    <n v="5877"/>
    <n v="0.23760000000000001"/>
    <n v="4.7999999999999996E-3"/>
    <n v="0"/>
  </r>
  <r>
    <n v="2019"/>
    <n v="5"/>
    <x v="10"/>
    <x v="10"/>
    <s v="SEA"/>
    <s v="Seattle, WA: Seattle/Tacoma International"/>
    <n v="932"/>
    <n v="234"/>
    <n v="89.81"/>
    <n v="0.11"/>
    <n v="37.74"/>
    <n v="0"/>
    <n v="106.34"/>
    <n v="5"/>
    <n v="0"/>
    <n v="11493"/>
    <n v="4829"/>
    <n v="15"/>
    <n v="1404"/>
    <n v="0"/>
    <n v="5245"/>
    <n v="0.25109999999999999"/>
    <n v="5.4000000000000003E-3"/>
    <n v="0"/>
  </r>
  <r>
    <n v="2019"/>
    <n v="4"/>
    <x v="4"/>
    <x v="4"/>
    <s v="SEA"/>
    <s v="Seattle, WA: Seattle/Tacoma International"/>
    <n v="564"/>
    <n v="149"/>
    <n v="57.5"/>
    <n v="5.81"/>
    <n v="32.590000000000003"/>
    <n v="0"/>
    <n v="53.1"/>
    <n v="16"/>
    <n v="0"/>
    <n v="8897"/>
    <n v="3763"/>
    <n v="396"/>
    <n v="1106"/>
    <n v="0"/>
    <n v="3632"/>
    <n v="0.26419999999999999"/>
    <n v="2.8400000000000002E-2"/>
    <n v="0"/>
  </r>
  <r>
    <n v="2019"/>
    <n v="4"/>
    <x v="5"/>
    <x v="5"/>
    <s v="SEA"/>
    <s v="Seattle, WA: Seattle/Tacoma International"/>
    <n v="5576"/>
    <n v="915"/>
    <n v="201.78"/>
    <n v="10.96"/>
    <n v="485.29"/>
    <n v="0.73"/>
    <n v="216.24"/>
    <n v="36"/>
    <n v="0"/>
    <n v="40375"/>
    <n v="11600"/>
    <n v="1580"/>
    <n v="15672"/>
    <n v="11"/>
    <n v="11512"/>
    <n v="0.1641"/>
    <n v="6.4999999999999997E-3"/>
    <n v="0"/>
  </r>
  <r>
    <n v="2019"/>
    <n v="4"/>
    <x v="6"/>
    <x v="6"/>
    <s v="SEA"/>
    <s v="Seattle, WA: Seattle/Tacoma International"/>
    <n v="168"/>
    <n v="42"/>
    <n v="11.27"/>
    <n v="0.43"/>
    <n v="22.03"/>
    <n v="0"/>
    <n v="8.27"/>
    <n v="0"/>
    <n v="0"/>
    <n v="2545"/>
    <n v="798"/>
    <n v="24"/>
    <n v="859"/>
    <n v="0"/>
    <n v="864"/>
    <n v="0.25"/>
    <n v="0"/>
    <n v="0"/>
  </r>
  <r>
    <n v="2019"/>
    <n v="4"/>
    <x v="12"/>
    <x v="12"/>
    <s v="SEA"/>
    <s v="Seattle, WA: Seattle/Tacoma International"/>
    <n v="1311"/>
    <n v="201"/>
    <n v="59.41"/>
    <n v="3.09"/>
    <n v="60.85"/>
    <n v="0"/>
    <n v="77.650000000000006"/>
    <n v="0"/>
    <n v="1"/>
    <n v="12225"/>
    <n v="4623"/>
    <n v="258"/>
    <n v="2164"/>
    <n v="0"/>
    <n v="5180"/>
    <n v="0.15329999999999999"/>
    <n v="0"/>
    <n v="8.0000000000000004E-4"/>
  </r>
  <r>
    <n v="2019"/>
    <n v="4"/>
    <x v="7"/>
    <x v="7"/>
    <s v="SEA"/>
    <s v="Seattle, WA: Seattle/Tacoma International"/>
    <n v="2274"/>
    <n v="282"/>
    <n v="84.47"/>
    <n v="5.08"/>
    <n v="127.09"/>
    <n v="1"/>
    <n v="64.349999999999994"/>
    <n v="0"/>
    <n v="4"/>
    <n v="16678"/>
    <n v="6474"/>
    <n v="631"/>
    <n v="3591"/>
    <n v="32"/>
    <n v="5950"/>
    <n v="0.124"/>
    <n v="0"/>
    <n v="1.8E-3"/>
  </r>
  <r>
    <n v="2019"/>
    <n v="4"/>
    <x v="8"/>
    <x v="8"/>
    <s v="SEA"/>
    <s v="Seattle, WA: Seattle/Tacoma International"/>
    <n v="28"/>
    <n v="5"/>
    <n v="2.4700000000000002"/>
    <n v="0"/>
    <n v="1.81"/>
    <n v="0"/>
    <n v="0.72"/>
    <n v="1"/>
    <n v="0"/>
    <n v="244"/>
    <n v="119"/>
    <n v="0"/>
    <n v="53"/>
    <n v="0"/>
    <n v="72"/>
    <n v="0.17860000000000001"/>
    <n v="3.5700000000000003E-2"/>
    <n v="0"/>
  </r>
  <r>
    <n v="2019"/>
    <n v="4"/>
    <x v="0"/>
    <x v="0"/>
    <s v="SEA"/>
    <s v="Seattle, WA: Seattle/Tacoma International"/>
    <n v="60"/>
    <n v="32"/>
    <n v="26.06"/>
    <n v="0"/>
    <n v="0"/>
    <n v="0"/>
    <n v="5.94"/>
    <n v="0"/>
    <n v="0"/>
    <n v="883"/>
    <n v="737"/>
    <n v="0"/>
    <n v="0"/>
    <n v="0"/>
    <n v="146"/>
    <n v="0.5333"/>
    <n v="0"/>
    <n v="0"/>
  </r>
  <r>
    <n v="2019"/>
    <n v="4"/>
    <x v="1"/>
    <x v="1"/>
    <s v="SEA"/>
    <s v="Seattle, WA: Seattle/Tacoma International"/>
    <n v="90"/>
    <n v="14"/>
    <n v="2.52"/>
    <n v="0"/>
    <n v="7.8"/>
    <n v="0"/>
    <n v="3.68"/>
    <n v="1"/>
    <n v="0"/>
    <n v="889"/>
    <n v="99"/>
    <n v="0"/>
    <n v="543"/>
    <n v="0"/>
    <n v="247"/>
    <n v="0.15559999999999999"/>
    <n v="1.11E-2"/>
    <n v="0"/>
  </r>
  <r>
    <n v="2019"/>
    <n v="4"/>
    <x v="2"/>
    <x v="2"/>
    <s v="SEA"/>
    <s v="Seattle, WA: Seattle/Tacoma International"/>
    <n v="548"/>
    <n v="58"/>
    <n v="11.8"/>
    <n v="0"/>
    <n v="31.57"/>
    <n v="0"/>
    <n v="14.63"/>
    <n v="1"/>
    <n v="0"/>
    <n v="2233"/>
    <n v="547"/>
    <n v="0"/>
    <n v="881"/>
    <n v="0"/>
    <n v="805"/>
    <n v="0.10580000000000001"/>
    <n v="1.8E-3"/>
    <n v="0"/>
  </r>
  <r>
    <n v="2019"/>
    <n v="4"/>
    <x v="3"/>
    <x v="3"/>
    <s v="SEA"/>
    <s v="Seattle, WA: Seattle/Tacoma International"/>
    <n v="2749"/>
    <n v="384"/>
    <n v="73.239999999999995"/>
    <n v="4.7300000000000004"/>
    <n v="179.7"/>
    <n v="1.64"/>
    <n v="124.68"/>
    <n v="22"/>
    <n v="0"/>
    <n v="16258"/>
    <n v="4277"/>
    <n v="351"/>
    <n v="6065"/>
    <n v="64"/>
    <n v="5501"/>
    <n v="0.13969999999999999"/>
    <n v="8.0000000000000002E-3"/>
    <n v="0"/>
  </r>
  <r>
    <n v="2019"/>
    <n v="4"/>
    <x v="9"/>
    <x v="9"/>
    <s v="SEA"/>
    <s v="Seattle, WA: Seattle/Tacoma International"/>
    <n v="798"/>
    <n v="209"/>
    <n v="46"/>
    <n v="4.3099999999999996"/>
    <n v="99.93"/>
    <n v="0"/>
    <n v="58.75"/>
    <n v="7"/>
    <n v="0"/>
    <n v="11883"/>
    <n v="2234"/>
    <n v="420"/>
    <n v="3441"/>
    <n v="0"/>
    <n v="5788"/>
    <n v="0.26190000000000002"/>
    <n v="8.8000000000000005E-3"/>
    <n v="0"/>
  </r>
  <r>
    <n v="2019"/>
    <n v="4"/>
    <x v="10"/>
    <x v="10"/>
    <s v="SEA"/>
    <s v="Seattle, WA: Seattle/Tacoma International"/>
    <n v="891"/>
    <n v="235"/>
    <n v="83.48"/>
    <n v="2.9"/>
    <n v="59.34"/>
    <n v="2.38"/>
    <n v="86.9"/>
    <n v="26"/>
    <n v="0"/>
    <n v="9878"/>
    <n v="3314"/>
    <n v="204"/>
    <n v="1975"/>
    <n v="156"/>
    <n v="4229"/>
    <n v="0.26369999999999999"/>
    <n v="2.92E-2"/>
    <n v="0"/>
  </r>
  <r>
    <n v="2019"/>
    <n v="3"/>
    <x v="9"/>
    <x v="9"/>
    <s v="SEA"/>
    <s v="Seattle, WA: Seattle/Tacoma International"/>
    <n v="700"/>
    <n v="166"/>
    <n v="37.72"/>
    <n v="3.92"/>
    <n v="60.9"/>
    <n v="0"/>
    <n v="63.46"/>
    <n v="6"/>
    <n v="0"/>
    <n v="9734"/>
    <n v="2492"/>
    <n v="337"/>
    <n v="1917"/>
    <n v="0"/>
    <n v="4988"/>
    <n v="0.23710000000000001"/>
    <n v="8.6E-3"/>
    <n v="0"/>
  </r>
  <r>
    <n v="2019"/>
    <n v="3"/>
    <x v="10"/>
    <x v="10"/>
    <s v="SEA"/>
    <s v="Seattle, WA: Seattle/Tacoma International"/>
    <n v="869"/>
    <n v="157"/>
    <n v="70.239999999999995"/>
    <n v="1.5"/>
    <n v="26.41"/>
    <n v="0"/>
    <n v="58.85"/>
    <n v="58"/>
    <n v="0"/>
    <n v="7732"/>
    <n v="3920"/>
    <n v="57"/>
    <n v="843"/>
    <n v="0"/>
    <n v="2912"/>
    <n v="0.1807"/>
    <n v="6.6699999999999995E-2"/>
    <n v="0"/>
  </r>
  <r>
    <n v="2019"/>
    <n v="3"/>
    <x v="4"/>
    <x v="4"/>
    <s v="SEA"/>
    <s v="Seattle, WA: Seattle/Tacoma International"/>
    <n v="581"/>
    <n v="126"/>
    <n v="46.69"/>
    <n v="2.56"/>
    <n v="23.97"/>
    <n v="0"/>
    <n v="52.78"/>
    <n v="20"/>
    <n v="1"/>
    <n v="7821"/>
    <n v="3313"/>
    <n v="77"/>
    <n v="959"/>
    <n v="0"/>
    <n v="3472"/>
    <n v="0.21690000000000001"/>
    <n v="3.44E-2"/>
    <n v="1.6999999999999999E-3"/>
  </r>
  <r>
    <n v="2019"/>
    <n v="3"/>
    <x v="5"/>
    <x v="5"/>
    <s v="SEA"/>
    <s v="Seattle, WA: Seattle/Tacoma International"/>
    <n v="5622"/>
    <n v="858"/>
    <n v="202.44"/>
    <n v="14.04"/>
    <n v="380.77"/>
    <n v="1.31"/>
    <n v="259.45"/>
    <n v="39"/>
    <n v="6"/>
    <n v="38290"/>
    <n v="11558"/>
    <n v="782"/>
    <n v="11980"/>
    <n v="45"/>
    <n v="13925"/>
    <n v="0.15260000000000001"/>
    <n v="6.8999999999999999E-3"/>
    <n v="1.1000000000000001E-3"/>
  </r>
  <r>
    <n v="2019"/>
    <n v="3"/>
    <x v="6"/>
    <x v="6"/>
    <s v="SEA"/>
    <s v="Seattle, WA: Seattle/Tacoma International"/>
    <n v="164"/>
    <n v="19"/>
    <n v="5.38"/>
    <n v="0.61"/>
    <n v="5.34"/>
    <n v="0"/>
    <n v="7.68"/>
    <n v="0"/>
    <n v="0"/>
    <n v="1184"/>
    <n v="329"/>
    <n v="106"/>
    <n v="235"/>
    <n v="0"/>
    <n v="514"/>
    <n v="0.1159"/>
    <n v="0"/>
    <n v="0"/>
  </r>
  <r>
    <n v="2019"/>
    <n v="3"/>
    <x v="12"/>
    <x v="12"/>
    <s v="SEA"/>
    <s v="Seattle, WA: Seattle/Tacoma International"/>
    <n v="1266"/>
    <n v="235"/>
    <n v="51.64"/>
    <n v="3.36"/>
    <n v="72.680000000000007"/>
    <n v="0"/>
    <n v="107.32"/>
    <n v="0"/>
    <n v="1"/>
    <n v="19934"/>
    <n v="9458"/>
    <n v="233"/>
    <n v="2393"/>
    <n v="0"/>
    <n v="7850"/>
    <n v="0.18559999999999999"/>
    <n v="0"/>
    <n v="8.0000000000000004E-4"/>
  </r>
  <r>
    <n v="2019"/>
    <n v="3"/>
    <x v="7"/>
    <x v="7"/>
    <s v="SEA"/>
    <s v="Seattle, WA: Seattle/Tacoma International"/>
    <n v="2351"/>
    <n v="311"/>
    <n v="95.36"/>
    <n v="6.36"/>
    <n v="100.61"/>
    <n v="0"/>
    <n v="108.67"/>
    <n v="3"/>
    <n v="4"/>
    <n v="20393"/>
    <n v="9190"/>
    <n v="268"/>
    <n v="2992"/>
    <n v="0"/>
    <n v="7943"/>
    <n v="0.1323"/>
    <n v="1.2999999999999999E-3"/>
    <n v="1.6999999999999999E-3"/>
  </r>
  <r>
    <n v="2019"/>
    <n v="3"/>
    <x v="8"/>
    <x v="8"/>
    <s v="SEA"/>
    <s v="Seattle, WA: Seattle/Tacoma International"/>
    <n v="25"/>
    <n v="5"/>
    <n v="1.2"/>
    <n v="0"/>
    <n v="0"/>
    <n v="0"/>
    <n v="3.8"/>
    <n v="1"/>
    <n v="0"/>
    <n v="829"/>
    <n v="49"/>
    <n v="0"/>
    <n v="0"/>
    <n v="0"/>
    <n v="780"/>
    <n v="0.2"/>
    <n v="0.04"/>
    <n v="0"/>
  </r>
  <r>
    <n v="2019"/>
    <n v="3"/>
    <x v="0"/>
    <x v="0"/>
    <s v="SEA"/>
    <s v="Seattle, WA: Seattle/Tacoma International"/>
    <n v="62"/>
    <n v="18"/>
    <n v="15.06"/>
    <n v="0.3"/>
    <n v="0"/>
    <n v="0"/>
    <n v="2.64"/>
    <n v="0"/>
    <n v="0"/>
    <n v="432"/>
    <n v="353"/>
    <n v="7"/>
    <n v="0"/>
    <n v="0"/>
    <n v="72"/>
    <n v="0.2903"/>
    <n v="0"/>
    <n v="0"/>
  </r>
  <r>
    <n v="2019"/>
    <n v="3"/>
    <x v="1"/>
    <x v="1"/>
    <s v="SEA"/>
    <s v="Seattle, WA: Seattle/Tacoma International"/>
    <n v="93"/>
    <n v="8"/>
    <n v="0.89"/>
    <n v="0"/>
    <n v="4.09"/>
    <n v="0"/>
    <n v="3.02"/>
    <n v="0"/>
    <n v="0"/>
    <n v="460"/>
    <n v="32"/>
    <n v="0"/>
    <n v="173"/>
    <n v="0"/>
    <n v="255"/>
    <n v="8.5999999999999993E-2"/>
    <n v="0"/>
    <n v="0"/>
  </r>
  <r>
    <n v="2019"/>
    <n v="3"/>
    <x v="2"/>
    <x v="2"/>
    <s v="SEA"/>
    <s v="Seattle, WA: Seattle/Tacoma International"/>
    <n v="658"/>
    <n v="95"/>
    <n v="16.329999999999998"/>
    <n v="2.2400000000000002"/>
    <n v="31.29"/>
    <n v="0"/>
    <n v="45.14"/>
    <n v="1"/>
    <n v="1"/>
    <n v="5405"/>
    <n v="1618"/>
    <n v="112"/>
    <n v="1156"/>
    <n v="0"/>
    <n v="2519"/>
    <n v="0.1444"/>
    <n v="1.5E-3"/>
    <n v="1.5E-3"/>
  </r>
  <r>
    <n v="2019"/>
    <n v="3"/>
    <x v="3"/>
    <x v="3"/>
    <s v="SEA"/>
    <s v="Seattle, WA: Seattle/Tacoma International"/>
    <n v="2922"/>
    <n v="569"/>
    <n v="89.34"/>
    <n v="15.76"/>
    <n v="285.2"/>
    <n v="0"/>
    <n v="178.7"/>
    <n v="34"/>
    <n v="2"/>
    <n v="26530"/>
    <n v="6351"/>
    <n v="1162"/>
    <n v="10021"/>
    <n v="0"/>
    <n v="8996"/>
    <n v="0.19470000000000001"/>
    <n v="1.1599999999999999E-2"/>
    <n v="6.9999999999999999E-4"/>
  </r>
  <r>
    <n v="2019"/>
    <n v="2"/>
    <x v="4"/>
    <x v="4"/>
    <s v="SEA"/>
    <s v="Seattle, WA: Seattle/Tacoma International"/>
    <n v="516"/>
    <n v="143"/>
    <n v="43.73"/>
    <n v="7.4"/>
    <n v="57.07"/>
    <n v="0"/>
    <n v="34.799999999999997"/>
    <n v="23"/>
    <n v="5"/>
    <n v="7377"/>
    <n v="2212"/>
    <n v="496"/>
    <n v="2567"/>
    <n v="0"/>
    <n v="2102"/>
    <n v="0.27710000000000001"/>
    <n v="4.4600000000000001E-2"/>
    <n v="9.7000000000000003E-3"/>
  </r>
  <r>
    <n v="2019"/>
    <n v="2"/>
    <x v="5"/>
    <x v="5"/>
    <s v="SEA"/>
    <s v="Seattle, WA: Seattle/Tacoma International"/>
    <n v="4813"/>
    <n v="1256"/>
    <n v="190.25"/>
    <n v="33.450000000000003"/>
    <n v="612.98"/>
    <n v="1.74"/>
    <n v="417.57"/>
    <n v="268"/>
    <n v="35"/>
    <n v="82773"/>
    <n v="14348"/>
    <n v="3546"/>
    <n v="32771"/>
    <n v="48"/>
    <n v="32060"/>
    <n v="0.26100000000000001"/>
    <n v="5.57E-2"/>
    <n v="7.3000000000000001E-3"/>
  </r>
  <r>
    <n v="2019"/>
    <n v="2"/>
    <x v="6"/>
    <x v="6"/>
    <s v="SEA"/>
    <s v="Seattle, WA: Seattle/Tacoma International"/>
    <n v="132"/>
    <n v="43"/>
    <n v="9.4700000000000006"/>
    <n v="0.74"/>
    <n v="25.29"/>
    <n v="0"/>
    <n v="7.5"/>
    <n v="3"/>
    <n v="0"/>
    <n v="2423"/>
    <n v="453"/>
    <n v="88"/>
    <n v="1413"/>
    <n v="0"/>
    <n v="469"/>
    <n v="0.32579999999999998"/>
    <n v="2.2700000000000001E-2"/>
    <n v="0"/>
  </r>
  <r>
    <n v="2019"/>
    <n v="2"/>
    <x v="12"/>
    <x v="12"/>
    <s v="SEA"/>
    <s v="Seattle, WA: Seattle/Tacoma International"/>
    <n v="1112"/>
    <n v="266"/>
    <n v="46.31"/>
    <n v="9.8000000000000007"/>
    <n v="86.58"/>
    <n v="0"/>
    <n v="123.32"/>
    <n v="132"/>
    <n v="6"/>
    <n v="23959"/>
    <n v="5070"/>
    <n v="1395"/>
    <n v="6310"/>
    <n v="0"/>
    <n v="11184"/>
    <n v="0.2392"/>
    <n v="0.1187"/>
    <n v="5.4000000000000003E-3"/>
  </r>
  <r>
    <n v="2019"/>
    <n v="2"/>
    <x v="7"/>
    <x v="7"/>
    <s v="SEA"/>
    <s v="Seattle, WA: Seattle/Tacoma International"/>
    <n v="1958"/>
    <n v="436"/>
    <n v="97.26"/>
    <n v="12.54"/>
    <n v="183.14"/>
    <n v="0"/>
    <n v="143.05000000000001"/>
    <n v="2"/>
    <n v="14"/>
    <n v="37008"/>
    <n v="9797"/>
    <n v="1575"/>
    <n v="10844"/>
    <n v="0"/>
    <n v="14792"/>
    <n v="0.22270000000000001"/>
    <n v="1E-3"/>
    <n v="7.1999999999999998E-3"/>
  </r>
  <r>
    <n v="2019"/>
    <n v="2"/>
    <x v="8"/>
    <x v="8"/>
    <s v="SEA"/>
    <s v="Seattle, WA: Seattle/Tacoma International"/>
    <n v="31"/>
    <n v="8"/>
    <n v="2.19"/>
    <n v="0.16"/>
    <n v="1.95"/>
    <n v="0"/>
    <n v="3.7"/>
    <n v="0"/>
    <n v="0"/>
    <n v="638"/>
    <n v="119"/>
    <n v="32"/>
    <n v="103"/>
    <n v="0"/>
    <n v="384"/>
    <n v="0.2581"/>
    <n v="0"/>
    <n v="0"/>
  </r>
  <r>
    <n v="2019"/>
    <n v="2"/>
    <x v="0"/>
    <x v="0"/>
    <s v="SEA"/>
    <s v="Seattle, WA: Seattle/Tacoma International"/>
    <n v="56"/>
    <n v="22"/>
    <n v="15.51"/>
    <n v="0"/>
    <n v="0"/>
    <n v="0"/>
    <n v="6.49"/>
    <n v="0"/>
    <n v="0"/>
    <n v="1072"/>
    <n v="631"/>
    <n v="0"/>
    <n v="0"/>
    <n v="0"/>
    <n v="441"/>
    <n v="0.39290000000000003"/>
    <n v="0"/>
    <n v="0"/>
  </r>
  <r>
    <n v="2019"/>
    <n v="2"/>
    <x v="1"/>
    <x v="1"/>
    <s v="SEA"/>
    <s v="Seattle, WA: Seattle/Tacoma International"/>
    <n v="85"/>
    <n v="28"/>
    <n v="4.9800000000000004"/>
    <n v="3.17"/>
    <n v="15.25"/>
    <n v="0"/>
    <n v="4.59"/>
    <n v="2"/>
    <n v="0"/>
    <n v="2320"/>
    <n v="210"/>
    <n v="261"/>
    <n v="1550"/>
    <n v="0"/>
    <n v="299"/>
    <n v="0.32940000000000003"/>
    <n v="2.35E-2"/>
    <n v="0"/>
  </r>
  <r>
    <n v="2019"/>
    <n v="2"/>
    <x v="2"/>
    <x v="2"/>
    <s v="SEA"/>
    <s v="Seattle, WA: Seattle/Tacoma International"/>
    <n v="510"/>
    <n v="90"/>
    <n v="11.66"/>
    <n v="7.46"/>
    <n v="46.39"/>
    <n v="0"/>
    <n v="24.49"/>
    <n v="31"/>
    <n v="3"/>
    <n v="6706"/>
    <n v="777"/>
    <n v="844"/>
    <n v="3015"/>
    <n v="0"/>
    <n v="2070"/>
    <n v="0.17649999999999999"/>
    <n v="6.08E-2"/>
    <n v="5.8999999999999999E-3"/>
  </r>
  <r>
    <n v="2019"/>
    <n v="2"/>
    <x v="3"/>
    <x v="3"/>
    <s v="SEA"/>
    <s v="Seattle, WA: Seattle/Tacoma International"/>
    <n v="3049"/>
    <n v="980"/>
    <n v="128.31"/>
    <n v="67.72"/>
    <n v="501.97"/>
    <n v="0"/>
    <n v="281.99"/>
    <n v="365"/>
    <n v="17"/>
    <n v="55805"/>
    <n v="8182"/>
    <n v="5275"/>
    <n v="24923"/>
    <n v="0"/>
    <n v="17425"/>
    <n v="0.32140000000000002"/>
    <n v="0.1197"/>
    <n v="5.5999999999999999E-3"/>
  </r>
  <r>
    <n v="2019"/>
    <n v="2"/>
    <x v="9"/>
    <x v="9"/>
    <s v="SEA"/>
    <s v="Seattle, WA: Seattle/Tacoma International"/>
    <n v="556"/>
    <n v="134"/>
    <n v="23.01"/>
    <n v="2.74"/>
    <n v="63.39"/>
    <n v="0"/>
    <n v="44.86"/>
    <n v="12"/>
    <n v="6"/>
    <n v="10541"/>
    <n v="1180"/>
    <n v="566"/>
    <n v="4383"/>
    <n v="0"/>
    <n v="4412"/>
    <n v="0.24099999999999999"/>
    <n v="2.1600000000000001E-2"/>
    <n v="1.0800000000000001E-2"/>
  </r>
  <r>
    <n v="2019"/>
    <n v="2"/>
    <x v="10"/>
    <x v="10"/>
    <s v="SEA"/>
    <s v="Seattle, WA: Seattle/Tacoma International"/>
    <n v="755"/>
    <n v="201"/>
    <n v="67.64"/>
    <n v="1.93"/>
    <n v="63.12"/>
    <n v="0"/>
    <n v="68.319999999999993"/>
    <n v="37"/>
    <n v="4"/>
    <n v="11886"/>
    <n v="3378"/>
    <n v="93"/>
    <n v="4062"/>
    <n v="0"/>
    <n v="4353"/>
    <n v="0.26619999999999999"/>
    <n v="4.9000000000000002E-2"/>
    <n v="5.3E-3"/>
  </r>
  <r>
    <n v="2019"/>
    <n v="1"/>
    <x v="5"/>
    <x v="5"/>
    <s v="SEA"/>
    <s v="Seattle, WA: Seattle/Tacoma International"/>
    <n v="5064"/>
    <n v="737"/>
    <n v="149.04"/>
    <n v="26.32"/>
    <n v="369.9"/>
    <n v="3.18"/>
    <n v="188.55"/>
    <n v="58"/>
    <n v="6"/>
    <n v="35271"/>
    <n v="10058"/>
    <n v="1453"/>
    <n v="10797"/>
    <n v="91"/>
    <n v="12872"/>
    <n v="0.14549999999999999"/>
    <n v="1.15E-2"/>
    <n v="1.1999999999999999E-3"/>
  </r>
  <r>
    <n v="2019"/>
    <n v="1"/>
    <x v="6"/>
    <x v="6"/>
    <s v="SEA"/>
    <s v="Seattle, WA: Seattle/Tacoma International"/>
    <n v="147"/>
    <n v="34"/>
    <n v="12.49"/>
    <n v="1.67"/>
    <n v="12.71"/>
    <n v="0"/>
    <n v="7.12"/>
    <n v="3"/>
    <n v="0"/>
    <n v="1744"/>
    <n v="585"/>
    <n v="90"/>
    <n v="434"/>
    <n v="0"/>
    <n v="635"/>
    <n v="0.23130000000000001"/>
    <n v="2.0400000000000001E-2"/>
    <n v="0"/>
  </r>
  <r>
    <n v="2019"/>
    <n v="1"/>
    <x v="12"/>
    <x v="12"/>
    <s v="SEA"/>
    <s v="Seattle, WA: Seattle/Tacoma International"/>
    <n v="1229"/>
    <n v="226"/>
    <n v="52.58"/>
    <n v="7.75"/>
    <n v="50.09"/>
    <n v="0"/>
    <n v="115.59"/>
    <n v="10"/>
    <n v="3"/>
    <n v="21861"/>
    <n v="7157"/>
    <n v="863"/>
    <n v="1931"/>
    <n v="0"/>
    <n v="11910"/>
    <n v="0.18390000000000001"/>
    <n v="8.0999999999999996E-3"/>
    <n v="2.3999999999999998E-3"/>
  </r>
  <r>
    <n v="2019"/>
    <n v="1"/>
    <x v="7"/>
    <x v="7"/>
    <s v="SEA"/>
    <s v="Seattle, WA: Seattle/Tacoma International"/>
    <n v="2176"/>
    <n v="276"/>
    <n v="74.540000000000006"/>
    <n v="12.68"/>
    <n v="113.3"/>
    <n v="1"/>
    <n v="74.47"/>
    <n v="2"/>
    <n v="2"/>
    <n v="21086"/>
    <n v="9098"/>
    <n v="1233"/>
    <n v="3542"/>
    <n v="16"/>
    <n v="7197"/>
    <n v="0.1268"/>
    <n v="8.9999999999999998E-4"/>
    <n v="8.9999999999999998E-4"/>
  </r>
  <r>
    <n v="2019"/>
    <n v="1"/>
    <x v="8"/>
    <x v="8"/>
    <s v="SEA"/>
    <s v="Seattle, WA: Seattle/Tacoma International"/>
    <n v="40"/>
    <n v="5"/>
    <n v="0.21"/>
    <n v="0"/>
    <n v="1"/>
    <n v="0"/>
    <n v="3.79"/>
    <n v="0"/>
    <n v="0"/>
    <n v="365"/>
    <n v="19"/>
    <n v="0"/>
    <n v="30"/>
    <n v="0"/>
    <n v="316"/>
    <n v="0.125"/>
    <n v="0"/>
    <n v="0"/>
  </r>
  <r>
    <n v="2019"/>
    <n v="1"/>
    <x v="0"/>
    <x v="0"/>
    <s v="SEA"/>
    <s v="Seattle, WA: Seattle/Tacoma International"/>
    <n v="68"/>
    <n v="34"/>
    <n v="28.17"/>
    <n v="0"/>
    <n v="0"/>
    <n v="1.47"/>
    <n v="4.3600000000000003"/>
    <n v="0"/>
    <n v="0"/>
    <n v="925"/>
    <n v="681"/>
    <n v="0"/>
    <n v="0"/>
    <n v="127"/>
    <n v="117"/>
    <n v="0.5"/>
    <n v="0"/>
    <n v="0"/>
  </r>
  <r>
    <n v="2019"/>
    <n v="1"/>
    <x v="1"/>
    <x v="1"/>
    <s v="SEA"/>
    <s v="Seattle, WA: Seattle/Tacoma International"/>
    <n v="103"/>
    <n v="13"/>
    <n v="4.5199999999999996"/>
    <n v="0"/>
    <n v="6.71"/>
    <n v="0"/>
    <n v="1.78"/>
    <n v="0"/>
    <n v="0"/>
    <n v="649"/>
    <n v="270"/>
    <n v="0"/>
    <n v="312"/>
    <n v="0"/>
    <n v="67"/>
    <n v="0.12620000000000001"/>
    <n v="0"/>
    <n v="0"/>
  </r>
  <r>
    <n v="2019"/>
    <n v="1"/>
    <x v="2"/>
    <x v="2"/>
    <s v="SEA"/>
    <s v="Seattle, WA: Seattle/Tacoma International"/>
    <n v="563"/>
    <n v="68"/>
    <n v="13.71"/>
    <n v="2.35"/>
    <n v="19.98"/>
    <n v="1"/>
    <n v="30.96"/>
    <n v="5"/>
    <n v="1"/>
    <n v="4024"/>
    <n v="827"/>
    <n v="319"/>
    <n v="728"/>
    <n v="35"/>
    <n v="2115"/>
    <n v="0.1208"/>
    <n v="8.8999999999999999E-3"/>
    <n v="1.8E-3"/>
  </r>
  <r>
    <n v="2019"/>
    <n v="1"/>
    <x v="4"/>
    <x v="4"/>
    <s v="SEA"/>
    <s v="Seattle, WA: Seattle/Tacoma International"/>
    <n v="558"/>
    <n v="98"/>
    <n v="37.909999999999997"/>
    <n v="7.81"/>
    <n v="25.45"/>
    <n v="0.31"/>
    <n v="26.52"/>
    <n v="6"/>
    <n v="4"/>
    <n v="5041"/>
    <n v="2072"/>
    <n v="559"/>
    <n v="761"/>
    <n v="12"/>
    <n v="1637"/>
    <n v="0.17560000000000001"/>
    <n v="1.0800000000000001E-2"/>
    <n v="7.1999999999999998E-3"/>
  </r>
  <r>
    <n v="2019"/>
    <n v="1"/>
    <x v="3"/>
    <x v="3"/>
    <s v="SEA"/>
    <s v="Seattle, WA: Seattle/Tacoma International"/>
    <n v="3483"/>
    <n v="659"/>
    <n v="89.11"/>
    <n v="23.53"/>
    <n v="375.95"/>
    <n v="0"/>
    <n v="170.41"/>
    <n v="91"/>
    <n v="2"/>
    <n v="26998"/>
    <n v="5406"/>
    <n v="1548"/>
    <n v="11522"/>
    <n v="0"/>
    <n v="8522"/>
    <n v="0.18920000000000001"/>
    <n v="2.6100000000000002E-2"/>
    <n v="5.9999999999999995E-4"/>
  </r>
  <r>
    <n v="2019"/>
    <n v="1"/>
    <x v="9"/>
    <x v="9"/>
    <s v="SEA"/>
    <s v="Seattle, WA: Seattle/Tacoma International"/>
    <n v="645"/>
    <n v="122"/>
    <n v="30.61"/>
    <n v="7.2"/>
    <n v="35.090000000000003"/>
    <n v="0"/>
    <n v="49.1"/>
    <n v="7"/>
    <n v="2"/>
    <n v="8368"/>
    <n v="2738"/>
    <n v="419"/>
    <n v="1266"/>
    <n v="0"/>
    <n v="3945"/>
    <n v="0.18909999999999999"/>
    <n v="1.09E-2"/>
    <n v="3.0999999999999999E-3"/>
  </r>
  <r>
    <n v="2019"/>
    <n v="1"/>
    <x v="10"/>
    <x v="10"/>
    <s v="SEA"/>
    <s v="Seattle, WA: Seattle/Tacoma International"/>
    <n v="863"/>
    <n v="147"/>
    <n v="50.68"/>
    <n v="3.11"/>
    <n v="39.299999999999997"/>
    <n v="0.06"/>
    <n v="53.85"/>
    <n v="10"/>
    <n v="1"/>
    <n v="6403"/>
    <n v="2589"/>
    <n v="166"/>
    <n v="1295"/>
    <n v="1"/>
    <n v="2352"/>
    <n v="0.17030000000000001"/>
    <n v="1.1599999999999999E-2"/>
    <n v="1.1999999999999999E-3"/>
  </r>
  <r>
    <n v="2018"/>
    <n v="12"/>
    <x v="9"/>
    <x v="9"/>
    <s v="SEA"/>
    <s v="Seattle, WA: Seattle/Tacoma International"/>
    <n v="780"/>
    <n v="164"/>
    <n v="41.93"/>
    <n v="3.85"/>
    <n v="66.989999999999995"/>
    <n v="0"/>
    <n v="51.23"/>
    <n v="1"/>
    <n v="1"/>
    <n v="9672"/>
    <n v="1900"/>
    <n v="478"/>
    <n v="2538"/>
    <n v="0"/>
    <n v="4756"/>
    <n v="0.21029999999999999"/>
    <n v="1.2999999999999999E-3"/>
    <n v="1.2999999999999999E-3"/>
  </r>
  <r>
    <n v="2018"/>
    <n v="12"/>
    <x v="10"/>
    <x v="10"/>
    <s v="SEA"/>
    <s v="Seattle, WA: Seattle/Tacoma International"/>
    <n v="911"/>
    <n v="233"/>
    <n v="83.04"/>
    <n v="1.62"/>
    <n v="61.97"/>
    <n v="0"/>
    <n v="86.37"/>
    <n v="0"/>
    <n v="1"/>
    <n v="9589"/>
    <n v="3661"/>
    <n v="114"/>
    <n v="2097"/>
    <n v="0"/>
    <n v="3717"/>
    <n v="0.25580000000000003"/>
    <n v="0"/>
    <n v="1.1000000000000001E-3"/>
  </r>
  <r>
    <n v="2018"/>
    <n v="12"/>
    <x v="4"/>
    <x v="4"/>
    <s v="SEA"/>
    <s v="Seattle, WA: Seattle/Tacoma International"/>
    <n v="636"/>
    <n v="125"/>
    <n v="43.79"/>
    <n v="9.3800000000000008"/>
    <n v="41.48"/>
    <n v="0"/>
    <n v="30.35"/>
    <n v="5"/>
    <n v="2"/>
    <n v="6514"/>
    <n v="2354"/>
    <n v="729"/>
    <n v="1348"/>
    <n v="0"/>
    <n v="2083"/>
    <n v="0.19650000000000001"/>
    <n v="7.9000000000000008E-3"/>
    <n v="3.0999999999999999E-3"/>
  </r>
  <r>
    <n v="2018"/>
    <n v="12"/>
    <x v="5"/>
    <x v="5"/>
    <s v="SEA"/>
    <s v="Seattle, WA: Seattle/Tacoma International"/>
    <n v="5030"/>
    <n v="899"/>
    <n v="174.63"/>
    <n v="10.210000000000001"/>
    <n v="509.08"/>
    <n v="2.27"/>
    <n v="202.82"/>
    <n v="26"/>
    <n v="3"/>
    <n v="41089"/>
    <n v="11518"/>
    <n v="584"/>
    <n v="16774"/>
    <n v="83"/>
    <n v="12130"/>
    <n v="0.1787"/>
    <n v="5.1999999999999998E-3"/>
    <n v="5.9999999999999995E-4"/>
  </r>
  <r>
    <n v="2018"/>
    <n v="12"/>
    <x v="6"/>
    <x v="6"/>
    <s v="SEA"/>
    <s v="Seattle, WA: Seattle/Tacoma International"/>
    <n v="141"/>
    <n v="27"/>
    <n v="8.7899999999999991"/>
    <n v="0"/>
    <n v="10.97"/>
    <n v="0"/>
    <n v="7.24"/>
    <n v="0"/>
    <n v="0"/>
    <n v="1732"/>
    <n v="696"/>
    <n v="0"/>
    <n v="508"/>
    <n v="0"/>
    <n v="528"/>
    <n v="0.1915"/>
    <n v="0"/>
    <n v="0"/>
  </r>
  <r>
    <n v="2018"/>
    <n v="12"/>
    <x v="12"/>
    <x v="12"/>
    <s v="SEA"/>
    <s v="Seattle, WA: Seattle/Tacoma International"/>
    <n v="1203"/>
    <n v="278"/>
    <n v="53"/>
    <n v="4.21"/>
    <n v="99.9"/>
    <n v="0.28000000000000003"/>
    <n v="120.61"/>
    <n v="9"/>
    <n v="13"/>
    <n v="23021"/>
    <n v="8245"/>
    <n v="218"/>
    <n v="3528"/>
    <n v="18"/>
    <n v="11012"/>
    <n v="0.2311"/>
    <n v="7.4999999999999997E-3"/>
    <n v="1.0800000000000001E-2"/>
  </r>
  <r>
    <n v="2018"/>
    <n v="12"/>
    <x v="7"/>
    <x v="7"/>
    <s v="SEA"/>
    <s v="Seattle, WA: Seattle/Tacoma International"/>
    <n v="2287"/>
    <n v="267"/>
    <n v="76.680000000000007"/>
    <n v="5.51"/>
    <n v="123.4"/>
    <n v="0"/>
    <n v="61.41"/>
    <n v="2"/>
    <n v="4"/>
    <n v="16222"/>
    <n v="8118"/>
    <n v="380"/>
    <n v="4113"/>
    <n v="0"/>
    <n v="3611"/>
    <n v="0.1167"/>
    <n v="8.9999999999999998E-4"/>
    <n v="1.6999999999999999E-3"/>
  </r>
  <r>
    <n v="2018"/>
    <n v="12"/>
    <x v="8"/>
    <x v="8"/>
    <s v="SEA"/>
    <s v="Seattle, WA: Seattle/Tacoma International"/>
    <n v="34"/>
    <n v="11"/>
    <n v="7.07"/>
    <n v="0"/>
    <n v="2.95"/>
    <n v="0"/>
    <n v="0.98"/>
    <n v="0"/>
    <n v="0"/>
    <n v="718"/>
    <n v="502"/>
    <n v="0"/>
    <n v="131"/>
    <n v="0"/>
    <n v="85"/>
    <n v="0.32350000000000001"/>
    <n v="0"/>
    <n v="0"/>
  </r>
  <r>
    <n v="2018"/>
    <n v="12"/>
    <x v="0"/>
    <x v="0"/>
    <s v="SEA"/>
    <s v="Seattle, WA: Seattle/Tacoma International"/>
    <n v="78"/>
    <n v="26"/>
    <n v="22.34"/>
    <n v="0.45"/>
    <n v="0"/>
    <n v="0"/>
    <n v="3.22"/>
    <n v="0"/>
    <n v="0"/>
    <n v="936"/>
    <n v="815"/>
    <n v="29"/>
    <n v="0"/>
    <n v="0"/>
    <n v="92"/>
    <n v="0.33329999999999999"/>
    <n v="0"/>
    <n v="0"/>
  </r>
  <r>
    <n v="2018"/>
    <n v="12"/>
    <x v="1"/>
    <x v="1"/>
    <s v="SEA"/>
    <s v="Seattle, WA: Seattle/Tacoma International"/>
    <n v="87"/>
    <n v="13"/>
    <n v="1.92"/>
    <n v="0"/>
    <n v="7.79"/>
    <n v="0"/>
    <n v="3.29"/>
    <n v="0"/>
    <n v="0"/>
    <n v="727"/>
    <n v="110"/>
    <n v="0"/>
    <n v="288"/>
    <n v="0"/>
    <n v="329"/>
    <n v="0.14940000000000001"/>
    <n v="0"/>
    <n v="0"/>
  </r>
  <r>
    <n v="2018"/>
    <n v="12"/>
    <x v="2"/>
    <x v="2"/>
    <s v="SEA"/>
    <s v="Seattle, WA: Seattle/Tacoma International"/>
    <n v="714"/>
    <n v="142"/>
    <n v="33.6"/>
    <n v="5.03"/>
    <n v="68.09"/>
    <n v="0"/>
    <n v="35.28"/>
    <n v="2"/>
    <n v="6"/>
    <n v="8905"/>
    <n v="3386"/>
    <n v="527"/>
    <n v="2297"/>
    <n v="0"/>
    <n v="2695"/>
    <n v="0.19889999999999999"/>
    <n v="2.8E-3"/>
    <n v="8.3999999999999995E-3"/>
  </r>
  <r>
    <n v="2018"/>
    <n v="12"/>
    <x v="3"/>
    <x v="3"/>
    <s v="SEA"/>
    <s v="Seattle, WA: Seattle/Tacoma International"/>
    <n v="3226"/>
    <n v="794"/>
    <n v="111.83"/>
    <n v="21.37"/>
    <n v="426.52"/>
    <n v="2.09"/>
    <n v="232.19"/>
    <n v="72"/>
    <n v="11"/>
    <n v="40653"/>
    <n v="8369"/>
    <n v="1297"/>
    <n v="15824"/>
    <n v="73"/>
    <n v="15090"/>
    <n v="0.24610000000000001"/>
    <n v="2.23E-2"/>
    <n v="3.3999999999999998E-3"/>
  </r>
  <r>
    <n v="2018"/>
    <n v="11"/>
    <x v="4"/>
    <x v="4"/>
    <s v="SEA"/>
    <s v="Seattle, WA: Seattle/Tacoma International"/>
    <n v="613"/>
    <n v="168"/>
    <n v="44.02"/>
    <n v="3.43"/>
    <n v="85.33"/>
    <n v="0.38"/>
    <n v="34.85"/>
    <n v="3"/>
    <n v="2"/>
    <n v="7383"/>
    <n v="1753"/>
    <n v="199"/>
    <n v="3212"/>
    <n v="18"/>
    <n v="2201"/>
    <n v="0.27410000000000001"/>
    <n v="4.8999999999999998E-3"/>
    <n v="3.3E-3"/>
  </r>
  <r>
    <n v="2018"/>
    <n v="11"/>
    <x v="5"/>
    <x v="5"/>
    <s v="SEA"/>
    <s v="Seattle, WA: Seattle/Tacoma International"/>
    <n v="5008"/>
    <n v="1083"/>
    <n v="165.4"/>
    <n v="9.52"/>
    <n v="651.63"/>
    <n v="3.92"/>
    <n v="252.53"/>
    <n v="54"/>
    <n v="37"/>
    <n v="59066"/>
    <n v="10986"/>
    <n v="1571"/>
    <n v="26415"/>
    <n v="108"/>
    <n v="19986"/>
    <n v="0.21629999999999999"/>
    <n v="1.0800000000000001E-2"/>
    <n v="7.4000000000000003E-3"/>
  </r>
  <r>
    <n v="2018"/>
    <n v="11"/>
    <x v="6"/>
    <x v="6"/>
    <s v="SEA"/>
    <s v="Seattle, WA: Seattle/Tacoma International"/>
    <n v="136"/>
    <n v="28"/>
    <n v="5.53"/>
    <n v="1.8"/>
    <n v="10.97"/>
    <n v="0"/>
    <n v="9.69"/>
    <n v="0"/>
    <n v="1"/>
    <n v="2231"/>
    <n v="646"/>
    <n v="260"/>
    <n v="498"/>
    <n v="0"/>
    <n v="827"/>
    <n v="0.2059"/>
    <n v="0"/>
    <n v="7.4000000000000003E-3"/>
  </r>
  <r>
    <n v="2018"/>
    <n v="11"/>
    <x v="12"/>
    <x v="12"/>
    <s v="SEA"/>
    <s v="Seattle, WA: Seattle/Tacoma International"/>
    <n v="1034"/>
    <n v="291"/>
    <n v="55.72"/>
    <n v="12.68"/>
    <n v="132.38999999999999"/>
    <n v="0"/>
    <n v="90.21"/>
    <n v="5"/>
    <n v="5"/>
    <n v="24131"/>
    <n v="7223"/>
    <n v="2100"/>
    <n v="5754"/>
    <n v="0"/>
    <n v="9054"/>
    <n v="0.28139999999999998"/>
    <n v="4.7999999999999996E-3"/>
    <n v="4.7999999999999996E-3"/>
  </r>
  <r>
    <n v="2018"/>
    <n v="11"/>
    <x v="7"/>
    <x v="7"/>
    <s v="SEA"/>
    <s v="Seattle, WA: Seattle/Tacoma International"/>
    <n v="2137"/>
    <n v="358"/>
    <n v="85.05"/>
    <n v="9.84"/>
    <n v="160.88"/>
    <n v="0"/>
    <n v="102.24"/>
    <n v="1"/>
    <n v="19"/>
    <n v="24692"/>
    <n v="7805"/>
    <n v="1382"/>
    <n v="6866"/>
    <n v="0"/>
    <n v="8639"/>
    <n v="0.16750000000000001"/>
    <n v="5.0000000000000001E-4"/>
    <n v="8.8999999999999999E-3"/>
  </r>
  <r>
    <n v="2018"/>
    <n v="11"/>
    <x v="8"/>
    <x v="8"/>
    <s v="SEA"/>
    <s v="Seattle, WA: Seattle/Tacoma International"/>
    <n v="47"/>
    <n v="19"/>
    <n v="4.66"/>
    <n v="0.25"/>
    <n v="9.94"/>
    <n v="0"/>
    <n v="4.1500000000000004"/>
    <n v="0"/>
    <n v="0"/>
    <n v="985"/>
    <n v="198"/>
    <n v="11"/>
    <n v="475"/>
    <n v="0"/>
    <n v="301"/>
    <n v="0.40429999999999999"/>
    <n v="0"/>
    <n v="0"/>
  </r>
  <r>
    <n v="2018"/>
    <n v="11"/>
    <x v="0"/>
    <x v="0"/>
    <s v="SEA"/>
    <s v="Seattle, WA: Seattle/Tacoma International"/>
    <n v="61"/>
    <n v="25"/>
    <n v="18.75"/>
    <n v="0"/>
    <n v="0"/>
    <n v="0.77"/>
    <n v="5.48"/>
    <n v="0"/>
    <n v="0"/>
    <n v="751"/>
    <n v="483"/>
    <n v="0"/>
    <n v="0"/>
    <n v="17"/>
    <n v="251"/>
    <n v="0.4098"/>
    <n v="0"/>
    <n v="0"/>
  </r>
  <r>
    <n v="2018"/>
    <n v="11"/>
    <x v="1"/>
    <x v="1"/>
    <s v="SEA"/>
    <s v="Seattle, WA: Seattle/Tacoma International"/>
    <n v="91"/>
    <n v="11"/>
    <n v="1.36"/>
    <n v="0"/>
    <n v="8.64"/>
    <n v="0"/>
    <n v="1"/>
    <n v="0"/>
    <n v="0"/>
    <n v="789"/>
    <n v="59"/>
    <n v="0"/>
    <n v="682"/>
    <n v="0"/>
    <n v="48"/>
    <n v="0.12089999999999999"/>
    <n v="0"/>
    <n v="0"/>
  </r>
  <r>
    <n v="2018"/>
    <n v="11"/>
    <x v="2"/>
    <x v="2"/>
    <s v="SEA"/>
    <s v="Seattle, WA: Seattle/Tacoma International"/>
    <n v="815"/>
    <n v="198"/>
    <n v="17.84"/>
    <n v="14.91"/>
    <n v="119.15"/>
    <n v="0"/>
    <n v="46.1"/>
    <n v="4"/>
    <n v="12"/>
    <n v="11463"/>
    <n v="1394"/>
    <n v="1273"/>
    <n v="4573"/>
    <n v="0"/>
    <n v="4223"/>
    <n v="0.2429"/>
    <n v="4.8999999999999998E-3"/>
    <n v="1.47E-2"/>
  </r>
  <r>
    <n v="2018"/>
    <n v="11"/>
    <x v="3"/>
    <x v="3"/>
    <s v="SEA"/>
    <s v="Seattle, WA: Seattle/Tacoma International"/>
    <n v="3006"/>
    <n v="888"/>
    <n v="78.260000000000005"/>
    <n v="17.440000000000001"/>
    <n v="554.32000000000005"/>
    <n v="2.12"/>
    <n v="235.85"/>
    <n v="104"/>
    <n v="16"/>
    <n v="46996"/>
    <n v="5089"/>
    <n v="1625"/>
    <n v="24272"/>
    <n v="49"/>
    <n v="15961"/>
    <n v="0.2954"/>
    <n v="3.4599999999999999E-2"/>
    <n v="5.3E-3"/>
  </r>
  <r>
    <n v="2018"/>
    <n v="11"/>
    <x v="9"/>
    <x v="9"/>
    <s v="SEA"/>
    <s v="Seattle, WA: Seattle/Tacoma International"/>
    <n v="779"/>
    <n v="207"/>
    <n v="35.33"/>
    <n v="4.76"/>
    <n v="114.69"/>
    <n v="0"/>
    <n v="52.22"/>
    <n v="4"/>
    <n v="3"/>
    <n v="12155"/>
    <n v="1878"/>
    <n v="345"/>
    <n v="5827"/>
    <n v="0"/>
    <n v="4105"/>
    <n v="0.26569999999999999"/>
    <n v="5.1000000000000004E-3"/>
    <n v="3.8999999999999998E-3"/>
  </r>
  <r>
    <n v="2018"/>
    <n v="11"/>
    <x v="10"/>
    <x v="10"/>
    <s v="SEA"/>
    <s v="Seattle, WA: Seattle/Tacoma International"/>
    <n v="947"/>
    <n v="258"/>
    <n v="62.71"/>
    <n v="3.06"/>
    <n v="110.97"/>
    <n v="0"/>
    <n v="81.260000000000005"/>
    <n v="5"/>
    <n v="2"/>
    <n v="12204"/>
    <n v="2919"/>
    <n v="386"/>
    <n v="5200"/>
    <n v="0"/>
    <n v="3699"/>
    <n v="0.27239999999999998"/>
    <n v="5.3E-3"/>
    <n v="2.0999999999999999E-3"/>
  </r>
  <r>
    <n v="2018"/>
    <n v="10"/>
    <x v="4"/>
    <x v="4"/>
    <s v="SEA"/>
    <s v="Seattle, WA: Seattle/Tacoma International"/>
    <n v="728"/>
    <n v="261"/>
    <n v="58.56"/>
    <n v="8.2100000000000009"/>
    <n v="139.65"/>
    <n v="0"/>
    <n v="54.59"/>
    <n v="3"/>
    <n v="9"/>
    <n v="12925"/>
    <n v="3037"/>
    <n v="1652"/>
    <n v="4822"/>
    <n v="0"/>
    <n v="3414"/>
    <n v="0.35849999999999999"/>
    <n v="4.1000000000000003E-3"/>
    <n v="1.24E-2"/>
  </r>
  <r>
    <n v="2018"/>
    <n v="10"/>
    <x v="5"/>
    <x v="5"/>
    <s v="SEA"/>
    <s v="Seattle, WA: Seattle/Tacoma International"/>
    <n v="5464"/>
    <n v="1407"/>
    <n v="165.41"/>
    <n v="7.83"/>
    <n v="935.29"/>
    <n v="2.7"/>
    <n v="295.77"/>
    <n v="49"/>
    <n v="14"/>
    <n v="65401"/>
    <n v="12208"/>
    <n v="637"/>
    <n v="34731"/>
    <n v="83"/>
    <n v="17742"/>
    <n v="0.25750000000000001"/>
    <n v="8.9999999999999993E-3"/>
    <n v="2.5999999999999999E-3"/>
  </r>
  <r>
    <n v="2018"/>
    <n v="10"/>
    <x v="6"/>
    <x v="6"/>
    <s v="SEA"/>
    <s v="Seattle, WA: Seattle/Tacoma International"/>
    <n v="143"/>
    <n v="35"/>
    <n v="6.17"/>
    <n v="0"/>
    <n v="20.059999999999999"/>
    <n v="0"/>
    <n v="8.77"/>
    <n v="0"/>
    <n v="2"/>
    <n v="1967"/>
    <n v="523"/>
    <n v="0"/>
    <n v="758"/>
    <n v="0"/>
    <n v="686"/>
    <n v="0.24479999999999999"/>
    <n v="0"/>
    <n v="1.4E-2"/>
  </r>
  <r>
    <n v="2018"/>
    <n v="10"/>
    <x v="12"/>
    <x v="12"/>
    <s v="SEA"/>
    <s v="Seattle, WA: Seattle/Tacoma International"/>
    <n v="1129"/>
    <n v="393"/>
    <n v="53.7"/>
    <n v="29.71"/>
    <n v="175.76"/>
    <n v="0"/>
    <n v="133.83000000000001"/>
    <n v="12"/>
    <n v="10"/>
    <n v="35169"/>
    <n v="7349"/>
    <n v="5605"/>
    <n v="8991"/>
    <n v="0"/>
    <n v="13224"/>
    <n v="0.34810000000000002"/>
    <n v="1.06E-2"/>
    <n v="8.8999999999999999E-3"/>
  </r>
  <r>
    <n v="2018"/>
    <n v="10"/>
    <x v="7"/>
    <x v="7"/>
    <s v="SEA"/>
    <s v="Seattle, WA: Seattle/Tacoma International"/>
    <n v="2242"/>
    <n v="333"/>
    <n v="67.92"/>
    <n v="6.68"/>
    <n v="182.38"/>
    <n v="0"/>
    <n v="76.02"/>
    <n v="0"/>
    <n v="10"/>
    <n v="16113"/>
    <n v="4370"/>
    <n v="256"/>
    <n v="6300"/>
    <n v="0"/>
    <n v="5187"/>
    <n v="0.14849999999999999"/>
    <n v="0"/>
    <n v="4.4999999999999997E-3"/>
  </r>
  <r>
    <n v="2018"/>
    <n v="10"/>
    <x v="8"/>
    <x v="8"/>
    <s v="SEA"/>
    <s v="Seattle, WA: Seattle/Tacoma International"/>
    <n v="62"/>
    <n v="28"/>
    <n v="12.06"/>
    <n v="0"/>
    <n v="11.9"/>
    <n v="0"/>
    <n v="4.04"/>
    <n v="0"/>
    <n v="0"/>
    <n v="1220"/>
    <n v="484"/>
    <n v="0"/>
    <n v="501"/>
    <n v="0"/>
    <n v="235"/>
    <n v="0.4516"/>
    <n v="0"/>
    <n v="0"/>
  </r>
  <r>
    <n v="2018"/>
    <n v="10"/>
    <x v="0"/>
    <x v="0"/>
    <s v="SEA"/>
    <s v="Seattle, WA: Seattle/Tacoma International"/>
    <n v="62"/>
    <n v="26"/>
    <n v="21.9"/>
    <n v="0"/>
    <n v="0"/>
    <n v="1.2"/>
    <n v="2.9"/>
    <n v="0"/>
    <n v="1"/>
    <n v="973"/>
    <n v="823"/>
    <n v="0"/>
    <n v="0"/>
    <n v="36"/>
    <n v="114"/>
    <n v="0.4194"/>
    <n v="0"/>
    <n v="1.61E-2"/>
  </r>
  <r>
    <n v="2018"/>
    <n v="10"/>
    <x v="1"/>
    <x v="1"/>
    <s v="SEA"/>
    <s v="Seattle, WA: Seattle/Tacoma International"/>
    <n v="104"/>
    <n v="30"/>
    <n v="2.4700000000000002"/>
    <n v="0"/>
    <n v="22.37"/>
    <n v="0"/>
    <n v="5.16"/>
    <n v="0"/>
    <n v="0"/>
    <n v="2029"/>
    <n v="175"/>
    <n v="0"/>
    <n v="1466"/>
    <n v="0"/>
    <n v="388"/>
    <n v="0.28849999999999998"/>
    <n v="0"/>
    <n v="0"/>
  </r>
  <r>
    <n v="2018"/>
    <n v="10"/>
    <x v="2"/>
    <x v="2"/>
    <s v="SEA"/>
    <s v="Seattle, WA: Seattle/Tacoma International"/>
    <n v="947"/>
    <n v="287"/>
    <n v="19.91"/>
    <n v="25.27"/>
    <n v="168.63"/>
    <n v="0"/>
    <n v="73.19"/>
    <n v="20"/>
    <n v="16"/>
    <n v="17930"/>
    <n v="1804"/>
    <n v="3952"/>
    <n v="6735"/>
    <n v="0"/>
    <n v="5439"/>
    <n v="0.30309999999999998"/>
    <n v="2.1100000000000001E-2"/>
    <n v="1.6899999999999998E-2"/>
  </r>
  <r>
    <n v="2018"/>
    <n v="10"/>
    <x v="3"/>
    <x v="3"/>
    <s v="SEA"/>
    <s v="Seattle, WA: Seattle/Tacoma International"/>
    <n v="2662"/>
    <n v="831"/>
    <n v="65.69"/>
    <n v="22.17"/>
    <n v="548.75"/>
    <n v="0"/>
    <n v="194.39"/>
    <n v="100"/>
    <n v="16"/>
    <n v="44813"/>
    <n v="5380"/>
    <n v="3716"/>
    <n v="23387"/>
    <n v="0"/>
    <n v="12330"/>
    <n v="0.31219999999999998"/>
    <n v="3.7600000000000001E-2"/>
    <n v="6.0000000000000001E-3"/>
  </r>
  <r>
    <n v="2018"/>
    <n v="10"/>
    <x v="9"/>
    <x v="9"/>
    <s v="SEA"/>
    <s v="Seattle, WA: Seattle/Tacoma International"/>
    <n v="875"/>
    <n v="268"/>
    <n v="41.11"/>
    <n v="0.64"/>
    <n v="162.97"/>
    <n v="0"/>
    <n v="63.28"/>
    <n v="0"/>
    <n v="1"/>
    <n v="14498"/>
    <n v="2091"/>
    <n v="139"/>
    <n v="7414"/>
    <n v="0"/>
    <n v="4854"/>
    <n v="0.30630000000000002"/>
    <n v="0"/>
    <n v="1.1000000000000001E-3"/>
  </r>
  <r>
    <n v="2018"/>
    <n v="10"/>
    <x v="10"/>
    <x v="10"/>
    <s v="SEA"/>
    <s v="Seattle, WA: Seattle/Tacoma International"/>
    <n v="1061"/>
    <n v="351"/>
    <n v="60.05"/>
    <n v="7.39"/>
    <n v="209.99"/>
    <n v="0"/>
    <n v="73.58"/>
    <n v="6"/>
    <n v="0"/>
    <n v="14071"/>
    <n v="3011"/>
    <n v="683"/>
    <n v="7716"/>
    <n v="0"/>
    <n v="2661"/>
    <n v="0.33079999999999998"/>
    <n v="5.7000000000000002E-3"/>
    <n v="0"/>
  </r>
  <r>
    <n v="2018"/>
    <n v="9"/>
    <x v="4"/>
    <x v="4"/>
    <s v="SEA"/>
    <s v="Seattle, WA: Seattle/Tacoma International"/>
    <n v="779"/>
    <n v="306"/>
    <n v="73.31"/>
    <n v="8.4499999999999993"/>
    <n v="162.11000000000001"/>
    <n v="1.4"/>
    <n v="60.73"/>
    <n v="17"/>
    <n v="2"/>
    <n v="15958"/>
    <n v="4751"/>
    <n v="706"/>
    <n v="6065"/>
    <n v="132"/>
    <n v="4304"/>
    <n v="0.39279999999999998"/>
    <n v="2.18E-2"/>
    <n v="2.5999999999999999E-3"/>
  </r>
  <r>
    <n v="2018"/>
    <n v="9"/>
    <x v="5"/>
    <x v="5"/>
    <s v="SEA"/>
    <s v="Seattle, WA: Seattle/Tacoma International"/>
    <n v="5427"/>
    <n v="962"/>
    <n v="146.16"/>
    <n v="7.52"/>
    <n v="660.22"/>
    <n v="4.6399999999999997"/>
    <n v="143.47"/>
    <n v="40"/>
    <n v="4"/>
    <n v="39828"/>
    <n v="9285"/>
    <n v="715"/>
    <n v="21499"/>
    <n v="98"/>
    <n v="8231"/>
    <n v="0.17730000000000001"/>
    <n v="7.4000000000000003E-3"/>
    <n v="6.9999999999999999E-4"/>
  </r>
  <r>
    <n v="2018"/>
    <n v="9"/>
    <x v="6"/>
    <x v="6"/>
    <s v="SEA"/>
    <s v="Seattle, WA: Seattle/Tacoma International"/>
    <n v="169"/>
    <n v="39"/>
    <n v="7.49"/>
    <n v="0"/>
    <n v="23.44"/>
    <n v="0"/>
    <n v="8.07"/>
    <n v="0"/>
    <n v="0"/>
    <n v="1729"/>
    <n v="401"/>
    <n v="0"/>
    <n v="957"/>
    <n v="0"/>
    <n v="371"/>
    <n v="0.23080000000000001"/>
    <n v="0"/>
    <n v="0"/>
  </r>
  <r>
    <n v="2018"/>
    <n v="9"/>
    <x v="12"/>
    <x v="12"/>
    <s v="SEA"/>
    <s v="Seattle, WA: Seattle/Tacoma International"/>
    <n v="1095"/>
    <n v="312"/>
    <n v="50.25"/>
    <n v="3.49"/>
    <n v="185"/>
    <n v="0"/>
    <n v="73.25"/>
    <n v="0"/>
    <n v="0"/>
    <n v="15490"/>
    <n v="4613"/>
    <n v="146"/>
    <n v="6839"/>
    <n v="0"/>
    <n v="3892"/>
    <n v="0.28489999999999999"/>
    <n v="0"/>
    <n v="0"/>
  </r>
  <r>
    <n v="2018"/>
    <n v="9"/>
    <x v="7"/>
    <x v="7"/>
    <s v="SEA"/>
    <s v="Seattle, WA: Seattle/Tacoma International"/>
    <n v="2273"/>
    <n v="390"/>
    <n v="85.1"/>
    <n v="5.0599999999999996"/>
    <n v="238.85"/>
    <n v="0"/>
    <n v="60.98"/>
    <n v="0"/>
    <n v="2"/>
    <n v="18001"/>
    <n v="5199"/>
    <n v="391"/>
    <n v="8427"/>
    <n v="0"/>
    <n v="3984"/>
    <n v="0.1716"/>
    <n v="0"/>
    <n v="8.9999999999999998E-4"/>
  </r>
  <r>
    <n v="2018"/>
    <n v="9"/>
    <x v="8"/>
    <x v="8"/>
    <s v="SEA"/>
    <s v="Seattle, WA: Seattle/Tacoma International"/>
    <n v="60"/>
    <n v="31"/>
    <n v="14.16"/>
    <n v="0"/>
    <n v="7.78"/>
    <n v="0"/>
    <n v="9.07"/>
    <n v="0"/>
    <n v="0"/>
    <n v="2199"/>
    <n v="756"/>
    <n v="0"/>
    <n v="385"/>
    <n v="0"/>
    <n v="1058"/>
    <n v="0.51670000000000005"/>
    <n v="0"/>
    <n v="0"/>
  </r>
  <r>
    <n v="2018"/>
    <n v="9"/>
    <x v="0"/>
    <x v="0"/>
    <s v="SEA"/>
    <s v="Seattle, WA: Seattle/Tacoma International"/>
    <n v="62"/>
    <n v="13"/>
    <n v="7.63"/>
    <n v="0"/>
    <n v="0"/>
    <n v="0"/>
    <n v="5.37"/>
    <n v="0"/>
    <n v="0"/>
    <n v="316"/>
    <n v="184"/>
    <n v="0"/>
    <n v="0"/>
    <n v="0"/>
    <n v="132"/>
    <n v="0.2097"/>
    <n v="0"/>
    <n v="0"/>
  </r>
  <r>
    <n v="2018"/>
    <n v="9"/>
    <x v="1"/>
    <x v="1"/>
    <s v="SEA"/>
    <s v="Seattle, WA: Seattle/Tacoma International"/>
    <n v="135"/>
    <n v="33"/>
    <n v="2.65"/>
    <n v="0.05"/>
    <n v="24.69"/>
    <n v="1"/>
    <n v="4.6100000000000003"/>
    <n v="1"/>
    <n v="0"/>
    <n v="1689"/>
    <n v="178"/>
    <n v="9"/>
    <n v="1092"/>
    <n v="37"/>
    <n v="373"/>
    <n v="0.24440000000000001"/>
    <n v="7.4000000000000003E-3"/>
    <n v="0"/>
  </r>
  <r>
    <n v="2018"/>
    <n v="9"/>
    <x v="2"/>
    <x v="2"/>
    <s v="SEA"/>
    <s v="Seattle, WA: Seattle/Tacoma International"/>
    <n v="963"/>
    <n v="272"/>
    <n v="23.44"/>
    <n v="24.29"/>
    <n v="147.78"/>
    <n v="0"/>
    <n v="76.5"/>
    <n v="3"/>
    <n v="3"/>
    <n v="13236"/>
    <n v="1671"/>
    <n v="2162"/>
    <n v="5759"/>
    <n v="0"/>
    <n v="3644"/>
    <n v="0.28249999999999997"/>
    <n v="3.0999999999999999E-3"/>
    <n v="3.0999999999999999E-3"/>
  </r>
  <r>
    <n v="2018"/>
    <n v="9"/>
    <x v="3"/>
    <x v="3"/>
    <s v="SEA"/>
    <s v="Seattle, WA: Seattle/Tacoma International"/>
    <n v="2554"/>
    <n v="620"/>
    <n v="54.38"/>
    <n v="1.9"/>
    <n v="440"/>
    <n v="0.94"/>
    <n v="122.77"/>
    <n v="52"/>
    <n v="0"/>
    <n v="27148"/>
    <n v="3791"/>
    <n v="76"/>
    <n v="16605"/>
    <n v="16"/>
    <n v="6660"/>
    <n v="0.24279999999999999"/>
    <n v="2.0400000000000001E-2"/>
    <n v="0"/>
  </r>
  <r>
    <n v="2018"/>
    <n v="9"/>
    <x v="9"/>
    <x v="9"/>
    <s v="SEA"/>
    <s v="Seattle, WA: Seattle/Tacoma International"/>
    <n v="902"/>
    <n v="230"/>
    <n v="40.380000000000003"/>
    <n v="8.84"/>
    <n v="144.57"/>
    <n v="0"/>
    <n v="36.21"/>
    <n v="0"/>
    <n v="0"/>
    <n v="12498"/>
    <n v="2825"/>
    <n v="736"/>
    <n v="5798"/>
    <n v="0"/>
    <n v="3139"/>
    <n v="0.255"/>
    <n v="0"/>
    <n v="0"/>
  </r>
  <r>
    <n v="2018"/>
    <n v="9"/>
    <x v="10"/>
    <x v="10"/>
    <s v="SEA"/>
    <s v="Seattle, WA: Seattle/Tacoma International"/>
    <n v="1109"/>
    <n v="322"/>
    <n v="48.09"/>
    <n v="5.29"/>
    <n v="206.93"/>
    <n v="0.17"/>
    <n v="61.51"/>
    <n v="4"/>
    <n v="1"/>
    <n v="14212"/>
    <n v="2439"/>
    <n v="667"/>
    <n v="7605"/>
    <n v="5"/>
    <n v="3496"/>
    <n v="0.29039999999999999"/>
    <n v="3.5999999999999999E-3"/>
    <n v="8.9999999999999998E-4"/>
  </r>
  <r>
    <n v="2018"/>
    <n v="8"/>
    <x v="4"/>
    <x v="4"/>
    <s v="SEA"/>
    <s v="Seattle, WA: Seattle/Tacoma International"/>
    <n v="921"/>
    <n v="349"/>
    <n v="98.21"/>
    <n v="16.48"/>
    <n v="134.1"/>
    <n v="0.85"/>
    <n v="99.35"/>
    <n v="13"/>
    <n v="1"/>
    <n v="20603"/>
    <n v="5162"/>
    <n v="1499"/>
    <n v="6434"/>
    <n v="29"/>
    <n v="7479"/>
    <n v="0.37890000000000001"/>
    <n v="1.41E-2"/>
    <n v="1.1000000000000001E-3"/>
  </r>
  <r>
    <n v="2018"/>
    <n v="8"/>
    <x v="5"/>
    <x v="5"/>
    <s v="SEA"/>
    <s v="Seattle, WA: Seattle/Tacoma International"/>
    <n v="6047"/>
    <n v="1457"/>
    <n v="211.58"/>
    <n v="46.66"/>
    <n v="839.9"/>
    <n v="3.45"/>
    <n v="355.41"/>
    <n v="52"/>
    <n v="10"/>
    <n v="81131"/>
    <n v="14326"/>
    <n v="3042"/>
    <n v="40682"/>
    <n v="351"/>
    <n v="22730"/>
    <n v="0.2409"/>
    <n v="8.6E-3"/>
    <n v="1.6999999999999999E-3"/>
  </r>
  <r>
    <n v="2018"/>
    <n v="8"/>
    <x v="6"/>
    <x v="6"/>
    <s v="SEA"/>
    <s v="Seattle, WA: Seattle/Tacoma International"/>
    <n v="239"/>
    <n v="70"/>
    <n v="12.68"/>
    <n v="0"/>
    <n v="38.1"/>
    <n v="0"/>
    <n v="19.22"/>
    <n v="2"/>
    <n v="0"/>
    <n v="4422"/>
    <n v="832"/>
    <n v="0"/>
    <n v="2064"/>
    <n v="0"/>
    <n v="1526"/>
    <n v="0.29289999999999999"/>
    <n v="8.3999999999999995E-3"/>
    <n v="0"/>
  </r>
  <r>
    <n v="2018"/>
    <n v="8"/>
    <x v="12"/>
    <x v="12"/>
    <s v="SEA"/>
    <s v="Seattle, WA: Seattle/Tacoma International"/>
    <n v="1226"/>
    <n v="505"/>
    <n v="56.37"/>
    <n v="8.59"/>
    <n v="222.92"/>
    <n v="0"/>
    <n v="217.11"/>
    <n v="0"/>
    <n v="6"/>
    <n v="37596"/>
    <n v="7044"/>
    <n v="539"/>
    <n v="12592"/>
    <n v="0"/>
    <n v="17421"/>
    <n v="0.41189999999999999"/>
    <n v="0"/>
    <n v="4.8999999999999998E-3"/>
  </r>
  <r>
    <n v="2018"/>
    <n v="8"/>
    <x v="7"/>
    <x v="7"/>
    <s v="SEA"/>
    <s v="Seattle, WA: Seattle/Tacoma International"/>
    <n v="2914"/>
    <n v="646"/>
    <n v="124.03"/>
    <n v="15.45"/>
    <n v="305.87"/>
    <n v="0"/>
    <n v="200.65"/>
    <n v="4"/>
    <n v="7"/>
    <n v="37429"/>
    <n v="9762"/>
    <n v="1088"/>
    <n v="13097"/>
    <n v="0"/>
    <n v="13482"/>
    <n v="0.22170000000000001"/>
    <n v="1.4E-3"/>
    <n v="2.3999999999999998E-3"/>
  </r>
  <r>
    <n v="2018"/>
    <n v="8"/>
    <x v="8"/>
    <x v="8"/>
    <s v="SEA"/>
    <s v="Seattle, WA: Seattle/Tacoma International"/>
    <n v="76"/>
    <n v="40"/>
    <n v="19.3"/>
    <n v="0"/>
    <n v="11.89"/>
    <n v="0"/>
    <n v="8.81"/>
    <n v="0"/>
    <n v="0"/>
    <n v="2312"/>
    <n v="1017"/>
    <n v="0"/>
    <n v="711"/>
    <n v="0"/>
    <n v="584"/>
    <n v="0.52629999999999999"/>
    <n v="0"/>
    <n v="0"/>
  </r>
  <r>
    <n v="2018"/>
    <n v="8"/>
    <x v="1"/>
    <x v="1"/>
    <s v="SEA"/>
    <s v="Seattle, WA: Seattle/Tacoma International"/>
    <n v="310"/>
    <n v="96"/>
    <n v="15.61"/>
    <n v="4.32"/>
    <n v="54.2"/>
    <n v="0"/>
    <n v="21.86"/>
    <n v="0"/>
    <n v="1"/>
    <n v="7000"/>
    <n v="1064"/>
    <n v="218"/>
    <n v="3182"/>
    <n v="0"/>
    <n v="2536"/>
    <n v="0.30969999999999998"/>
    <n v="0"/>
    <n v="3.2000000000000002E-3"/>
  </r>
  <r>
    <n v="2018"/>
    <n v="8"/>
    <x v="2"/>
    <x v="2"/>
    <s v="SEA"/>
    <s v="Seattle, WA: Seattle/Tacoma International"/>
    <n v="1009"/>
    <n v="343"/>
    <n v="33.29"/>
    <n v="29.2"/>
    <n v="164.7"/>
    <n v="1.21"/>
    <n v="114.6"/>
    <n v="8"/>
    <n v="1"/>
    <n v="23433"/>
    <n v="3946"/>
    <n v="2306"/>
    <n v="8441"/>
    <n v="32"/>
    <n v="8708"/>
    <n v="0.33989999999999998"/>
    <n v="7.9000000000000008E-3"/>
    <n v="1E-3"/>
  </r>
  <r>
    <n v="2018"/>
    <n v="8"/>
    <x v="3"/>
    <x v="3"/>
    <s v="SEA"/>
    <s v="Seattle, WA: Seattle/Tacoma International"/>
    <n v="2879"/>
    <n v="902"/>
    <n v="68.44"/>
    <n v="2.04"/>
    <n v="524.95000000000005"/>
    <n v="1"/>
    <n v="305.57"/>
    <n v="94"/>
    <n v="9"/>
    <n v="53355"/>
    <n v="4936"/>
    <n v="266"/>
    <n v="29161"/>
    <n v="51"/>
    <n v="18941"/>
    <n v="0.31330000000000002"/>
    <n v="3.27E-2"/>
    <n v="3.0999999999999999E-3"/>
  </r>
  <r>
    <n v="2018"/>
    <n v="8"/>
    <x v="9"/>
    <x v="9"/>
    <s v="SEA"/>
    <s v="Seattle, WA: Seattle/Tacoma International"/>
    <n v="1071"/>
    <n v="403"/>
    <n v="56.43"/>
    <n v="16.739999999999998"/>
    <n v="202.86"/>
    <n v="0"/>
    <n v="126.97"/>
    <n v="7"/>
    <n v="1"/>
    <n v="27217"/>
    <n v="3806"/>
    <n v="1708"/>
    <n v="10685"/>
    <n v="0"/>
    <n v="11018"/>
    <n v="0.37630000000000002"/>
    <n v="6.4999999999999997E-3"/>
    <n v="8.9999999999999998E-4"/>
  </r>
  <r>
    <n v="2018"/>
    <n v="8"/>
    <x v="10"/>
    <x v="10"/>
    <s v="SEA"/>
    <s v="Seattle, WA: Seattle/Tacoma International"/>
    <n v="1231"/>
    <n v="433"/>
    <n v="92.73"/>
    <n v="5.84"/>
    <n v="240.28"/>
    <n v="0"/>
    <n v="94.15"/>
    <n v="7"/>
    <n v="1"/>
    <n v="23065"/>
    <n v="5672"/>
    <n v="392"/>
    <n v="11519"/>
    <n v="0"/>
    <n v="5482"/>
    <n v="0.35170000000000001"/>
    <n v="5.7000000000000002E-3"/>
    <n v="8.0000000000000004E-4"/>
  </r>
  <r>
    <n v="2018"/>
    <n v="7"/>
    <x v="4"/>
    <x v="4"/>
    <s v="SEA"/>
    <s v="Seattle, WA: Seattle/Tacoma International"/>
    <n v="930"/>
    <n v="335"/>
    <n v="113.42"/>
    <n v="12.64"/>
    <n v="98.65"/>
    <n v="0"/>
    <n v="110.28"/>
    <n v="15"/>
    <n v="2"/>
    <n v="19214"/>
    <n v="6586"/>
    <n v="1028"/>
    <n v="4036"/>
    <n v="0"/>
    <n v="7564"/>
    <n v="0.36020000000000002"/>
    <n v="1.61E-2"/>
    <n v="2.2000000000000001E-3"/>
  </r>
  <r>
    <n v="2018"/>
    <n v="7"/>
    <x v="5"/>
    <x v="5"/>
    <s v="SEA"/>
    <s v="Seattle, WA: Seattle/Tacoma International"/>
    <n v="6113"/>
    <n v="793"/>
    <n v="185.01"/>
    <n v="16.52"/>
    <n v="332.3"/>
    <n v="4.51"/>
    <n v="254.66"/>
    <n v="36"/>
    <n v="6"/>
    <n v="38606"/>
    <n v="11150"/>
    <n v="1148"/>
    <n v="10895"/>
    <n v="204"/>
    <n v="15209"/>
    <n v="0.12970000000000001"/>
    <n v="5.8999999999999999E-3"/>
    <n v="1E-3"/>
  </r>
  <r>
    <n v="2018"/>
    <n v="7"/>
    <x v="6"/>
    <x v="6"/>
    <s v="SEA"/>
    <s v="Seattle, WA: Seattle/Tacoma International"/>
    <n v="240"/>
    <n v="58"/>
    <n v="18.37"/>
    <n v="1"/>
    <n v="21.48"/>
    <n v="0.11"/>
    <n v="17.04"/>
    <n v="0"/>
    <n v="0"/>
    <n v="3778"/>
    <n v="1636"/>
    <n v="281"/>
    <n v="685"/>
    <n v="6"/>
    <n v="1170"/>
    <n v="0.2417"/>
    <n v="0"/>
    <n v="0"/>
  </r>
  <r>
    <n v="2018"/>
    <n v="7"/>
    <x v="12"/>
    <x v="12"/>
    <s v="SEA"/>
    <s v="Seattle, WA: Seattle/Tacoma International"/>
    <n v="1217"/>
    <n v="235"/>
    <n v="61.28"/>
    <n v="1.38"/>
    <n v="77.52"/>
    <n v="0"/>
    <n v="94.82"/>
    <n v="2"/>
    <n v="0"/>
    <n v="16773"/>
    <n v="8521"/>
    <n v="39"/>
    <n v="2400"/>
    <n v="0"/>
    <n v="5813"/>
    <n v="0.19309999999999999"/>
    <n v="1.6000000000000001E-3"/>
    <n v="0"/>
  </r>
  <r>
    <n v="2018"/>
    <n v="7"/>
    <x v="7"/>
    <x v="7"/>
    <s v="SEA"/>
    <s v="Seattle, WA: Seattle/Tacoma International"/>
    <n v="2877"/>
    <n v="366"/>
    <n v="139.49"/>
    <n v="16.14"/>
    <n v="120.98"/>
    <n v="0"/>
    <n v="89.4"/>
    <n v="2"/>
    <n v="0"/>
    <n v="23094"/>
    <n v="11850"/>
    <n v="1276"/>
    <n v="4309"/>
    <n v="0"/>
    <n v="5659"/>
    <n v="0.12720000000000001"/>
    <n v="6.9999999999999999E-4"/>
    <n v="0"/>
  </r>
  <r>
    <n v="2018"/>
    <n v="7"/>
    <x v="8"/>
    <x v="8"/>
    <s v="SEA"/>
    <s v="Seattle, WA: Seattle/Tacoma International"/>
    <n v="96"/>
    <n v="48"/>
    <n v="15.72"/>
    <n v="1.71"/>
    <n v="15.07"/>
    <n v="0"/>
    <n v="15.49"/>
    <n v="1"/>
    <n v="0"/>
    <n v="2883"/>
    <n v="616"/>
    <n v="84"/>
    <n v="782"/>
    <n v="0"/>
    <n v="1401"/>
    <n v="0.5"/>
    <n v="1.04E-2"/>
    <n v="0"/>
  </r>
  <r>
    <n v="2018"/>
    <n v="7"/>
    <x v="0"/>
    <x v="0"/>
    <s v="SEA"/>
    <s v="Seattle, WA: Seattle/Tacoma International"/>
    <n v="62"/>
    <n v="9"/>
    <n v="4.6900000000000004"/>
    <n v="0"/>
    <n v="0"/>
    <n v="0"/>
    <n v="4.3099999999999996"/>
    <n v="0"/>
    <n v="0"/>
    <n v="321"/>
    <n v="185"/>
    <n v="0"/>
    <n v="0"/>
    <n v="0"/>
    <n v="136"/>
    <n v="0.1452"/>
    <n v="0"/>
    <n v="0"/>
  </r>
  <r>
    <n v="2018"/>
    <n v="7"/>
    <x v="1"/>
    <x v="1"/>
    <s v="SEA"/>
    <s v="Seattle, WA: Seattle/Tacoma International"/>
    <n v="310"/>
    <n v="77"/>
    <n v="20.78"/>
    <n v="3.18"/>
    <n v="32.94"/>
    <n v="0"/>
    <n v="20.09"/>
    <n v="2"/>
    <n v="0"/>
    <n v="4907"/>
    <n v="1242"/>
    <n v="269"/>
    <n v="1948"/>
    <n v="0"/>
    <n v="1448"/>
    <n v="0.24840000000000001"/>
    <n v="6.4999999999999997E-3"/>
    <n v="0"/>
  </r>
  <r>
    <n v="2018"/>
    <n v="7"/>
    <x v="2"/>
    <x v="2"/>
    <s v="SEA"/>
    <s v="Seattle, WA: Seattle/Tacoma International"/>
    <n v="904"/>
    <n v="175"/>
    <n v="26.47"/>
    <n v="12.53"/>
    <n v="83.93"/>
    <n v="0"/>
    <n v="52.07"/>
    <n v="1"/>
    <n v="1"/>
    <n v="9874"/>
    <n v="4348"/>
    <n v="425"/>
    <n v="2730"/>
    <n v="0"/>
    <n v="2371"/>
    <n v="0.19359999999999999"/>
    <n v="1.1000000000000001E-3"/>
    <n v="1.1000000000000001E-3"/>
  </r>
  <r>
    <n v="2018"/>
    <n v="7"/>
    <x v="3"/>
    <x v="3"/>
    <s v="SEA"/>
    <s v="Seattle, WA: Seattle/Tacoma International"/>
    <n v="3011"/>
    <n v="475"/>
    <n v="59.55"/>
    <n v="5.83"/>
    <n v="264.52"/>
    <n v="0.84"/>
    <n v="144.26"/>
    <n v="26"/>
    <n v="2"/>
    <n v="18464"/>
    <n v="3165"/>
    <n v="323"/>
    <n v="8920"/>
    <n v="19"/>
    <n v="6037"/>
    <n v="0.1578"/>
    <n v="8.6E-3"/>
    <n v="6.9999999999999999E-4"/>
  </r>
  <r>
    <n v="2018"/>
    <n v="7"/>
    <x v="9"/>
    <x v="9"/>
    <s v="SEA"/>
    <s v="Seattle, WA: Seattle/Tacoma International"/>
    <n v="975"/>
    <n v="238"/>
    <n v="54.41"/>
    <n v="11.23"/>
    <n v="73.489999999999995"/>
    <n v="0"/>
    <n v="98.88"/>
    <n v="4"/>
    <n v="3"/>
    <n v="16184"/>
    <n v="3430"/>
    <n v="1237"/>
    <n v="2762"/>
    <n v="0"/>
    <n v="8755"/>
    <n v="0.24410000000000001"/>
    <n v="4.1000000000000003E-3"/>
    <n v="3.0999999999999999E-3"/>
  </r>
  <r>
    <n v="2018"/>
    <n v="7"/>
    <x v="10"/>
    <x v="10"/>
    <s v="SEA"/>
    <s v="Seattle, WA: Seattle/Tacoma International"/>
    <n v="1281"/>
    <n v="338"/>
    <n v="140.94999999999999"/>
    <n v="9.34"/>
    <n v="72.83"/>
    <n v="0.91"/>
    <n v="113.98"/>
    <n v="3"/>
    <n v="1"/>
    <n v="17972"/>
    <n v="7290"/>
    <n v="569"/>
    <n v="2817"/>
    <n v="49"/>
    <n v="7247"/>
    <n v="0.26390000000000002"/>
    <n v="2.3E-3"/>
    <n v="8.0000000000000004E-4"/>
  </r>
  <r>
    <n v="2018"/>
    <n v="6"/>
    <x v="4"/>
    <x v="4"/>
    <s v="SEA"/>
    <s v="Seattle, WA: Seattle/Tacoma International"/>
    <n v="859"/>
    <n v="265"/>
    <n v="87.49"/>
    <n v="10.18"/>
    <n v="74.510000000000005"/>
    <n v="0"/>
    <n v="92.82"/>
    <n v="6"/>
    <n v="1"/>
    <n v="15575"/>
    <n v="5864"/>
    <n v="757"/>
    <n v="2971"/>
    <n v="0"/>
    <n v="5983"/>
    <n v="0.3085"/>
    <n v="7.0000000000000001E-3"/>
    <n v="1.1999999999999999E-3"/>
  </r>
  <r>
    <n v="2018"/>
    <n v="6"/>
    <x v="5"/>
    <x v="5"/>
    <s v="SEA"/>
    <s v="Seattle, WA: Seattle/Tacoma International"/>
    <n v="5728"/>
    <n v="818"/>
    <n v="173.2"/>
    <n v="13.29"/>
    <n v="447.56"/>
    <n v="3.9"/>
    <n v="180.04"/>
    <n v="26"/>
    <n v="7"/>
    <n v="34076"/>
    <n v="10154"/>
    <n v="931"/>
    <n v="13309"/>
    <n v="155"/>
    <n v="9527"/>
    <n v="0.14280000000000001"/>
    <n v="4.4999999999999997E-3"/>
    <n v="1.1999999999999999E-3"/>
  </r>
  <r>
    <n v="2018"/>
    <n v="6"/>
    <x v="6"/>
    <x v="6"/>
    <s v="SEA"/>
    <s v="Seattle, WA: Seattle/Tacoma International"/>
    <n v="226"/>
    <n v="48"/>
    <n v="13.9"/>
    <n v="0"/>
    <n v="24.02"/>
    <n v="0"/>
    <n v="10.08"/>
    <n v="2"/>
    <n v="1"/>
    <n v="1878"/>
    <n v="666"/>
    <n v="0"/>
    <n v="685"/>
    <n v="0"/>
    <n v="527"/>
    <n v="0.21240000000000001"/>
    <n v="8.8000000000000005E-3"/>
    <n v="4.4000000000000003E-3"/>
  </r>
  <r>
    <n v="2018"/>
    <n v="6"/>
    <x v="12"/>
    <x v="12"/>
    <s v="SEA"/>
    <s v="Seattle, WA: Seattle/Tacoma International"/>
    <n v="1300"/>
    <n v="356"/>
    <n v="77.08"/>
    <n v="2.0699999999999998"/>
    <n v="125.46"/>
    <n v="0"/>
    <n v="151.38999999999999"/>
    <n v="4"/>
    <n v="0"/>
    <n v="24336"/>
    <n v="9324"/>
    <n v="104"/>
    <n v="4544"/>
    <n v="0"/>
    <n v="10364"/>
    <n v="0.27379999999999999"/>
    <n v="3.0999999999999999E-3"/>
    <n v="0"/>
  </r>
  <r>
    <n v="2018"/>
    <n v="6"/>
    <x v="7"/>
    <x v="7"/>
    <s v="SEA"/>
    <s v="Seattle, WA: Seattle/Tacoma International"/>
    <n v="2567"/>
    <n v="358"/>
    <n v="133.75"/>
    <n v="12.82"/>
    <n v="125.08"/>
    <n v="0"/>
    <n v="86.36"/>
    <n v="1"/>
    <n v="0"/>
    <n v="23061"/>
    <n v="10365"/>
    <n v="2169"/>
    <n v="4285"/>
    <n v="0"/>
    <n v="6242"/>
    <n v="0.13950000000000001"/>
    <n v="4.0000000000000002E-4"/>
    <n v="0"/>
  </r>
  <r>
    <n v="2018"/>
    <n v="6"/>
    <x v="8"/>
    <x v="8"/>
    <s v="SEA"/>
    <s v="Seattle, WA: Seattle/Tacoma International"/>
    <n v="96"/>
    <n v="50"/>
    <n v="21.79"/>
    <n v="0"/>
    <n v="14.62"/>
    <n v="0"/>
    <n v="13.59"/>
    <n v="3"/>
    <n v="0"/>
    <n v="3231"/>
    <n v="1146"/>
    <n v="0"/>
    <n v="557"/>
    <n v="0"/>
    <n v="1528"/>
    <n v="0.52080000000000004"/>
    <n v="3.1300000000000001E-2"/>
    <n v="0"/>
  </r>
  <r>
    <n v="2018"/>
    <n v="6"/>
    <x v="0"/>
    <x v="0"/>
    <s v="SEA"/>
    <s v="Seattle, WA: Seattle/Tacoma International"/>
    <n v="60"/>
    <n v="17"/>
    <n v="15.36"/>
    <n v="0"/>
    <n v="0"/>
    <n v="0"/>
    <n v="1.64"/>
    <n v="0"/>
    <n v="1"/>
    <n v="565"/>
    <n v="537"/>
    <n v="0"/>
    <n v="0"/>
    <n v="0"/>
    <n v="28"/>
    <n v="0.2833"/>
    <n v="0"/>
    <n v="1.67E-2"/>
  </r>
  <r>
    <n v="2018"/>
    <n v="6"/>
    <x v="1"/>
    <x v="1"/>
    <s v="SEA"/>
    <s v="Seattle, WA: Seattle/Tacoma International"/>
    <n v="300"/>
    <n v="66"/>
    <n v="9.8000000000000007"/>
    <n v="0"/>
    <n v="49.15"/>
    <n v="0"/>
    <n v="7.05"/>
    <n v="1"/>
    <n v="0"/>
    <n v="3328"/>
    <n v="463"/>
    <n v="0"/>
    <n v="2202"/>
    <n v="0"/>
    <n v="663"/>
    <n v="0.22"/>
    <n v="3.3E-3"/>
    <n v="0"/>
  </r>
  <r>
    <n v="2018"/>
    <n v="6"/>
    <x v="2"/>
    <x v="2"/>
    <s v="SEA"/>
    <s v="Seattle, WA: Seattle/Tacoma International"/>
    <n v="867"/>
    <n v="145"/>
    <n v="18.68"/>
    <n v="6.96"/>
    <n v="83.68"/>
    <n v="0"/>
    <n v="35.69"/>
    <n v="2"/>
    <n v="1"/>
    <n v="8670"/>
    <n v="2238"/>
    <n v="946"/>
    <n v="3199"/>
    <n v="0"/>
    <n v="2287"/>
    <n v="0.16719999999999999"/>
    <n v="2.3E-3"/>
    <n v="1.1999999999999999E-3"/>
  </r>
  <r>
    <n v="2018"/>
    <n v="6"/>
    <x v="3"/>
    <x v="3"/>
    <s v="SEA"/>
    <s v="Seattle, WA: Seattle/Tacoma International"/>
    <n v="2780"/>
    <n v="515"/>
    <n v="46.6"/>
    <n v="3.11"/>
    <n v="318.32"/>
    <n v="1.82"/>
    <n v="145.16"/>
    <n v="26"/>
    <n v="0"/>
    <n v="19195"/>
    <n v="2466"/>
    <n v="119"/>
    <n v="9951"/>
    <n v="191"/>
    <n v="6468"/>
    <n v="0.18529999999999999"/>
    <n v="9.4000000000000004E-3"/>
    <n v="0"/>
  </r>
  <r>
    <n v="2018"/>
    <n v="6"/>
    <x v="9"/>
    <x v="9"/>
    <s v="SEA"/>
    <s v="Seattle, WA: Seattle/Tacoma International"/>
    <n v="936"/>
    <n v="249"/>
    <n v="58.55"/>
    <n v="10.74"/>
    <n v="97.71"/>
    <n v="0"/>
    <n v="82"/>
    <n v="2"/>
    <n v="0"/>
    <n v="17180"/>
    <n v="4629"/>
    <n v="844"/>
    <n v="4287"/>
    <n v="0"/>
    <n v="7420"/>
    <n v="0.26600000000000001"/>
    <n v="2.0999999999999999E-3"/>
    <n v="0"/>
  </r>
  <r>
    <n v="2018"/>
    <n v="6"/>
    <x v="10"/>
    <x v="10"/>
    <s v="SEA"/>
    <s v="Seattle, WA: Seattle/Tacoma International"/>
    <n v="1205"/>
    <n v="347"/>
    <n v="115.63"/>
    <n v="5.76"/>
    <n v="110.34"/>
    <n v="1"/>
    <n v="114.27"/>
    <n v="1"/>
    <n v="2"/>
    <n v="15646"/>
    <n v="5886"/>
    <n v="214"/>
    <n v="3658"/>
    <n v="87"/>
    <n v="5801"/>
    <n v="0.28799999999999998"/>
    <n v="8.0000000000000004E-4"/>
    <n v="1.6999999999999999E-3"/>
  </r>
  <r>
    <n v="2018"/>
    <n v="5"/>
    <x v="4"/>
    <x v="4"/>
    <s v="SEA"/>
    <s v="Seattle, WA: Seattle/Tacoma International"/>
    <n v="716"/>
    <n v="171"/>
    <n v="54.76"/>
    <n v="10.83"/>
    <n v="43.56"/>
    <n v="0.08"/>
    <n v="61.77"/>
    <n v="3"/>
    <n v="1"/>
    <n v="10152"/>
    <n v="3284"/>
    <n v="728"/>
    <n v="1566"/>
    <n v="9"/>
    <n v="4565"/>
    <n v="0.23880000000000001"/>
    <n v="4.1999999999999997E-3"/>
    <n v="1.4E-3"/>
  </r>
  <r>
    <n v="2018"/>
    <n v="5"/>
    <x v="5"/>
    <x v="5"/>
    <s v="SEA"/>
    <s v="Seattle, WA: Seattle/Tacoma International"/>
    <n v="5604"/>
    <n v="739"/>
    <n v="170.24"/>
    <n v="11.44"/>
    <n v="343.68"/>
    <n v="3.78"/>
    <n v="209.86"/>
    <n v="18"/>
    <n v="12"/>
    <n v="33103"/>
    <n v="10526"/>
    <n v="1254"/>
    <n v="9556"/>
    <n v="141"/>
    <n v="11626"/>
    <n v="0.13189999999999999"/>
    <n v="3.2000000000000002E-3"/>
    <n v="2.0999999999999999E-3"/>
  </r>
  <r>
    <n v="2018"/>
    <n v="5"/>
    <x v="6"/>
    <x v="6"/>
    <s v="SEA"/>
    <s v="Seattle, WA: Seattle/Tacoma International"/>
    <n v="205"/>
    <n v="51"/>
    <n v="19.14"/>
    <n v="0.72"/>
    <n v="19.57"/>
    <n v="0"/>
    <n v="11.57"/>
    <n v="0"/>
    <n v="0"/>
    <n v="2479"/>
    <n v="1270"/>
    <n v="55"/>
    <n v="620"/>
    <n v="0"/>
    <n v="534"/>
    <n v="0.24879999999999999"/>
    <n v="0"/>
    <n v="0"/>
  </r>
  <r>
    <n v="2018"/>
    <n v="5"/>
    <x v="12"/>
    <x v="12"/>
    <s v="SEA"/>
    <s v="Seattle, WA: Seattle/Tacoma International"/>
    <n v="1255"/>
    <n v="193"/>
    <n v="42.29"/>
    <n v="3.36"/>
    <n v="63.44"/>
    <n v="0"/>
    <n v="83.92"/>
    <n v="0"/>
    <n v="0"/>
    <n v="14210"/>
    <n v="5567"/>
    <n v="151"/>
    <n v="1898"/>
    <n v="0"/>
    <n v="6594"/>
    <n v="0.15379999999999999"/>
    <n v="0"/>
    <n v="0"/>
  </r>
  <r>
    <n v="2018"/>
    <n v="5"/>
    <x v="7"/>
    <x v="7"/>
    <s v="SEA"/>
    <s v="Seattle, WA: Seattle/Tacoma International"/>
    <n v="2185"/>
    <n v="260"/>
    <n v="99.98"/>
    <n v="14.58"/>
    <n v="86.9"/>
    <n v="0"/>
    <n v="58.54"/>
    <n v="0"/>
    <n v="1"/>
    <n v="13515"/>
    <n v="6590"/>
    <n v="970"/>
    <n v="2585"/>
    <n v="0"/>
    <n v="3370"/>
    <n v="0.11899999999999999"/>
    <n v="0"/>
    <n v="5.0000000000000001E-4"/>
  </r>
  <r>
    <n v="2018"/>
    <n v="5"/>
    <x v="8"/>
    <x v="8"/>
    <s v="SEA"/>
    <s v="Seattle, WA: Seattle/Tacoma International"/>
    <n v="96"/>
    <n v="30"/>
    <n v="8.8699999999999992"/>
    <n v="0"/>
    <n v="6.21"/>
    <n v="0"/>
    <n v="14.92"/>
    <n v="1"/>
    <n v="0"/>
    <n v="2118"/>
    <n v="387"/>
    <n v="0"/>
    <n v="210"/>
    <n v="0"/>
    <n v="1521"/>
    <n v="0.3125"/>
    <n v="1.04E-2"/>
    <n v="0"/>
  </r>
  <r>
    <n v="2018"/>
    <n v="5"/>
    <x v="0"/>
    <x v="0"/>
    <s v="SEA"/>
    <s v="Seattle, WA: Seattle/Tacoma International"/>
    <n v="62"/>
    <n v="19"/>
    <n v="13.56"/>
    <n v="0"/>
    <n v="0.89"/>
    <n v="0"/>
    <n v="4.55"/>
    <n v="0"/>
    <n v="0"/>
    <n v="719"/>
    <n v="445"/>
    <n v="0"/>
    <n v="25"/>
    <n v="0"/>
    <n v="249"/>
    <n v="0.30649999999999999"/>
    <n v="0"/>
    <n v="0"/>
  </r>
  <r>
    <n v="2018"/>
    <n v="5"/>
    <x v="1"/>
    <x v="1"/>
    <s v="SEA"/>
    <s v="Seattle, WA: Seattle/Tacoma International"/>
    <n v="260"/>
    <n v="39"/>
    <n v="11.01"/>
    <n v="1.82"/>
    <n v="17.62"/>
    <n v="0"/>
    <n v="8.5399999999999991"/>
    <n v="2"/>
    <n v="1"/>
    <n v="2880"/>
    <n v="815"/>
    <n v="219"/>
    <n v="1285"/>
    <n v="0"/>
    <n v="561"/>
    <n v="0.15"/>
    <n v="7.7000000000000002E-3"/>
    <n v="3.8E-3"/>
  </r>
  <r>
    <n v="2018"/>
    <n v="5"/>
    <x v="2"/>
    <x v="2"/>
    <s v="SEA"/>
    <s v="Seattle, WA: Seattle/Tacoma International"/>
    <n v="998"/>
    <n v="141"/>
    <n v="27.48"/>
    <n v="4.3600000000000003"/>
    <n v="64.97"/>
    <n v="0"/>
    <n v="44.18"/>
    <n v="11"/>
    <n v="1"/>
    <n v="7619"/>
    <n v="2968"/>
    <n v="276"/>
    <n v="1667"/>
    <n v="0"/>
    <n v="2708"/>
    <n v="0.14130000000000001"/>
    <n v="1.0999999999999999E-2"/>
    <n v="1E-3"/>
  </r>
  <r>
    <n v="2018"/>
    <n v="5"/>
    <x v="3"/>
    <x v="3"/>
    <s v="SEA"/>
    <s v="Seattle, WA: Seattle/Tacoma International"/>
    <n v="2680"/>
    <n v="303"/>
    <n v="51.66"/>
    <n v="4.09"/>
    <n v="165.72"/>
    <n v="0"/>
    <n v="81.540000000000006"/>
    <n v="6"/>
    <n v="2"/>
    <n v="11987"/>
    <n v="2840"/>
    <n v="287"/>
    <n v="4573"/>
    <n v="0"/>
    <n v="4287"/>
    <n v="0.11310000000000001"/>
    <n v="2.2000000000000001E-3"/>
    <n v="6.9999999999999999E-4"/>
  </r>
  <r>
    <n v="2018"/>
    <n v="5"/>
    <x v="9"/>
    <x v="9"/>
    <s v="SEA"/>
    <s v="Seattle, WA: Seattle/Tacoma International"/>
    <n v="867"/>
    <n v="159"/>
    <n v="39.47"/>
    <n v="11.83"/>
    <n v="47.44"/>
    <n v="0"/>
    <n v="60.26"/>
    <n v="1"/>
    <n v="3"/>
    <n v="12712"/>
    <n v="2855"/>
    <n v="1336"/>
    <n v="1724"/>
    <n v="0"/>
    <n v="6797"/>
    <n v="0.18340000000000001"/>
    <n v="1.1999999999999999E-3"/>
    <n v="3.5000000000000001E-3"/>
  </r>
  <r>
    <n v="2018"/>
    <n v="5"/>
    <x v="10"/>
    <x v="10"/>
    <s v="SEA"/>
    <s v="Seattle, WA: Seattle/Tacoma International"/>
    <n v="1056"/>
    <n v="237"/>
    <n v="71.040000000000006"/>
    <n v="2.69"/>
    <n v="28.9"/>
    <n v="0"/>
    <n v="134.37"/>
    <n v="3"/>
    <n v="0"/>
    <n v="11652"/>
    <n v="3459"/>
    <n v="197"/>
    <n v="743"/>
    <n v="0"/>
    <n v="7253"/>
    <n v="0.22439999999999999"/>
    <n v="2.8E-3"/>
    <n v="0"/>
  </r>
  <r>
    <n v="2018"/>
    <n v="4"/>
    <x v="4"/>
    <x v="4"/>
    <s v="SEA"/>
    <s v="Seattle, WA: Seattle/Tacoma International"/>
    <n v="598"/>
    <n v="166"/>
    <n v="51.43"/>
    <n v="4.04"/>
    <n v="74.42"/>
    <n v="0.24"/>
    <n v="35.86"/>
    <n v="0"/>
    <n v="0"/>
    <n v="7199"/>
    <n v="2530"/>
    <n v="236"/>
    <n v="2137"/>
    <n v="73"/>
    <n v="2223"/>
    <n v="0.27760000000000001"/>
    <n v="0"/>
    <n v="0"/>
  </r>
  <r>
    <n v="2018"/>
    <n v="4"/>
    <x v="5"/>
    <x v="5"/>
    <s v="SEA"/>
    <s v="Seattle, WA: Seattle/Tacoma International"/>
    <n v="5315"/>
    <n v="829"/>
    <n v="144.59"/>
    <n v="5.09"/>
    <n v="452.58"/>
    <n v="4.95"/>
    <n v="221.79"/>
    <n v="23"/>
    <n v="11"/>
    <n v="33375"/>
    <n v="9126"/>
    <n v="327"/>
    <n v="12807"/>
    <n v="212"/>
    <n v="10903"/>
    <n v="0.156"/>
    <n v="4.3E-3"/>
    <n v="2.0999999999999999E-3"/>
  </r>
  <r>
    <n v="2018"/>
    <n v="4"/>
    <x v="6"/>
    <x v="6"/>
    <s v="SEA"/>
    <s v="Seattle, WA: Seattle/Tacoma International"/>
    <n v="160"/>
    <n v="35"/>
    <n v="10.59"/>
    <n v="0"/>
    <n v="15.47"/>
    <n v="0"/>
    <n v="8.94"/>
    <n v="0"/>
    <n v="1"/>
    <n v="1693"/>
    <n v="585"/>
    <n v="0"/>
    <n v="548"/>
    <n v="0"/>
    <n v="560"/>
    <n v="0.21879999999999999"/>
    <n v="0"/>
    <n v="6.3E-3"/>
  </r>
  <r>
    <n v="2018"/>
    <n v="4"/>
    <x v="12"/>
    <x v="12"/>
    <s v="SEA"/>
    <s v="Seattle, WA: Seattle/Tacoma International"/>
    <n v="1294"/>
    <n v="224"/>
    <n v="48.84"/>
    <n v="0"/>
    <n v="95.29"/>
    <n v="0"/>
    <n v="79.88"/>
    <n v="2"/>
    <n v="1"/>
    <n v="15587"/>
    <n v="7304"/>
    <n v="0"/>
    <n v="3196"/>
    <n v="0"/>
    <n v="5087"/>
    <n v="0.1731"/>
    <n v="1.5E-3"/>
    <n v="8.0000000000000004E-4"/>
  </r>
  <r>
    <n v="2018"/>
    <n v="4"/>
    <x v="7"/>
    <x v="7"/>
    <s v="SEA"/>
    <s v="Seattle, WA: Seattle/Tacoma International"/>
    <n v="1958"/>
    <n v="403"/>
    <n v="117.49"/>
    <n v="5.14"/>
    <n v="220.47"/>
    <n v="0"/>
    <n v="59.89"/>
    <n v="3"/>
    <n v="0"/>
    <n v="21257"/>
    <n v="10622"/>
    <n v="421"/>
    <n v="6723"/>
    <n v="0"/>
    <n v="3491"/>
    <n v="0.20580000000000001"/>
    <n v="1.5E-3"/>
    <n v="0"/>
  </r>
  <r>
    <n v="2018"/>
    <n v="4"/>
    <x v="8"/>
    <x v="8"/>
    <s v="SEA"/>
    <s v="Seattle, WA: Seattle/Tacoma International"/>
    <n v="86"/>
    <n v="25"/>
    <n v="9.1300000000000008"/>
    <n v="0"/>
    <n v="10.79"/>
    <n v="0"/>
    <n v="5.08"/>
    <n v="1"/>
    <n v="0"/>
    <n v="1229"/>
    <n v="405"/>
    <n v="0"/>
    <n v="380"/>
    <n v="0"/>
    <n v="444"/>
    <n v="0.29070000000000001"/>
    <n v="1.1599999999999999E-2"/>
    <n v="0"/>
  </r>
  <r>
    <n v="2018"/>
    <n v="4"/>
    <x v="0"/>
    <x v="0"/>
    <s v="SEA"/>
    <s v="Seattle, WA: Seattle/Tacoma International"/>
    <n v="62"/>
    <n v="20"/>
    <n v="10.050000000000001"/>
    <n v="0"/>
    <n v="0.65"/>
    <n v="0"/>
    <n v="9.3000000000000007"/>
    <n v="0"/>
    <n v="0"/>
    <n v="632"/>
    <n v="351"/>
    <n v="0"/>
    <n v="13"/>
    <n v="0"/>
    <n v="268"/>
    <n v="0.3226"/>
    <n v="0"/>
    <n v="0"/>
  </r>
  <r>
    <n v="2018"/>
    <n v="4"/>
    <x v="1"/>
    <x v="1"/>
    <s v="SEA"/>
    <s v="Seattle, WA: Seattle/Tacoma International"/>
    <n v="189"/>
    <n v="44"/>
    <n v="1.8"/>
    <n v="0"/>
    <n v="40.96"/>
    <n v="0"/>
    <n v="1.23"/>
    <n v="4"/>
    <n v="0"/>
    <n v="2853"/>
    <n v="251"/>
    <n v="0"/>
    <n v="2345"/>
    <n v="0"/>
    <n v="257"/>
    <n v="0.23280000000000001"/>
    <n v="2.12E-2"/>
    <n v="0"/>
  </r>
  <r>
    <n v="2018"/>
    <n v="4"/>
    <x v="2"/>
    <x v="2"/>
    <s v="SEA"/>
    <s v="Seattle, WA: Seattle/Tacoma International"/>
    <n v="967"/>
    <n v="214"/>
    <n v="19.98"/>
    <n v="5.61"/>
    <n v="118.53"/>
    <n v="0"/>
    <n v="69.88"/>
    <n v="8"/>
    <n v="3"/>
    <n v="10631"/>
    <n v="1693"/>
    <n v="873"/>
    <n v="3804"/>
    <n v="0"/>
    <n v="4261"/>
    <n v="0.2213"/>
    <n v="8.3000000000000001E-3"/>
    <n v="3.0999999999999999E-3"/>
  </r>
  <r>
    <n v="2018"/>
    <n v="4"/>
    <x v="3"/>
    <x v="3"/>
    <s v="SEA"/>
    <s v="Seattle, WA: Seattle/Tacoma International"/>
    <n v="2596"/>
    <n v="475"/>
    <n v="55.1"/>
    <n v="2.73"/>
    <n v="304.49"/>
    <n v="0"/>
    <n v="112.69"/>
    <n v="4"/>
    <n v="2"/>
    <n v="19423"/>
    <n v="4693"/>
    <n v="96"/>
    <n v="9163"/>
    <n v="0"/>
    <n v="5471"/>
    <n v="0.183"/>
    <n v="1.5E-3"/>
    <n v="8.0000000000000004E-4"/>
  </r>
  <r>
    <n v="2018"/>
    <n v="4"/>
    <x v="9"/>
    <x v="9"/>
    <s v="SEA"/>
    <s v="Seattle, WA: Seattle/Tacoma International"/>
    <n v="793"/>
    <n v="152"/>
    <n v="34.74"/>
    <n v="1.25"/>
    <n v="79.900000000000006"/>
    <n v="0"/>
    <n v="36.11"/>
    <n v="0"/>
    <n v="2"/>
    <n v="7441"/>
    <n v="1726"/>
    <n v="135"/>
    <n v="2374"/>
    <n v="0"/>
    <n v="3206"/>
    <n v="0.19170000000000001"/>
    <n v="0"/>
    <n v="2.5000000000000001E-3"/>
  </r>
  <r>
    <n v="2018"/>
    <n v="4"/>
    <x v="10"/>
    <x v="10"/>
    <s v="SEA"/>
    <s v="Seattle, WA: Seattle/Tacoma International"/>
    <n v="1010"/>
    <n v="272"/>
    <n v="82.72"/>
    <n v="1.74"/>
    <n v="80.69"/>
    <n v="1.82"/>
    <n v="105.03"/>
    <n v="2"/>
    <n v="0"/>
    <n v="11530"/>
    <n v="3745"/>
    <n v="78"/>
    <n v="2408"/>
    <n v="143"/>
    <n v="5156"/>
    <n v="0.26929999999999998"/>
    <n v="2E-3"/>
    <n v="0"/>
  </r>
  <r>
    <n v="2018"/>
    <n v="3"/>
    <x v="4"/>
    <x v="4"/>
    <s v="SEA"/>
    <s v="Seattle, WA: Seattle/Tacoma International"/>
    <n v="645"/>
    <n v="93"/>
    <n v="47.83"/>
    <n v="0.92"/>
    <n v="26.2"/>
    <n v="0"/>
    <n v="18.04"/>
    <n v="7"/>
    <n v="1"/>
    <n v="4355"/>
    <n v="2111"/>
    <n v="71"/>
    <n v="790"/>
    <n v="0"/>
    <n v="1383"/>
    <n v="0.14419999999999999"/>
    <n v="1.09E-2"/>
    <n v="1.6000000000000001E-3"/>
  </r>
  <r>
    <n v="2018"/>
    <n v="3"/>
    <x v="5"/>
    <x v="5"/>
    <s v="SEA"/>
    <s v="Seattle, WA: Seattle/Tacoma International"/>
    <n v="4807"/>
    <n v="534"/>
    <n v="104.93"/>
    <n v="9.7200000000000006"/>
    <n v="249.73"/>
    <n v="2.78"/>
    <n v="166.83"/>
    <n v="30"/>
    <n v="3"/>
    <n v="21236"/>
    <n v="5380"/>
    <n v="758"/>
    <n v="6842"/>
    <n v="151"/>
    <n v="8105"/>
    <n v="0.1111"/>
    <n v="6.1999999999999998E-3"/>
    <n v="5.9999999999999995E-4"/>
  </r>
  <r>
    <n v="2018"/>
    <n v="3"/>
    <x v="6"/>
    <x v="6"/>
    <s v="SEA"/>
    <s v="Seattle, WA: Seattle/Tacoma International"/>
    <n v="139"/>
    <n v="31"/>
    <n v="7.37"/>
    <n v="0"/>
    <n v="12.14"/>
    <n v="0"/>
    <n v="11.49"/>
    <n v="7"/>
    <n v="0"/>
    <n v="1607"/>
    <n v="599"/>
    <n v="0"/>
    <n v="348"/>
    <n v="0"/>
    <n v="660"/>
    <n v="0.223"/>
    <n v="5.04E-2"/>
    <n v="0"/>
  </r>
  <r>
    <n v="2018"/>
    <n v="3"/>
    <x v="12"/>
    <x v="12"/>
    <s v="SEA"/>
    <s v="Seattle, WA: Seattle/Tacoma International"/>
    <n v="1175"/>
    <n v="249"/>
    <n v="62.2"/>
    <n v="1.77"/>
    <n v="79.569999999999993"/>
    <n v="0"/>
    <n v="105.46"/>
    <n v="1"/>
    <n v="0"/>
    <n v="17275"/>
    <n v="7252"/>
    <n v="109"/>
    <n v="2664"/>
    <n v="0"/>
    <n v="7250"/>
    <n v="0.21190000000000001"/>
    <n v="8.9999999999999998E-4"/>
    <n v="0"/>
  </r>
  <r>
    <n v="2018"/>
    <n v="3"/>
    <x v="7"/>
    <x v="7"/>
    <s v="SEA"/>
    <s v="Seattle, WA: Seattle/Tacoma International"/>
    <n v="2053"/>
    <n v="264"/>
    <n v="94.3"/>
    <n v="7.92"/>
    <n v="95.73"/>
    <n v="0"/>
    <n v="66.05"/>
    <n v="4"/>
    <n v="1"/>
    <n v="15114"/>
    <n v="7130"/>
    <n v="1127"/>
    <n v="2911"/>
    <n v="0"/>
    <n v="3946"/>
    <n v="0.12859999999999999"/>
    <n v="1.9E-3"/>
    <n v="5.0000000000000001E-4"/>
  </r>
  <r>
    <n v="2018"/>
    <n v="3"/>
    <x v="8"/>
    <x v="8"/>
    <s v="SEA"/>
    <s v="Seattle, WA: Seattle/Tacoma International"/>
    <n v="45"/>
    <n v="6"/>
    <n v="1.22"/>
    <n v="0"/>
    <n v="0.82"/>
    <n v="0"/>
    <n v="3.96"/>
    <n v="0"/>
    <n v="0"/>
    <n v="601"/>
    <n v="52"/>
    <n v="0"/>
    <n v="66"/>
    <n v="0"/>
    <n v="483"/>
    <n v="0.1333"/>
    <n v="0"/>
    <n v="0"/>
  </r>
  <r>
    <n v="2018"/>
    <n v="3"/>
    <x v="0"/>
    <x v="0"/>
    <s v="SEA"/>
    <s v="Seattle, WA: Seattle/Tacoma International"/>
    <n v="62"/>
    <n v="37"/>
    <n v="24.4"/>
    <n v="0"/>
    <n v="0.35"/>
    <n v="1.27"/>
    <n v="10.99"/>
    <n v="0"/>
    <n v="1"/>
    <n v="1176"/>
    <n v="690"/>
    <n v="0"/>
    <n v="8"/>
    <n v="19"/>
    <n v="459"/>
    <n v="0.5968"/>
    <n v="0"/>
    <n v="1.61E-2"/>
  </r>
  <r>
    <n v="2018"/>
    <n v="3"/>
    <x v="1"/>
    <x v="1"/>
    <s v="SEA"/>
    <s v="Seattle, WA: Seattle/Tacoma International"/>
    <n v="93"/>
    <n v="13"/>
    <n v="2.2799999999999998"/>
    <n v="0"/>
    <n v="6.04"/>
    <n v="0"/>
    <n v="4.68"/>
    <n v="0"/>
    <n v="0"/>
    <n v="637"/>
    <n v="75"/>
    <n v="0"/>
    <n v="379"/>
    <n v="0"/>
    <n v="183"/>
    <n v="0.13980000000000001"/>
    <n v="0"/>
    <n v="0"/>
  </r>
  <r>
    <n v="2018"/>
    <n v="3"/>
    <x v="2"/>
    <x v="2"/>
    <s v="SEA"/>
    <s v="Seattle, WA: Seattle/Tacoma International"/>
    <n v="1131"/>
    <n v="169"/>
    <n v="21.97"/>
    <n v="1.44"/>
    <n v="80.05"/>
    <n v="0"/>
    <n v="65.55"/>
    <n v="4"/>
    <n v="2"/>
    <n v="7770"/>
    <n v="1245"/>
    <n v="92"/>
    <n v="2435"/>
    <n v="0"/>
    <n v="3998"/>
    <n v="0.14940000000000001"/>
    <n v="3.5000000000000001E-3"/>
    <n v="1.8E-3"/>
  </r>
  <r>
    <n v="2018"/>
    <n v="3"/>
    <x v="3"/>
    <x v="3"/>
    <s v="SEA"/>
    <s v="Seattle, WA: Seattle/Tacoma International"/>
    <n v="2540"/>
    <n v="332"/>
    <n v="50.46"/>
    <n v="4.66"/>
    <n v="162.47"/>
    <n v="1"/>
    <n v="113.4"/>
    <n v="11"/>
    <n v="4"/>
    <n v="13535"/>
    <n v="3074"/>
    <n v="203"/>
    <n v="4564"/>
    <n v="17"/>
    <n v="5677"/>
    <n v="0.13070000000000001"/>
    <n v="4.3E-3"/>
    <n v="1.6000000000000001E-3"/>
  </r>
  <r>
    <n v="2018"/>
    <n v="3"/>
    <x v="9"/>
    <x v="9"/>
    <s v="SEA"/>
    <s v="Seattle, WA: Seattle/Tacoma International"/>
    <n v="781"/>
    <n v="99"/>
    <n v="29.08"/>
    <n v="3.28"/>
    <n v="28.07"/>
    <n v="0"/>
    <n v="38.57"/>
    <n v="5"/>
    <n v="1"/>
    <n v="5990"/>
    <n v="1360"/>
    <n v="353"/>
    <n v="864"/>
    <n v="0"/>
    <n v="3413"/>
    <n v="0.1268"/>
    <n v="6.4000000000000003E-3"/>
    <n v="1.2999999999999999E-3"/>
  </r>
  <r>
    <n v="2018"/>
    <n v="3"/>
    <x v="14"/>
    <x v="14"/>
    <s v="SEA"/>
    <s v="Seattle, WA: Seattle/Tacoma International"/>
    <n v="443"/>
    <n v="125"/>
    <n v="40.96"/>
    <n v="0"/>
    <n v="51.9"/>
    <n v="1.25"/>
    <n v="30.88"/>
    <n v="13"/>
    <n v="0"/>
    <n v="6701"/>
    <n v="2689"/>
    <n v="0"/>
    <n v="1608"/>
    <n v="26"/>
    <n v="2378"/>
    <n v="0.28220000000000001"/>
    <n v="2.93E-2"/>
    <n v="0"/>
  </r>
  <r>
    <n v="2018"/>
    <n v="3"/>
    <x v="10"/>
    <x v="10"/>
    <s v="SEA"/>
    <s v="Seattle, WA: Seattle/Tacoma International"/>
    <n v="963"/>
    <n v="198"/>
    <n v="75.180000000000007"/>
    <n v="2.46"/>
    <n v="29.43"/>
    <n v="1"/>
    <n v="89.93"/>
    <n v="4"/>
    <n v="0"/>
    <n v="8403"/>
    <n v="3355"/>
    <n v="66"/>
    <n v="789"/>
    <n v="53"/>
    <n v="4140"/>
    <n v="0.2056"/>
    <n v="4.1999999999999997E-3"/>
    <n v="0"/>
  </r>
  <r>
    <n v="2018"/>
    <n v="2"/>
    <x v="4"/>
    <x v="4"/>
    <s v="SEA"/>
    <s v="Seattle, WA: Seattle/Tacoma International"/>
    <n v="568"/>
    <n v="139"/>
    <n v="48.7"/>
    <n v="6.49"/>
    <n v="52.23"/>
    <n v="1"/>
    <n v="30.58"/>
    <n v="3"/>
    <n v="4"/>
    <n v="6407"/>
    <n v="2532"/>
    <n v="556"/>
    <n v="1684"/>
    <n v="63"/>
    <n v="1572"/>
    <n v="0.2447"/>
    <n v="5.3E-3"/>
    <n v="7.0000000000000001E-3"/>
  </r>
  <r>
    <n v="2018"/>
    <n v="2"/>
    <x v="5"/>
    <x v="5"/>
    <s v="SEA"/>
    <s v="Seattle, WA: Seattle/Tacoma International"/>
    <n v="4222"/>
    <n v="563"/>
    <n v="123.01"/>
    <n v="12.98"/>
    <n v="270.91000000000003"/>
    <n v="2.4500000000000002"/>
    <n v="153.65"/>
    <n v="14"/>
    <n v="4"/>
    <n v="25857"/>
    <n v="8760"/>
    <n v="998"/>
    <n v="7906"/>
    <n v="104"/>
    <n v="8089"/>
    <n v="0.1333"/>
    <n v="3.3E-3"/>
    <n v="8.9999999999999998E-4"/>
  </r>
  <r>
    <n v="2018"/>
    <n v="2"/>
    <x v="6"/>
    <x v="6"/>
    <s v="SEA"/>
    <s v="Seattle, WA: Seattle/Tacoma International"/>
    <n v="131"/>
    <n v="37"/>
    <n v="16.829999999999998"/>
    <n v="0"/>
    <n v="13.21"/>
    <n v="0"/>
    <n v="6.96"/>
    <n v="0"/>
    <n v="0"/>
    <n v="2139"/>
    <n v="1269"/>
    <n v="0"/>
    <n v="508"/>
    <n v="0"/>
    <n v="362"/>
    <n v="0.28239999999999998"/>
    <n v="0"/>
    <n v="0"/>
  </r>
  <r>
    <n v="2018"/>
    <n v="2"/>
    <x v="12"/>
    <x v="12"/>
    <s v="SEA"/>
    <s v="Seattle, WA: Seattle/Tacoma International"/>
    <n v="1047"/>
    <n v="209"/>
    <n v="52.98"/>
    <n v="4.74"/>
    <n v="65.58"/>
    <n v="0"/>
    <n v="85.69"/>
    <n v="6"/>
    <n v="1"/>
    <n v="14777"/>
    <n v="4441"/>
    <n v="710"/>
    <n v="2667"/>
    <n v="0"/>
    <n v="6959"/>
    <n v="0.1996"/>
    <n v="5.7000000000000002E-3"/>
    <n v="1E-3"/>
  </r>
  <r>
    <n v="2018"/>
    <n v="2"/>
    <x v="7"/>
    <x v="7"/>
    <s v="SEA"/>
    <s v="Seattle, WA: Seattle/Tacoma International"/>
    <n v="1542"/>
    <n v="269"/>
    <n v="71.61"/>
    <n v="8.9"/>
    <n v="141.91"/>
    <n v="0"/>
    <n v="46.57"/>
    <n v="0"/>
    <n v="4"/>
    <n v="16284"/>
    <n v="6950"/>
    <n v="816"/>
    <n v="4759"/>
    <n v="0"/>
    <n v="3759"/>
    <n v="0.1744"/>
    <n v="0"/>
    <n v="2.5999999999999999E-3"/>
  </r>
  <r>
    <n v="2018"/>
    <n v="2"/>
    <x v="8"/>
    <x v="8"/>
    <s v="SEA"/>
    <s v="Seattle, WA: Seattle/Tacoma International"/>
    <n v="40"/>
    <n v="8"/>
    <n v="2"/>
    <n v="0"/>
    <n v="4.0999999999999996"/>
    <n v="0"/>
    <n v="1.9"/>
    <n v="0"/>
    <n v="0"/>
    <n v="219"/>
    <n v="54"/>
    <n v="0"/>
    <n v="133"/>
    <n v="0"/>
    <n v="32"/>
    <n v="0.2"/>
    <n v="0"/>
    <n v="0"/>
  </r>
  <r>
    <n v="2018"/>
    <n v="2"/>
    <x v="0"/>
    <x v="0"/>
    <s v="SEA"/>
    <s v="Seattle, WA: Seattle/Tacoma International"/>
    <n v="56"/>
    <n v="35"/>
    <n v="29.13"/>
    <n v="0"/>
    <n v="0.6"/>
    <n v="0"/>
    <n v="5.26"/>
    <n v="0"/>
    <n v="0"/>
    <n v="1400"/>
    <n v="1079"/>
    <n v="0"/>
    <n v="21"/>
    <n v="0"/>
    <n v="300"/>
    <n v="0.625"/>
    <n v="0"/>
    <n v="0"/>
  </r>
  <r>
    <n v="2018"/>
    <n v="2"/>
    <x v="1"/>
    <x v="1"/>
    <s v="SEA"/>
    <s v="Seattle, WA: Seattle/Tacoma International"/>
    <n v="84"/>
    <n v="19"/>
    <n v="3.9"/>
    <n v="0.4"/>
    <n v="7.48"/>
    <n v="0"/>
    <n v="7.22"/>
    <n v="1"/>
    <n v="0"/>
    <n v="1197"/>
    <n v="276"/>
    <n v="10"/>
    <n v="298"/>
    <n v="0"/>
    <n v="613"/>
    <n v="0.22620000000000001"/>
    <n v="1.1900000000000001E-2"/>
    <n v="0"/>
  </r>
  <r>
    <n v="2018"/>
    <n v="2"/>
    <x v="2"/>
    <x v="2"/>
    <s v="SEA"/>
    <s v="Seattle, WA: Seattle/Tacoma International"/>
    <n v="1259"/>
    <n v="172"/>
    <n v="23.85"/>
    <n v="3.73"/>
    <n v="80.36"/>
    <n v="0.61"/>
    <n v="63.45"/>
    <n v="8"/>
    <n v="0"/>
    <n v="10317"/>
    <n v="2654"/>
    <n v="423"/>
    <n v="2897"/>
    <n v="44"/>
    <n v="4299"/>
    <n v="0.1366"/>
    <n v="6.4000000000000003E-3"/>
    <n v="0"/>
  </r>
  <r>
    <n v="2018"/>
    <n v="2"/>
    <x v="3"/>
    <x v="3"/>
    <s v="SEA"/>
    <s v="Seattle, WA: Seattle/Tacoma International"/>
    <n v="2097"/>
    <n v="334"/>
    <n v="47.1"/>
    <n v="30.23"/>
    <n v="155"/>
    <n v="0"/>
    <n v="101.67"/>
    <n v="32"/>
    <n v="3"/>
    <n v="14571"/>
    <n v="2925"/>
    <n v="1744"/>
    <n v="4106"/>
    <n v="0"/>
    <n v="5796"/>
    <n v="0.1593"/>
    <n v="1.5299999999999999E-2"/>
    <n v="1.4E-3"/>
  </r>
  <r>
    <n v="2018"/>
    <n v="2"/>
    <x v="9"/>
    <x v="9"/>
    <s v="SEA"/>
    <s v="Seattle, WA: Seattle/Tacoma International"/>
    <n v="648"/>
    <n v="112"/>
    <n v="32.770000000000003"/>
    <n v="8.18"/>
    <n v="50.41"/>
    <n v="0"/>
    <n v="20.64"/>
    <n v="0"/>
    <n v="1"/>
    <n v="6444"/>
    <n v="2617"/>
    <n v="290"/>
    <n v="1768"/>
    <n v="0"/>
    <n v="1769"/>
    <n v="0.17280000000000001"/>
    <n v="0"/>
    <n v="1.5E-3"/>
  </r>
  <r>
    <n v="2018"/>
    <n v="2"/>
    <x v="14"/>
    <x v="14"/>
    <s v="SEA"/>
    <s v="Seattle, WA: Seattle/Tacoma International"/>
    <n v="228"/>
    <n v="67"/>
    <n v="20.45"/>
    <n v="0"/>
    <n v="28.85"/>
    <n v="0"/>
    <n v="17.7"/>
    <n v="1"/>
    <n v="0"/>
    <n v="3479"/>
    <n v="1159"/>
    <n v="0"/>
    <n v="1013"/>
    <n v="0"/>
    <n v="1307"/>
    <n v="0.29389999999999999"/>
    <n v="4.4000000000000003E-3"/>
    <n v="0"/>
  </r>
  <r>
    <n v="2018"/>
    <n v="2"/>
    <x v="10"/>
    <x v="10"/>
    <s v="SEA"/>
    <s v="Seattle, WA: Seattle/Tacoma International"/>
    <n v="758"/>
    <n v="191"/>
    <n v="64.22"/>
    <n v="3.66"/>
    <n v="37.630000000000003"/>
    <n v="1"/>
    <n v="84.48"/>
    <n v="2"/>
    <n v="1"/>
    <n v="7437"/>
    <n v="2597"/>
    <n v="158"/>
    <n v="1132"/>
    <n v="27"/>
    <n v="3523"/>
    <n v="0.252"/>
    <n v="2.5999999999999999E-3"/>
    <n v="1.2999999999999999E-3"/>
  </r>
  <r>
    <n v="2018"/>
    <n v="1"/>
    <x v="4"/>
    <x v="4"/>
    <s v="SEA"/>
    <s v="Seattle, WA: Seattle/Tacoma International"/>
    <n v="626"/>
    <n v="125"/>
    <n v="49.74"/>
    <n v="5.03"/>
    <n v="34.36"/>
    <n v="0"/>
    <n v="35.880000000000003"/>
    <n v="5"/>
    <n v="2"/>
    <n v="6304"/>
    <n v="2612"/>
    <n v="280"/>
    <n v="1241"/>
    <n v="0"/>
    <n v="2171"/>
    <n v="0.19969999999999999"/>
    <n v="8.0000000000000002E-3"/>
    <n v="3.2000000000000002E-3"/>
  </r>
  <r>
    <n v="2018"/>
    <n v="1"/>
    <x v="5"/>
    <x v="5"/>
    <s v="SEA"/>
    <s v="Seattle, WA: Seattle/Tacoma International"/>
    <n v="4736"/>
    <n v="477"/>
    <n v="103.83"/>
    <n v="8.83"/>
    <n v="218.44"/>
    <n v="1.88"/>
    <n v="144.02000000000001"/>
    <n v="47"/>
    <n v="3"/>
    <n v="21018"/>
    <n v="5453"/>
    <n v="679"/>
    <n v="6166"/>
    <n v="96"/>
    <n v="8624"/>
    <n v="0.1007"/>
    <n v="9.9000000000000008E-3"/>
    <n v="5.9999999999999995E-4"/>
  </r>
  <r>
    <n v="2018"/>
    <n v="1"/>
    <x v="6"/>
    <x v="6"/>
    <s v="SEA"/>
    <s v="Seattle, WA: Seattle/Tacoma International"/>
    <n v="143"/>
    <n v="35"/>
    <n v="16.32"/>
    <n v="1"/>
    <n v="7.43"/>
    <n v="0"/>
    <n v="10.25"/>
    <n v="4"/>
    <n v="2"/>
    <n v="2541"/>
    <n v="1623"/>
    <n v="87"/>
    <n v="209"/>
    <n v="0"/>
    <n v="622"/>
    <n v="0.24479999999999999"/>
    <n v="2.8000000000000001E-2"/>
    <n v="1.4E-2"/>
  </r>
  <r>
    <n v="2018"/>
    <n v="1"/>
    <x v="12"/>
    <x v="12"/>
    <s v="SEA"/>
    <s v="Seattle, WA: Seattle/Tacoma International"/>
    <n v="1106"/>
    <n v="159"/>
    <n v="49.25"/>
    <n v="4.9800000000000004"/>
    <n v="46.83"/>
    <n v="0"/>
    <n v="57.94"/>
    <n v="4"/>
    <n v="1"/>
    <n v="11289"/>
    <n v="5756"/>
    <n v="303"/>
    <n v="1388"/>
    <n v="0"/>
    <n v="3842"/>
    <n v="0.14380000000000001"/>
    <n v="3.5999999999999999E-3"/>
    <n v="8.9999999999999998E-4"/>
  </r>
  <r>
    <n v="2018"/>
    <n v="1"/>
    <x v="7"/>
    <x v="7"/>
    <s v="SEA"/>
    <s v="Seattle, WA: Seattle/Tacoma International"/>
    <n v="1623"/>
    <n v="206"/>
    <n v="64.099999999999994"/>
    <n v="20.45"/>
    <n v="74.52"/>
    <n v="0"/>
    <n v="46.93"/>
    <n v="11"/>
    <n v="0"/>
    <n v="13127"/>
    <n v="5580"/>
    <n v="1576"/>
    <n v="2321"/>
    <n v="0"/>
    <n v="3650"/>
    <n v="0.12690000000000001"/>
    <n v="6.7999999999999996E-3"/>
    <n v="0"/>
  </r>
  <r>
    <n v="2018"/>
    <n v="1"/>
    <x v="8"/>
    <x v="8"/>
    <s v="SEA"/>
    <s v="Seattle, WA: Seattle/Tacoma International"/>
    <n v="49"/>
    <n v="8"/>
    <n v="2.34"/>
    <n v="0"/>
    <n v="3.49"/>
    <n v="0"/>
    <n v="2.17"/>
    <n v="0"/>
    <n v="0"/>
    <n v="335"/>
    <n v="96"/>
    <n v="0"/>
    <n v="70"/>
    <n v="0"/>
    <n v="169"/>
    <n v="0.1633"/>
    <n v="0"/>
    <n v="0"/>
  </r>
  <r>
    <n v="2018"/>
    <n v="1"/>
    <x v="0"/>
    <x v="0"/>
    <s v="SEA"/>
    <s v="Seattle, WA: Seattle/Tacoma International"/>
    <n v="69"/>
    <n v="21"/>
    <n v="18.489999999999998"/>
    <n v="0"/>
    <n v="0"/>
    <n v="0"/>
    <n v="2.5099999999999998"/>
    <n v="0"/>
    <n v="1"/>
    <n v="664"/>
    <n v="600"/>
    <n v="0"/>
    <n v="0"/>
    <n v="0"/>
    <n v="64"/>
    <n v="0.30430000000000001"/>
    <n v="0"/>
    <n v="1.4500000000000001E-2"/>
  </r>
  <r>
    <n v="2018"/>
    <n v="1"/>
    <x v="1"/>
    <x v="1"/>
    <s v="SEA"/>
    <s v="Seattle, WA: Seattle/Tacoma International"/>
    <n v="93"/>
    <n v="11"/>
    <n v="5.47"/>
    <n v="0"/>
    <n v="2.68"/>
    <n v="0"/>
    <n v="2.85"/>
    <n v="0"/>
    <n v="0"/>
    <n v="1414"/>
    <n v="1162"/>
    <n v="0"/>
    <n v="147"/>
    <n v="0"/>
    <n v="105"/>
    <n v="0.1183"/>
    <n v="0"/>
    <n v="0"/>
  </r>
  <r>
    <n v="2018"/>
    <n v="1"/>
    <x v="2"/>
    <x v="2"/>
    <s v="SEA"/>
    <s v="Seattle, WA: Seattle/Tacoma International"/>
    <n v="1550"/>
    <n v="204"/>
    <n v="33.56"/>
    <n v="8.7899999999999991"/>
    <n v="57.93"/>
    <n v="0"/>
    <n v="103.71"/>
    <n v="36"/>
    <n v="0"/>
    <n v="16200"/>
    <n v="5986"/>
    <n v="678"/>
    <n v="1879"/>
    <n v="0"/>
    <n v="7657"/>
    <n v="0.13159999999999999"/>
    <n v="2.3199999999999998E-2"/>
    <n v="0"/>
  </r>
  <r>
    <n v="2018"/>
    <n v="1"/>
    <x v="3"/>
    <x v="3"/>
    <s v="SEA"/>
    <s v="Seattle, WA: Seattle/Tacoma International"/>
    <n v="2389"/>
    <n v="254"/>
    <n v="39.479999999999997"/>
    <n v="11.48"/>
    <n v="126.47"/>
    <n v="0"/>
    <n v="76.569999999999993"/>
    <n v="33"/>
    <n v="10"/>
    <n v="11763"/>
    <n v="3011"/>
    <n v="746"/>
    <n v="3302"/>
    <n v="0"/>
    <n v="4704"/>
    <n v="0.10630000000000001"/>
    <n v="1.38E-2"/>
    <n v="4.1999999999999997E-3"/>
  </r>
  <r>
    <n v="2018"/>
    <n v="1"/>
    <x v="9"/>
    <x v="9"/>
    <s v="SEA"/>
    <s v="Seattle, WA: Seattle/Tacoma International"/>
    <n v="755"/>
    <n v="83"/>
    <n v="31.38"/>
    <n v="6.66"/>
    <n v="21.09"/>
    <n v="0"/>
    <n v="23.87"/>
    <n v="7"/>
    <n v="1"/>
    <n v="4478"/>
    <n v="1502"/>
    <n v="473"/>
    <n v="767"/>
    <n v="0"/>
    <n v="1736"/>
    <n v="0.1099"/>
    <n v="9.2999999999999992E-3"/>
    <n v="1.2999999999999999E-3"/>
  </r>
  <r>
    <n v="2018"/>
    <n v="1"/>
    <x v="14"/>
    <x v="14"/>
    <s v="SEA"/>
    <s v="Seattle, WA: Seattle/Tacoma International"/>
    <n v="176"/>
    <n v="29"/>
    <n v="5.9"/>
    <n v="0"/>
    <n v="10.95"/>
    <n v="0"/>
    <n v="12.16"/>
    <n v="1"/>
    <n v="0"/>
    <n v="1001"/>
    <n v="189"/>
    <n v="0"/>
    <n v="300"/>
    <n v="0"/>
    <n v="512"/>
    <n v="0.1648"/>
    <n v="5.7000000000000002E-3"/>
    <n v="0"/>
  </r>
  <r>
    <n v="2018"/>
    <n v="1"/>
    <x v="10"/>
    <x v="10"/>
    <s v="SEA"/>
    <s v="Seattle, WA: Seattle/Tacoma International"/>
    <n v="898"/>
    <n v="121"/>
    <n v="42.1"/>
    <n v="1.43"/>
    <n v="22.36"/>
    <n v="7.0000000000000007E-2"/>
    <n v="55.04"/>
    <n v="4"/>
    <n v="2"/>
    <n v="5250"/>
    <n v="1831"/>
    <n v="44"/>
    <n v="536"/>
    <n v="8"/>
    <n v="2831"/>
    <n v="0.13469999999999999"/>
    <n v="4.4999999999999997E-3"/>
    <n v="2.2000000000000001E-3"/>
  </r>
  <r>
    <n v="2017"/>
    <n v="12"/>
    <x v="4"/>
    <x v="4"/>
    <s v="SEA"/>
    <s v="Seattle, WA: Seattle/Tacoma International"/>
    <n v="714"/>
    <n v="180"/>
    <n v="57.48"/>
    <n v="6.91"/>
    <n v="81.2"/>
    <n v="0.41"/>
    <n v="34"/>
    <n v="5"/>
    <n v="21"/>
    <n v="8996"/>
    <n v="3126"/>
    <n v="536"/>
    <n v="2977"/>
    <n v="43"/>
    <n v="2314"/>
    <n v="0.25209999999999999"/>
    <n v="7.0000000000000001E-3"/>
    <n v="2.9399999999999999E-2"/>
  </r>
  <r>
    <n v="2017"/>
    <n v="12"/>
    <x v="5"/>
    <x v="5"/>
    <s v="SEA"/>
    <s v="Seattle, WA: Seattle/Tacoma International"/>
    <n v="4729"/>
    <n v="789"/>
    <n v="162.97"/>
    <n v="17.93"/>
    <n v="361.12"/>
    <n v="4.49"/>
    <n v="242.49"/>
    <n v="26"/>
    <n v="6"/>
    <n v="36188"/>
    <n v="9589"/>
    <n v="1138"/>
    <n v="11750"/>
    <n v="137"/>
    <n v="13574"/>
    <n v="0.1668"/>
    <n v="5.4999999999999997E-3"/>
    <n v="1.2999999999999999E-3"/>
  </r>
  <r>
    <n v="2017"/>
    <n v="12"/>
    <x v="6"/>
    <x v="6"/>
    <s v="SEA"/>
    <s v="Seattle, WA: Seattle/Tacoma International"/>
    <n v="146"/>
    <n v="43"/>
    <n v="19.510000000000002"/>
    <n v="1.38"/>
    <n v="15.39"/>
    <n v="0"/>
    <n v="6.72"/>
    <n v="1"/>
    <n v="0"/>
    <n v="2319"/>
    <n v="898"/>
    <n v="199"/>
    <n v="542"/>
    <n v="0"/>
    <n v="680"/>
    <n v="0.29449999999999998"/>
    <n v="6.7999999999999996E-3"/>
    <n v="0"/>
  </r>
  <r>
    <n v="2017"/>
    <n v="12"/>
    <x v="2"/>
    <x v="2"/>
    <s v="SEA"/>
    <s v="Seattle, WA: Seattle/Tacoma International"/>
    <n v="1489"/>
    <n v="317"/>
    <n v="36.69"/>
    <n v="19.32"/>
    <n v="137.61000000000001"/>
    <n v="0"/>
    <n v="123.38"/>
    <n v="19"/>
    <n v="20"/>
    <n v="20402"/>
    <n v="2898"/>
    <n v="1970"/>
    <n v="7065"/>
    <n v="0"/>
    <n v="8469"/>
    <n v="0.21290000000000001"/>
    <n v="1.2800000000000001E-2"/>
    <n v="1.34E-2"/>
  </r>
  <r>
    <n v="2017"/>
    <n v="12"/>
    <x v="9"/>
    <x v="9"/>
    <s v="SEA"/>
    <s v="Seattle, WA: Seattle/Tacoma International"/>
    <n v="836"/>
    <n v="182"/>
    <n v="50.69"/>
    <n v="11.64"/>
    <n v="85.18"/>
    <n v="0"/>
    <n v="34.479999999999997"/>
    <n v="0"/>
    <n v="7"/>
    <n v="9733"/>
    <n v="2375"/>
    <n v="1199"/>
    <n v="3671"/>
    <n v="0"/>
    <n v="2488"/>
    <n v="0.2177"/>
    <n v="0"/>
    <n v="8.3999999999999995E-3"/>
  </r>
  <r>
    <n v="2017"/>
    <n v="12"/>
    <x v="14"/>
    <x v="14"/>
    <s v="SEA"/>
    <s v="Seattle, WA: Seattle/Tacoma International"/>
    <n v="135"/>
    <n v="32"/>
    <n v="8.36"/>
    <n v="1"/>
    <n v="17.489999999999998"/>
    <n v="0"/>
    <n v="5.15"/>
    <n v="0"/>
    <n v="0"/>
    <n v="1554"/>
    <n v="586"/>
    <n v="17"/>
    <n v="659"/>
    <n v="0"/>
    <n v="292"/>
    <n v="0.23699999999999999"/>
    <n v="0"/>
    <n v="0"/>
  </r>
  <r>
    <n v="2017"/>
    <n v="12"/>
    <x v="10"/>
    <x v="10"/>
    <s v="SEA"/>
    <s v="Seattle, WA: Seattle/Tacoma International"/>
    <n v="965"/>
    <n v="230"/>
    <n v="78.489999999999995"/>
    <n v="4.46"/>
    <n v="60.6"/>
    <n v="1.8"/>
    <n v="84.65"/>
    <n v="2"/>
    <n v="7"/>
    <n v="9953"/>
    <n v="3056"/>
    <n v="230"/>
    <n v="2496"/>
    <n v="86"/>
    <n v="4085"/>
    <n v="0.23830000000000001"/>
    <n v="2.0999999999999999E-3"/>
    <n v="7.3000000000000001E-3"/>
  </r>
  <r>
    <n v="2017"/>
    <n v="12"/>
    <x v="7"/>
    <x v="7"/>
    <s v="SEA"/>
    <s v="Seattle, WA: Seattle/Tacoma International"/>
    <n v="1791"/>
    <n v="294"/>
    <n v="77.23"/>
    <n v="13.88"/>
    <n v="142.87"/>
    <n v="0"/>
    <n v="60.01"/>
    <n v="6"/>
    <n v="18"/>
    <n v="15599"/>
    <n v="4561"/>
    <n v="1092"/>
    <n v="5830"/>
    <n v="0"/>
    <n v="4116"/>
    <n v="0.16420000000000001"/>
    <n v="3.3999999999999998E-3"/>
    <n v="1.01E-2"/>
  </r>
  <r>
    <n v="2017"/>
    <n v="12"/>
    <x v="8"/>
    <x v="8"/>
    <s v="SEA"/>
    <s v="Seattle, WA: Seattle/Tacoma International"/>
    <n v="39"/>
    <n v="6"/>
    <n v="1.82"/>
    <n v="0"/>
    <n v="2.5499999999999998"/>
    <n v="0"/>
    <n v="1.63"/>
    <n v="0"/>
    <n v="0"/>
    <n v="324"/>
    <n v="111"/>
    <n v="0"/>
    <n v="115"/>
    <n v="0"/>
    <n v="98"/>
    <n v="0.15379999999999999"/>
    <n v="0"/>
    <n v="0"/>
  </r>
  <r>
    <n v="2017"/>
    <n v="12"/>
    <x v="0"/>
    <x v="0"/>
    <s v="SEA"/>
    <s v="Seattle, WA: Seattle/Tacoma International"/>
    <n v="72"/>
    <n v="25"/>
    <n v="14.04"/>
    <n v="0.13"/>
    <n v="0"/>
    <n v="0"/>
    <n v="10.82"/>
    <n v="0"/>
    <n v="1"/>
    <n v="1075"/>
    <n v="513"/>
    <n v="11"/>
    <n v="0"/>
    <n v="0"/>
    <n v="551"/>
    <n v="0.34720000000000001"/>
    <n v="0"/>
    <n v="1.3899999999999999E-2"/>
  </r>
  <r>
    <n v="2017"/>
    <n v="12"/>
    <x v="1"/>
    <x v="1"/>
    <s v="SEA"/>
    <s v="Seattle, WA: Seattle/Tacoma International"/>
    <n v="93"/>
    <n v="26"/>
    <n v="7.56"/>
    <n v="0"/>
    <n v="12.21"/>
    <n v="0"/>
    <n v="6.23"/>
    <n v="0"/>
    <n v="0"/>
    <n v="1288"/>
    <n v="417"/>
    <n v="0"/>
    <n v="550"/>
    <n v="0"/>
    <n v="321"/>
    <n v="0.27960000000000002"/>
    <n v="0"/>
    <n v="0"/>
  </r>
  <r>
    <n v="2017"/>
    <n v="11"/>
    <x v="4"/>
    <x v="4"/>
    <s v="SEA"/>
    <s v="Seattle, WA: Seattle/Tacoma International"/>
    <n v="623"/>
    <n v="164"/>
    <n v="50.63"/>
    <n v="1.69"/>
    <n v="88.79"/>
    <n v="0"/>
    <n v="22.89"/>
    <n v="2"/>
    <n v="5"/>
    <n v="7627"/>
    <n v="2292"/>
    <n v="58"/>
    <n v="3735"/>
    <n v="0"/>
    <n v="1542"/>
    <n v="0.26319999999999999"/>
    <n v="3.2000000000000002E-3"/>
    <n v="8.0000000000000002E-3"/>
  </r>
  <r>
    <n v="2017"/>
    <n v="11"/>
    <x v="5"/>
    <x v="5"/>
    <s v="SEA"/>
    <s v="Seattle, WA: Seattle/Tacoma International"/>
    <n v="4565"/>
    <n v="758"/>
    <n v="109.9"/>
    <n v="7.9"/>
    <n v="421.86"/>
    <n v="2.4700000000000002"/>
    <n v="215.87"/>
    <n v="47"/>
    <n v="6"/>
    <n v="41314"/>
    <n v="6790"/>
    <n v="441"/>
    <n v="15908"/>
    <n v="405"/>
    <n v="17770"/>
    <n v="0.16600000000000001"/>
    <n v="1.03E-2"/>
    <n v="1.2999999999999999E-3"/>
  </r>
  <r>
    <n v="2017"/>
    <n v="11"/>
    <x v="6"/>
    <x v="6"/>
    <s v="SEA"/>
    <s v="Seattle, WA: Seattle/Tacoma International"/>
    <n v="138"/>
    <n v="44"/>
    <n v="11.34"/>
    <n v="0.87"/>
    <n v="26.91"/>
    <n v="0"/>
    <n v="4.88"/>
    <n v="0"/>
    <n v="2"/>
    <n v="2170"/>
    <n v="565"/>
    <n v="99"/>
    <n v="1300"/>
    <n v="0"/>
    <n v="206"/>
    <n v="0.31879999999999997"/>
    <n v="0"/>
    <n v="1.4500000000000001E-2"/>
  </r>
  <r>
    <n v="2017"/>
    <n v="11"/>
    <x v="7"/>
    <x v="7"/>
    <s v="SEA"/>
    <s v="Seattle, WA: Seattle/Tacoma International"/>
    <n v="1716"/>
    <n v="245"/>
    <n v="47.5"/>
    <n v="0"/>
    <n v="162.68"/>
    <n v="0"/>
    <n v="34.82"/>
    <n v="0"/>
    <n v="0"/>
    <n v="13061"/>
    <n v="2832"/>
    <n v="0"/>
    <n v="6939"/>
    <n v="0"/>
    <n v="3290"/>
    <n v="0.14280000000000001"/>
    <n v="0"/>
    <n v="0"/>
  </r>
  <r>
    <n v="2017"/>
    <n v="11"/>
    <x v="8"/>
    <x v="8"/>
    <s v="SEA"/>
    <s v="Seattle, WA: Seattle/Tacoma International"/>
    <n v="35"/>
    <n v="9"/>
    <n v="3.37"/>
    <n v="0"/>
    <n v="4.4400000000000004"/>
    <n v="0"/>
    <n v="1.19"/>
    <n v="0"/>
    <n v="0"/>
    <n v="485"/>
    <n v="110"/>
    <n v="0"/>
    <n v="308"/>
    <n v="0"/>
    <n v="67"/>
    <n v="0.2571"/>
    <n v="0"/>
    <n v="0"/>
  </r>
  <r>
    <n v="2017"/>
    <n v="11"/>
    <x v="0"/>
    <x v="0"/>
    <s v="SEA"/>
    <s v="Seattle, WA: Seattle/Tacoma International"/>
    <n v="60"/>
    <n v="18"/>
    <n v="12.41"/>
    <n v="0"/>
    <n v="0.14000000000000001"/>
    <n v="0"/>
    <n v="5.45"/>
    <n v="0"/>
    <n v="0"/>
    <n v="775"/>
    <n v="516"/>
    <n v="0"/>
    <n v="3"/>
    <n v="0"/>
    <n v="256"/>
    <n v="0.3"/>
    <n v="0"/>
    <n v="0"/>
  </r>
  <r>
    <n v="2017"/>
    <n v="11"/>
    <x v="1"/>
    <x v="1"/>
    <s v="SEA"/>
    <s v="Seattle, WA: Seattle/Tacoma International"/>
    <n v="103"/>
    <n v="27"/>
    <n v="4.5199999999999996"/>
    <n v="0"/>
    <n v="14.69"/>
    <n v="0.86"/>
    <n v="6.94"/>
    <n v="2"/>
    <n v="0"/>
    <n v="1359"/>
    <n v="151"/>
    <n v="0"/>
    <n v="770"/>
    <n v="65"/>
    <n v="373"/>
    <n v="0.2621"/>
    <n v="1.9400000000000001E-2"/>
    <n v="0"/>
  </r>
  <r>
    <n v="2017"/>
    <n v="11"/>
    <x v="2"/>
    <x v="2"/>
    <s v="SEA"/>
    <s v="Seattle, WA: Seattle/Tacoma International"/>
    <n v="1675"/>
    <n v="333"/>
    <n v="40.42"/>
    <n v="14.44"/>
    <n v="150.5"/>
    <n v="1"/>
    <n v="126.64"/>
    <n v="27"/>
    <n v="2"/>
    <n v="24985"/>
    <n v="6670"/>
    <n v="1121"/>
    <n v="7258"/>
    <n v="91"/>
    <n v="9845"/>
    <n v="0.1988"/>
    <n v="1.61E-2"/>
    <n v="1.1999999999999999E-3"/>
  </r>
  <r>
    <n v="2017"/>
    <n v="11"/>
    <x v="9"/>
    <x v="9"/>
    <s v="SEA"/>
    <s v="Seattle, WA: Seattle/Tacoma International"/>
    <n v="825"/>
    <n v="160"/>
    <n v="35.32"/>
    <n v="0"/>
    <n v="87.99"/>
    <n v="0"/>
    <n v="36.69"/>
    <n v="1"/>
    <n v="3"/>
    <n v="9485"/>
    <n v="2056"/>
    <n v="0"/>
    <n v="4940"/>
    <n v="0"/>
    <n v="2489"/>
    <n v="0.19389999999999999"/>
    <n v="1.1999999999999999E-3"/>
    <n v="3.5999999999999999E-3"/>
  </r>
  <r>
    <n v="2017"/>
    <n v="11"/>
    <x v="14"/>
    <x v="14"/>
    <s v="SEA"/>
    <s v="Seattle, WA: Seattle/Tacoma International"/>
    <n v="147"/>
    <n v="39"/>
    <n v="8.48"/>
    <n v="0"/>
    <n v="15.78"/>
    <n v="0"/>
    <n v="14.74"/>
    <n v="0"/>
    <n v="0"/>
    <n v="2183"/>
    <n v="692"/>
    <n v="0"/>
    <n v="945"/>
    <n v="0"/>
    <n v="546"/>
    <n v="0.26529999999999998"/>
    <n v="0"/>
    <n v="0"/>
  </r>
  <r>
    <n v="2017"/>
    <n v="11"/>
    <x v="10"/>
    <x v="10"/>
    <s v="SEA"/>
    <s v="Seattle, WA: Seattle/Tacoma International"/>
    <n v="994"/>
    <n v="190"/>
    <n v="63.56"/>
    <n v="5.5"/>
    <n v="55.99"/>
    <n v="0.83"/>
    <n v="64.12"/>
    <n v="15"/>
    <n v="2"/>
    <n v="8656"/>
    <n v="2696"/>
    <n v="582"/>
    <n v="2428"/>
    <n v="18"/>
    <n v="2932"/>
    <n v="0.19109999999999999"/>
    <n v="1.5100000000000001E-2"/>
    <n v="2E-3"/>
  </r>
  <r>
    <n v="2017"/>
    <n v="10"/>
    <x v="4"/>
    <x v="4"/>
    <s v="SEA"/>
    <s v="Seattle, WA: Seattle/Tacoma International"/>
    <n v="730"/>
    <n v="131"/>
    <n v="52.71"/>
    <n v="0.84"/>
    <n v="56.55"/>
    <n v="0"/>
    <n v="20.9"/>
    <n v="1"/>
    <n v="0"/>
    <n v="5772"/>
    <n v="2879"/>
    <n v="42"/>
    <n v="1619"/>
    <n v="0"/>
    <n v="1232"/>
    <n v="0.17949999999999999"/>
    <n v="1.4E-3"/>
    <n v="0"/>
  </r>
  <r>
    <n v="2017"/>
    <n v="10"/>
    <x v="5"/>
    <x v="5"/>
    <s v="SEA"/>
    <s v="Seattle, WA: Seattle/Tacoma International"/>
    <n v="4827"/>
    <n v="631"/>
    <n v="123.75"/>
    <n v="7.15"/>
    <n v="349.64"/>
    <n v="2"/>
    <n v="148.44999999999999"/>
    <n v="29"/>
    <n v="5"/>
    <n v="30797"/>
    <n v="9218"/>
    <n v="489"/>
    <n v="12000"/>
    <n v="54"/>
    <n v="9036"/>
    <n v="0.13070000000000001"/>
    <n v="6.0000000000000001E-3"/>
    <n v="1E-3"/>
  </r>
  <r>
    <n v="2017"/>
    <n v="10"/>
    <x v="6"/>
    <x v="6"/>
    <s v="SEA"/>
    <s v="Seattle, WA: Seattle/Tacoma International"/>
    <n v="144"/>
    <n v="20"/>
    <n v="3.76"/>
    <n v="0"/>
    <n v="11.54"/>
    <n v="0.23"/>
    <n v="4.47"/>
    <n v="2"/>
    <n v="0"/>
    <n v="758"/>
    <n v="189"/>
    <n v="0"/>
    <n v="378"/>
    <n v="10"/>
    <n v="181"/>
    <n v="0.1389"/>
    <n v="1.3899999999999999E-2"/>
    <n v="0"/>
  </r>
  <r>
    <n v="2017"/>
    <n v="10"/>
    <x v="7"/>
    <x v="7"/>
    <s v="SEA"/>
    <s v="Seattle, WA: Seattle/Tacoma International"/>
    <n v="1880"/>
    <n v="185"/>
    <n v="53.9"/>
    <n v="5.74"/>
    <n v="75.02"/>
    <n v="0"/>
    <n v="50.35"/>
    <n v="0"/>
    <n v="1"/>
    <n v="10509"/>
    <n v="4043"/>
    <n v="374"/>
    <n v="2532"/>
    <n v="0"/>
    <n v="3560"/>
    <n v="9.8400000000000001E-2"/>
    <n v="0"/>
    <n v="5.0000000000000001E-4"/>
  </r>
  <r>
    <n v="2017"/>
    <n v="10"/>
    <x v="9"/>
    <x v="9"/>
    <s v="SEA"/>
    <s v="Seattle, WA: Seattle/Tacoma International"/>
    <n v="892"/>
    <n v="154"/>
    <n v="32.32"/>
    <n v="5.73"/>
    <n v="66.14"/>
    <n v="0"/>
    <n v="49.8"/>
    <n v="2"/>
    <n v="2"/>
    <n v="9306"/>
    <n v="2186"/>
    <n v="282"/>
    <n v="2496"/>
    <n v="0"/>
    <n v="4342"/>
    <n v="0.1726"/>
    <n v="2.2000000000000001E-3"/>
    <n v="2.2000000000000001E-3"/>
  </r>
  <r>
    <n v="2017"/>
    <n v="10"/>
    <x v="14"/>
    <x v="14"/>
    <s v="SEA"/>
    <s v="Seattle, WA: Seattle/Tacoma International"/>
    <n v="186"/>
    <n v="57"/>
    <n v="3.91"/>
    <n v="1"/>
    <n v="22.1"/>
    <n v="0.1"/>
    <n v="29.89"/>
    <n v="1"/>
    <n v="0"/>
    <n v="3000"/>
    <n v="171"/>
    <n v="20"/>
    <n v="976"/>
    <n v="12"/>
    <n v="1821"/>
    <n v="0.30649999999999999"/>
    <n v="5.4000000000000003E-3"/>
    <n v="0"/>
  </r>
  <r>
    <n v="2017"/>
    <n v="10"/>
    <x v="10"/>
    <x v="10"/>
    <s v="SEA"/>
    <s v="Seattle, WA: Seattle/Tacoma International"/>
    <n v="1041"/>
    <n v="177"/>
    <n v="53.22"/>
    <n v="1.4"/>
    <n v="63.02"/>
    <n v="0.17"/>
    <n v="59.2"/>
    <n v="1"/>
    <n v="1"/>
    <n v="8178"/>
    <n v="2345"/>
    <n v="78"/>
    <n v="2813"/>
    <n v="5"/>
    <n v="2937"/>
    <n v="0.17"/>
    <n v="1E-3"/>
    <n v="1E-3"/>
  </r>
  <r>
    <n v="2017"/>
    <n v="10"/>
    <x v="8"/>
    <x v="8"/>
    <s v="SEA"/>
    <s v="Seattle, WA: Seattle/Tacoma International"/>
    <n v="48"/>
    <n v="11"/>
    <n v="2.82"/>
    <n v="0"/>
    <n v="4.2300000000000004"/>
    <n v="0"/>
    <n v="3.95"/>
    <n v="0"/>
    <n v="1"/>
    <n v="360"/>
    <n v="93"/>
    <n v="0"/>
    <n v="154"/>
    <n v="0"/>
    <n v="113"/>
    <n v="0.22919999999999999"/>
    <n v="0"/>
    <n v="2.0799999999999999E-2"/>
  </r>
  <r>
    <n v="2017"/>
    <n v="10"/>
    <x v="0"/>
    <x v="0"/>
    <s v="SEA"/>
    <s v="Seattle, WA: Seattle/Tacoma International"/>
    <n v="62"/>
    <n v="23"/>
    <n v="17.010000000000002"/>
    <n v="0"/>
    <n v="0"/>
    <n v="1"/>
    <n v="4.99"/>
    <n v="0"/>
    <n v="1"/>
    <n v="927"/>
    <n v="543"/>
    <n v="0"/>
    <n v="0"/>
    <n v="28"/>
    <n v="356"/>
    <n v="0.371"/>
    <n v="0"/>
    <n v="1.61E-2"/>
  </r>
  <r>
    <n v="2017"/>
    <n v="10"/>
    <x v="1"/>
    <x v="1"/>
    <s v="SEA"/>
    <s v="Seattle, WA: Seattle/Tacoma International"/>
    <n v="146"/>
    <n v="27"/>
    <n v="4.93"/>
    <n v="0"/>
    <n v="13.15"/>
    <n v="0"/>
    <n v="8.92"/>
    <n v="0"/>
    <n v="1"/>
    <n v="1603"/>
    <n v="335"/>
    <n v="0"/>
    <n v="649"/>
    <n v="0"/>
    <n v="619"/>
    <n v="0.18490000000000001"/>
    <n v="0"/>
    <n v="6.7999999999999996E-3"/>
  </r>
  <r>
    <n v="2017"/>
    <n v="10"/>
    <x v="2"/>
    <x v="2"/>
    <s v="SEA"/>
    <s v="Seattle, WA: Seattle/Tacoma International"/>
    <n v="1729"/>
    <n v="397"/>
    <n v="56.69"/>
    <n v="16.45"/>
    <n v="161.62"/>
    <n v="0"/>
    <n v="162.24"/>
    <n v="55"/>
    <n v="7"/>
    <n v="25863"/>
    <n v="5663"/>
    <n v="1428"/>
    <n v="6201"/>
    <n v="0"/>
    <n v="12571"/>
    <n v="0.2296"/>
    <n v="3.1800000000000002E-2"/>
    <n v="4.0000000000000001E-3"/>
  </r>
  <r>
    <n v="2017"/>
    <n v="9"/>
    <x v="4"/>
    <x v="4"/>
    <s v="SEA"/>
    <s v="Seattle, WA: Seattle/Tacoma International"/>
    <n v="763"/>
    <n v="81"/>
    <n v="39.56"/>
    <n v="2.08"/>
    <n v="20.86"/>
    <n v="0"/>
    <n v="18.5"/>
    <n v="7"/>
    <n v="0"/>
    <n v="4791"/>
    <n v="2608"/>
    <n v="144"/>
    <n v="859"/>
    <n v="0"/>
    <n v="1180"/>
    <n v="0.1062"/>
    <n v="9.1999999999999998E-3"/>
    <n v="0"/>
  </r>
  <r>
    <n v="2017"/>
    <n v="9"/>
    <x v="5"/>
    <x v="5"/>
    <s v="SEA"/>
    <s v="Seattle, WA: Seattle/Tacoma International"/>
    <n v="4882"/>
    <n v="573"/>
    <n v="127.28"/>
    <n v="9.15"/>
    <n v="292.02"/>
    <n v="0.9"/>
    <n v="143.63"/>
    <n v="31"/>
    <n v="5"/>
    <n v="24677"/>
    <n v="8436"/>
    <n v="617"/>
    <n v="7644"/>
    <n v="30"/>
    <n v="7950"/>
    <n v="0.1174"/>
    <n v="6.3E-3"/>
    <n v="1E-3"/>
  </r>
  <r>
    <n v="2017"/>
    <n v="9"/>
    <x v="6"/>
    <x v="6"/>
    <s v="SEA"/>
    <s v="Seattle, WA: Seattle/Tacoma International"/>
    <n v="158"/>
    <n v="23"/>
    <n v="7.32"/>
    <n v="1.64"/>
    <n v="7.06"/>
    <n v="0"/>
    <n v="6.98"/>
    <n v="0"/>
    <n v="0"/>
    <n v="1512"/>
    <n v="556"/>
    <n v="179"/>
    <n v="236"/>
    <n v="0"/>
    <n v="541"/>
    <n v="0.14560000000000001"/>
    <n v="0"/>
    <n v="0"/>
  </r>
  <r>
    <n v="2017"/>
    <n v="9"/>
    <x v="7"/>
    <x v="7"/>
    <s v="SEA"/>
    <s v="Seattle, WA: Seattle/Tacoma International"/>
    <n v="1907"/>
    <n v="141"/>
    <n v="50.18"/>
    <n v="4"/>
    <n v="56.9"/>
    <n v="0"/>
    <n v="29.92"/>
    <n v="1"/>
    <n v="1"/>
    <n v="7425"/>
    <n v="3190"/>
    <n v="559"/>
    <n v="1480"/>
    <n v="0"/>
    <n v="2196"/>
    <n v="7.3899999999999993E-2"/>
    <n v="5.0000000000000001E-4"/>
    <n v="5.0000000000000001E-4"/>
  </r>
  <r>
    <n v="2017"/>
    <n v="9"/>
    <x v="8"/>
    <x v="8"/>
    <s v="SEA"/>
    <s v="Seattle, WA: Seattle/Tacoma International"/>
    <n v="78"/>
    <n v="6"/>
    <n v="1"/>
    <n v="0"/>
    <n v="3.06"/>
    <n v="0"/>
    <n v="1.94"/>
    <n v="0"/>
    <n v="0"/>
    <n v="307"/>
    <n v="36"/>
    <n v="0"/>
    <n v="123"/>
    <n v="0"/>
    <n v="148"/>
    <n v="7.6899999999999996E-2"/>
    <n v="0"/>
    <n v="0"/>
  </r>
  <r>
    <n v="2017"/>
    <n v="9"/>
    <x v="0"/>
    <x v="0"/>
    <s v="SEA"/>
    <s v="Seattle, WA: Seattle/Tacoma International"/>
    <n v="60"/>
    <n v="8"/>
    <n v="5.88"/>
    <n v="0"/>
    <n v="0"/>
    <n v="0"/>
    <n v="2.12"/>
    <n v="0"/>
    <n v="0"/>
    <n v="214"/>
    <n v="167"/>
    <n v="0"/>
    <n v="0"/>
    <n v="0"/>
    <n v="47"/>
    <n v="0.1333"/>
    <n v="0"/>
    <n v="0"/>
  </r>
  <r>
    <n v="2017"/>
    <n v="9"/>
    <x v="1"/>
    <x v="1"/>
    <s v="SEA"/>
    <s v="Seattle, WA: Seattle/Tacoma International"/>
    <n v="155"/>
    <n v="27"/>
    <n v="10.88"/>
    <n v="0"/>
    <n v="8.74"/>
    <n v="0"/>
    <n v="7.38"/>
    <n v="7"/>
    <n v="0"/>
    <n v="1578"/>
    <n v="734"/>
    <n v="0"/>
    <n v="336"/>
    <n v="0"/>
    <n v="508"/>
    <n v="0.17419999999999999"/>
    <n v="4.5199999999999997E-2"/>
    <n v="0"/>
  </r>
  <r>
    <n v="2017"/>
    <n v="9"/>
    <x v="2"/>
    <x v="2"/>
    <s v="SEA"/>
    <s v="Seattle, WA: Seattle/Tacoma International"/>
    <n v="1837"/>
    <n v="250"/>
    <n v="31.85"/>
    <n v="3.9"/>
    <n v="116.03"/>
    <n v="0.3"/>
    <n v="97.93"/>
    <n v="8"/>
    <n v="2"/>
    <n v="12550"/>
    <n v="3307"/>
    <n v="153"/>
    <n v="3250"/>
    <n v="8"/>
    <n v="5832"/>
    <n v="0.1361"/>
    <n v="4.4000000000000003E-3"/>
    <n v="1.1000000000000001E-3"/>
  </r>
  <r>
    <n v="2017"/>
    <n v="9"/>
    <x v="9"/>
    <x v="9"/>
    <s v="SEA"/>
    <s v="Seattle, WA: Seattle/Tacoma International"/>
    <n v="892"/>
    <n v="111"/>
    <n v="33.14"/>
    <n v="3.45"/>
    <n v="35.44"/>
    <n v="0"/>
    <n v="38.97"/>
    <n v="22"/>
    <n v="0"/>
    <n v="5933"/>
    <n v="2185"/>
    <n v="171"/>
    <n v="1067"/>
    <n v="0"/>
    <n v="2510"/>
    <n v="0.1244"/>
    <n v="2.47E-2"/>
    <n v="0"/>
  </r>
  <r>
    <n v="2017"/>
    <n v="9"/>
    <x v="14"/>
    <x v="14"/>
    <s v="SEA"/>
    <s v="Seattle, WA: Seattle/Tacoma International"/>
    <n v="144"/>
    <n v="34"/>
    <n v="3.01"/>
    <n v="0"/>
    <n v="8.2200000000000006"/>
    <n v="0"/>
    <n v="22.77"/>
    <n v="0"/>
    <n v="0"/>
    <n v="1508"/>
    <n v="106"/>
    <n v="0"/>
    <n v="312"/>
    <n v="0"/>
    <n v="1090"/>
    <n v="0.2361"/>
    <n v="0"/>
    <n v="0"/>
  </r>
  <r>
    <n v="2017"/>
    <n v="9"/>
    <x v="10"/>
    <x v="10"/>
    <s v="SEA"/>
    <s v="Seattle, WA: Seattle/Tacoma International"/>
    <n v="1065"/>
    <n v="175"/>
    <n v="56.99"/>
    <n v="0.16"/>
    <n v="37.57"/>
    <n v="0"/>
    <n v="80.290000000000006"/>
    <n v="1"/>
    <n v="0"/>
    <n v="7139"/>
    <n v="2354"/>
    <n v="12"/>
    <n v="998"/>
    <n v="0"/>
    <n v="3775"/>
    <n v="0.1643"/>
    <n v="8.9999999999999998E-4"/>
    <n v="0"/>
  </r>
  <r>
    <n v="2017"/>
    <n v="8"/>
    <x v="4"/>
    <x v="4"/>
    <s v="SEA"/>
    <s v="Seattle, WA: Seattle/Tacoma International"/>
    <n v="949"/>
    <n v="255"/>
    <n v="79.62"/>
    <n v="9.82"/>
    <n v="93.5"/>
    <n v="1.45"/>
    <n v="70.61"/>
    <n v="11"/>
    <n v="1"/>
    <n v="15129"/>
    <n v="5158"/>
    <n v="693"/>
    <n v="4332"/>
    <n v="57"/>
    <n v="4889"/>
    <n v="0.26869999999999999"/>
    <n v="1.1599999999999999E-2"/>
    <n v="1.1000000000000001E-3"/>
  </r>
  <r>
    <n v="2017"/>
    <n v="8"/>
    <x v="5"/>
    <x v="5"/>
    <s v="SEA"/>
    <s v="Seattle, WA: Seattle/Tacoma International"/>
    <n v="5338"/>
    <n v="1060"/>
    <n v="158.19"/>
    <n v="22.83"/>
    <n v="591.42999999999995"/>
    <n v="6.07"/>
    <n v="281.47000000000003"/>
    <n v="52"/>
    <n v="2"/>
    <n v="47170"/>
    <n v="9889"/>
    <n v="1292"/>
    <n v="21132"/>
    <n v="285"/>
    <n v="14572"/>
    <n v="0.1986"/>
    <n v="9.7000000000000003E-3"/>
    <n v="4.0000000000000002E-4"/>
  </r>
  <r>
    <n v="2017"/>
    <n v="8"/>
    <x v="6"/>
    <x v="6"/>
    <s v="SEA"/>
    <s v="Seattle, WA: Seattle/Tacoma International"/>
    <n v="235"/>
    <n v="59"/>
    <n v="14.51"/>
    <n v="1.23"/>
    <n v="28.4"/>
    <n v="0.21"/>
    <n v="14.65"/>
    <n v="2"/>
    <n v="2"/>
    <n v="3768"/>
    <n v="1232"/>
    <n v="119"/>
    <n v="1382"/>
    <n v="27"/>
    <n v="1008"/>
    <n v="0.25109999999999999"/>
    <n v="8.5000000000000006E-3"/>
    <n v="8.5000000000000006E-3"/>
  </r>
  <r>
    <n v="2017"/>
    <n v="8"/>
    <x v="7"/>
    <x v="7"/>
    <s v="SEA"/>
    <s v="Seattle, WA: Seattle/Tacoma International"/>
    <n v="2501"/>
    <n v="345"/>
    <n v="81.22"/>
    <n v="10.66"/>
    <n v="160"/>
    <n v="1"/>
    <n v="92.11"/>
    <n v="1"/>
    <n v="1"/>
    <n v="15282"/>
    <n v="5002"/>
    <n v="376"/>
    <n v="5352"/>
    <n v="29"/>
    <n v="4523"/>
    <n v="0.13789999999999999"/>
    <n v="4.0000000000000002E-4"/>
    <n v="4.0000000000000002E-4"/>
  </r>
  <r>
    <n v="2017"/>
    <n v="8"/>
    <x v="8"/>
    <x v="8"/>
    <s v="SEA"/>
    <s v="Seattle, WA: Seattle/Tacoma International"/>
    <n v="86"/>
    <n v="21"/>
    <n v="2.37"/>
    <n v="0"/>
    <n v="11.87"/>
    <n v="0"/>
    <n v="6.76"/>
    <n v="0"/>
    <n v="0"/>
    <n v="1610"/>
    <n v="142"/>
    <n v="0"/>
    <n v="483"/>
    <n v="0"/>
    <n v="985"/>
    <n v="0.2442"/>
    <n v="0"/>
    <n v="0"/>
  </r>
  <r>
    <n v="2017"/>
    <n v="8"/>
    <x v="0"/>
    <x v="0"/>
    <s v="SEA"/>
    <s v="Seattle, WA: Seattle/Tacoma International"/>
    <n v="62"/>
    <n v="15"/>
    <n v="10.94"/>
    <n v="0"/>
    <n v="0"/>
    <n v="0"/>
    <n v="4.0599999999999996"/>
    <n v="0"/>
    <n v="0"/>
    <n v="642"/>
    <n v="429"/>
    <n v="0"/>
    <n v="0"/>
    <n v="0"/>
    <n v="213"/>
    <n v="0.2419"/>
    <n v="0"/>
    <n v="0"/>
  </r>
  <r>
    <n v="2017"/>
    <n v="8"/>
    <x v="1"/>
    <x v="1"/>
    <s v="SEA"/>
    <s v="Seattle, WA: Seattle/Tacoma International"/>
    <n v="217"/>
    <n v="41"/>
    <n v="4.9000000000000004"/>
    <n v="0.67"/>
    <n v="27.35"/>
    <n v="0"/>
    <n v="8.07"/>
    <n v="7"/>
    <n v="0"/>
    <n v="2074"/>
    <n v="288"/>
    <n v="56"/>
    <n v="1305"/>
    <n v="0"/>
    <n v="425"/>
    <n v="0.18890000000000001"/>
    <n v="3.2300000000000002E-2"/>
    <n v="0"/>
  </r>
  <r>
    <n v="2017"/>
    <n v="8"/>
    <x v="2"/>
    <x v="2"/>
    <s v="SEA"/>
    <s v="Seattle, WA: Seattle/Tacoma International"/>
    <n v="1610"/>
    <n v="384"/>
    <n v="47.82"/>
    <n v="49.67"/>
    <n v="122.41"/>
    <n v="0"/>
    <n v="164.1"/>
    <n v="1"/>
    <n v="0"/>
    <n v="23222"/>
    <n v="7833"/>
    <n v="2065"/>
    <n v="4387"/>
    <n v="0"/>
    <n v="8937"/>
    <n v="0.23849999999999999"/>
    <n v="5.9999999999999995E-4"/>
    <n v="0"/>
  </r>
  <r>
    <n v="2017"/>
    <n v="8"/>
    <x v="9"/>
    <x v="9"/>
    <s v="SEA"/>
    <s v="Seattle, WA: Seattle/Tacoma International"/>
    <n v="1068"/>
    <n v="276"/>
    <n v="57.57"/>
    <n v="15.57"/>
    <n v="126.13"/>
    <n v="0"/>
    <n v="76.73"/>
    <n v="37"/>
    <n v="0"/>
    <n v="16737"/>
    <n v="3314"/>
    <n v="1679"/>
    <n v="5340"/>
    <n v="0"/>
    <n v="6404"/>
    <n v="0.25840000000000002"/>
    <n v="3.4599999999999999E-2"/>
    <n v="0"/>
  </r>
  <r>
    <n v="2017"/>
    <n v="8"/>
    <x v="14"/>
    <x v="14"/>
    <s v="SEA"/>
    <s v="Seattle, WA: Seattle/Tacoma International"/>
    <n v="218"/>
    <n v="99"/>
    <n v="11.64"/>
    <n v="0.18"/>
    <n v="55.06"/>
    <n v="0"/>
    <n v="32.130000000000003"/>
    <n v="1"/>
    <n v="0"/>
    <n v="4968"/>
    <n v="820"/>
    <n v="7"/>
    <n v="2595"/>
    <n v="0"/>
    <n v="1546"/>
    <n v="0.4541"/>
    <n v="4.5999999999999999E-3"/>
    <n v="0"/>
  </r>
  <r>
    <n v="2017"/>
    <n v="8"/>
    <x v="10"/>
    <x v="10"/>
    <s v="SEA"/>
    <s v="Seattle, WA: Seattle/Tacoma International"/>
    <n v="1298"/>
    <n v="464"/>
    <n v="119.31"/>
    <n v="17.899999999999999"/>
    <n v="144.33000000000001"/>
    <n v="0.03"/>
    <n v="182.44"/>
    <n v="4"/>
    <n v="0"/>
    <n v="20743"/>
    <n v="5212"/>
    <n v="1180"/>
    <n v="5526"/>
    <n v="2"/>
    <n v="8823"/>
    <n v="0.35749999999999998"/>
    <n v="3.0999999999999999E-3"/>
    <n v="0"/>
  </r>
  <r>
    <n v="2017"/>
    <n v="7"/>
    <x v="7"/>
    <x v="7"/>
    <s v="SEA"/>
    <s v="Seattle, WA: Seattle/Tacoma International"/>
    <n v="2317"/>
    <n v="262"/>
    <n v="88.96"/>
    <n v="12.7"/>
    <n v="86.61"/>
    <n v="1.82"/>
    <n v="71.91"/>
    <n v="0"/>
    <n v="2"/>
    <n v="14157"/>
    <n v="4235"/>
    <n v="2412"/>
    <n v="2835"/>
    <n v="60"/>
    <n v="4615"/>
    <n v="0.11310000000000001"/>
    <n v="0"/>
    <n v="8.9999999999999998E-4"/>
  </r>
  <r>
    <n v="2017"/>
    <n v="7"/>
    <x v="8"/>
    <x v="8"/>
    <s v="SEA"/>
    <s v="Seattle, WA: Seattle/Tacoma International"/>
    <n v="98"/>
    <n v="18"/>
    <n v="3.92"/>
    <n v="0"/>
    <n v="6.02"/>
    <n v="0"/>
    <n v="8.06"/>
    <n v="0"/>
    <n v="0"/>
    <n v="864"/>
    <n v="194"/>
    <n v="0"/>
    <n v="314"/>
    <n v="0"/>
    <n v="356"/>
    <n v="0.1837"/>
    <n v="0"/>
    <n v="0"/>
  </r>
  <r>
    <n v="2017"/>
    <n v="7"/>
    <x v="0"/>
    <x v="0"/>
    <s v="SEA"/>
    <s v="Seattle, WA: Seattle/Tacoma International"/>
    <n v="62"/>
    <n v="16"/>
    <n v="10.34"/>
    <n v="0"/>
    <n v="0"/>
    <n v="0"/>
    <n v="5.66"/>
    <n v="0"/>
    <n v="0"/>
    <n v="670"/>
    <n v="394"/>
    <n v="0"/>
    <n v="0"/>
    <n v="0"/>
    <n v="276"/>
    <n v="0.2581"/>
    <n v="0"/>
    <n v="0"/>
  </r>
  <r>
    <n v="2017"/>
    <n v="7"/>
    <x v="1"/>
    <x v="1"/>
    <s v="SEA"/>
    <s v="Seattle, WA: Seattle/Tacoma International"/>
    <n v="217"/>
    <n v="41"/>
    <n v="7.19"/>
    <n v="0"/>
    <n v="27.3"/>
    <n v="0"/>
    <n v="6.51"/>
    <n v="1"/>
    <n v="0"/>
    <n v="2452"/>
    <n v="520"/>
    <n v="0"/>
    <n v="1462"/>
    <n v="0"/>
    <n v="470"/>
    <n v="0.18890000000000001"/>
    <n v="4.5999999999999999E-3"/>
    <n v="0"/>
  </r>
  <r>
    <n v="2017"/>
    <n v="7"/>
    <x v="4"/>
    <x v="4"/>
    <s v="SEA"/>
    <s v="Seattle, WA: Seattle/Tacoma International"/>
    <n v="980"/>
    <n v="260"/>
    <n v="83.15"/>
    <n v="22.41"/>
    <n v="63.84"/>
    <n v="0.95"/>
    <n v="89.65"/>
    <n v="15"/>
    <n v="0"/>
    <n v="14899"/>
    <n v="4779"/>
    <n v="1776"/>
    <n v="2886"/>
    <n v="35"/>
    <n v="5423"/>
    <n v="0.26529999999999998"/>
    <n v="1.5299999999999999E-2"/>
    <n v="0"/>
  </r>
  <r>
    <n v="2017"/>
    <n v="7"/>
    <x v="5"/>
    <x v="5"/>
    <s v="SEA"/>
    <s v="Seattle, WA: Seattle/Tacoma International"/>
    <n v="5364"/>
    <n v="805"/>
    <n v="175.29"/>
    <n v="31.55"/>
    <n v="358.47"/>
    <n v="10.46"/>
    <n v="229.23"/>
    <n v="21"/>
    <n v="4"/>
    <n v="38314"/>
    <n v="11318"/>
    <n v="2858"/>
    <n v="11128"/>
    <n v="300"/>
    <n v="12710"/>
    <n v="0.15010000000000001"/>
    <n v="3.8999999999999998E-3"/>
    <n v="6.9999999999999999E-4"/>
  </r>
  <r>
    <n v="2017"/>
    <n v="7"/>
    <x v="6"/>
    <x v="6"/>
    <s v="SEA"/>
    <s v="Seattle, WA: Seattle/Tacoma International"/>
    <n v="243"/>
    <n v="80"/>
    <n v="30.95"/>
    <n v="0.03"/>
    <n v="22.94"/>
    <n v="0.38"/>
    <n v="25.71"/>
    <n v="1"/>
    <n v="1"/>
    <n v="5489"/>
    <n v="2369"/>
    <n v="3"/>
    <n v="1072"/>
    <n v="18"/>
    <n v="2027"/>
    <n v="0.32919999999999999"/>
    <n v="4.1000000000000003E-3"/>
    <n v="4.1000000000000003E-3"/>
  </r>
  <r>
    <n v="2017"/>
    <n v="7"/>
    <x v="2"/>
    <x v="2"/>
    <s v="SEA"/>
    <s v="Seattle, WA: Seattle/Tacoma International"/>
    <n v="1633"/>
    <n v="232"/>
    <n v="39.39"/>
    <n v="19.329999999999998"/>
    <n v="75.739999999999995"/>
    <n v="0.5"/>
    <n v="97.05"/>
    <n v="3"/>
    <n v="0"/>
    <n v="14002"/>
    <n v="5848"/>
    <n v="577"/>
    <n v="2143"/>
    <n v="19"/>
    <n v="5415"/>
    <n v="0.1421"/>
    <n v="1.8E-3"/>
    <n v="0"/>
  </r>
  <r>
    <n v="2017"/>
    <n v="7"/>
    <x v="9"/>
    <x v="9"/>
    <s v="SEA"/>
    <s v="Seattle, WA: Seattle/Tacoma International"/>
    <n v="990"/>
    <n v="185"/>
    <n v="44.51"/>
    <n v="12.89"/>
    <n v="53.86"/>
    <n v="0"/>
    <n v="73.739999999999995"/>
    <n v="3"/>
    <n v="1"/>
    <n v="11687"/>
    <n v="3078"/>
    <n v="821"/>
    <n v="2133"/>
    <n v="0"/>
    <n v="5655"/>
    <n v="0.18690000000000001"/>
    <n v="3.0000000000000001E-3"/>
    <n v="1E-3"/>
  </r>
  <r>
    <n v="2017"/>
    <n v="7"/>
    <x v="14"/>
    <x v="14"/>
    <s v="SEA"/>
    <s v="Seattle, WA: Seattle/Tacoma International"/>
    <n v="227"/>
    <n v="62"/>
    <n v="6.39"/>
    <n v="0.74"/>
    <n v="33.58"/>
    <n v="0"/>
    <n v="21.3"/>
    <n v="0"/>
    <n v="0"/>
    <n v="2809"/>
    <n v="352"/>
    <n v="21"/>
    <n v="1244"/>
    <n v="0"/>
    <n v="1192"/>
    <n v="0.27310000000000001"/>
    <n v="0"/>
    <n v="0"/>
  </r>
  <r>
    <n v="2017"/>
    <n v="7"/>
    <x v="10"/>
    <x v="10"/>
    <s v="SEA"/>
    <s v="Seattle, WA: Seattle/Tacoma International"/>
    <n v="1263"/>
    <n v="293"/>
    <n v="90.41"/>
    <n v="5.09"/>
    <n v="74.13"/>
    <n v="0"/>
    <n v="123.37"/>
    <n v="0"/>
    <n v="2"/>
    <n v="12265"/>
    <n v="3321"/>
    <n v="371"/>
    <n v="2583"/>
    <n v="0"/>
    <n v="5990"/>
    <n v="0.23200000000000001"/>
    <n v="0"/>
    <n v="1.6000000000000001E-3"/>
  </r>
  <r>
    <n v="2017"/>
    <n v="6"/>
    <x v="4"/>
    <x v="4"/>
    <s v="SEA"/>
    <s v="Seattle, WA: Seattle/Tacoma International"/>
    <n v="922"/>
    <n v="279"/>
    <n v="77.19"/>
    <n v="14.29"/>
    <n v="103.79"/>
    <n v="0.27"/>
    <n v="83.45"/>
    <n v="18"/>
    <n v="1"/>
    <n v="16657"/>
    <n v="5238"/>
    <n v="1058"/>
    <n v="3998"/>
    <n v="34"/>
    <n v="6329"/>
    <n v="0.30259999999999998"/>
    <n v="1.95E-2"/>
    <n v="1.1000000000000001E-3"/>
  </r>
  <r>
    <n v="2017"/>
    <n v="6"/>
    <x v="5"/>
    <x v="5"/>
    <s v="SEA"/>
    <s v="Seattle, WA: Seattle/Tacoma International"/>
    <n v="5150"/>
    <n v="908"/>
    <n v="146.74"/>
    <n v="18.43"/>
    <n v="477.02"/>
    <n v="4.84"/>
    <n v="260.97000000000003"/>
    <n v="32"/>
    <n v="7"/>
    <n v="43881"/>
    <n v="9825"/>
    <n v="1271"/>
    <n v="17980"/>
    <n v="122"/>
    <n v="14683"/>
    <n v="0.17630000000000001"/>
    <n v="6.1999999999999998E-3"/>
    <n v="1.4E-3"/>
  </r>
  <r>
    <n v="2017"/>
    <n v="6"/>
    <x v="6"/>
    <x v="6"/>
    <s v="SEA"/>
    <s v="Seattle, WA: Seattle/Tacoma International"/>
    <n v="214"/>
    <n v="69"/>
    <n v="20.399999999999999"/>
    <n v="0"/>
    <n v="20.399999999999999"/>
    <n v="0"/>
    <n v="28.19"/>
    <n v="3"/>
    <n v="0"/>
    <n v="4839"/>
    <n v="1411"/>
    <n v="0"/>
    <n v="939"/>
    <n v="0"/>
    <n v="2489"/>
    <n v="0.32240000000000002"/>
    <n v="1.4E-2"/>
    <n v="0"/>
  </r>
  <r>
    <n v="2017"/>
    <n v="6"/>
    <x v="7"/>
    <x v="7"/>
    <s v="SEA"/>
    <s v="Seattle, WA: Seattle/Tacoma International"/>
    <n v="2046"/>
    <n v="308"/>
    <n v="80.16"/>
    <n v="6.82"/>
    <n v="139.24"/>
    <n v="1"/>
    <n v="80.78"/>
    <n v="2"/>
    <n v="0"/>
    <n v="14565"/>
    <n v="5170"/>
    <n v="505"/>
    <n v="4309"/>
    <n v="52"/>
    <n v="4529"/>
    <n v="0.15049999999999999"/>
    <n v="1E-3"/>
    <n v="0"/>
  </r>
  <r>
    <n v="2017"/>
    <n v="6"/>
    <x v="8"/>
    <x v="8"/>
    <s v="SEA"/>
    <s v="Seattle, WA: Seattle/Tacoma International"/>
    <n v="94"/>
    <n v="32"/>
    <n v="11.02"/>
    <n v="0.23"/>
    <n v="13.36"/>
    <n v="0"/>
    <n v="7.39"/>
    <n v="0"/>
    <n v="0"/>
    <n v="1611"/>
    <n v="635"/>
    <n v="13"/>
    <n v="478"/>
    <n v="0"/>
    <n v="485"/>
    <n v="0.34039999999999998"/>
    <n v="0"/>
    <n v="0"/>
  </r>
  <r>
    <n v="2017"/>
    <n v="6"/>
    <x v="0"/>
    <x v="0"/>
    <s v="SEA"/>
    <s v="Seattle, WA: Seattle/Tacoma International"/>
    <n v="60"/>
    <n v="27"/>
    <n v="20.67"/>
    <n v="0"/>
    <n v="1.18"/>
    <n v="0"/>
    <n v="5.15"/>
    <n v="0"/>
    <n v="0"/>
    <n v="823"/>
    <n v="661"/>
    <n v="0"/>
    <n v="28"/>
    <n v="0"/>
    <n v="134"/>
    <n v="0.45"/>
    <n v="0"/>
    <n v="0"/>
  </r>
  <r>
    <n v="2017"/>
    <n v="6"/>
    <x v="1"/>
    <x v="1"/>
    <s v="SEA"/>
    <s v="Seattle, WA: Seattle/Tacoma International"/>
    <n v="210"/>
    <n v="64"/>
    <n v="14.59"/>
    <n v="0.63"/>
    <n v="32.79"/>
    <n v="0"/>
    <n v="16"/>
    <n v="3"/>
    <n v="1"/>
    <n v="3500"/>
    <n v="936"/>
    <n v="35"/>
    <n v="1359"/>
    <n v="0"/>
    <n v="1170"/>
    <n v="0.30480000000000002"/>
    <n v="1.43E-2"/>
    <n v="4.7999999999999996E-3"/>
  </r>
  <r>
    <n v="2017"/>
    <n v="6"/>
    <x v="2"/>
    <x v="2"/>
    <s v="SEA"/>
    <s v="Seattle, WA: Seattle/Tacoma International"/>
    <n v="1496"/>
    <n v="259"/>
    <n v="28.98"/>
    <n v="33.799999999999997"/>
    <n v="93.04"/>
    <n v="1"/>
    <n v="102.19"/>
    <n v="0"/>
    <n v="0"/>
    <n v="13269"/>
    <n v="2480"/>
    <n v="1506"/>
    <n v="2894"/>
    <n v="15"/>
    <n v="6374"/>
    <n v="0.1731"/>
    <n v="0"/>
    <n v="0"/>
  </r>
  <r>
    <n v="2017"/>
    <n v="6"/>
    <x v="9"/>
    <x v="9"/>
    <s v="SEA"/>
    <s v="Seattle, WA: Seattle/Tacoma International"/>
    <n v="946"/>
    <n v="207"/>
    <n v="40.61"/>
    <n v="8.6"/>
    <n v="88.03"/>
    <n v="0"/>
    <n v="69.760000000000005"/>
    <n v="2"/>
    <n v="2"/>
    <n v="12972"/>
    <n v="2406"/>
    <n v="972"/>
    <n v="3873"/>
    <n v="0"/>
    <n v="5721"/>
    <n v="0.21879999999999999"/>
    <n v="2.0999999999999999E-3"/>
    <n v="2.0999999999999999E-3"/>
  </r>
  <r>
    <n v="2017"/>
    <n v="6"/>
    <x v="14"/>
    <x v="14"/>
    <s v="SEA"/>
    <s v="Seattle, WA: Seattle/Tacoma International"/>
    <n v="224"/>
    <n v="80"/>
    <n v="14.66"/>
    <n v="1.84"/>
    <n v="31.65"/>
    <n v="0.78"/>
    <n v="31.07"/>
    <n v="3"/>
    <n v="0"/>
    <n v="3658"/>
    <n v="462"/>
    <n v="50"/>
    <n v="1378"/>
    <n v="31"/>
    <n v="1737"/>
    <n v="0.35709999999999997"/>
    <n v="1.34E-2"/>
    <n v="0"/>
  </r>
  <r>
    <n v="2017"/>
    <n v="6"/>
    <x v="10"/>
    <x v="10"/>
    <s v="SEA"/>
    <s v="Seattle, WA: Seattle/Tacoma International"/>
    <n v="1196"/>
    <n v="439"/>
    <n v="126.99"/>
    <n v="19.510000000000002"/>
    <n v="140.41"/>
    <n v="0.21"/>
    <n v="151.88"/>
    <n v="1"/>
    <n v="2"/>
    <n v="19115"/>
    <n v="5192"/>
    <n v="1266"/>
    <n v="5745"/>
    <n v="5"/>
    <n v="6907"/>
    <n v="0.36709999999999998"/>
    <n v="8.0000000000000004E-4"/>
    <n v="1.6999999999999999E-3"/>
  </r>
  <r>
    <n v="2017"/>
    <n v="5"/>
    <x v="4"/>
    <x v="4"/>
    <s v="SEA"/>
    <s v="Seattle, WA: Seattle/Tacoma International"/>
    <n v="731"/>
    <n v="147"/>
    <n v="49.25"/>
    <n v="2.96"/>
    <n v="50.08"/>
    <n v="1.53"/>
    <n v="43.18"/>
    <n v="4"/>
    <n v="1"/>
    <n v="7026"/>
    <n v="2688"/>
    <n v="124"/>
    <n v="1911"/>
    <n v="85"/>
    <n v="2218"/>
    <n v="0.2011"/>
    <n v="5.4999999999999997E-3"/>
    <n v="1.4E-3"/>
  </r>
  <r>
    <n v="2017"/>
    <n v="5"/>
    <x v="5"/>
    <x v="5"/>
    <s v="SEA"/>
    <s v="Seattle, WA: Seattle/Tacoma International"/>
    <n v="5168"/>
    <n v="882"/>
    <n v="150.4"/>
    <n v="14.12"/>
    <n v="460.14"/>
    <n v="7.87"/>
    <n v="249.47"/>
    <n v="35"/>
    <n v="6"/>
    <n v="39843"/>
    <n v="8642"/>
    <n v="1489"/>
    <n v="15113"/>
    <n v="224"/>
    <n v="14375"/>
    <n v="0.17069999999999999"/>
    <n v="6.7999999999999996E-3"/>
    <n v="1.1999999999999999E-3"/>
  </r>
  <r>
    <n v="2017"/>
    <n v="5"/>
    <x v="6"/>
    <x v="6"/>
    <s v="SEA"/>
    <s v="Seattle, WA: Seattle/Tacoma International"/>
    <n v="152"/>
    <n v="35"/>
    <n v="12.89"/>
    <n v="0"/>
    <n v="10.42"/>
    <n v="0"/>
    <n v="11.69"/>
    <n v="1"/>
    <n v="2"/>
    <n v="1901"/>
    <n v="640"/>
    <n v="0"/>
    <n v="370"/>
    <n v="0"/>
    <n v="891"/>
    <n v="0.2303"/>
    <n v="6.6E-3"/>
    <n v="1.32E-2"/>
  </r>
  <r>
    <n v="2017"/>
    <n v="5"/>
    <x v="7"/>
    <x v="7"/>
    <s v="SEA"/>
    <s v="Seattle, WA: Seattle/Tacoma International"/>
    <n v="1687"/>
    <n v="251"/>
    <n v="91.44"/>
    <n v="3.72"/>
    <n v="80.489999999999995"/>
    <n v="0"/>
    <n v="75.349999999999994"/>
    <n v="1"/>
    <n v="2"/>
    <n v="12837"/>
    <n v="4707"/>
    <n v="164"/>
    <n v="3259"/>
    <n v="0"/>
    <n v="4707"/>
    <n v="0.14879999999999999"/>
    <n v="5.9999999999999995E-4"/>
    <n v="1.1999999999999999E-3"/>
  </r>
  <r>
    <n v="2017"/>
    <n v="5"/>
    <x v="8"/>
    <x v="8"/>
    <s v="SEA"/>
    <s v="Seattle, WA: Seattle/Tacoma International"/>
    <n v="97"/>
    <n v="25"/>
    <n v="5.58"/>
    <n v="0.61"/>
    <n v="11.24"/>
    <n v="0"/>
    <n v="7.57"/>
    <n v="0"/>
    <n v="0"/>
    <n v="1817"/>
    <n v="299"/>
    <n v="75"/>
    <n v="490"/>
    <n v="0"/>
    <n v="953"/>
    <n v="0.25769999999999998"/>
    <n v="0"/>
    <n v="0"/>
  </r>
  <r>
    <n v="2017"/>
    <n v="5"/>
    <x v="0"/>
    <x v="0"/>
    <s v="SEA"/>
    <s v="Seattle, WA: Seattle/Tacoma International"/>
    <n v="62"/>
    <n v="37"/>
    <n v="27.41"/>
    <n v="0"/>
    <n v="0.76"/>
    <n v="0"/>
    <n v="8.83"/>
    <n v="0"/>
    <n v="0"/>
    <n v="1394"/>
    <n v="905"/>
    <n v="0"/>
    <n v="35"/>
    <n v="0"/>
    <n v="454"/>
    <n v="0.5968"/>
    <n v="0"/>
    <n v="0"/>
  </r>
  <r>
    <n v="2017"/>
    <n v="5"/>
    <x v="1"/>
    <x v="1"/>
    <s v="SEA"/>
    <s v="Seattle, WA: Seattle/Tacoma International"/>
    <n v="169"/>
    <n v="58"/>
    <n v="10.11"/>
    <n v="0"/>
    <n v="39.700000000000003"/>
    <n v="0"/>
    <n v="8.19"/>
    <n v="7"/>
    <n v="0"/>
    <n v="3748"/>
    <n v="859"/>
    <n v="0"/>
    <n v="2309"/>
    <n v="0"/>
    <n v="580"/>
    <n v="0.34320000000000001"/>
    <n v="4.1399999999999999E-2"/>
    <n v="0"/>
  </r>
  <r>
    <n v="2017"/>
    <n v="5"/>
    <x v="2"/>
    <x v="2"/>
    <s v="SEA"/>
    <s v="Seattle, WA: Seattle/Tacoma International"/>
    <n v="1463"/>
    <n v="226"/>
    <n v="25.9"/>
    <n v="13.56"/>
    <n v="77.489999999999995"/>
    <n v="0"/>
    <n v="109.05"/>
    <n v="2"/>
    <n v="3"/>
    <n v="13171"/>
    <n v="2420"/>
    <n v="794"/>
    <n v="2846"/>
    <n v="0"/>
    <n v="7111"/>
    <n v="0.1545"/>
    <n v="1.4E-3"/>
    <n v="2.0999999999999999E-3"/>
  </r>
  <r>
    <n v="2017"/>
    <n v="5"/>
    <x v="9"/>
    <x v="9"/>
    <s v="SEA"/>
    <s v="Seattle, WA: Seattle/Tacoma International"/>
    <n v="846"/>
    <n v="138"/>
    <n v="40.78"/>
    <n v="2.82"/>
    <n v="50.9"/>
    <n v="0"/>
    <n v="43.51"/>
    <n v="0"/>
    <n v="0"/>
    <n v="8075"/>
    <n v="2076"/>
    <n v="193"/>
    <n v="2135"/>
    <n v="0"/>
    <n v="3671"/>
    <n v="0.16309999999999999"/>
    <n v="0"/>
    <n v="0"/>
  </r>
  <r>
    <n v="2017"/>
    <n v="5"/>
    <x v="14"/>
    <x v="14"/>
    <s v="SEA"/>
    <s v="Seattle, WA: Seattle/Tacoma International"/>
    <n v="198"/>
    <n v="78"/>
    <n v="12.15"/>
    <n v="5.0599999999999996"/>
    <n v="22.07"/>
    <n v="0"/>
    <n v="38.71"/>
    <n v="7"/>
    <n v="0"/>
    <n v="3840"/>
    <n v="406"/>
    <n v="111"/>
    <n v="889"/>
    <n v="0"/>
    <n v="2434"/>
    <n v="0.39389999999999997"/>
    <n v="3.5400000000000001E-2"/>
    <n v="0"/>
  </r>
  <r>
    <n v="2017"/>
    <n v="5"/>
    <x v="10"/>
    <x v="10"/>
    <s v="SEA"/>
    <s v="Seattle, WA: Seattle/Tacoma International"/>
    <n v="948"/>
    <n v="288"/>
    <n v="89.32"/>
    <n v="2.86"/>
    <n v="70.25"/>
    <n v="0"/>
    <n v="125.57"/>
    <n v="0"/>
    <n v="0"/>
    <n v="12041"/>
    <n v="3521"/>
    <n v="362"/>
    <n v="2386"/>
    <n v="0"/>
    <n v="5772"/>
    <n v="0.30380000000000001"/>
    <n v="0"/>
    <n v="0"/>
  </r>
  <r>
    <n v="2017"/>
    <n v="4"/>
    <x v="4"/>
    <x v="4"/>
    <s v="SEA"/>
    <s v="Seattle, WA: Seattle/Tacoma International"/>
    <n v="596"/>
    <n v="179"/>
    <n v="55.15"/>
    <n v="1.45"/>
    <n v="67.459999999999994"/>
    <n v="0.28999999999999998"/>
    <n v="54.64"/>
    <n v="3"/>
    <n v="1"/>
    <n v="9392"/>
    <n v="2964"/>
    <n v="78"/>
    <n v="2404"/>
    <n v="23"/>
    <n v="3923"/>
    <n v="0.30030000000000001"/>
    <n v="5.0000000000000001E-3"/>
    <n v="1.6999999999999999E-3"/>
  </r>
  <r>
    <n v="2017"/>
    <n v="4"/>
    <x v="5"/>
    <x v="5"/>
    <s v="SEA"/>
    <s v="Seattle, WA: Seattle/Tacoma International"/>
    <n v="4843"/>
    <n v="857"/>
    <n v="170.07"/>
    <n v="5.96"/>
    <n v="391.43"/>
    <n v="2.0099999999999998"/>
    <n v="287.52999999999997"/>
    <n v="27"/>
    <n v="4"/>
    <n v="38842"/>
    <n v="10613"/>
    <n v="332"/>
    <n v="11247"/>
    <n v="58"/>
    <n v="16592"/>
    <n v="0.17699999999999999"/>
    <n v="5.5999999999999999E-3"/>
    <n v="8.0000000000000004E-4"/>
  </r>
  <r>
    <n v="2017"/>
    <n v="4"/>
    <x v="6"/>
    <x v="6"/>
    <s v="SEA"/>
    <s v="Seattle, WA: Seattle/Tacoma International"/>
    <n v="140"/>
    <n v="25"/>
    <n v="5.38"/>
    <n v="0.51"/>
    <n v="7.66"/>
    <n v="0"/>
    <n v="11.45"/>
    <n v="0"/>
    <n v="0"/>
    <n v="1377"/>
    <n v="290"/>
    <n v="35"/>
    <n v="263"/>
    <n v="0"/>
    <n v="789"/>
    <n v="0.17860000000000001"/>
    <n v="0"/>
    <n v="0"/>
  </r>
  <r>
    <n v="2017"/>
    <n v="4"/>
    <x v="7"/>
    <x v="7"/>
    <s v="SEA"/>
    <s v="Seattle, WA: Seattle/Tacoma International"/>
    <n v="1517"/>
    <n v="276"/>
    <n v="113.74"/>
    <n v="20.54"/>
    <n v="54.64"/>
    <n v="0"/>
    <n v="87.08"/>
    <n v="18"/>
    <n v="0"/>
    <n v="23938"/>
    <n v="11462"/>
    <n v="3306"/>
    <n v="1733"/>
    <n v="0"/>
    <n v="7437"/>
    <n v="0.18190000000000001"/>
    <n v="1.1900000000000001E-2"/>
    <n v="0"/>
  </r>
  <r>
    <n v="2017"/>
    <n v="4"/>
    <x v="8"/>
    <x v="8"/>
    <s v="SEA"/>
    <s v="Seattle, WA: Seattle/Tacoma International"/>
    <n v="74"/>
    <n v="8"/>
    <n v="2.08"/>
    <n v="0"/>
    <n v="2.59"/>
    <n v="0"/>
    <n v="3.33"/>
    <n v="0"/>
    <n v="1"/>
    <n v="629"/>
    <n v="83"/>
    <n v="0"/>
    <n v="84"/>
    <n v="0"/>
    <n v="462"/>
    <n v="0.1081"/>
    <n v="0"/>
    <n v="1.35E-2"/>
  </r>
  <r>
    <n v="2017"/>
    <n v="4"/>
    <x v="0"/>
    <x v="0"/>
    <s v="SEA"/>
    <s v="Seattle, WA: Seattle/Tacoma International"/>
    <n v="60"/>
    <n v="14"/>
    <n v="9.7100000000000009"/>
    <n v="0"/>
    <n v="0.91"/>
    <n v="0"/>
    <n v="3.38"/>
    <n v="0"/>
    <n v="0"/>
    <n v="344"/>
    <n v="252"/>
    <n v="0"/>
    <n v="20"/>
    <n v="0"/>
    <n v="72"/>
    <n v="0.23330000000000001"/>
    <n v="0"/>
    <n v="0"/>
  </r>
  <r>
    <n v="2017"/>
    <n v="4"/>
    <x v="1"/>
    <x v="1"/>
    <s v="SEA"/>
    <s v="Seattle, WA: Seattle/Tacoma International"/>
    <n v="124"/>
    <n v="37"/>
    <n v="6.53"/>
    <n v="0"/>
    <n v="19.8"/>
    <n v="0"/>
    <n v="10.67"/>
    <n v="1"/>
    <n v="0"/>
    <n v="2094"/>
    <n v="482"/>
    <n v="0"/>
    <n v="765"/>
    <n v="0"/>
    <n v="847"/>
    <n v="0.2984"/>
    <n v="8.0999999999999996E-3"/>
    <n v="0"/>
  </r>
  <r>
    <n v="2017"/>
    <n v="4"/>
    <x v="2"/>
    <x v="2"/>
    <s v="SEA"/>
    <s v="Seattle, WA: Seattle/Tacoma International"/>
    <n v="1528"/>
    <n v="202"/>
    <n v="26.61"/>
    <n v="3.37"/>
    <n v="62.6"/>
    <n v="0"/>
    <n v="109.42"/>
    <n v="6"/>
    <n v="0"/>
    <n v="11471"/>
    <n v="2859"/>
    <n v="125"/>
    <n v="1915"/>
    <n v="0"/>
    <n v="6572"/>
    <n v="0.13220000000000001"/>
    <n v="3.8999999999999998E-3"/>
    <n v="0"/>
  </r>
  <r>
    <n v="2017"/>
    <n v="4"/>
    <x v="9"/>
    <x v="9"/>
    <s v="SEA"/>
    <s v="Seattle, WA: Seattle/Tacoma International"/>
    <n v="672"/>
    <n v="130"/>
    <n v="42.74"/>
    <n v="2.19"/>
    <n v="40.36"/>
    <n v="0"/>
    <n v="44.71"/>
    <n v="0"/>
    <n v="0"/>
    <n v="6926"/>
    <n v="2375"/>
    <n v="80"/>
    <n v="1281"/>
    <n v="0"/>
    <n v="3190"/>
    <n v="0.19350000000000001"/>
    <n v="0"/>
    <n v="0"/>
  </r>
  <r>
    <n v="2017"/>
    <n v="4"/>
    <x v="14"/>
    <x v="14"/>
    <s v="SEA"/>
    <s v="Seattle, WA: Seattle/Tacoma International"/>
    <n v="194"/>
    <n v="54"/>
    <n v="6.9"/>
    <n v="4.5999999999999996"/>
    <n v="12.51"/>
    <n v="0.65"/>
    <n v="29.34"/>
    <n v="4"/>
    <n v="0"/>
    <n v="2785"/>
    <n v="240"/>
    <n v="122"/>
    <n v="427"/>
    <n v="11"/>
    <n v="1985"/>
    <n v="0.27839999999999998"/>
    <n v="2.06E-2"/>
    <n v="0"/>
  </r>
  <r>
    <n v="2017"/>
    <n v="4"/>
    <x v="10"/>
    <x v="10"/>
    <s v="SEA"/>
    <s v="Seattle, WA: Seattle/Tacoma International"/>
    <n v="857"/>
    <n v="246"/>
    <n v="66.819999999999993"/>
    <n v="1.49"/>
    <n v="72.34"/>
    <n v="0.09"/>
    <n v="105.27"/>
    <n v="0"/>
    <n v="1"/>
    <n v="10849"/>
    <n v="2754"/>
    <n v="50"/>
    <n v="2077"/>
    <n v="5"/>
    <n v="5963"/>
    <n v="0.28699999999999998"/>
    <n v="0"/>
    <n v="1.1999999999999999E-3"/>
  </r>
  <r>
    <n v="2017"/>
    <n v="3"/>
    <x v="4"/>
    <x v="4"/>
    <s v="SEA"/>
    <s v="Seattle, WA: Seattle/Tacoma International"/>
    <n v="626"/>
    <n v="149"/>
    <n v="36.92"/>
    <n v="2.29"/>
    <n v="60.35"/>
    <n v="0.73"/>
    <n v="48.71"/>
    <n v="1"/>
    <n v="4"/>
    <n v="7497"/>
    <n v="2418"/>
    <n v="218"/>
    <n v="1848"/>
    <n v="29"/>
    <n v="2984"/>
    <n v="0.23799999999999999"/>
    <n v="1.6000000000000001E-3"/>
    <n v="6.4000000000000003E-3"/>
  </r>
  <r>
    <n v="2017"/>
    <n v="3"/>
    <x v="5"/>
    <x v="5"/>
    <s v="SEA"/>
    <s v="Seattle, WA: Seattle/Tacoma International"/>
    <n v="4850"/>
    <n v="973"/>
    <n v="171.75"/>
    <n v="12.31"/>
    <n v="498.08"/>
    <n v="5.57"/>
    <n v="285.29000000000002"/>
    <n v="27"/>
    <n v="5"/>
    <n v="43686"/>
    <n v="9705"/>
    <n v="1145"/>
    <n v="14630"/>
    <n v="249"/>
    <n v="17957"/>
    <n v="0.2006"/>
    <n v="5.5999999999999999E-3"/>
    <n v="1E-3"/>
  </r>
  <r>
    <n v="2017"/>
    <n v="3"/>
    <x v="6"/>
    <x v="6"/>
    <s v="SEA"/>
    <s v="Seattle, WA: Seattle/Tacoma International"/>
    <n v="142"/>
    <n v="37"/>
    <n v="11.77"/>
    <n v="0"/>
    <n v="12.34"/>
    <n v="0"/>
    <n v="12.89"/>
    <n v="3"/>
    <n v="1"/>
    <n v="2107"/>
    <n v="676"/>
    <n v="0"/>
    <n v="451"/>
    <n v="0"/>
    <n v="980"/>
    <n v="0.2606"/>
    <n v="2.1100000000000001E-2"/>
    <n v="7.0000000000000001E-3"/>
  </r>
  <r>
    <n v="2017"/>
    <n v="3"/>
    <x v="7"/>
    <x v="7"/>
    <s v="SEA"/>
    <s v="Seattle, WA: Seattle/Tacoma International"/>
    <n v="1518"/>
    <n v="218"/>
    <n v="74.540000000000006"/>
    <n v="5.35"/>
    <n v="76.510000000000005"/>
    <n v="0"/>
    <n v="61.59"/>
    <n v="2"/>
    <n v="2"/>
    <n v="14522"/>
    <n v="8229"/>
    <n v="477"/>
    <n v="2445"/>
    <n v="0"/>
    <n v="3371"/>
    <n v="0.14360000000000001"/>
    <n v="1.2999999999999999E-3"/>
    <n v="1.2999999999999999E-3"/>
  </r>
  <r>
    <n v="2017"/>
    <n v="3"/>
    <x v="8"/>
    <x v="8"/>
    <s v="SEA"/>
    <s v="Seattle, WA: Seattle/Tacoma International"/>
    <n v="67"/>
    <n v="17"/>
    <n v="5.22"/>
    <n v="0"/>
    <n v="7.72"/>
    <n v="0"/>
    <n v="4.0599999999999996"/>
    <n v="2"/>
    <n v="0"/>
    <n v="954"/>
    <n v="393"/>
    <n v="0"/>
    <n v="238"/>
    <n v="0"/>
    <n v="323"/>
    <n v="0.25369999999999998"/>
    <n v="2.9899999999999999E-2"/>
    <n v="0"/>
  </r>
  <r>
    <n v="2017"/>
    <n v="3"/>
    <x v="0"/>
    <x v="0"/>
    <s v="SEA"/>
    <s v="Seattle, WA: Seattle/Tacoma International"/>
    <n v="62"/>
    <n v="32"/>
    <n v="21.72"/>
    <n v="0"/>
    <n v="0"/>
    <n v="0"/>
    <n v="10.28"/>
    <n v="0"/>
    <n v="0"/>
    <n v="1172"/>
    <n v="746"/>
    <n v="0"/>
    <n v="0"/>
    <n v="0"/>
    <n v="426"/>
    <n v="0.5161"/>
    <n v="0"/>
    <n v="0"/>
  </r>
  <r>
    <n v="2017"/>
    <n v="3"/>
    <x v="1"/>
    <x v="1"/>
    <s v="SEA"/>
    <s v="Seattle, WA: Seattle/Tacoma International"/>
    <n v="124"/>
    <n v="32"/>
    <n v="6.47"/>
    <n v="0"/>
    <n v="17.45"/>
    <n v="0"/>
    <n v="8.08"/>
    <n v="2"/>
    <n v="0"/>
    <n v="1795"/>
    <n v="617"/>
    <n v="0"/>
    <n v="741"/>
    <n v="0"/>
    <n v="437"/>
    <n v="0.2581"/>
    <n v="1.61E-2"/>
    <n v="0"/>
  </r>
  <r>
    <n v="2017"/>
    <n v="3"/>
    <x v="2"/>
    <x v="2"/>
    <s v="SEA"/>
    <s v="Seattle, WA: Seattle/Tacoma International"/>
    <n v="1571"/>
    <n v="275"/>
    <n v="37.15"/>
    <n v="5.42"/>
    <n v="104.87"/>
    <n v="0"/>
    <n v="127.56"/>
    <n v="4"/>
    <n v="2"/>
    <n v="15067"/>
    <n v="2478"/>
    <n v="234"/>
    <n v="3237"/>
    <n v="0"/>
    <n v="9118"/>
    <n v="0.17499999999999999"/>
    <n v="2.5000000000000001E-3"/>
    <n v="1.2999999999999999E-3"/>
  </r>
  <r>
    <n v="2017"/>
    <n v="3"/>
    <x v="9"/>
    <x v="9"/>
    <s v="SEA"/>
    <s v="Seattle, WA: Seattle/Tacoma International"/>
    <n v="690"/>
    <n v="131"/>
    <n v="34.65"/>
    <n v="3.56"/>
    <n v="51.71"/>
    <n v="0"/>
    <n v="41.09"/>
    <n v="4"/>
    <n v="0"/>
    <n v="6886"/>
    <n v="1991"/>
    <n v="297"/>
    <n v="1727"/>
    <n v="0"/>
    <n v="2871"/>
    <n v="0.18990000000000001"/>
    <n v="5.7999999999999996E-3"/>
    <n v="0"/>
  </r>
  <r>
    <n v="2017"/>
    <n v="3"/>
    <x v="14"/>
    <x v="14"/>
    <s v="SEA"/>
    <s v="Seattle, WA: Seattle/Tacoma International"/>
    <n v="196"/>
    <n v="41"/>
    <n v="8.0399999999999991"/>
    <n v="5.48"/>
    <n v="7.08"/>
    <n v="0"/>
    <n v="20.399999999999999"/>
    <n v="1"/>
    <n v="0"/>
    <n v="1890"/>
    <n v="383"/>
    <n v="182"/>
    <n v="188"/>
    <n v="0"/>
    <n v="1137"/>
    <n v="0.2092"/>
    <n v="5.1000000000000004E-3"/>
    <n v="0"/>
  </r>
  <r>
    <n v="2017"/>
    <n v="3"/>
    <x v="10"/>
    <x v="10"/>
    <s v="SEA"/>
    <s v="Seattle, WA: Seattle/Tacoma International"/>
    <n v="858"/>
    <n v="231"/>
    <n v="51.24"/>
    <n v="2.69"/>
    <n v="80.989999999999995"/>
    <n v="0"/>
    <n v="96.08"/>
    <n v="4"/>
    <n v="1"/>
    <n v="9783"/>
    <n v="2095"/>
    <n v="407"/>
    <n v="2554"/>
    <n v="0"/>
    <n v="4727"/>
    <n v="0.26919999999999999"/>
    <n v="4.7000000000000002E-3"/>
    <n v="1.1999999999999999E-3"/>
  </r>
  <r>
    <n v="2017"/>
    <n v="2"/>
    <x v="8"/>
    <x v="8"/>
    <s v="SEA"/>
    <s v="Seattle, WA: Seattle/Tacoma International"/>
    <n v="56"/>
    <n v="11"/>
    <n v="3.12"/>
    <n v="0"/>
    <n v="5.2"/>
    <n v="0"/>
    <n v="2.68"/>
    <n v="0"/>
    <n v="0"/>
    <n v="661"/>
    <n v="153"/>
    <n v="0"/>
    <n v="256"/>
    <n v="0"/>
    <n v="252"/>
    <n v="0.19639999999999999"/>
    <n v="0"/>
    <n v="0"/>
  </r>
  <r>
    <n v="2017"/>
    <n v="2"/>
    <x v="0"/>
    <x v="0"/>
    <s v="SEA"/>
    <s v="Seattle, WA: Seattle/Tacoma International"/>
    <n v="56"/>
    <n v="20"/>
    <n v="13.35"/>
    <n v="1"/>
    <n v="0"/>
    <n v="0"/>
    <n v="5.65"/>
    <n v="0"/>
    <n v="0"/>
    <n v="1250"/>
    <n v="646"/>
    <n v="38"/>
    <n v="0"/>
    <n v="0"/>
    <n v="566"/>
    <n v="0.35709999999999997"/>
    <n v="0"/>
    <n v="0"/>
  </r>
  <r>
    <n v="2017"/>
    <n v="2"/>
    <x v="1"/>
    <x v="1"/>
    <s v="SEA"/>
    <s v="Seattle, WA: Seattle/Tacoma International"/>
    <n v="112"/>
    <n v="22"/>
    <n v="5.4"/>
    <n v="0"/>
    <n v="10.02"/>
    <n v="0"/>
    <n v="6.58"/>
    <n v="1"/>
    <n v="0"/>
    <n v="1546"/>
    <n v="500"/>
    <n v="0"/>
    <n v="772"/>
    <n v="0"/>
    <n v="274"/>
    <n v="0.19639999999999999"/>
    <n v="8.8999999999999999E-3"/>
    <n v="0"/>
  </r>
  <r>
    <n v="2017"/>
    <n v="2"/>
    <x v="2"/>
    <x v="2"/>
    <s v="SEA"/>
    <s v="Seattle, WA: Seattle/Tacoma International"/>
    <n v="1501"/>
    <n v="308"/>
    <n v="47.48"/>
    <n v="8.07"/>
    <n v="97.56"/>
    <n v="0"/>
    <n v="154.88999999999999"/>
    <n v="39"/>
    <n v="0"/>
    <n v="27402"/>
    <n v="6791"/>
    <n v="919"/>
    <n v="4748"/>
    <n v="0"/>
    <n v="14944"/>
    <n v="0.20519999999999999"/>
    <n v="2.5999999999999999E-2"/>
    <n v="0"/>
  </r>
  <r>
    <n v="2017"/>
    <n v="2"/>
    <x v="9"/>
    <x v="9"/>
    <s v="SEA"/>
    <s v="Seattle, WA: Seattle/Tacoma International"/>
    <n v="482"/>
    <n v="89"/>
    <n v="28.15"/>
    <n v="1.49"/>
    <n v="27.63"/>
    <n v="0"/>
    <n v="31.72"/>
    <n v="1"/>
    <n v="3"/>
    <n v="5907"/>
    <n v="1587"/>
    <n v="153"/>
    <n v="1977"/>
    <n v="0"/>
    <n v="2190"/>
    <n v="0.18459999999999999"/>
    <n v="2.0999999999999999E-3"/>
    <n v="6.1999999999999998E-3"/>
  </r>
  <r>
    <n v="2017"/>
    <n v="2"/>
    <x v="14"/>
    <x v="14"/>
    <s v="SEA"/>
    <s v="Seattle, WA: Seattle/Tacoma International"/>
    <n v="168"/>
    <n v="39"/>
    <n v="7.41"/>
    <n v="0.5"/>
    <n v="9.6199999999999992"/>
    <n v="0"/>
    <n v="21.46"/>
    <n v="8"/>
    <n v="0"/>
    <n v="2726"/>
    <n v="486"/>
    <n v="14"/>
    <n v="769"/>
    <n v="0"/>
    <n v="1457"/>
    <n v="0.2321"/>
    <n v="4.7600000000000003E-2"/>
    <n v="0"/>
  </r>
  <r>
    <n v="2017"/>
    <n v="2"/>
    <x v="4"/>
    <x v="4"/>
    <s v="SEA"/>
    <s v="Seattle, WA: Seattle/Tacoma International"/>
    <n v="539"/>
    <n v="114"/>
    <n v="29.75"/>
    <n v="0.48"/>
    <n v="54.73"/>
    <n v="0"/>
    <n v="29.03"/>
    <n v="1"/>
    <n v="2"/>
    <n v="5730"/>
    <n v="1550"/>
    <n v="43"/>
    <n v="2023"/>
    <n v="0"/>
    <n v="2114"/>
    <n v="0.21149999999999999"/>
    <n v="1.9E-3"/>
    <n v="3.7000000000000002E-3"/>
  </r>
  <r>
    <n v="2017"/>
    <n v="2"/>
    <x v="5"/>
    <x v="5"/>
    <s v="SEA"/>
    <s v="Seattle, WA: Seattle/Tacoma International"/>
    <n v="4225"/>
    <n v="795"/>
    <n v="143.78"/>
    <n v="21.97"/>
    <n v="340.67"/>
    <n v="2.14"/>
    <n v="286.45"/>
    <n v="115"/>
    <n v="5"/>
    <n v="47987"/>
    <n v="9464"/>
    <n v="2911"/>
    <n v="15453"/>
    <n v="77"/>
    <n v="20082"/>
    <n v="0.18820000000000001"/>
    <n v="2.7199999999999998E-2"/>
    <n v="1.1999999999999999E-3"/>
  </r>
  <r>
    <n v="2017"/>
    <n v="2"/>
    <x v="6"/>
    <x v="6"/>
    <s v="SEA"/>
    <s v="Seattle, WA: Seattle/Tacoma International"/>
    <n v="130"/>
    <n v="41"/>
    <n v="11.64"/>
    <n v="0.35"/>
    <n v="12.2"/>
    <n v="7.0000000000000007E-2"/>
    <n v="16.739999999999998"/>
    <n v="4"/>
    <n v="6"/>
    <n v="2645"/>
    <n v="626"/>
    <n v="32"/>
    <n v="755"/>
    <n v="7"/>
    <n v="1225"/>
    <n v="0.31540000000000001"/>
    <n v="3.0800000000000001E-2"/>
    <n v="4.6199999999999998E-2"/>
  </r>
  <r>
    <n v="2017"/>
    <n v="2"/>
    <x v="7"/>
    <x v="7"/>
    <s v="SEA"/>
    <s v="Seattle, WA: Seattle/Tacoma International"/>
    <n v="1171"/>
    <n v="206"/>
    <n v="55.4"/>
    <n v="6.96"/>
    <n v="87.23"/>
    <n v="0.68"/>
    <n v="55.73"/>
    <n v="2"/>
    <n v="1"/>
    <n v="11754"/>
    <n v="2860"/>
    <n v="625"/>
    <n v="4434"/>
    <n v="19"/>
    <n v="3816"/>
    <n v="0.1759"/>
    <n v="1.6999999999999999E-3"/>
    <n v="8.9999999999999998E-4"/>
  </r>
  <r>
    <n v="2017"/>
    <n v="2"/>
    <x v="10"/>
    <x v="10"/>
    <s v="SEA"/>
    <s v="Seattle, WA: Seattle/Tacoma International"/>
    <n v="716"/>
    <n v="141"/>
    <n v="29.6"/>
    <n v="9.93"/>
    <n v="39.71"/>
    <n v="0"/>
    <n v="61.75"/>
    <n v="9"/>
    <n v="0"/>
    <n v="6946"/>
    <n v="1257"/>
    <n v="1109"/>
    <n v="1648"/>
    <n v="0"/>
    <n v="2932"/>
    <n v="0.19689999999999999"/>
    <n v="1.26E-2"/>
    <n v="0"/>
  </r>
  <r>
    <n v="2017"/>
    <n v="1"/>
    <x v="4"/>
    <x v="4"/>
    <s v="SEA"/>
    <s v="Seattle, WA: Seattle/Tacoma International"/>
    <n v="600"/>
    <n v="140"/>
    <n v="38.049999999999997"/>
    <n v="3.29"/>
    <n v="54.93"/>
    <n v="0"/>
    <n v="43.73"/>
    <n v="6"/>
    <n v="4"/>
    <n v="6684"/>
    <n v="2227"/>
    <n v="170"/>
    <n v="1991"/>
    <n v="0"/>
    <n v="2296"/>
    <n v="0.23330000000000001"/>
    <n v="0.01"/>
    <n v="6.7000000000000002E-3"/>
  </r>
  <r>
    <n v="2017"/>
    <n v="1"/>
    <x v="5"/>
    <x v="5"/>
    <s v="SEA"/>
    <s v="Seattle, WA: Seattle/Tacoma International"/>
    <n v="4629"/>
    <n v="894"/>
    <n v="133.61000000000001"/>
    <n v="32.5"/>
    <n v="399.97"/>
    <n v="11.08"/>
    <n v="316.83999999999997"/>
    <n v="64"/>
    <n v="5"/>
    <n v="44781"/>
    <n v="8711"/>
    <n v="2600"/>
    <n v="13066"/>
    <n v="369"/>
    <n v="20035"/>
    <n v="0.19309999999999999"/>
    <n v="1.38E-2"/>
    <n v="1.1000000000000001E-3"/>
  </r>
  <r>
    <n v="2017"/>
    <n v="1"/>
    <x v="6"/>
    <x v="6"/>
    <s v="SEA"/>
    <s v="Seattle, WA: Seattle/Tacoma International"/>
    <n v="143"/>
    <n v="38"/>
    <n v="14.06"/>
    <n v="0"/>
    <n v="9.43"/>
    <n v="0.18"/>
    <n v="14.33"/>
    <n v="1"/>
    <n v="4"/>
    <n v="1895"/>
    <n v="721"/>
    <n v="0"/>
    <n v="329"/>
    <n v="30"/>
    <n v="815"/>
    <n v="0.26569999999999999"/>
    <n v="7.0000000000000001E-3"/>
    <n v="2.8000000000000001E-2"/>
  </r>
  <r>
    <n v="2017"/>
    <n v="1"/>
    <x v="7"/>
    <x v="7"/>
    <s v="SEA"/>
    <s v="Seattle, WA: Seattle/Tacoma International"/>
    <n v="1287"/>
    <n v="284"/>
    <n v="89.31"/>
    <n v="19.920000000000002"/>
    <n v="102.21"/>
    <n v="0"/>
    <n v="72.569999999999993"/>
    <n v="6"/>
    <n v="0"/>
    <n v="20287"/>
    <n v="8195"/>
    <n v="2218"/>
    <n v="4463"/>
    <n v="0"/>
    <n v="5411"/>
    <n v="0.22070000000000001"/>
    <n v="4.7000000000000002E-3"/>
    <n v="0"/>
  </r>
  <r>
    <n v="2017"/>
    <n v="1"/>
    <x v="8"/>
    <x v="8"/>
    <s v="SEA"/>
    <s v="Seattle, WA: Seattle/Tacoma International"/>
    <n v="70"/>
    <n v="12"/>
    <n v="5.97"/>
    <n v="0"/>
    <n v="2.89"/>
    <n v="0"/>
    <n v="3.14"/>
    <n v="1"/>
    <n v="0"/>
    <n v="589"/>
    <n v="217"/>
    <n v="0"/>
    <n v="99"/>
    <n v="0"/>
    <n v="273"/>
    <n v="0.1714"/>
    <n v="1.43E-2"/>
    <n v="0"/>
  </r>
  <r>
    <n v="2017"/>
    <n v="1"/>
    <x v="0"/>
    <x v="0"/>
    <s v="SEA"/>
    <s v="Seattle, WA: Seattle/Tacoma International"/>
    <n v="62"/>
    <n v="28"/>
    <n v="22.33"/>
    <n v="0"/>
    <n v="0"/>
    <n v="0"/>
    <n v="5.67"/>
    <n v="0"/>
    <n v="0"/>
    <n v="1188"/>
    <n v="871"/>
    <n v="0"/>
    <n v="0"/>
    <n v="0"/>
    <n v="317"/>
    <n v="0.4516"/>
    <n v="0"/>
    <n v="0"/>
  </r>
  <r>
    <n v="2017"/>
    <n v="1"/>
    <x v="1"/>
    <x v="1"/>
    <s v="SEA"/>
    <s v="Seattle, WA: Seattle/Tacoma International"/>
    <n v="124"/>
    <n v="33"/>
    <n v="2.97"/>
    <n v="0"/>
    <n v="20.440000000000001"/>
    <n v="0"/>
    <n v="9.59"/>
    <n v="2"/>
    <n v="0"/>
    <n v="1965"/>
    <n v="202"/>
    <n v="0"/>
    <n v="1165"/>
    <n v="0"/>
    <n v="598"/>
    <n v="0.2661"/>
    <n v="1.61E-2"/>
    <n v="0"/>
  </r>
  <r>
    <n v="2017"/>
    <n v="1"/>
    <x v="2"/>
    <x v="2"/>
    <s v="SEA"/>
    <s v="Seattle, WA: Seattle/Tacoma International"/>
    <n v="1642"/>
    <n v="353"/>
    <n v="64.790000000000006"/>
    <n v="6.98"/>
    <n v="110.92"/>
    <n v="1"/>
    <n v="169.31"/>
    <n v="29"/>
    <n v="2"/>
    <n v="25982"/>
    <n v="7103"/>
    <n v="386"/>
    <n v="4445"/>
    <n v="17"/>
    <n v="14031"/>
    <n v="0.215"/>
    <n v="1.77E-2"/>
    <n v="1.1999999999999999E-3"/>
  </r>
  <r>
    <n v="2017"/>
    <n v="1"/>
    <x v="9"/>
    <x v="9"/>
    <s v="SEA"/>
    <s v="Seattle, WA: Seattle/Tacoma International"/>
    <n v="526"/>
    <n v="124"/>
    <n v="52.49"/>
    <n v="2.63"/>
    <n v="32.619999999999997"/>
    <n v="0"/>
    <n v="36.26"/>
    <n v="2"/>
    <n v="1"/>
    <n v="7587"/>
    <n v="3018"/>
    <n v="231"/>
    <n v="1226"/>
    <n v="0"/>
    <n v="3112"/>
    <n v="0.23569999999999999"/>
    <n v="3.8E-3"/>
    <n v="1.9E-3"/>
  </r>
  <r>
    <n v="2017"/>
    <n v="1"/>
    <x v="14"/>
    <x v="14"/>
    <s v="SEA"/>
    <s v="Seattle, WA: Seattle/Tacoma International"/>
    <n v="192"/>
    <n v="45"/>
    <n v="4.1100000000000003"/>
    <n v="0"/>
    <n v="8.83"/>
    <n v="0"/>
    <n v="32.06"/>
    <n v="7"/>
    <n v="0"/>
    <n v="2712"/>
    <n v="184"/>
    <n v="0"/>
    <n v="289"/>
    <n v="0"/>
    <n v="2239"/>
    <n v="0.2344"/>
    <n v="3.6499999999999998E-2"/>
    <n v="0"/>
  </r>
  <r>
    <n v="2017"/>
    <n v="1"/>
    <x v="10"/>
    <x v="10"/>
    <s v="SEA"/>
    <s v="Seattle, WA: Seattle/Tacoma International"/>
    <n v="850"/>
    <n v="242"/>
    <n v="71.59"/>
    <n v="3.77"/>
    <n v="52.07"/>
    <n v="0"/>
    <n v="114.57"/>
    <n v="9"/>
    <n v="0"/>
    <n v="11228"/>
    <n v="3388"/>
    <n v="231"/>
    <n v="1959"/>
    <n v="0"/>
    <n v="5650"/>
    <n v="0.28470000000000001"/>
    <n v="1.06E-2"/>
    <n v="0"/>
  </r>
  <r>
    <n v="2016"/>
    <n v="12"/>
    <x v="4"/>
    <x v="4"/>
    <s v="SEA"/>
    <s v="Seattle, WA: Seattle/Tacoma International"/>
    <n v="680"/>
    <n v="262"/>
    <n v="68.73"/>
    <n v="9.59"/>
    <n v="122.89"/>
    <n v="0.93"/>
    <n v="59.87"/>
    <n v="6"/>
    <n v="10"/>
    <n v="12033"/>
    <n v="3313"/>
    <n v="610"/>
    <n v="4230"/>
    <n v="27"/>
    <n v="3853"/>
    <n v="0.38529999999999998"/>
    <n v="8.8000000000000005E-3"/>
    <n v="1.47E-2"/>
  </r>
  <r>
    <n v="2016"/>
    <n v="12"/>
    <x v="5"/>
    <x v="5"/>
    <s v="SEA"/>
    <s v="Seattle, WA: Seattle/Tacoma International"/>
    <n v="4551"/>
    <n v="1045"/>
    <n v="153.29"/>
    <n v="36.14"/>
    <n v="530.12"/>
    <n v="9.58"/>
    <n v="315.87"/>
    <n v="75"/>
    <n v="7"/>
    <n v="57228"/>
    <n v="10085"/>
    <n v="3207"/>
    <n v="20421"/>
    <n v="331"/>
    <n v="23184"/>
    <n v="0.2296"/>
    <n v="1.6500000000000001E-2"/>
    <n v="1.5E-3"/>
  </r>
  <r>
    <n v="2016"/>
    <n v="12"/>
    <x v="6"/>
    <x v="6"/>
    <s v="SEA"/>
    <s v="Seattle, WA: Seattle/Tacoma International"/>
    <n v="148"/>
    <n v="53"/>
    <n v="19.68"/>
    <n v="1"/>
    <n v="21.92"/>
    <n v="0"/>
    <n v="10.4"/>
    <n v="0"/>
    <n v="4"/>
    <n v="3076"/>
    <n v="1390"/>
    <n v="63"/>
    <n v="835"/>
    <n v="0"/>
    <n v="788"/>
    <n v="0.35809999999999997"/>
    <n v="0"/>
    <n v="2.7E-2"/>
  </r>
  <r>
    <n v="2016"/>
    <n v="12"/>
    <x v="7"/>
    <x v="7"/>
    <s v="SEA"/>
    <s v="Seattle, WA: Seattle/Tacoma International"/>
    <n v="1392"/>
    <n v="392"/>
    <n v="111.12"/>
    <n v="13.88"/>
    <n v="181.89"/>
    <n v="0"/>
    <n v="85.11"/>
    <n v="3"/>
    <n v="1"/>
    <n v="21439"/>
    <n v="7142"/>
    <n v="1240"/>
    <n v="6758"/>
    <n v="0"/>
    <n v="6299"/>
    <n v="0.28160000000000002"/>
    <n v="2.2000000000000001E-3"/>
    <n v="6.9999999999999999E-4"/>
  </r>
  <r>
    <n v="2016"/>
    <n v="12"/>
    <x v="8"/>
    <x v="8"/>
    <s v="SEA"/>
    <s v="Seattle, WA: Seattle/Tacoma International"/>
    <n v="76"/>
    <n v="30"/>
    <n v="14.57"/>
    <n v="0"/>
    <n v="11.55"/>
    <n v="0"/>
    <n v="3.88"/>
    <n v="3"/>
    <n v="0"/>
    <n v="1891"/>
    <n v="1057"/>
    <n v="0"/>
    <n v="428"/>
    <n v="0"/>
    <n v="406"/>
    <n v="0.3947"/>
    <n v="3.95E-2"/>
    <n v="0"/>
  </r>
  <r>
    <n v="2016"/>
    <n v="12"/>
    <x v="0"/>
    <x v="0"/>
    <s v="SEA"/>
    <s v="Seattle, WA: Seattle/Tacoma International"/>
    <n v="62"/>
    <n v="26"/>
    <n v="9.52"/>
    <n v="0"/>
    <n v="0"/>
    <n v="0"/>
    <n v="16.48"/>
    <n v="0"/>
    <n v="1"/>
    <n v="1033"/>
    <n v="437"/>
    <n v="0"/>
    <n v="0"/>
    <n v="0"/>
    <n v="596"/>
    <n v="0.4194"/>
    <n v="0"/>
    <n v="1.61E-2"/>
  </r>
  <r>
    <n v="2016"/>
    <n v="12"/>
    <x v="1"/>
    <x v="1"/>
    <s v="SEA"/>
    <s v="Seattle, WA: Seattle/Tacoma International"/>
    <n v="124"/>
    <n v="30"/>
    <n v="2.93"/>
    <n v="0"/>
    <n v="19.989999999999998"/>
    <n v="0"/>
    <n v="7.08"/>
    <n v="1"/>
    <n v="0"/>
    <n v="1831"/>
    <n v="269"/>
    <n v="0"/>
    <n v="1083"/>
    <n v="0"/>
    <n v="479"/>
    <n v="0.2419"/>
    <n v="8.0999999999999996E-3"/>
    <n v="0"/>
  </r>
  <r>
    <n v="2016"/>
    <n v="12"/>
    <x v="2"/>
    <x v="2"/>
    <s v="SEA"/>
    <s v="Seattle, WA: Seattle/Tacoma International"/>
    <n v="1536"/>
    <n v="415"/>
    <n v="76.44"/>
    <n v="17.95"/>
    <n v="120.1"/>
    <n v="0"/>
    <n v="200.51"/>
    <n v="17"/>
    <n v="2"/>
    <n v="31404"/>
    <n v="9302"/>
    <n v="1636"/>
    <n v="4480"/>
    <n v="0"/>
    <n v="15986"/>
    <n v="0.2702"/>
    <n v="1.11E-2"/>
    <n v="1.2999999999999999E-3"/>
  </r>
  <r>
    <n v="2016"/>
    <n v="12"/>
    <x v="9"/>
    <x v="9"/>
    <s v="SEA"/>
    <s v="Seattle, WA: Seattle/Tacoma International"/>
    <n v="745"/>
    <n v="208"/>
    <n v="78.599999999999994"/>
    <n v="9.57"/>
    <n v="52.47"/>
    <n v="0"/>
    <n v="67.349999999999994"/>
    <n v="4"/>
    <n v="1"/>
    <n v="13059"/>
    <n v="3995"/>
    <n v="748"/>
    <n v="1926"/>
    <n v="0"/>
    <n v="6390"/>
    <n v="0.2792"/>
    <n v="5.4000000000000003E-3"/>
    <n v="1.2999999999999999E-3"/>
  </r>
  <r>
    <n v="2016"/>
    <n v="12"/>
    <x v="14"/>
    <x v="14"/>
    <s v="SEA"/>
    <s v="Seattle, WA: Seattle/Tacoma International"/>
    <n v="228"/>
    <n v="53"/>
    <n v="9.67"/>
    <n v="2.36"/>
    <n v="12.82"/>
    <n v="0"/>
    <n v="28.15"/>
    <n v="3"/>
    <n v="0"/>
    <n v="2947"/>
    <n v="422"/>
    <n v="81"/>
    <n v="488"/>
    <n v="0"/>
    <n v="1956"/>
    <n v="0.23250000000000001"/>
    <n v="1.32E-2"/>
    <n v="0"/>
  </r>
  <r>
    <n v="2016"/>
    <n v="12"/>
    <x v="10"/>
    <x v="10"/>
    <s v="SEA"/>
    <s v="Seattle, WA: Seattle/Tacoma International"/>
    <n v="1091"/>
    <n v="406"/>
    <n v="122.69"/>
    <n v="4.97"/>
    <n v="123.03"/>
    <n v="0.42"/>
    <n v="154.9"/>
    <n v="7"/>
    <n v="3"/>
    <n v="18520"/>
    <n v="5722"/>
    <n v="217"/>
    <n v="4104"/>
    <n v="10"/>
    <n v="8467"/>
    <n v="0.37209999999999999"/>
    <n v="6.4000000000000003E-3"/>
    <n v="2.7000000000000001E-3"/>
  </r>
  <r>
    <n v="2016"/>
    <n v="11"/>
    <x v="9"/>
    <x v="9"/>
    <s v="SEA"/>
    <s v="Seattle, WA: Seattle/Tacoma International"/>
    <n v="704"/>
    <n v="72"/>
    <n v="25.7"/>
    <n v="2.98"/>
    <n v="16.03"/>
    <n v="0"/>
    <n v="27.3"/>
    <n v="1"/>
    <n v="1"/>
    <n v="3656"/>
    <n v="1138"/>
    <n v="272"/>
    <n v="752"/>
    <n v="0"/>
    <n v="1494"/>
    <n v="0.1023"/>
    <n v="1.4E-3"/>
    <n v="1.4E-3"/>
  </r>
  <r>
    <n v="2016"/>
    <n v="11"/>
    <x v="14"/>
    <x v="14"/>
    <s v="SEA"/>
    <s v="Seattle, WA: Seattle/Tacoma International"/>
    <n v="222"/>
    <n v="26"/>
    <n v="2.65"/>
    <n v="6.4"/>
    <n v="4.76"/>
    <n v="0"/>
    <n v="12.19"/>
    <n v="1"/>
    <n v="0"/>
    <n v="1026"/>
    <n v="261"/>
    <n v="130"/>
    <n v="142"/>
    <n v="0"/>
    <n v="493"/>
    <n v="0.1171"/>
    <n v="4.4999999999999997E-3"/>
    <n v="0"/>
  </r>
  <r>
    <n v="2016"/>
    <n v="11"/>
    <x v="10"/>
    <x v="10"/>
    <s v="SEA"/>
    <s v="Seattle, WA: Seattle/Tacoma International"/>
    <n v="1089"/>
    <n v="127"/>
    <n v="37.6"/>
    <n v="0"/>
    <n v="37.24"/>
    <n v="0"/>
    <n v="52.16"/>
    <n v="0"/>
    <n v="0"/>
    <n v="4966"/>
    <n v="1612"/>
    <n v="0"/>
    <n v="1135"/>
    <n v="0"/>
    <n v="2219"/>
    <n v="0.1166"/>
    <n v="0"/>
    <n v="0"/>
  </r>
  <r>
    <n v="2016"/>
    <n v="11"/>
    <x v="4"/>
    <x v="4"/>
    <s v="SEA"/>
    <s v="Seattle, WA: Seattle/Tacoma International"/>
    <n v="628"/>
    <n v="89"/>
    <n v="29.62"/>
    <n v="2.1800000000000002"/>
    <n v="29.24"/>
    <n v="0.41"/>
    <n v="27.55"/>
    <n v="1"/>
    <n v="2"/>
    <n v="4276"/>
    <n v="1684"/>
    <n v="62"/>
    <n v="968"/>
    <n v="29"/>
    <n v="1533"/>
    <n v="0.14169999999999999"/>
    <n v="1.6000000000000001E-3"/>
    <n v="3.2000000000000002E-3"/>
  </r>
  <r>
    <n v="2016"/>
    <n v="11"/>
    <x v="5"/>
    <x v="5"/>
    <s v="SEA"/>
    <s v="Seattle, WA: Seattle/Tacoma International"/>
    <n v="4400"/>
    <n v="558"/>
    <n v="96.01"/>
    <n v="3.9"/>
    <n v="311.45"/>
    <n v="5.0199999999999996"/>
    <n v="141.61000000000001"/>
    <n v="3"/>
    <n v="5"/>
    <n v="23610"/>
    <n v="5395"/>
    <n v="321"/>
    <n v="9058"/>
    <n v="169"/>
    <n v="8667"/>
    <n v="0.1268"/>
    <n v="6.9999999999999999E-4"/>
    <n v="1.1000000000000001E-3"/>
  </r>
  <r>
    <n v="2016"/>
    <n v="11"/>
    <x v="6"/>
    <x v="6"/>
    <s v="SEA"/>
    <s v="Seattle, WA: Seattle/Tacoma International"/>
    <n v="136"/>
    <n v="14"/>
    <n v="6.87"/>
    <n v="0"/>
    <n v="2.0299999999999998"/>
    <n v="0"/>
    <n v="5.09"/>
    <n v="0"/>
    <n v="0"/>
    <n v="912"/>
    <n v="540"/>
    <n v="0"/>
    <n v="47"/>
    <n v="0"/>
    <n v="325"/>
    <n v="0.10290000000000001"/>
    <n v="0"/>
    <n v="0"/>
  </r>
  <r>
    <n v="2016"/>
    <n v="11"/>
    <x v="7"/>
    <x v="7"/>
    <s v="SEA"/>
    <s v="Seattle, WA: Seattle/Tacoma International"/>
    <n v="1289"/>
    <n v="108"/>
    <n v="37.090000000000003"/>
    <n v="2"/>
    <n v="45.46"/>
    <n v="1"/>
    <n v="22.45"/>
    <n v="0"/>
    <n v="1"/>
    <n v="5402"/>
    <n v="2937"/>
    <n v="109"/>
    <n v="1331"/>
    <n v="46"/>
    <n v="979"/>
    <n v="8.3799999999999999E-2"/>
    <n v="0"/>
    <n v="8.0000000000000004E-4"/>
  </r>
  <r>
    <n v="2016"/>
    <n v="11"/>
    <x v="8"/>
    <x v="8"/>
    <s v="SEA"/>
    <s v="Seattle, WA: Seattle/Tacoma International"/>
    <n v="72"/>
    <n v="3"/>
    <n v="1.45"/>
    <n v="0"/>
    <n v="1.55"/>
    <n v="0"/>
    <n v="0"/>
    <n v="0"/>
    <n v="0"/>
    <n v="113"/>
    <n v="46"/>
    <n v="0"/>
    <n v="67"/>
    <n v="0"/>
    <n v="0"/>
    <n v="4.1700000000000001E-2"/>
    <n v="0"/>
    <n v="0"/>
  </r>
  <r>
    <n v="2016"/>
    <n v="11"/>
    <x v="0"/>
    <x v="0"/>
    <s v="SEA"/>
    <s v="Seattle, WA: Seattle/Tacoma International"/>
    <n v="60"/>
    <n v="16"/>
    <n v="11.71"/>
    <n v="0"/>
    <n v="0"/>
    <n v="0"/>
    <n v="4.29"/>
    <n v="0"/>
    <n v="0"/>
    <n v="748"/>
    <n v="526"/>
    <n v="0"/>
    <n v="0"/>
    <n v="0"/>
    <n v="222"/>
    <n v="0.26669999999999999"/>
    <n v="0"/>
    <n v="0"/>
  </r>
  <r>
    <n v="2016"/>
    <n v="11"/>
    <x v="1"/>
    <x v="1"/>
    <s v="SEA"/>
    <s v="Seattle, WA: Seattle/Tacoma International"/>
    <n v="120"/>
    <n v="13"/>
    <n v="3.14"/>
    <n v="0"/>
    <n v="7.27"/>
    <n v="0"/>
    <n v="2.59"/>
    <n v="0"/>
    <n v="0"/>
    <n v="498"/>
    <n v="99"/>
    <n v="0"/>
    <n v="278"/>
    <n v="0"/>
    <n v="121"/>
    <n v="0.10829999999999999"/>
    <n v="0"/>
    <n v="0"/>
  </r>
  <r>
    <n v="2016"/>
    <n v="11"/>
    <x v="2"/>
    <x v="2"/>
    <s v="SEA"/>
    <s v="Seattle, WA: Seattle/Tacoma International"/>
    <n v="1448"/>
    <n v="165"/>
    <n v="31.63"/>
    <n v="6.29"/>
    <n v="41.38"/>
    <n v="0"/>
    <n v="85.71"/>
    <n v="1"/>
    <n v="4"/>
    <n v="12136"/>
    <n v="4607"/>
    <n v="845"/>
    <n v="1609"/>
    <n v="0"/>
    <n v="5075"/>
    <n v="0.114"/>
    <n v="6.9999999999999999E-4"/>
    <n v="2.8E-3"/>
  </r>
  <r>
    <n v="2016"/>
    <n v="10"/>
    <x v="4"/>
    <x v="4"/>
    <s v="SEA"/>
    <s v="Seattle, WA: Seattle/Tacoma International"/>
    <n v="664"/>
    <n v="166"/>
    <n v="53.45"/>
    <n v="1.95"/>
    <n v="80.069999999999993"/>
    <n v="0.21"/>
    <n v="30.31"/>
    <n v="2"/>
    <n v="2"/>
    <n v="7934"/>
    <n v="2738"/>
    <n v="97"/>
    <n v="3110"/>
    <n v="9"/>
    <n v="1980"/>
    <n v="0.25"/>
    <n v="3.0000000000000001E-3"/>
    <n v="3.0000000000000001E-3"/>
  </r>
  <r>
    <n v="2016"/>
    <n v="10"/>
    <x v="5"/>
    <x v="5"/>
    <s v="SEA"/>
    <s v="Seattle, WA: Seattle/Tacoma International"/>
    <n v="4569"/>
    <n v="569"/>
    <n v="89"/>
    <n v="12.12"/>
    <n v="333.41"/>
    <n v="2.31"/>
    <n v="132.16999999999999"/>
    <n v="33"/>
    <n v="2"/>
    <n v="26679"/>
    <n v="4755"/>
    <n v="837"/>
    <n v="12462"/>
    <n v="78"/>
    <n v="8547"/>
    <n v="0.1245"/>
    <n v="7.1999999999999998E-3"/>
    <n v="4.0000000000000002E-4"/>
  </r>
  <r>
    <n v="2016"/>
    <n v="10"/>
    <x v="6"/>
    <x v="6"/>
    <s v="SEA"/>
    <s v="Seattle, WA: Seattle/Tacoma International"/>
    <n v="156"/>
    <n v="52"/>
    <n v="11.26"/>
    <n v="0.36"/>
    <n v="25.17"/>
    <n v="0"/>
    <n v="15.21"/>
    <n v="0"/>
    <n v="0"/>
    <n v="2532"/>
    <n v="740"/>
    <n v="19"/>
    <n v="793"/>
    <n v="0"/>
    <n v="980"/>
    <n v="0.33329999999999999"/>
    <n v="0"/>
    <n v="0"/>
  </r>
  <r>
    <n v="2016"/>
    <n v="10"/>
    <x v="7"/>
    <x v="7"/>
    <s v="SEA"/>
    <s v="Seattle, WA: Seattle/Tacoma International"/>
    <n v="1644"/>
    <n v="190"/>
    <n v="55.12"/>
    <n v="3.14"/>
    <n v="95.6"/>
    <n v="0"/>
    <n v="36.15"/>
    <n v="0"/>
    <n v="0"/>
    <n v="9545"/>
    <n v="4310"/>
    <n v="216"/>
    <n v="3315"/>
    <n v="0"/>
    <n v="1704"/>
    <n v="0.11559999999999999"/>
    <n v="0"/>
    <n v="0"/>
  </r>
  <r>
    <n v="2016"/>
    <n v="10"/>
    <x v="8"/>
    <x v="8"/>
    <s v="SEA"/>
    <s v="Seattle, WA: Seattle/Tacoma International"/>
    <n v="109"/>
    <n v="34"/>
    <n v="11.61"/>
    <n v="0"/>
    <n v="18.100000000000001"/>
    <n v="0"/>
    <n v="4.29"/>
    <n v="0"/>
    <n v="0"/>
    <n v="1507"/>
    <n v="438"/>
    <n v="0"/>
    <n v="599"/>
    <n v="0"/>
    <n v="470"/>
    <n v="0.31190000000000001"/>
    <n v="0"/>
    <n v="0"/>
  </r>
  <r>
    <n v="2016"/>
    <n v="10"/>
    <x v="0"/>
    <x v="0"/>
    <s v="SEA"/>
    <s v="Seattle, WA: Seattle/Tacoma International"/>
    <n v="62"/>
    <n v="13"/>
    <n v="8.8699999999999992"/>
    <n v="0"/>
    <n v="0.64"/>
    <n v="0"/>
    <n v="3.49"/>
    <n v="0"/>
    <n v="0"/>
    <n v="340"/>
    <n v="232"/>
    <n v="0"/>
    <n v="16"/>
    <n v="0"/>
    <n v="92"/>
    <n v="0.2097"/>
    <n v="0"/>
    <n v="0"/>
  </r>
  <r>
    <n v="2016"/>
    <n v="10"/>
    <x v="1"/>
    <x v="1"/>
    <s v="SEA"/>
    <s v="Seattle, WA: Seattle/Tacoma International"/>
    <n v="124"/>
    <n v="24"/>
    <n v="2.11"/>
    <n v="0"/>
    <n v="19.89"/>
    <n v="0"/>
    <n v="2"/>
    <n v="0"/>
    <n v="0"/>
    <n v="1436"/>
    <n v="267"/>
    <n v="0"/>
    <n v="1072"/>
    <n v="0"/>
    <n v="97"/>
    <n v="0.19350000000000001"/>
    <n v="0"/>
    <n v="0"/>
  </r>
  <r>
    <n v="2016"/>
    <n v="10"/>
    <x v="2"/>
    <x v="2"/>
    <s v="SEA"/>
    <s v="Seattle, WA: Seattle/Tacoma International"/>
    <n v="1298"/>
    <n v="224"/>
    <n v="35.450000000000003"/>
    <n v="9.18"/>
    <n v="63.61"/>
    <n v="0"/>
    <n v="115.76"/>
    <n v="5"/>
    <n v="2"/>
    <n v="14658"/>
    <n v="4363"/>
    <n v="284"/>
    <n v="2213"/>
    <n v="0"/>
    <n v="7798"/>
    <n v="0.1726"/>
    <n v="3.8999999999999998E-3"/>
    <n v="1.5E-3"/>
  </r>
  <r>
    <n v="2016"/>
    <n v="10"/>
    <x v="9"/>
    <x v="9"/>
    <s v="SEA"/>
    <s v="Seattle, WA: Seattle/Tacoma International"/>
    <n v="814"/>
    <n v="161"/>
    <n v="56.35"/>
    <n v="0"/>
    <n v="53.91"/>
    <n v="0"/>
    <n v="50.74"/>
    <n v="2"/>
    <n v="1"/>
    <n v="10185"/>
    <n v="3189"/>
    <n v="0"/>
    <n v="2704"/>
    <n v="0"/>
    <n v="4292"/>
    <n v="0.1978"/>
    <n v="2.5000000000000001E-3"/>
    <n v="1.1999999999999999E-3"/>
  </r>
  <r>
    <n v="2016"/>
    <n v="10"/>
    <x v="14"/>
    <x v="14"/>
    <s v="SEA"/>
    <s v="Seattle, WA: Seattle/Tacoma International"/>
    <n v="223"/>
    <n v="44"/>
    <n v="7.18"/>
    <n v="1.95"/>
    <n v="8.65"/>
    <n v="0"/>
    <n v="26.22"/>
    <n v="4"/>
    <n v="0"/>
    <n v="2746"/>
    <n v="290"/>
    <n v="45"/>
    <n v="454"/>
    <n v="0"/>
    <n v="1957"/>
    <n v="0.1973"/>
    <n v="1.7899999999999999E-2"/>
    <n v="0"/>
  </r>
  <r>
    <n v="2016"/>
    <n v="10"/>
    <x v="10"/>
    <x v="10"/>
    <s v="SEA"/>
    <s v="Seattle, WA: Seattle/Tacoma International"/>
    <n v="1217"/>
    <n v="254"/>
    <n v="40.590000000000003"/>
    <n v="15.86"/>
    <n v="113.57"/>
    <n v="0"/>
    <n v="83.98"/>
    <n v="0"/>
    <n v="0"/>
    <n v="10273"/>
    <n v="1858"/>
    <n v="1021"/>
    <n v="3619"/>
    <n v="0"/>
    <n v="3775"/>
    <n v="0.2087"/>
    <n v="0"/>
    <n v="0"/>
  </r>
  <r>
    <n v="2016"/>
    <n v="9"/>
    <x v="4"/>
    <x v="4"/>
    <s v="SEA"/>
    <s v="Seattle, WA: Seattle/Tacoma International"/>
    <n v="756"/>
    <n v="135"/>
    <n v="45.76"/>
    <n v="3.87"/>
    <n v="47.52"/>
    <n v="0"/>
    <n v="37.840000000000003"/>
    <n v="0"/>
    <n v="1"/>
    <n v="7007"/>
    <n v="2477"/>
    <n v="213"/>
    <n v="2002"/>
    <n v="0"/>
    <n v="2315"/>
    <n v="0.17860000000000001"/>
    <n v="0"/>
    <n v="1.2999999999999999E-3"/>
  </r>
  <r>
    <n v="2016"/>
    <n v="9"/>
    <x v="5"/>
    <x v="5"/>
    <s v="SEA"/>
    <s v="Seattle, WA: Seattle/Tacoma International"/>
    <n v="4535"/>
    <n v="462"/>
    <n v="94.8"/>
    <n v="10.09"/>
    <n v="237.49"/>
    <n v="2.8"/>
    <n v="116.82"/>
    <n v="7"/>
    <n v="3"/>
    <n v="20528"/>
    <n v="6147"/>
    <n v="489"/>
    <n v="6424"/>
    <n v="80"/>
    <n v="7388"/>
    <n v="0.1019"/>
    <n v="1.5E-3"/>
    <n v="6.9999999999999999E-4"/>
  </r>
  <r>
    <n v="2016"/>
    <n v="9"/>
    <x v="6"/>
    <x v="6"/>
    <s v="SEA"/>
    <s v="Seattle, WA: Seattle/Tacoma International"/>
    <n v="182"/>
    <n v="39"/>
    <n v="13.57"/>
    <n v="0"/>
    <n v="16.149999999999999"/>
    <n v="0"/>
    <n v="9.2799999999999994"/>
    <n v="1"/>
    <n v="0"/>
    <n v="1821"/>
    <n v="861"/>
    <n v="0"/>
    <n v="550"/>
    <n v="0"/>
    <n v="410"/>
    <n v="0.21429999999999999"/>
    <n v="5.4999999999999997E-3"/>
    <n v="0"/>
  </r>
  <r>
    <n v="2016"/>
    <n v="9"/>
    <x v="7"/>
    <x v="7"/>
    <s v="SEA"/>
    <s v="Seattle, WA: Seattle/Tacoma International"/>
    <n v="1678"/>
    <n v="199"/>
    <n v="72.150000000000006"/>
    <n v="5.98"/>
    <n v="74.16"/>
    <n v="0"/>
    <n v="46.71"/>
    <n v="0"/>
    <n v="0"/>
    <n v="10150"/>
    <n v="4097"/>
    <n v="1325"/>
    <n v="2178"/>
    <n v="0"/>
    <n v="2550"/>
    <n v="0.1186"/>
    <n v="0"/>
    <n v="0"/>
  </r>
  <r>
    <n v="2016"/>
    <n v="9"/>
    <x v="8"/>
    <x v="8"/>
    <s v="SEA"/>
    <s v="Seattle, WA: Seattle/Tacoma International"/>
    <n v="126"/>
    <n v="33"/>
    <n v="13.15"/>
    <n v="0"/>
    <n v="13.66"/>
    <n v="0"/>
    <n v="6.19"/>
    <n v="1"/>
    <n v="0"/>
    <n v="1601"/>
    <n v="714"/>
    <n v="0"/>
    <n v="400"/>
    <n v="0"/>
    <n v="487"/>
    <n v="0.26190000000000002"/>
    <n v="7.9000000000000008E-3"/>
    <n v="0"/>
  </r>
  <r>
    <n v="2016"/>
    <n v="9"/>
    <x v="0"/>
    <x v="0"/>
    <s v="SEA"/>
    <s v="Seattle, WA: Seattle/Tacoma International"/>
    <n v="60"/>
    <n v="13"/>
    <n v="9.4700000000000006"/>
    <n v="0"/>
    <n v="0.81"/>
    <n v="1"/>
    <n v="1.72"/>
    <n v="0"/>
    <n v="0"/>
    <n v="768"/>
    <n v="675"/>
    <n v="0"/>
    <n v="13"/>
    <n v="25"/>
    <n v="55"/>
    <n v="0.2167"/>
    <n v="0"/>
    <n v="0"/>
  </r>
  <r>
    <n v="2016"/>
    <n v="9"/>
    <x v="1"/>
    <x v="1"/>
    <s v="SEA"/>
    <s v="Seattle, WA: Seattle/Tacoma International"/>
    <n v="120"/>
    <n v="19"/>
    <n v="7.0000000000000007E-2"/>
    <n v="0"/>
    <n v="17.22"/>
    <n v="0"/>
    <n v="1.71"/>
    <n v="0"/>
    <n v="0"/>
    <n v="1306"/>
    <n v="7"/>
    <n v="0"/>
    <n v="949"/>
    <n v="0"/>
    <n v="350"/>
    <n v="0.1583"/>
    <n v="0"/>
    <n v="0"/>
  </r>
  <r>
    <n v="2016"/>
    <n v="9"/>
    <x v="2"/>
    <x v="2"/>
    <s v="SEA"/>
    <s v="Seattle, WA: Seattle/Tacoma International"/>
    <n v="1217"/>
    <n v="131"/>
    <n v="23.34"/>
    <n v="5.12"/>
    <n v="56.74"/>
    <n v="0"/>
    <n v="45.8"/>
    <n v="0"/>
    <n v="0"/>
    <n v="7572"/>
    <n v="2701"/>
    <n v="675"/>
    <n v="1586"/>
    <n v="0"/>
    <n v="2610"/>
    <n v="0.1076"/>
    <n v="0"/>
    <n v="0"/>
  </r>
  <r>
    <n v="2016"/>
    <n v="9"/>
    <x v="9"/>
    <x v="9"/>
    <s v="SEA"/>
    <s v="Seattle, WA: Seattle/Tacoma International"/>
    <n v="920"/>
    <n v="129"/>
    <n v="49.13"/>
    <n v="5.0999999999999996"/>
    <n v="35.29"/>
    <n v="0"/>
    <n v="39.479999999999997"/>
    <n v="1"/>
    <n v="0"/>
    <n v="7172"/>
    <n v="3013"/>
    <n v="396"/>
    <n v="1098"/>
    <n v="0"/>
    <n v="2665"/>
    <n v="0.14019999999999999"/>
    <n v="1.1000000000000001E-3"/>
    <n v="0"/>
  </r>
  <r>
    <n v="2016"/>
    <n v="9"/>
    <x v="14"/>
    <x v="14"/>
    <s v="SEA"/>
    <s v="Seattle, WA: Seattle/Tacoma International"/>
    <n v="219"/>
    <n v="32"/>
    <n v="5.37"/>
    <n v="5.84"/>
    <n v="5.18"/>
    <n v="0"/>
    <n v="15.6"/>
    <n v="2"/>
    <n v="0"/>
    <n v="1323"/>
    <n v="161"/>
    <n v="166"/>
    <n v="194"/>
    <n v="0"/>
    <n v="802"/>
    <n v="0.14610000000000001"/>
    <n v="9.1000000000000004E-3"/>
    <n v="0"/>
  </r>
  <r>
    <n v="2016"/>
    <n v="9"/>
    <x v="10"/>
    <x v="10"/>
    <s v="SEA"/>
    <s v="Seattle, WA: Seattle/Tacoma International"/>
    <n v="1189"/>
    <n v="230"/>
    <n v="53.66"/>
    <n v="2.84"/>
    <n v="87.38"/>
    <n v="0"/>
    <n v="86.12"/>
    <n v="1"/>
    <n v="1"/>
    <n v="9468"/>
    <n v="2951"/>
    <n v="139"/>
    <n v="2367"/>
    <n v="0"/>
    <n v="4011"/>
    <n v="0.19339999999999999"/>
    <n v="8.0000000000000004E-4"/>
    <n v="8.0000000000000004E-4"/>
  </r>
  <r>
    <n v="2016"/>
    <n v="8"/>
    <x v="4"/>
    <x v="4"/>
    <s v="SEA"/>
    <s v="Seattle, WA: Seattle/Tacoma International"/>
    <n v="1043"/>
    <n v="324"/>
    <n v="100.19"/>
    <n v="16.829999999999998"/>
    <n v="86.68"/>
    <n v="1.66"/>
    <n v="118.65"/>
    <n v="20"/>
    <n v="0"/>
    <n v="17477"/>
    <n v="5541"/>
    <n v="1388"/>
    <n v="3202"/>
    <n v="39"/>
    <n v="7307"/>
    <n v="0.31059999999999999"/>
    <n v="1.9199999999999998E-2"/>
    <n v="0"/>
  </r>
  <r>
    <n v="2016"/>
    <n v="8"/>
    <x v="5"/>
    <x v="5"/>
    <s v="SEA"/>
    <s v="Seattle, WA: Seattle/Tacoma International"/>
    <n v="5420"/>
    <n v="711"/>
    <n v="139.04"/>
    <n v="20.03"/>
    <n v="347.73"/>
    <n v="4.66"/>
    <n v="199.54"/>
    <n v="6"/>
    <n v="7"/>
    <n v="34782"/>
    <n v="9746"/>
    <n v="1620"/>
    <n v="12244"/>
    <n v="213"/>
    <n v="10959"/>
    <n v="0.13120000000000001"/>
    <n v="1.1000000000000001E-3"/>
    <n v="1.2999999999999999E-3"/>
  </r>
  <r>
    <n v="2016"/>
    <n v="8"/>
    <x v="6"/>
    <x v="6"/>
    <s v="SEA"/>
    <s v="Seattle, WA: Seattle/Tacoma International"/>
    <n v="267"/>
    <n v="71"/>
    <n v="15.57"/>
    <n v="0"/>
    <n v="27.87"/>
    <n v="0"/>
    <n v="27.56"/>
    <n v="0"/>
    <n v="1"/>
    <n v="3718"/>
    <n v="1228"/>
    <n v="0"/>
    <n v="937"/>
    <n v="0"/>
    <n v="1553"/>
    <n v="0.26590000000000003"/>
    <n v="0"/>
    <n v="3.7000000000000002E-3"/>
  </r>
  <r>
    <n v="2016"/>
    <n v="8"/>
    <x v="7"/>
    <x v="7"/>
    <s v="SEA"/>
    <s v="Seattle, WA: Seattle/Tacoma International"/>
    <n v="2127"/>
    <n v="399"/>
    <n v="144.24"/>
    <n v="7.47"/>
    <n v="93.84"/>
    <n v="1"/>
    <n v="152.46"/>
    <n v="27"/>
    <n v="2"/>
    <n v="31991"/>
    <n v="14039"/>
    <n v="1071"/>
    <n v="3182"/>
    <n v="31"/>
    <n v="13668"/>
    <n v="0.18759999999999999"/>
    <n v="1.2699999999999999E-2"/>
    <n v="8.9999999999999998E-4"/>
  </r>
  <r>
    <n v="2016"/>
    <n v="8"/>
    <x v="8"/>
    <x v="8"/>
    <s v="SEA"/>
    <s v="Seattle, WA: Seattle/Tacoma International"/>
    <n v="146"/>
    <n v="57"/>
    <n v="15.37"/>
    <n v="0.21"/>
    <n v="23.41"/>
    <n v="0"/>
    <n v="18.010000000000002"/>
    <n v="0"/>
    <n v="0"/>
    <n v="3353"/>
    <n v="867"/>
    <n v="15"/>
    <n v="1028"/>
    <n v="0"/>
    <n v="1443"/>
    <n v="0.39040000000000002"/>
    <n v="0"/>
    <n v="0"/>
  </r>
  <r>
    <n v="2016"/>
    <n v="8"/>
    <x v="0"/>
    <x v="0"/>
    <s v="SEA"/>
    <s v="Seattle, WA: Seattle/Tacoma International"/>
    <n v="62"/>
    <n v="9"/>
    <n v="6.05"/>
    <n v="0"/>
    <n v="0"/>
    <n v="0"/>
    <n v="2.95"/>
    <n v="0"/>
    <n v="0"/>
    <n v="374"/>
    <n v="142"/>
    <n v="0"/>
    <n v="0"/>
    <n v="0"/>
    <n v="232"/>
    <n v="0.1452"/>
    <n v="0"/>
    <n v="0"/>
  </r>
  <r>
    <n v="2016"/>
    <n v="8"/>
    <x v="1"/>
    <x v="1"/>
    <s v="SEA"/>
    <s v="Seattle, WA: Seattle/Tacoma International"/>
    <n v="124"/>
    <n v="24"/>
    <n v="0.73"/>
    <n v="0"/>
    <n v="19.45"/>
    <n v="0.67"/>
    <n v="3.15"/>
    <n v="0"/>
    <n v="0"/>
    <n v="1207"/>
    <n v="26"/>
    <n v="0"/>
    <n v="1013"/>
    <n v="28"/>
    <n v="140"/>
    <n v="0.19350000000000001"/>
    <n v="0"/>
    <n v="0"/>
  </r>
  <r>
    <n v="2016"/>
    <n v="8"/>
    <x v="2"/>
    <x v="2"/>
    <s v="SEA"/>
    <s v="Seattle, WA: Seattle/Tacoma International"/>
    <n v="1443"/>
    <n v="220"/>
    <n v="41.13"/>
    <n v="11.89"/>
    <n v="89.88"/>
    <n v="1"/>
    <n v="76.099999999999994"/>
    <n v="3"/>
    <n v="2"/>
    <n v="10046"/>
    <n v="2835"/>
    <n v="503"/>
    <n v="3032"/>
    <n v="98"/>
    <n v="3578"/>
    <n v="0.1525"/>
    <n v="2.0999999999999999E-3"/>
    <n v="1.4E-3"/>
  </r>
  <r>
    <n v="2016"/>
    <n v="8"/>
    <x v="9"/>
    <x v="9"/>
    <s v="SEA"/>
    <s v="Seattle, WA: Seattle/Tacoma International"/>
    <n v="1031"/>
    <n v="218"/>
    <n v="67.42"/>
    <n v="13.76"/>
    <n v="51.85"/>
    <n v="0"/>
    <n v="84.97"/>
    <n v="5"/>
    <n v="2"/>
    <n v="14391"/>
    <n v="3297"/>
    <n v="920"/>
    <n v="2230"/>
    <n v="0"/>
    <n v="7944"/>
    <n v="0.2114"/>
    <n v="4.7999999999999996E-3"/>
    <n v="1.9E-3"/>
  </r>
  <r>
    <n v="2016"/>
    <n v="8"/>
    <x v="14"/>
    <x v="14"/>
    <s v="SEA"/>
    <s v="Seattle, WA: Seattle/Tacoma International"/>
    <n v="232"/>
    <n v="63"/>
    <n v="11.49"/>
    <n v="1.53"/>
    <n v="23.73"/>
    <n v="0"/>
    <n v="26.25"/>
    <n v="0"/>
    <n v="0"/>
    <n v="2459"/>
    <n v="371"/>
    <n v="40"/>
    <n v="703"/>
    <n v="0"/>
    <n v="1345"/>
    <n v="0.27160000000000001"/>
    <n v="0"/>
    <n v="0"/>
  </r>
  <r>
    <n v="2016"/>
    <n v="8"/>
    <x v="10"/>
    <x v="10"/>
    <s v="SEA"/>
    <s v="Seattle, WA: Seattle/Tacoma International"/>
    <n v="1335"/>
    <n v="326"/>
    <n v="97.41"/>
    <n v="8.2100000000000009"/>
    <n v="105.54"/>
    <n v="0"/>
    <n v="114.84"/>
    <n v="1"/>
    <n v="2"/>
    <n v="14106"/>
    <n v="4178"/>
    <n v="343"/>
    <n v="3815"/>
    <n v="0"/>
    <n v="5770"/>
    <n v="0.2442"/>
    <n v="6.9999999999999999E-4"/>
    <n v="1.5E-3"/>
  </r>
  <r>
    <n v="2016"/>
    <n v="7"/>
    <x v="4"/>
    <x v="4"/>
    <s v="SEA"/>
    <s v="Seattle, WA: Seattle/Tacoma International"/>
    <n v="1127"/>
    <n v="397"/>
    <n v="121.86"/>
    <n v="18.579999999999998"/>
    <n v="126.91"/>
    <n v="1.84"/>
    <n v="127.81"/>
    <n v="19"/>
    <n v="1"/>
    <n v="24238"/>
    <n v="7713"/>
    <n v="1925"/>
    <n v="4963"/>
    <n v="50"/>
    <n v="9587"/>
    <n v="0.3523"/>
    <n v="1.6899999999999998E-2"/>
    <n v="8.9999999999999998E-4"/>
  </r>
  <r>
    <n v="2016"/>
    <n v="7"/>
    <x v="5"/>
    <x v="5"/>
    <s v="SEA"/>
    <s v="Seattle, WA: Seattle/Tacoma International"/>
    <n v="5261"/>
    <n v="637"/>
    <n v="124.04"/>
    <n v="12.73"/>
    <n v="329.35"/>
    <n v="4.67"/>
    <n v="166.22"/>
    <n v="7"/>
    <n v="4"/>
    <n v="29102"/>
    <n v="7577"/>
    <n v="981"/>
    <n v="11131"/>
    <n v="161"/>
    <n v="9252"/>
    <n v="0.1211"/>
    <n v="1.2999999999999999E-3"/>
    <n v="8.0000000000000004E-4"/>
  </r>
  <r>
    <n v="2016"/>
    <n v="7"/>
    <x v="6"/>
    <x v="6"/>
    <s v="SEA"/>
    <s v="Seattle, WA: Seattle/Tacoma International"/>
    <n v="269"/>
    <n v="83"/>
    <n v="22.81"/>
    <n v="1.1299999999999999"/>
    <n v="34.229999999999997"/>
    <n v="0"/>
    <n v="24.82"/>
    <n v="1"/>
    <n v="0"/>
    <n v="5010"/>
    <n v="1827"/>
    <n v="152"/>
    <n v="1428"/>
    <n v="0"/>
    <n v="1603"/>
    <n v="0.30859999999999999"/>
    <n v="3.7000000000000002E-3"/>
    <n v="0"/>
  </r>
  <r>
    <n v="2016"/>
    <n v="7"/>
    <x v="7"/>
    <x v="7"/>
    <s v="SEA"/>
    <s v="Seattle, WA: Seattle/Tacoma International"/>
    <n v="2035"/>
    <n v="304"/>
    <n v="111.71"/>
    <n v="14.94"/>
    <n v="96.37"/>
    <n v="0"/>
    <n v="80.98"/>
    <n v="3"/>
    <n v="1"/>
    <n v="17174"/>
    <n v="7954"/>
    <n v="1585"/>
    <n v="3145"/>
    <n v="0"/>
    <n v="4490"/>
    <n v="0.14940000000000001"/>
    <n v="1.5E-3"/>
    <n v="5.0000000000000001E-4"/>
  </r>
  <r>
    <n v="2016"/>
    <n v="7"/>
    <x v="8"/>
    <x v="8"/>
    <s v="SEA"/>
    <s v="Seattle, WA: Seattle/Tacoma International"/>
    <n v="151"/>
    <n v="60"/>
    <n v="20.6"/>
    <n v="1"/>
    <n v="22.45"/>
    <n v="0"/>
    <n v="15.95"/>
    <n v="0"/>
    <n v="0"/>
    <n v="3199"/>
    <n v="940"/>
    <n v="16"/>
    <n v="884"/>
    <n v="0"/>
    <n v="1359"/>
    <n v="0.39739999999999998"/>
    <n v="0"/>
    <n v="0"/>
  </r>
  <r>
    <n v="2016"/>
    <n v="7"/>
    <x v="0"/>
    <x v="0"/>
    <s v="SEA"/>
    <s v="Seattle, WA: Seattle/Tacoma International"/>
    <n v="62"/>
    <n v="3"/>
    <n v="3"/>
    <n v="0"/>
    <n v="0"/>
    <n v="0"/>
    <n v="0"/>
    <n v="0"/>
    <n v="0"/>
    <n v="82"/>
    <n v="82"/>
    <n v="0"/>
    <n v="0"/>
    <n v="0"/>
    <n v="0"/>
    <n v="4.8399999999999999E-2"/>
    <n v="0"/>
    <n v="0"/>
  </r>
  <r>
    <n v="2016"/>
    <n v="7"/>
    <x v="1"/>
    <x v="1"/>
    <s v="SEA"/>
    <s v="Seattle, WA: Seattle/Tacoma International"/>
    <n v="124"/>
    <n v="30"/>
    <n v="4.09"/>
    <n v="0"/>
    <n v="22.74"/>
    <n v="0"/>
    <n v="3.18"/>
    <n v="2"/>
    <n v="0"/>
    <n v="1878"/>
    <n v="324"/>
    <n v="0"/>
    <n v="1221"/>
    <n v="0"/>
    <n v="333"/>
    <n v="0.2419"/>
    <n v="1.61E-2"/>
    <n v="0"/>
  </r>
  <r>
    <n v="2016"/>
    <n v="7"/>
    <x v="2"/>
    <x v="2"/>
    <s v="SEA"/>
    <s v="Seattle, WA: Seattle/Tacoma International"/>
    <n v="1430"/>
    <n v="247"/>
    <n v="51.34"/>
    <n v="18.63"/>
    <n v="89.79"/>
    <n v="1"/>
    <n v="86.23"/>
    <n v="1"/>
    <n v="0"/>
    <n v="15478"/>
    <n v="7235"/>
    <n v="954"/>
    <n v="3065"/>
    <n v="34"/>
    <n v="4190"/>
    <n v="0.17269999999999999"/>
    <n v="6.9999999999999999E-4"/>
    <n v="0"/>
  </r>
  <r>
    <n v="2016"/>
    <n v="7"/>
    <x v="9"/>
    <x v="9"/>
    <s v="SEA"/>
    <s v="Seattle, WA: Seattle/Tacoma International"/>
    <n v="976"/>
    <n v="232"/>
    <n v="73.489999999999995"/>
    <n v="19.829999999999998"/>
    <n v="50.38"/>
    <n v="0"/>
    <n v="88.3"/>
    <n v="6"/>
    <n v="1"/>
    <n v="16396"/>
    <n v="4862"/>
    <n v="1745"/>
    <n v="2531"/>
    <n v="0"/>
    <n v="7258"/>
    <n v="0.23769999999999999"/>
    <n v="6.1000000000000004E-3"/>
    <n v="1E-3"/>
  </r>
  <r>
    <n v="2016"/>
    <n v="7"/>
    <x v="14"/>
    <x v="14"/>
    <s v="SEA"/>
    <s v="Seattle, WA: Seattle/Tacoma International"/>
    <n v="227"/>
    <n v="47"/>
    <n v="10.210000000000001"/>
    <n v="1.4"/>
    <n v="14.12"/>
    <n v="0"/>
    <n v="21.26"/>
    <n v="2"/>
    <n v="2"/>
    <n v="2277"/>
    <n v="673"/>
    <n v="38"/>
    <n v="552"/>
    <n v="0"/>
    <n v="1014"/>
    <n v="0.20699999999999999"/>
    <n v="8.8000000000000005E-3"/>
    <n v="8.8000000000000005E-3"/>
  </r>
  <r>
    <n v="2016"/>
    <n v="7"/>
    <x v="10"/>
    <x v="10"/>
    <s v="SEA"/>
    <s v="Seattle, WA: Seattle/Tacoma International"/>
    <n v="1503"/>
    <n v="463"/>
    <n v="155.30000000000001"/>
    <n v="8.66"/>
    <n v="116.76"/>
    <n v="0.83"/>
    <n v="181.45"/>
    <n v="29"/>
    <n v="0"/>
    <n v="24696"/>
    <n v="9151"/>
    <n v="651"/>
    <n v="4288"/>
    <n v="15"/>
    <n v="10591"/>
    <n v="0.30809999999999998"/>
    <n v="1.9300000000000001E-2"/>
    <n v="0"/>
  </r>
  <r>
    <n v="2016"/>
    <n v="6"/>
    <x v="4"/>
    <x v="4"/>
    <s v="SEA"/>
    <s v="Seattle, WA: Seattle/Tacoma International"/>
    <n v="1061"/>
    <n v="334"/>
    <n v="109.29"/>
    <n v="11.86"/>
    <n v="111.38"/>
    <n v="1.0900000000000001"/>
    <n v="100.38"/>
    <n v="2"/>
    <n v="4"/>
    <n v="18733"/>
    <n v="6407"/>
    <n v="984"/>
    <n v="4221"/>
    <n v="36"/>
    <n v="7085"/>
    <n v="0.31480000000000002"/>
    <n v="1.9E-3"/>
    <n v="3.8E-3"/>
  </r>
  <r>
    <n v="2016"/>
    <n v="6"/>
    <x v="5"/>
    <x v="5"/>
    <s v="SEA"/>
    <s v="Seattle, WA: Seattle/Tacoma International"/>
    <n v="5095"/>
    <n v="737"/>
    <n v="117.36"/>
    <n v="13.32"/>
    <n v="395.8"/>
    <n v="5.89"/>
    <n v="204.63"/>
    <n v="13"/>
    <n v="17"/>
    <n v="36587"/>
    <n v="8460"/>
    <n v="1319"/>
    <n v="13934"/>
    <n v="230"/>
    <n v="12644"/>
    <n v="0.1447"/>
    <n v="2.5999999999999999E-3"/>
    <n v="3.3E-3"/>
  </r>
  <r>
    <n v="2016"/>
    <n v="6"/>
    <x v="6"/>
    <x v="6"/>
    <s v="SEA"/>
    <s v="Seattle, WA: Seattle/Tacoma International"/>
    <n v="244"/>
    <n v="80"/>
    <n v="22.84"/>
    <n v="0"/>
    <n v="38.89"/>
    <n v="0"/>
    <n v="18.27"/>
    <n v="0"/>
    <n v="0"/>
    <n v="3894"/>
    <n v="1212"/>
    <n v="0"/>
    <n v="1521"/>
    <n v="0"/>
    <n v="1161"/>
    <n v="0.32790000000000002"/>
    <n v="0"/>
    <n v="0"/>
  </r>
  <r>
    <n v="2016"/>
    <n v="6"/>
    <x v="7"/>
    <x v="7"/>
    <s v="SEA"/>
    <s v="Seattle, WA: Seattle/Tacoma International"/>
    <n v="1904"/>
    <n v="332"/>
    <n v="99.37"/>
    <n v="9.02"/>
    <n v="119.08"/>
    <n v="0"/>
    <n v="104.52"/>
    <n v="0"/>
    <n v="2"/>
    <n v="16016"/>
    <n v="5729"/>
    <n v="537"/>
    <n v="3629"/>
    <n v="0"/>
    <n v="6121"/>
    <n v="0.1744"/>
    <n v="0"/>
    <n v="1.1000000000000001E-3"/>
  </r>
  <r>
    <n v="2016"/>
    <n v="6"/>
    <x v="8"/>
    <x v="8"/>
    <s v="SEA"/>
    <s v="Seattle, WA: Seattle/Tacoma International"/>
    <n v="91"/>
    <n v="27"/>
    <n v="5.13"/>
    <n v="0"/>
    <n v="11.54"/>
    <n v="0"/>
    <n v="10.32"/>
    <n v="0"/>
    <n v="0"/>
    <n v="1233"/>
    <n v="173"/>
    <n v="0"/>
    <n v="436"/>
    <n v="0"/>
    <n v="624"/>
    <n v="0.29670000000000002"/>
    <n v="0"/>
    <n v="0"/>
  </r>
  <r>
    <n v="2016"/>
    <n v="6"/>
    <x v="0"/>
    <x v="0"/>
    <s v="SEA"/>
    <s v="Seattle, WA: Seattle/Tacoma International"/>
    <n v="60"/>
    <n v="15"/>
    <n v="12.96"/>
    <n v="0.65"/>
    <n v="0"/>
    <n v="0"/>
    <n v="1.39"/>
    <n v="0"/>
    <n v="0"/>
    <n v="548"/>
    <n v="461"/>
    <n v="60"/>
    <n v="0"/>
    <n v="0"/>
    <n v="27"/>
    <n v="0.25"/>
    <n v="0"/>
    <n v="0"/>
  </r>
  <r>
    <n v="2016"/>
    <n v="6"/>
    <x v="1"/>
    <x v="1"/>
    <s v="SEA"/>
    <s v="Seattle, WA: Seattle/Tacoma International"/>
    <n v="120"/>
    <n v="31"/>
    <n v="7.41"/>
    <n v="0"/>
    <n v="13.36"/>
    <n v="0"/>
    <n v="10.220000000000001"/>
    <n v="4"/>
    <n v="0"/>
    <n v="1693"/>
    <n v="324"/>
    <n v="0"/>
    <n v="600"/>
    <n v="0"/>
    <n v="769"/>
    <n v="0.25829999999999997"/>
    <n v="3.3300000000000003E-2"/>
    <n v="0"/>
  </r>
  <r>
    <n v="2016"/>
    <n v="6"/>
    <x v="2"/>
    <x v="2"/>
    <s v="SEA"/>
    <s v="Seattle, WA: Seattle/Tacoma International"/>
    <n v="1409"/>
    <n v="222"/>
    <n v="49.25"/>
    <n v="14.19"/>
    <n v="80.430000000000007"/>
    <n v="0"/>
    <n v="78.14"/>
    <n v="0"/>
    <n v="1"/>
    <n v="15042"/>
    <n v="6900"/>
    <n v="525"/>
    <n v="2891"/>
    <n v="0"/>
    <n v="4726"/>
    <n v="0.15759999999999999"/>
    <n v="0"/>
    <n v="6.9999999999999999E-4"/>
  </r>
  <r>
    <n v="2016"/>
    <n v="6"/>
    <x v="9"/>
    <x v="9"/>
    <s v="SEA"/>
    <s v="Seattle, WA: Seattle/Tacoma International"/>
    <n v="895"/>
    <n v="200"/>
    <n v="52.4"/>
    <n v="10.9"/>
    <n v="70.150000000000006"/>
    <n v="0"/>
    <n v="66.55"/>
    <n v="7"/>
    <n v="1"/>
    <n v="12513"/>
    <n v="3096"/>
    <n v="963"/>
    <n v="3160"/>
    <n v="0"/>
    <n v="5294"/>
    <n v="0.2235"/>
    <n v="7.7999999999999996E-3"/>
    <n v="1.1000000000000001E-3"/>
  </r>
  <r>
    <n v="2016"/>
    <n v="6"/>
    <x v="14"/>
    <x v="14"/>
    <s v="SEA"/>
    <s v="Seattle, WA: Seattle/Tacoma International"/>
    <n v="224"/>
    <n v="48"/>
    <n v="5.53"/>
    <n v="2.57"/>
    <n v="24.29"/>
    <n v="0"/>
    <n v="15.61"/>
    <n v="7"/>
    <n v="0"/>
    <n v="2424"/>
    <n v="389"/>
    <n v="74"/>
    <n v="892"/>
    <n v="0"/>
    <n v="1069"/>
    <n v="0.21429999999999999"/>
    <n v="3.1300000000000001E-2"/>
    <n v="0"/>
  </r>
  <r>
    <n v="2016"/>
    <n v="6"/>
    <x v="10"/>
    <x v="10"/>
    <s v="SEA"/>
    <s v="Seattle, WA: Seattle/Tacoma International"/>
    <n v="1408"/>
    <n v="427"/>
    <n v="148.59"/>
    <n v="7.19"/>
    <n v="113.29"/>
    <n v="0.4"/>
    <n v="157.53"/>
    <n v="8"/>
    <n v="3"/>
    <n v="20790"/>
    <n v="8709"/>
    <n v="186"/>
    <n v="4028"/>
    <n v="6"/>
    <n v="7861"/>
    <n v="0.30330000000000001"/>
    <n v="5.7000000000000002E-3"/>
    <n v="2.0999999999999999E-3"/>
  </r>
  <r>
    <n v="2016"/>
    <n v="5"/>
    <x v="4"/>
    <x v="4"/>
    <s v="SEA"/>
    <s v="Seattle, WA: Seattle/Tacoma International"/>
    <n v="738"/>
    <n v="135"/>
    <n v="56.41"/>
    <n v="4.49"/>
    <n v="35.69"/>
    <n v="0.83"/>
    <n v="37.58"/>
    <n v="3"/>
    <n v="0"/>
    <n v="8773"/>
    <n v="3374"/>
    <n v="380"/>
    <n v="1372"/>
    <n v="15"/>
    <n v="3632"/>
    <n v="0.18290000000000001"/>
    <n v="4.1000000000000003E-3"/>
    <n v="0"/>
  </r>
  <r>
    <n v="2016"/>
    <n v="5"/>
    <x v="5"/>
    <x v="5"/>
    <s v="SEA"/>
    <s v="Seattle, WA: Seattle/Tacoma International"/>
    <n v="5008"/>
    <n v="432"/>
    <n v="103.28"/>
    <n v="7.19"/>
    <n v="179.92"/>
    <n v="7.18"/>
    <n v="134.43"/>
    <n v="15"/>
    <n v="5"/>
    <n v="19964"/>
    <n v="6581"/>
    <n v="583"/>
    <n v="5222"/>
    <n v="164"/>
    <n v="7414"/>
    <n v="8.6300000000000002E-2"/>
    <n v="3.0000000000000001E-3"/>
    <n v="1E-3"/>
  </r>
  <r>
    <n v="2016"/>
    <n v="5"/>
    <x v="6"/>
    <x v="6"/>
    <s v="SEA"/>
    <s v="Seattle, WA: Seattle/Tacoma International"/>
    <n v="203"/>
    <n v="20"/>
    <n v="11.22"/>
    <n v="0"/>
    <n v="3.68"/>
    <n v="0"/>
    <n v="5.0999999999999996"/>
    <n v="0"/>
    <n v="0"/>
    <n v="918"/>
    <n v="681"/>
    <n v="0"/>
    <n v="90"/>
    <n v="0"/>
    <n v="147"/>
    <n v="9.8500000000000004E-2"/>
    <n v="0"/>
    <n v="0"/>
  </r>
  <r>
    <n v="2016"/>
    <n v="5"/>
    <x v="7"/>
    <x v="7"/>
    <s v="SEA"/>
    <s v="Seattle, WA: Seattle/Tacoma International"/>
    <n v="1754"/>
    <n v="114"/>
    <n v="45.44"/>
    <n v="3.63"/>
    <n v="31.38"/>
    <n v="0"/>
    <n v="33.54"/>
    <n v="0"/>
    <n v="0"/>
    <n v="7876"/>
    <n v="5187"/>
    <n v="136"/>
    <n v="758"/>
    <n v="0"/>
    <n v="1795"/>
    <n v="6.5000000000000002E-2"/>
    <n v="0"/>
    <n v="0"/>
  </r>
  <r>
    <n v="2016"/>
    <n v="5"/>
    <x v="8"/>
    <x v="8"/>
    <s v="SEA"/>
    <s v="Seattle, WA: Seattle/Tacoma International"/>
    <n v="93"/>
    <n v="17"/>
    <n v="5.38"/>
    <n v="0.53"/>
    <n v="3.64"/>
    <n v="0"/>
    <n v="7.45"/>
    <n v="0"/>
    <n v="0"/>
    <n v="1051"/>
    <n v="257"/>
    <n v="27"/>
    <n v="222"/>
    <n v="0"/>
    <n v="545"/>
    <n v="0.18279999999999999"/>
    <n v="0"/>
    <n v="0"/>
  </r>
  <r>
    <n v="2016"/>
    <n v="5"/>
    <x v="0"/>
    <x v="0"/>
    <s v="SEA"/>
    <s v="Seattle, WA: Seattle/Tacoma International"/>
    <n v="62"/>
    <n v="8"/>
    <n v="7.69"/>
    <n v="0.31"/>
    <n v="0"/>
    <n v="0"/>
    <n v="0"/>
    <n v="0"/>
    <n v="1"/>
    <n v="277"/>
    <n v="272"/>
    <n v="5"/>
    <n v="0"/>
    <n v="0"/>
    <n v="0"/>
    <n v="0.129"/>
    <n v="0"/>
    <n v="1.61E-2"/>
  </r>
  <r>
    <n v="2016"/>
    <n v="5"/>
    <x v="1"/>
    <x v="1"/>
    <s v="SEA"/>
    <s v="Seattle, WA: Seattle/Tacoma International"/>
    <n v="124"/>
    <n v="24"/>
    <n v="8.86"/>
    <n v="0"/>
    <n v="7.51"/>
    <n v="0"/>
    <n v="7.63"/>
    <n v="0"/>
    <n v="0"/>
    <n v="1367"/>
    <n v="675"/>
    <n v="0"/>
    <n v="366"/>
    <n v="0"/>
    <n v="326"/>
    <n v="0.19350000000000001"/>
    <n v="0"/>
    <n v="0"/>
  </r>
  <r>
    <n v="2016"/>
    <n v="5"/>
    <x v="2"/>
    <x v="2"/>
    <s v="SEA"/>
    <s v="Seattle, WA: Seattle/Tacoma International"/>
    <n v="1352"/>
    <n v="135"/>
    <n v="33.92"/>
    <n v="2.68"/>
    <n v="35.82"/>
    <n v="0"/>
    <n v="62.58"/>
    <n v="2"/>
    <n v="0"/>
    <n v="7297"/>
    <n v="3089"/>
    <n v="81"/>
    <n v="958"/>
    <n v="0"/>
    <n v="3169"/>
    <n v="9.9900000000000003E-2"/>
    <n v="1.5E-3"/>
    <n v="0"/>
  </r>
  <r>
    <n v="2016"/>
    <n v="5"/>
    <x v="9"/>
    <x v="9"/>
    <s v="SEA"/>
    <s v="Seattle, WA: Seattle/Tacoma International"/>
    <n v="824"/>
    <n v="109"/>
    <n v="39.880000000000003"/>
    <n v="3.15"/>
    <n v="21.49"/>
    <n v="0"/>
    <n v="44.48"/>
    <n v="1"/>
    <n v="0"/>
    <n v="7793"/>
    <n v="2089"/>
    <n v="865"/>
    <n v="938"/>
    <n v="0"/>
    <n v="3901"/>
    <n v="0.1323"/>
    <n v="1.1999999999999999E-3"/>
    <n v="0"/>
  </r>
  <r>
    <n v="2016"/>
    <n v="5"/>
    <x v="14"/>
    <x v="14"/>
    <s v="SEA"/>
    <s v="Seattle, WA: Seattle/Tacoma International"/>
    <n v="221"/>
    <n v="32"/>
    <n v="6.34"/>
    <n v="1.35"/>
    <n v="7.32"/>
    <n v="0"/>
    <n v="16.989999999999998"/>
    <n v="1"/>
    <n v="0"/>
    <n v="1602"/>
    <n v="549"/>
    <n v="24"/>
    <n v="202"/>
    <n v="0"/>
    <n v="827"/>
    <n v="0.14480000000000001"/>
    <n v="4.4999999999999997E-3"/>
    <n v="0"/>
  </r>
  <r>
    <n v="2016"/>
    <n v="5"/>
    <x v="10"/>
    <x v="10"/>
    <s v="SEA"/>
    <s v="Seattle, WA: Seattle/Tacoma International"/>
    <n v="1121"/>
    <n v="212"/>
    <n v="74.010000000000005"/>
    <n v="0.66"/>
    <n v="49.09"/>
    <n v="0.25"/>
    <n v="87.99"/>
    <n v="2"/>
    <n v="1"/>
    <n v="8620"/>
    <n v="3110"/>
    <n v="53"/>
    <n v="1350"/>
    <n v="11"/>
    <n v="4096"/>
    <n v="0.18909999999999999"/>
    <n v="1.8E-3"/>
    <n v="8.9999999999999998E-4"/>
  </r>
  <r>
    <n v="2016"/>
    <n v="4"/>
    <x v="4"/>
    <x v="4"/>
    <s v="SEA"/>
    <s v="Seattle, WA: Seattle/Tacoma International"/>
    <n v="623"/>
    <n v="91"/>
    <n v="26.29"/>
    <n v="2.62"/>
    <n v="29.45"/>
    <n v="1"/>
    <n v="31.64"/>
    <n v="3"/>
    <n v="0"/>
    <n v="5215"/>
    <n v="1623"/>
    <n v="242"/>
    <n v="931"/>
    <n v="20"/>
    <n v="2399"/>
    <n v="0.14610000000000001"/>
    <n v="4.7999999999999996E-3"/>
    <n v="0"/>
  </r>
  <r>
    <n v="2016"/>
    <n v="4"/>
    <x v="5"/>
    <x v="5"/>
    <s v="SEA"/>
    <s v="Seattle, WA: Seattle/Tacoma International"/>
    <n v="4706"/>
    <n v="566"/>
    <n v="105.24"/>
    <n v="5.58"/>
    <n v="312.25"/>
    <n v="6.1"/>
    <n v="136.83000000000001"/>
    <n v="6"/>
    <n v="6"/>
    <n v="26845"/>
    <n v="7369"/>
    <n v="497"/>
    <n v="9778"/>
    <n v="141"/>
    <n v="9060"/>
    <n v="0.1203"/>
    <n v="1.2999999999999999E-3"/>
    <n v="1.2999999999999999E-3"/>
  </r>
  <r>
    <n v="2016"/>
    <n v="4"/>
    <x v="6"/>
    <x v="6"/>
    <s v="SEA"/>
    <s v="Seattle, WA: Seattle/Tacoma International"/>
    <n v="145"/>
    <n v="31"/>
    <n v="4.97"/>
    <n v="0.76"/>
    <n v="21.06"/>
    <n v="0"/>
    <n v="4.21"/>
    <n v="0"/>
    <n v="0"/>
    <n v="1273"/>
    <n v="230"/>
    <n v="102"/>
    <n v="764"/>
    <n v="0"/>
    <n v="177"/>
    <n v="0.21379999999999999"/>
    <n v="0"/>
    <n v="0"/>
  </r>
  <r>
    <n v="2016"/>
    <n v="4"/>
    <x v="7"/>
    <x v="7"/>
    <s v="SEA"/>
    <s v="Seattle, WA: Seattle/Tacoma International"/>
    <n v="1501"/>
    <n v="136"/>
    <n v="45.87"/>
    <n v="2.23"/>
    <n v="45.48"/>
    <n v="1"/>
    <n v="41.43"/>
    <n v="0"/>
    <n v="0"/>
    <n v="6981"/>
    <n v="2908"/>
    <n v="452"/>
    <n v="1533"/>
    <n v="90"/>
    <n v="1998"/>
    <n v="9.06E-2"/>
    <n v="0"/>
    <n v="0"/>
  </r>
  <r>
    <n v="2016"/>
    <n v="4"/>
    <x v="8"/>
    <x v="8"/>
    <s v="SEA"/>
    <s v="Seattle, WA: Seattle/Tacoma International"/>
    <n v="77"/>
    <n v="12"/>
    <n v="3.17"/>
    <n v="0"/>
    <n v="6.55"/>
    <n v="0"/>
    <n v="2.2799999999999998"/>
    <n v="1"/>
    <n v="0"/>
    <n v="763"/>
    <n v="270"/>
    <n v="0"/>
    <n v="225"/>
    <n v="0"/>
    <n v="268"/>
    <n v="0.15579999999999999"/>
    <n v="1.2999999999999999E-2"/>
    <n v="0"/>
  </r>
  <r>
    <n v="2016"/>
    <n v="4"/>
    <x v="0"/>
    <x v="0"/>
    <s v="SEA"/>
    <s v="Seattle, WA: Seattle/Tacoma International"/>
    <n v="60"/>
    <n v="7"/>
    <n v="7"/>
    <n v="0"/>
    <n v="0"/>
    <n v="0"/>
    <n v="0"/>
    <n v="0"/>
    <n v="0"/>
    <n v="674"/>
    <n v="674"/>
    <n v="0"/>
    <n v="0"/>
    <n v="0"/>
    <n v="0"/>
    <n v="0.1167"/>
    <n v="0"/>
    <n v="0"/>
  </r>
  <r>
    <n v="2016"/>
    <n v="4"/>
    <x v="1"/>
    <x v="1"/>
    <s v="SEA"/>
    <s v="Seattle, WA: Seattle/Tacoma International"/>
    <n v="94"/>
    <n v="30"/>
    <n v="4.37"/>
    <n v="0"/>
    <n v="20.02"/>
    <n v="0"/>
    <n v="5.61"/>
    <n v="0"/>
    <n v="0"/>
    <n v="1396"/>
    <n v="201"/>
    <n v="0"/>
    <n v="824"/>
    <n v="0"/>
    <n v="371"/>
    <n v="0.31909999999999999"/>
    <n v="0"/>
    <n v="0"/>
  </r>
  <r>
    <n v="2016"/>
    <n v="4"/>
    <x v="2"/>
    <x v="2"/>
    <s v="SEA"/>
    <s v="Seattle, WA: Seattle/Tacoma International"/>
    <n v="1237"/>
    <n v="173"/>
    <n v="35.450000000000003"/>
    <n v="15.3"/>
    <n v="58.9"/>
    <n v="0"/>
    <n v="63.35"/>
    <n v="4"/>
    <n v="0"/>
    <n v="13042"/>
    <n v="6266"/>
    <n v="719"/>
    <n v="1975"/>
    <n v="0"/>
    <n v="4082"/>
    <n v="0.1399"/>
    <n v="3.2000000000000002E-3"/>
    <n v="0"/>
  </r>
  <r>
    <n v="2016"/>
    <n v="4"/>
    <x v="9"/>
    <x v="9"/>
    <s v="SEA"/>
    <s v="Seattle, WA: Seattle/Tacoma International"/>
    <n v="699"/>
    <n v="103"/>
    <n v="27.86"/>
    <n v="5.3"/>
    <n v="35.65"/>
    <n v="0"/>
    <n v="34.19"/>
    <n v="9"/>
    <n v="1"/>
    <n v="5951"/>
    <n v="1461"/>
    <n v="354"/>
    <n v="1652"/>
    <n v="0"/>
    <n v="2484"/>
    <n v="0.1474"/>
    <n v="1.29E-2"/>
    <n v="1.4E-3"/>
  </r>
  <r>
    <n v="2016"/>
    <n v="4"/>
    <x v="14"/>
    <x v="14"/>
    <s v="SEA"/>
    <s v="Seattle, WA: Seattle/Tacoma International"/>
    <n v="195"/>
    <n v="47"/>
    <n v="9.2799999999999994"/>
    <n v="3.91"/>
    <n v="10"/>
    <n v="0"/>
    <n v="23.82"/>
    <n v="1"/>
    <n v="0"/>
    <n v="1829"/>
    <n v="303"/>
    <n v="100"/>
    <n v="308"/>
    <n v="0"/>
    <n v="1118"/>
    <n v="0.24099999999999999"/>
    <n v="5.1000000000000004E-3"/>
    <n v="0"/>
  </r>
  <r>
    <n v="2016"/>
    <n v="4"/>
    <x v="10"/>
    <x v="10"/>
    <s v="SEA"/>
    <s v="Seattle, WA: Seattle/Tacoma International"/>
    <n v="982"/>
    <n v="215"/>
    <n v="56.92"/>
    <n v="4.09"/>
    <n v="61.97"/>
    <n v="0.68"/>
    <n v="91.33"/>
    <n v="2"/>
    <n v="1"/>
    <n v="9126"/>
    <n v="2556"/>
    <n v="142"/>
    <n v="1758"/>
    <n v="13"/>
    <n v="4657"/>
    <n v="0.21890000000000001"/>
    <n v="2E-3"/>
    <n v="1E-3"/>
  </r>
  <r>
    <n v="2016"/>
    <n v="3"/>
    <x v="4"/>
    <x v="4"/>
    <s v="SEA"/>
    <s v="Seattle, WA: Seattle/Tacoma International"/>
    <n v="647"/>
    <n v="109"/>
    <n v="39.270000000000003"/>
    <n v="4.82"/>
    <n v="30.01"/>
    <n v="0"/>
    <n v="34.909999999999997"/>
    <n v="3"/>
    <n v="0"/>
    <n v="4536"/>
    <n v="1815"/>
    <n v="321"/>
    <n v="838"/>
    <n v="0"/>
    <n v="1562"/>
    <n v="0.16850000000000001"/>
    <n v="4.5999999999999999E-3"/>
    <n v="0"/>
  </r>
  <r>
    <n v="2016"/>
    <n v="3"/>
    <x v="5"/>
    <x v="5"/>
    <s v="SEA"/>
    <s v="Seattle, WA: Seattle/Tacoma International"/>
    <n v="4661"/>
    <n v="573"/>
    <n v="121.11"/>
    <n v="6.27"/>
    <n v="272.91000000000003"/>
    <n v="7.3"/>
    <n v="165.42"/>
    <n v="21"/>
    <n v="8"/>
    <n v="25936"/>
    <n v="7264"/>
    <n v="616"/>
    <n v="7561"/>
    <n v="170"/>
    <n v="10325"/>
    <n v="0.1229"/>
    <n v="4.4999999999999997E-3"/>
    <n v="1.6999999999999999E-3"/>
  </r>
  <r>
    <n v="2016"/>
    <n v="3"/>
    <x v="6"/>
    <x v="6"/>
    <s v="SEA"/>
    <s v="Seattle, WA: Seattle/Tacoma International"/>
    <n v="151"/>
    <n v="33"/>
    <n v="15.12"/>
    <n v="0"/>
    <n v="11.49"/>
    <n v="0.28000000000000003"/>
    <n v="6.1"/>
    <n v="0"/>
    <n v="2"/>
    <n v="1600"/>
    <n v="831"/>
    <n v="0"/>
    <n v="370"/>
    <n v="9"/>
    <n v="390"/>
    <n v="0.2185"/>
    <n v="0"/>
    <n v="1.32E-2"/>
  </r>
  <r>
    <n v="2016"/>
    <n v="3"/>
    <x v="7"/>
    <x v="7"/>
    <s v="SEA"/>
    <s v="Seattle, WA: Seattle/Tacoma International"/>
    <n v="1507"/>
    <n v="226"/>
    <n v="74.569999999999993"/>
    <n v="5.38"/>
    <n v="76.34"/>
    <n v="1"/>
    <n v="68.72"/>
    <n v="3"/>
    <n v="0"/>
    <n v="12588"/>
    <n v="5293"/>
    <n v="184"/>
    <n v="2241"/>
    <n v="16"/>
    <n v="4854"/>
    <n v="0.15"/>
    <n v="2E-3"/>
    <n v="0"/>
  </r>
  <r>
    <n v="2016"/>
    <n v="3"/>
    <x v="8"/>
    <x v="8"/>
    <s v="SEA"/>
    <s v="Seattle, WA: Seattle/Tacoma International"/>
    <n v="60"/>
    <n v="8"/>
    <n v="2.71"/>
    <n v="0.5"/>
    <n v="3.07"/>
    <n v="0"/>
    <n v="1.72"/>
    <n v="2"/>
    <n v="1"/>
    <n v="457"/>
    <n v="68"/>
    <n v="52"/>
    <n v="156"/>
    <n v="0"/>
    <n v="181"/>
    <n v="0.1333"/>
    <n v="3.3300000000000003E-2"/>
    <n v="1.67E-2"/>
  </r>
  <r>
    <n v="2016"/>
    <n v="3"/>
    <x v="0"/>
    <x v="0"/>
    <s v="SEA"/>
    <s v="Seattle, WA: Seattle/Tacoma International"/>
    <n v="62"/>
    <n v="12"/>
    <n v="6.92"/>
    <n v="0"/>
    <n v="0"/>
    <n v="0.08"/>
    <n v="5"/>
    <n v="0"/>
    <n v="0"/>
    <n v="343"/>
    <n v="169"/>
    <n v="0"/>
    <n v="0"/>
    <n v="3"/>
    <n v="171"/>
    <n v="0.19350000000000001"/>
    <n v="0"/>
    <n v="0"/>
  </r>
  <r>
    <n v="2016"/>
    <n v="3"/>
    <x v="1"/>
    <x v="1"/>
    <s v="SEA"/>
    <s v="Seattle, WA: Seattle/Tacoma International"/>
    <n v="15"/>
    <n v="4"/>
    <n v="0"/>
    <n v="0"/>
    <n v="4"/>
    <n v="0"/>
    <n v="0"/>
    <n v="1"/>
    <n v="0"/>
    <n v="211"/>
    <n v="0"/>
    <n v="0"/>
    <n v="211"/>
    <n v="0"/>
    <n v="0"/>
    <n v="0.26669999999999999"/>
    <n v="6.6699999999999995E-2"/>
    <n v="0"/>
  </r>
  <r>
    <n v="2016"/>
    <n v="3"/>
    <x v="2"/>
    <x v="2"/>
    <s v="SEA"/>
    <s v="Seattle, WA: Seattle/Tacoma International"/>
    <n v="1398"/>
    <n v="183"/>
    <n v="41.28"/>
    <n v="3.19"/>
    <n v="61.73"/>
    <n v="0"/>
    <n v="76.790000000000006"/>
    <n v="13"/>
    <n v="4"/>
    <n v="11661"/>
    <n v="4452"/>
    <n v="184"/>
    <n v="1605"/>
    <n v="0"/>
    <n v="5420"/>
    <n v="0.13089999999999999"/>
    <n v="9.2999999999999992E-3"/>
    <n v="2.8999999999999998E-3"/>
  </r>
  <r>
    <n v="2016"/>
    <n v="3"/>
    <x v="9"/>
    <x v="9"/>
    <s v="SEA"/>
    <s v="Seattle, WA: Seattle/Tacoma International"/>
    <n v="672"/>
    <n v="128"/>
    <n v="46.56"/>
    <n v="6.1"/>
    <n v="21.6"/>
    <n v="0"/>
    <n v="53.74"/>
    <n v="6"/>
    <n v="0"/>
    <n v="7313"/>
    <n v="2939"/>
    <n v="339"/>
    <n v="634"/>
    <n v="0"/>
    <n v="3401"/>
    <n v="0.1905"/>
    <n v="8.8999999999999999E-3"/>
    <n v="0"/>
  </r>
  <r>
    <n v="2016"/>
    <n v="3"/>
    <x v="14"/>
    <x v="14"/>
    <s v="SEA"/>
    <s v="Seattle, WA: Seattle/Tacoma International"/>
    <n v="195"/>
    <n v="50"/>
    <n v="7.7"/>
    <n v="3.31"/>
    <n v="9.51"/>
    <n v="0"/>
    <n v="29.48"/>
    <n v="6"/>
    <n v="0"/>
    <n v="2806"/>
    <n v="277"/>
    <n v="81"/>
    <n v="295"/>
    <n v="0"/>
    <n v="2153"/>
    <n v="0.25640000000000002"/>
    <n v="3.0800000000000001E-2"/>
    <n v="0"/>
  </r>
  <r>
    <n v="2016"/>
    <n v="3"/>
    <x v="10"/>
    <x v="10"/>
    <s v="SEA"/>
    <s v="Seattle, WA: Seattle/Tacoma International"/>
    <n v="908"/>
    <n v="198"/>
    <n v="57.58"/>
    <n v="3.06"/>
    <n v="51.45"/>
    <n v="0.87"/>
    <n v="85.03"/>
    <n v="6"/>
    <n v="1"/>
    <n v="7794"/>
    <n v="2360"/>
    <n v="250"/>
    <n v="1443"/>
    <n v="34"/>
    <n v="3707"/>
    <n v="0.21809999999999999"/>
    <n v="6.6E-3"/>
    <n v="1.1000000000000001E-3"/>
  </r>
  <r>
    <n v="2016"/>
    <n v="2"/>
    <x v="4"/>
    <x v="4"/>
    <s v="SEA"/>
    <s v="Seattle, WA: Seattle/Tacoma International"/>
    <n v="568"/>
    <n v="106"/>
    <n v="36.39"/>
    <n v="1.91"/>
    <n v="44.07"/>
    <n v="0.23"/>
    <n v="23.4"/>
    <n v="2"/>
    <n v="2"/>
    <n v="5617"/>
    <n v="2446"/>
    <n v="134"/>
    <n v="1334"/>
    <n v="18"/>
    <n v="1685"/>
    <n v="0.18659999999999999"/>
    <n v="3.5000000000000001E-3"/>
    <n v="3.5000000000000001E-3"/>
  </r>
  <r>
    <n v="2016"/>
    <n v="2"/>
    <x v="5"/>
    <x v="5"/>
    <s v="SEA"/>
    <s v="Seattle, WA: Seattle/Tacoma International"/>
    <n v="4207"/>
    <n v="418"/>
    <n v="107.21"/>
    <n v="7.27"/>
    <n v="188.88"/>
    <n v="3.73"/>
    <n v="110.9"/>
    <n v="17"/>
    <n v="7"/>
    <n v="21141"/>
    <n v="6169"/>
    <n v="1425"/>
    <n v="5278"/>
    <n v="76"/>
    <n v="8193"/>
    <n v="9.9400000000000002E-2"/>
    <n v="4.0000000000000001E-3"/>
    <n v="1.6999999999999999E-3"/>
  </r>
  <r>
    <n v="2016"/>
    <n v="2"/>
    <x v="6"/>
    <x v="6"/>
    <s v="SEA"/>
    <s v="Seattle, WA: Seattle/Tacoma International"/>
    <n v="137"/>
    <n v="41"/>
    <n v="17.73"/>
    <n v="4.21"/>
    <n v="11.32"/>
    <n v="0"/>
    <n v="7.74"/>
    <n v="2"/>
    <n v="2"/>
    <n v="2181"/>
    <n v="844"/>
    <n v="450"/>
    <n v="350"/>
    <n v="0"/>
    <n v="537"/>
    <n v="0.29930000000000001"/>
    <n v="1.46E-2"/>
    <n v="1.46E-2"/>
  </r>
  <r>
    <n v="2016"/>
    <n v="2"/>
    <x v="7"/>
    <x v="7"/>
    <s v="SEA"/>
    <s v="Seattle, WA: Seattle/Tacoma International"/>
    <n v="1193"/>
    <n v="128"/>
    <n v="56.21"/>
    <n v="5.22"/>
    <n v="34.85"/>
    <n v="2"/>
    <n v="29.72"/>
    <n v="1"/>
    <n v="6"/>
    <n v="8253"/>
    <n v="4712"/>
    <n v="501"/>
    <n v="1247"/>
    <n v="157"/>
    <n v="1636"/>
    <n v="0.10730000000000001"/>
    <n v="8.0000000000000004E-4"/>
    <n v="5.0000000000000001E-3"/>
  </r>
  <r>
    <n v="2016"/>
    <n v="2"/>
    <x v="8"/>
    <x v="8"/>
    <s v="SEA"/>
    <s v="Seattle, WA: Seattle/Tacoma International"/>
    <n v="58"/>
    <n v="6"/>
    <n v="3.9"/>
    <n v="0"/>
    <n v="0.19"/>
    <n v="0"/>
    <n v="1.91"/>
    <n v="1"/>
    <n v="0"/>
    <n v="170"/>
    <n v="108"/>
    <n v="0"/>
    <n v="6"/>
    <n v="0"/>
    <n v="56"/>
    <n v="0.10340000000000001"/>
    <n v="1.72E-2"/>
    <n v="0"/>
  </r>
  <r>
    <n v="2016"/>
    <n v="2"/>
    <x v="0"/>
    <x v="0"/>
    <s v="SEA"/>
    <s v="Seattle, WA: Seattle/Tacoma International"/>
    <n v="58"/>
    <n v="5"/>
    <n v="3"/>
    <n v="0"/>
    <n v="0"/>
    <n v="0"/>
    <n v="2"/>
    <n v="0"/>
    <n v="0"/>
    <n v="138"/>
    <n v="77"/>
    <n v="0"/>
    <n v="0"/>
    <n v="0"/>
    <n v="61"/>
    <n v="8.6199999999999999E-2"/>
    <n v="0"/>
    <n v="0"/>
  </r>
  <r>
    <n v="2016"/>
    <n v="2"/>
    <x v="2"/>
    <x v="2"/>
    <s v="SEA"/>
    <s v="Seattle, WA: Seattle/Tacoma International"/>
    <n v="1346"/>
    <n v="157"/>
    <n v="30.58"/>
    <n v="1.22"/>
    <n v="39.049999999999997"/>
    <n v="0.39"/>
    <n v="85.75"/>
    <n v="3"/>
    <n v="6"/>
    <n v="10588"/>
    <n v="3627"/>
    <n v="40"/>
    <n v="1256"/>
    <n v="13"/>
    <n v="5652"/>
    <n v="0.1166"/>
    <n v="2.2000000000000001E-3"/>
    <n v="4.4999999999999997E-3"/>
  </r>
  <r>
    <n v="2016"/>
    <n v="2"/>
    <x v="9"/>
    <x v="9"/>
    <s v="SEA"/>
    <s v="Seattle, WA: Seattle/Tacoma International"/>
    <n v="632"/>
    <n v="89"/>
    <n v="35.5"/>
    <n v="4.4000000000000004"/>
    <n v="13.84"/>
    <n v="0"/>
    <n v="35.25"/>
    <n v="2"/>
    <n v="1"/>
    <n v="5079"/>
    <n v="1773"/>
    <n v="250"/>
    <n v="691"/>
    <n v="0"/>
    <n v="2365"/>
    <n v="0.14080000000000001"/>
    <n v="3.2000000000000002E-3"/>
    <n v="1.6000000000000001E-3"/>
  </r>
  <r>
    <n v="2016"/>
    <n v="2"/>
    <x v="14"/>
    <x v="14"/>
    <s v="SEA"/>
    <s v="Seattle, WA: Seattle/Tacoma International"/>
    <n v="175"/>
    <n v="23"/>
    <n v="7.63"/>
    <n v="0.85"/>
    <n v="0.5"/>
    <n v="0"/>
    <n v="14.02"/>
    <n v="0"/>
    <n v="0"/>
    <n v="1223"/>
    <n v="296"/>
    <n v="24"/>
    <n v="14"/>
    <n v="0"/>
    <n v="889"/>
    <n v="0.13139999999999999"/>
    <n v="0"/>
    <n v="0"/>
  </r>
  <r>
    <n v="2016"/>
    <n v="2"/>
    <x v="10"/>
    <x v="10"/>
    <s v="SEA"/>
    <s v="Seattle, WA: Seattle/Tacoma International"/>
    <n v="830"/>
    <n v="94"/>
    <n v="28.36"/>
    <n v="0.78"/>
    <n v="23.58"/>
    <n v="1.35"/>
    <n v="39.93"/>
    <n v="2"/>
    <n v="0"/>
    <n v="3314"/>
    <n v="978"/>
    <n v="43"/>
    <n v="614"/>
    <n v="78"/>
    <n v="1601"/>
    <n v="0.1133"/>
    <n v="2.3999999999999998E-3"/>
    <n v="0"/>
  </r>
  <r>
    <n v="2016"/>
    <n v="1"/>
    <x v="4"/>
    <x v="4"/>
    <s v="SEA"/>
    <s v="Seattle, WA: Seattle/Tacoma International"/>
    <n v="607"/>
    <n v="92"/>
    <n v="35.520000000000003"/>
    <n v="5.4"/>
    <n v="23.55"/>
    <n v="0"/>
    <n v="27.52"/>
    <n v="12"/>
    <n v="2"/>
    <n v="4485"/>
    <n v="1857"/>
    <n v="198"/>
    <n v="715"/>
    <n v="0"/>
    <n v="1715"/>
    <n v="0.15160000000000001"/>
    <n v="1.9800000000000002E-2"/>
    <n v="3.3E-3"/>
  </r>
  <r>
    <n v="2016"/>
    <n v="1"/>
    <x v="5"/>
    <x v="5"/>
    <s v="SEA"/>
    <s v="Seattle, WA: Seattle/Tacoma International"/>
    <n v="4444"/>
    <n v="449"/>
    <n v="95.46"/>
    <n v="18.88"/>
    <n v="163.05000000000001"/>
    <n v="2.33"/>
    <n v="169.29"/>
    <n v="46"/>
    <n v="6"/>
    <n v="22790"/>
    <n v="6277"/>
    <n v="1554"/>
    <n v="4829"/>
    <n v="73"/>
    <n v="10057"/>
    <n v="0.10100000000000001"/>
    <n v="1.04E-2"/>
    <n v="1.4E-3"/>
  </r>
  <r>
    <n v="2016"/>
    <n v="1"/>
    <x v="6"/>
    <x v="6"/>
    <s v="SEA"/>
    <s v="Seattle, WA: Seattle/Tacoma International"/>
    <n v="142"/>
    <n v="20"/>
    <n v="9.51"/>
    <n v="0.38"/>
    <n v="6.68"/>
    <n v="0"/>
    <n v="3.44"/>
    <n v="2"/>
    <n v="1"/>
    <n v="1127"/>
    <n v="574"/>
    <n v="67"/>
    <n v="315"/>
    <n v="0"/>
    <n v="171"/>
    <n v="0.14080000000000001"/>
    <n v="1.41E-2"/>
    <n v="7.0000000000000001E-3"/>
  </r>
  <r>
    <n v="2016"/>
    <n v="1"/>
    <x v="7"/>
    <x v="7"/>
    <s v="SEA"/>
    <s v="Seattle, WA: Seattle/Tacoma International"/>
    <n v="1271"/>
    <n v="166"/>
    <n v="59.53"/>
    <n v="10.4"/>
    <n v="45.87"/>
    <n v="0"/>
    <n v="50.2"/>
    <n v="7"/>
    <n v="3"/>
    <n v="11873"/>
    <n v="5977"/>
    <n v="1516"/>
    <n v="1401"/>
    <n v="0"/>
    <n v="2979"/>
    <n v="0.13059999999999999"/>
    <n v="5.4999999999999997E-3"/>
    <n v="2.3999999999999998E-3"/>
  </r>
  <r>
    <n v="2016"/>
    <n v="1"/>
    <x v="8"/>
    <x v="8"/>
    <s v="SEA"/>
    <s v="Seattle, WA: Seattle/Tacoma International"/>
    <n v="59"/>
    <n v="7"/>
    <n v="3.38"/>
    <n v="0.97"/>
    <n v="1.27"/>
    <n v="0"/>
    <n v="1.38"/>
    <n v="0"/>
    <n v="0"/>
    <n v="372"/>
    <n v="270"/>
    <n v="33"/>
    <n v="40"/>
    <n v="0"/>
    <n v="29"/>
    <n v="0.1186"/>
    <n v="0"/>
    <n v="0"/>
  </r>
  <r>
    <n v="2016"/>
    <n v="1"/>
    <x v="0"/>
    <x v="0"/>
    <s v="SEA"/>
    <s v="Seattle, WA: Seattle/Tacoma International"/>
    <n v="62"/>
    <n v="8"/>
    <n v="3.98"/>
    <n v="0"/>
    <n v="0"/>
    <n v="0"/>
    <n v="4.0199999999999996"/>
    <n v="0"/>
    <n v="0"/>
    <n v="345"/>
    <n v="187"/>
    <n v="0"/>
    <n v="0"/>
    <n v="0"/>
    <n v="158"/>
    <n v="0.129"/>
    <n v="0"/>
    <n v="0"/>
  </r>
  <r>
    <n v="2016"/>
    <n v="1"/>
    <x v="2"/>
    <x v="2"/>
    <s v="SEA"/>
    <s v="Seattle, WA: Seattle/Tacoma International"/>
    <n v="1408"/>
    <n v="271"/>
    <n v="54.65"/>
    <n v="6.75"/>
    <n v="70.66"/>
    <n v="0"/>
    <n v="138.94"/>
    <n v="17"/>
    <n v="15"/>
    <n v="19368"/>
    <n v="5881"/>
    <n v="537"/>
    <n v="2358"/>
    <n v="0"/>
    <n v="10592"/>
    <n v="0.1925"/>
    <n v="1.21E-2"/>
    <n v="1.0699999999999999E-2"/>
  </r>
  <r>
    <n v="2016"/>
    <n v="1"/>
    <x v="9"/>
    <x v="9"/>
    <s v="SEA"/>
    <s v="Seattle, WA: Seattle/Tacoma International"/>
    <n v="638"/>
    <n v="90"/>
    <n v="42.24"/>
    <n v="4.51"/>
    <n v="13.33"/>
    <n v="0"/>
    <n v="29.92"/>
    <n v="11"/>
    <n v="0"/>
    <n v="5273"/>
    <n v="2177"/>
    <n v="347"/>
    <n v="632"/>
    <n v="0"/>
    <n v="2117"/>
    <n v="0.1411"/>
    <n v="1.72E-2"/>
    <n v="0"/>
  </r>
  <r>
    <n v="2016"/>
    <n v="1"/>
    <x v="14"/>
    <x v="14"/>
    <s v="SEA"/>
    <s v="Seattle, WA: Seattle/Tacoma International"/>
    <n v="188"/>
    <n v="34"/>
    <n v="8.1300000000000008"/>
    <n v="2.52"/>
    <n v="1.45"/>
    <n v="0"/>
    <n v="21.9"/>
    <n v="3"/>
    <n v="0"/>
    <n v="2318"/>
    <n v="625"/>
    <n v="61"/>
    <n v="98"/>
    <n v="0"/>
    <n v="1534"/>
    <n v="0.18090000000000001"/>
    <n v="1.6E-2"/>
    <n v="0"/>
  </r>
  <r>
    <n v="2016"/>
    <n v="1"/>
    <x v="10"/>
    <x v="10"/>
    <s v="SEA"/>
    <s v="Seattle, WA: Seattle/Tacoma International"/>
    <n v="920"/>
    <n v="137"/>
    <n v="44.44"/>
    <n v="0.48"/>
    <n v="24.94"/>
    <n v="0"/>
    <n v="67.150000000000006"/>
    <n v="6"/>
    <n v="4"/>
    <n v="6066"/>
    <n v="1636"/>
    <n v="11"/>
    <n v="1078"/>
    <n v="0"/>
    <n v="3341"/>
    <n v="0.1489"/>
    <n v="6.4999999999999997E-3"/>
    <n v="4.3E-3"/>
  </r>
  <r>
    <n v="2015"/>
    <n v="12"/>
    <x v="6"/>
    <x v="6"/>
    <s v="SEA"/>
    <s v="Seattle, WA: Seattle/Tacoma International"/>
    <n v="151"/>
    <n v="49"/>
    <n v="14.17"/>
    <n v="2.14"/>
    <n v="19.010000000000002"/>
    <n v="0.56999999999999995"/>
    <n v="13.11"/>
    <n v="0"/>
    <n v="2"/>
    <n v="2818"/>
    <n v="879"/>
    <n v="313"/>
    <n v="605"/>
    <n v="23"/>
    <n v="998"/>
    <n v="0.32450000000000001"/>
    <n v="0"/>
    <n v="1.32E-2"/>
  </r>
  <r>
    <n v="2015"/>
    <n v="12"/>
    <x v="7"/>
    <x v="7"/>
    <s v="SEA"/>
    <s v="Seattle, WA: Seattle/Tacoma International"/>
    <n v="1310"/>
    <n v="224"/>
    <n v="61.72"/>
    <n v="11.97"/>
    <n v="92.71"/>
    <n v="0"/>
    <n v="57.6"/>
    <n v="1"/>
    <n v="1"/>
    <n v="13472"/>
    <n v="6051"/>
    <n v="1527"/>
    <n v="2759"/>
    <n v="0"/>
    <n v="3135"/>
    <n v="0.17100000000000001"/>
    <n v="8.0000000000000004E-4"/>
    <n v="8.0000000000000004E-4"/>
  </r>
  <r>
    <n v="2015"/>
    <n v="12"/>
    <x v="8"/>
    <x v="8"/>
    <s v="SEA"/>
    <s v="Seattle, WA: Seattle/Tacoma International"/>
    <n v="58"/>
    <n v="11"/>
    <n v="4.71"/>
    <n v="0.25"/>
    <n v="5.25"/>
    <n v="0"/>
    <n v="0.79"/>
    <n v="1"/>
    <n v="0"/>
    <n v="486"/>
    <n v="151"/>
    <n v="27"/>
    <n v="237"/>
    <n v="0"/>
    <n v="71"/>
    <n v="0.18970000000000001"/>
    <n v="1.72E-2"/>
    <n v="0"/>
  </r>
  <r>
    <n v="2015"/>
    <n v="12"/>
    <x v="0"/>
    <x v="0"/>
    <s v="SEA"/>
    <s v="Seattle, WA: Seattle/Tacoma International"/>
    <n v="62"/>
    <n v="22"/>
    <n v="17.29"/>
    <n v="0"/>
    <n v="0.1"/>
    <n v="0"/>
    <n v="4.6100000000000003"/>
    <n v="0"/>
    <n v="0"/>
    <n v="1053"/>
    <n v="624"/>
    <n v="0"/>
    <n v="2"/>
    <n v="0"/>
    <n v="427"/>
    <n v="0.3548"/>
    <n v="0"/>
    <n v="0"/>
  </r>
  <r>
    <n v="2015"/>
    <n v="12"/>
    <x v="2"/>
    <x v="2"/>
    <s v="SEA"/>
    <s v="Seattle, WA: Seattle/Tacoma International"/>
    <n v="1510"/>
    <n v="390"/>
    <n v="61.03"/>
    <n v="8.06"/>
    <n v="150.33000000000001"/>
    <n v="1.1200000000000001"/>
    <n v="169.45"/>
    <n v="15"/>
    <n v="0"/>
    <n v="24266"/>
    <n v="6354"/>
    <n v="716"/>
    <n v="4671"/>
    <n v="21"/>
    <n v="12504"/>
    <n v="0.25829999999999997"/>
    <n v="9.9000000000000008E-3"/>
    <n v="0"/>
  </r>
  <r>
    <n v="2015"/>
    <n v="12"/>
    <x v="9"/>
    <x v="9"/>
    <s v="SEA"/>
    <s v="Seattle, WA: Seattle/Tacoma International"/>
    <n v="743"/>
    <n v="156"/>
    <n v="59.35"/>
    <n v="6.93"/>
    <n v="26"/>
    <n v="0"/>
    <n v="63.73"/>
    <n v="14"/>
    <n v="0"/>
    <n v="12024"/>
    <n v="4069"/>
    <n v="488"/>
    <n v="1005"/>
    <n v="0"/>
    <n v="6462"/>
    <n v="0.21"/>
    <n v="1.8800000000000001E-2"/>
    <n v="0"/>
  </r>
  <r>
    <n v="2015"/>
    <n v="12"/>
    <x v="14"/>
    <x v="14"/>
    <s v="SEA"/>
    <s v="Seattle, WA: Seattle/Tacoma International"/>
    <n v="199"/>
    <n v="72"/>
    <n v="10.97"/>
    <n v="4.8899999999999997"/>
    <n v="15.76"/>
    <n v="0"/>
    <n v="40.369999999999997"/>
    <n v="2"/>
    <n v="0"/>
    <n v="4614"/>
    <n v="523"/>
    <n v="169"/>
    <n v="666"/>
    <n v="0"/>
    <n v="3256"/>
    <n v="0.36180000000000001"/>
    <n v="1.01E-2"/>
    <n v="0"/>
  </r>
  <r>
    <n v="2015"/>
    <n v="12"/>
    <x v="10"/>
    <x v="10"/>
    <s v="SEA"/>
    <s v="Seattle, WA: Seattle/Tacoma International"/>
    <n v="1106"/>
    <n v="341"/>
    <n v="102.58"/>
    <n v="2.88"/>
    <n v="70.83"/>
    <n v="0.68"/>
    <n v="164.03"/>
    <n v="5"/>
    <n v="1"/>
    <n v="16219"/>
    <n v="4657"/>
    <n v="217"/>
    <n v="2315"/>
    <n v="15"/>
    <n v="9015"/>
    <n v="0.30830000000000002"/>
    <n v="4.4999999999999997E-3"/>
    <n v="8.9999999999999998E-4"/>
  </r>
  <r>
    <n v="2015"/>
    <n v="12"/>
    <x v="4"/>
    <x v="4"/>
    <s v="SEA"/>
    <s v="Seattle, WA: Seattle/Tacoma International"/>
    <n v="717"/>
    <n v="153"/>
    <n v="52.21"/>
    <n v="4.6900000000000004"/>
    <n v="53.61"/>
    <n v="0.19"/>
    <n v="42.3"/>
    <n v="10"/>
    <n v="2"/>
    <n v="7213"/>
    <n v="2457"/>
    <n v="607"/>
    <n v="1626"/>
    <n v="12"/>
    <n v="2511"/>
    <n v="0.21340000000000001"/>
    <n v="1.3899999999999999E-2"/>
    <n v="2.8E-3"/>
  </r>
  <r>
    <n v="2015"/>
    <n v="12"/>
    <x v="5"/>
    <x v="5"/>
    <s v="SEA"/>
    <s v="Seattle, WA: Seattle/Tacoma International"/>
    <n v="4519"/>
    <n v="671"/>
    <n v="134.26"/>
    <n v="7.76"/>
    <n v="332.91"/>
    <n v="10.19"/>
    <n v="185.89"/>
    <n v="25"/>
    <n v="3"/>
    <n v="31235"/>
    <n v="9136"/>
    <n v="810"/>
    <n v="9128"/>
    <n v="286"/>
    <n v="11875"/>
    <n v="0.14849999999999999"/>
    <n v="5.4999999999999997E-3"/>
    <n v="6.9999999999999999E-4"/>
  </r>
  <r>
    <n v="2015"/>
    <n v="11"/>
    <x v="4"/>
    <x v="4"/>
    <s v="SEA"/>
    <s v="Seattle, WA: Seattle/Tacoma International"/>
    <n v="625"/>
    <n v="118"/>
    <n v="43.01"/>
    <n v="3.15"/>
    <n v="42.37"/>
    <n v="1.1299999999999999"/>
    <n v="28.35"/>
    <n v="8"/>
    <n v="6"/>
    <n v="5665"/>
    <n v="2519"/>
    <n v="130"/>
    <n v="1191"/>
    <n v="45"/>
    <n v="1780"/>
    <n v="0.1888"/>
    <n v="1.2800000000000001E-2"/>
    <n v="9.5999999999999992E-3"/>
  </r>
  <r>
    <n v="2015"/>
    <n v="11"/>
    <x v="5"/>
    <x v="5"/>
    <s v="SEA"/>
    <s v="Seattle, WA: Seattle/Tacoma International"/>
    <n v="4322"/>
    <n v="640"/>
    <n v="113.61"/>
    <n v="6.37"/>
    <n v="338.9"/>
    <n v="2.56"/>
    <n v="178.56"/>
    <n v="9"/>
    <n v="6"/>
    <n v="30493"/>
    <n v="7480"/>
    <n v="380"/>
    <n v="10477"/>
    <n v="116"/>
    <n v="12040"/>
    <n v="0.14810000000000001"/>
    <n v="2.0999999999999999E-3"/>
    <n v="1.4E-3"/>
  </r>
  <r>
    <n v="2015"/>
    <n v="11"/>
    <x v="6"/>
    <x v="6"/>
    <s v="SEA"/>
    <s v="Seattle, WA: Seattle/Tacoma International"/>
    <n v="139"/>
    <n v="28"/>
    <n v="11.98"/>
    <n v="0"/>
    <n v="10.89"/>
    <n v="0"/>
    <n v="5.13"/>
    <n v="0"/>
    <n v="2"/>
    <n v="1202"/>
    <n v="486"/>
    <n v="0"/>
    <n v="398"/>
    <n v="0"/>
    <n v="318"/>
    <n v="0.2014"/>
    <n v="0"/>
    <n v="1.44E-2"/>
  </r>
  <r>
    <n v="2015"/>
    <n v="11"/>
    <x v="7"/>
    <x v="7"/>
    <s v="SEA"/>
    <s v="Seattle, WA: Seattle/Tacoma International"/>
    <n v="1261"/>
    <n v="153"/>
    <n v="52.25"/>
    <n v="2.75"/>
    <n v="64.72"/>
    <n v="0"/>
    <n v="33.28"/>
    <n v="0"/>
    <n v="4"/>
    <n v="8136"/>
    <n v="4282"/>
    <n v="193"/>
    <n v="1996"/>
    <n v="0"/>
    <n v="1665"/>
    <n v="0.12130000000000001"/>
    <n v="0"/>
    <n v="3.2000000000000002E-3"/>
  </r>
  <r>
    <n v="2015"/>
    <n v="11"/>
    <x v="8"/>
    <x v="8"/>
    <s v="SEA"/>
    <s v="Seattle, WA: Seattle/Tacoma International"/>
    <n v="69"/>
    <n v="17"/>
    <n v="6.18"/>
    <n v="0.01"/>
    <n v="9.5500000000000007"/>
    <n v="0"/>
    <n v="1.26"/>
    <n v="1"/>
    <n v="0"/>
    <n v="645"/>
    <n v="286"/>
    <n v="1"/>
    <n v="296"/>
    <n v="0"/>
    <n v="62"/>
    <n v="0.24640000000000001"/>
    <n v="1.4500000000000001E-2"/>
    <n v="0"/>
  </r>
  <r>
    <n v="2015"/>
    <n v="11"/>
    <x v="0"/>
    <x v="0"/>
    <s v="SEA"/>
    <s v="Seattle, WA: Seattle/Tacoma International"/>
    <n v="60"/>
    <n v="15"/>
    <n v="14.77"/>
    <n v="0"/>
    <n v="7.0000000000000007E-2"/>
    <n v="0"/>
    <n v="0.16"/>
    <n v="0"/>
    <n v="1"/>
    <n v="374"/>
    <n v="368"/>
    <n v="0"/>
    <n v="2"/>
    <n v="0"/>
    <n v="4"/>
    <n v="0.25"/>
    <n v="0"/>
    <n v="1.67E-2"/>
  </r>
  <r>
    <n v="2015"/>
    <n v="11"/>
    <x v="2"/>
    <x v="2"/>
    <s v="SEA"/>
    <s v="Seattle, WA: Seattle/Tacoma International"/>
    <n v="1349"/>
    <n v="225"/>
    <n v="34.83"/>
    <n v="9.67"/>
    <n v="96.29"/>
    <n v="0.53"/>
    <n v="83.68"/>
    <n v="21"/>
    <n v="10"/>
    <n v="12642"/>
    <n v="2978"/>
    <n v="1186"/>
    <n v="2989"/>
    <n v="10"/>
    <n v="5479"/>
    <n v="0.1668"/>
    <n v="1.5599999999999999E-2"/>
    <n v="7.4000000000000003E-3"/>
  </r>
  <r>
    <n v="2015"/>
    <n v="11"/>
    <x v="9"/>
    <x v="9"/>
    <s v="SEA"/>
    <s v="Seattle, WA: Seattle/Tacoma International"/>
    <n v="670"/>
    <n v="100"/>
    <n v="33.15"/>
    <n v="3.84"/>
    <n v="30.33"/>
    <n v="0"/>
    <n v="32.68"/>
    <n v="5"/>
    <n v="5"/>
    <n v="5501"/>
    <n v="1276"/>
    <n v="321"/>
    <n v="1317"/>
    <n v="0"/>
    <n v="2587"/>
    <n v="0.14929999999999999"/>
    <n v="7.4999999999999997E-3"/>
    <n v="7.4999999999999997E-3"/>
  </r>
  <r>
    <n v="2015"/>
    <n v="11"/>
    <x v="14"/>
    <x v="14"/>
    <s v="SEA"/>
    <s v="Seattle, WA: Seattle/Tacoma International"/>
    <n v="190"/>
    <n v="44"/>
    <n v="11.64"/>
    <n v="5.3"/>
    <n v="6.55"/>
    <n v="0.46"/>
    <n v="20.05"/>
    <n v="1"/>
    <n v="0"/>
    <n v="2399"/>
    <n v="650"/>
    <n v="178"/>
    <n v="353"/>
    <n v="10"/>
    <n v="1208"/>
    <n v="0.2316"/>
    <n v="5.3E-3"/>
    <n v="0"/>
  </r>
  <r>
    <n v="2015"/>
    <n v="11"/>
    <x v="10"/>
    <x v="10"/>
    <s v="SEA"/>
    <s v="Seattle, WA: Seattle/Tacoma International"/>
    <n v="1055"/>
    <n v="208"/>
    <n v="63.95"/>
    <n v="4.91"/>
    <n v="46.04"/>
    <n v="1"/>
    <n v="92.1"/>
    <n v="9"/>
    <n v="3"/>
    <n v="10419"/>
    <n v="3468"/>
    <n v="306"/>
    <n v="1519"/>
    <n v="79"/>
    <n v="5047"/>
    <n v="0.19719999999999999"/>
    <n v="8.5000000000000006E-3"/>
    <n v="2.8E-3"/>
  </r>
  <r>
    <n v="2015"/>
    <n v="10"/>
    <x v="4"/>
    <x v="4"/>
    <s v="SEA"/>
    <s v="Seattle, WA: Seattle/Tacoma International"/>
    <n v="635"/>
    <n v="105"/>
    <n v="26.29"/>
    <n v="3.29"/>
    <n v="50.77"/>
    <n v="0"/>
    <n v="24.65"/>
    <n v="2"/>
    <n v="0"/>
    <n v="5014"/>
    <n v="1672"/>
    <n v="363"/>
    <n v="1600"/>
    <n v="0"/>
    <n v="1379"/>
    <n v="0.16539999999999999"/>
    <n v="3.0999999999999999E-3"/>
    <n v="0"/>
  </r>
  <r>
    <n v="2015"/>
    <n v="10"/>
    <x v="5"/>
    <x v="5"/>
    <s v="SEA"/>
    <s v="Seattle, WA: Seattle/Tacoma International"/>
    <n v="4609"/>
    <n v="574"/>
    <n v="83.26"/>
    <n v="6.94"/>
    <n v="329"/>
    <n v="2.38"/>
    <n v="152.41999999999999"/>
    <n v="6"/>
    <n v="3"/>
    <n v="24317"/>
    <n v="4958"/>
    <n v="324"/>
    <n v="10574"/>
    <n v="108"/>
    <n v="8353"/>
    <n v="0.1245"/>
    <n v="1.2999999999999999E-3"/>
    <n v="6.9999999999999999E-4"/>
  </r>
  <r>
    <n v="2015"/>
    <n v="10"/>
    <x v="6"/>
    <x v="6"/>
    <s v="SEA"/>
    <s v="Seattle, WA: Seattle/Tacoma International"/>
    <n v="167"/>
    <n v="42"/>
    <n v="11.53"/>
    <n v="0.79"/>
    <n v="21.33"/>
    <n v="0"/>
    <n v="8.36"/>
    <n v="0"/>
    <n v="0"/>
    <n v="1865"/>
    <n v="564"/>
    <n v="104"/>
    <n v="800"/>
    <n v="0"/>
    <n v="397"/>
    <n v="0.2515"/>
    <n v="0"/>
    <n v="0"/>
  </r>
  <r>
    <n v="2015"/>
    <n v="10"/>
    <x v="7"/>
    <x v="7"/>
    <s v="SEA"/>
    <s v="Seattle, WA: Seattle/Tacoma International"/>
    <n v="1270"/>
    <n v="133"/>
    <n v="38"/>
    <n v="2.97"/>
    <n v="62.92"/>
    <n v="0"/>
    <n v="29.1"/>
    <n v="0"/>
    <n v="4"/>
    <n v="6483"/>
    <n v="3196"/>
    <n v="269"/>
    <n v="1621"/>
    <n v="0"/>
    <n v="1397"/>
    <n v="0.1047"/>
    <n v="0"/>
    <n v="3.0999999999999999E-3"/>
  </r>
  <r>
    <n v="2015"/>
    <n v="10"/>
    <x v="8"/>
    <x v="8"/>
    <s v="SEA"/>
    <s v="Seattle, WA: Seattle/Tacoma International"/>
    <n v="85"/>
    <n v="10"/>
    <n v="4.2"/>
    <n v="0"/>
    <n v="3.77"/>
    <n v="0"/>
    <n v="2.0299999999999998"/>
    <n v="0"/>
    <n v="0"/>
    <n v="480"/>
    <n v="173"/>
    <n v="0"/>
    <n v="117"/>
    <n v="0"/>
    <n v="190"/>
    <n v="0.1176"/>
    <n v="0"/>
    <n v="0"/>
  </r>
  <r>
    <n v="2015"/>
    <n v="10"/>
    <x v="2"/>
    <x v="2"/>
    <s v="SEA"/>
    <s v="Seattle, WA: Seattle/Tacoma International"/>
    <n v="1456"/>
    <n v="202"/>
    <n v="43.64"/>
    <n v="5.37"/>
    <n v="74.7"/>
    <n v="0"/>
    <n v="78.290000000000006"/>
    <n v="12"/>
    <n v="1"/>
    <n v="11444"/>
    <n v="3006"/>
    <n v="465"/>
    <n v="2321"/>
    <n v="0"/>
    <n v="5652"/>
    <n v="0.13869999999999999"/>
    <n v="8.2000000000000007E-3"/>
    <n v="6.9999999999999999E-4"/>
  </r>
  <r>
    <n v="2015"/>
    <n v="10"/>
    <x v="0"/>
    <x v="0"/>
    <s v="SEA"/>
    <s v="Seattle, WA: Seattle/Tacoma International"/>
    <n v="62"/>
    <n v="7"/>
    <n v="4"/>
    <n v="0"/>
    <n v="0"/>
    <n v="0"/>
    <n v="3"/>
    <n v="0"/>
    <n v="0"/>
    <n v="315"/>
    <n v="100"/>
    <n v="0"/>
    <n v="0"/>
    <n v="0"/>
    <n v="215"/>
    <n v="0.1129"/>
    <n v="0"/>
    <n v="0"/>
  </r>
  <r>
    <n v="2015"/>
    <n v="10"/>
    <x v="9"/>
    <x v="9"/>
    <s v="SEA"/>
    <s v="Seattle, WA: Seattle/Tacoma International"/>
    <n v="731"/>
    <n v="109"/>
    <n v="36.15"/>
    <n v="1.5"/>
    <n v="29.63"/>
    <n v="0"/>
    <n v="41.73"/>
    <n v="3"/>
    <n v="0"/>
    <n v="5441"/>
    <n v="1735"/>
    <n v="84"/>
    <n v="970"/>
    <n v="0"/>
    <n v="2652"/>
    <n v="0.14910000000000001"/>
    <n v="4.1000000000000003E-3"/>
    <n v="0"/>
  </r>
  <r>
    <n v="2015"/>
    <n v="10"/>
    <x v="14"/>
    <x v="14"/>
    <s v="SEA"/>
    <s v="Seattle, WA: Seattle/Tacoma International"/>
    <n v="194"/>
    <n v="36"/>
    <n v="6.82"/>
    <n v="4.03"/>
    <n v="9.2200000000000006"/>
    <n v="0"/>
    <n v="15.92"/>
    <n v="0"/>
    <n v="0"/>
    <n v="1575"/>
    <n v="249"/>
    <n v="91"/>
    <n v="317"/>
    <n v="0"/>
    <n v="918"/>
    <n v="0.18559999999999999"/>
    <n v="0"/>
    <n v="0"/>
  </r>
  <r>
    <n v="2015"/>
    <n v="10"/>
    <x v="10"/>
    <x v="10"/>
    <s v="SEA"/>
    <s v="Seattle, WA: Seattle/Tacoma International"/>
    <n v="1176"/>
    <n v="235"/>
    <n v="63.47"/>
    <n v="4.68"/>
    <n v="88.21"/>
    <n v="0"/>
    <n v="78.650000000000006"/>
    <n v="1"/>
    <n v="3"/>
    <n v="8840"/>
    <n v="2172"/>
    <n v="174"/>
    <n v="2624"/>
    <n v="0"/>
    <n v="3870"/>
    <n v="0.19980000000000001"/>
    <n v="8.9999999999999998E-4"/>
    <n v="2.5999999999999999E-3"/>
  </r>
  <r>
    <n v="2015"/>
    <n v="9"/>
    <x v="4"/>
    <x v="4"/>
    <s v="SEA"/>
    <s v="Seattle, WA: Seattle/Tacoma International"/>
    <n v="758"/>
    <n v="115"/>
    <n v="42.21"/>
    <n v="4.5999999999999996"/>
    <n v="39.479999999999997"/>
    <n v="0.23"/>
    <n v="28.49"/>
    <n v="1"/>
    <n v="0"/>
    <n v="4997"/>
    <n v="1989"/>
    <n v="286"/>
    <n v="1266"/>
    <n v="15"/>
    <n v="1441"/>
    <n v="0.1517"/>
    <n v="1.2999999999999999E-3"/>
    <n v="0"/>
  </r>
  <r>
    <n v="2015"/>
    <n v="9"/>
    <x v="5"/>
    <x v="5"/>
    <s v="SEA"/>
    <s v="Seattle, WA: Seattle/Tacoma International"/>
    <n v="4600"/>
    <n v="551"/>
    <n v="133.65"/>
    <n v="6.92"/>
    <n v="255.1"/>
    <n v="5.59"/>
    <n v="149.74"/>
    <n v="13"/>
    <n v="3"/>
    <n v="24859"/>
    <n v="9026"/>
    <n v="380"/>
    <n v="7988"/>
    <n v="126"/>
    <n v="7339"/>
    <n v="0.1198"/>
    <n v="2.8E-3"/>
    <n v="6.9999999999999999E-4"/>
  </r>
  <r>
    <n v="2015"/>
    <n v="9"/>
    <x v="6"/>
    <x v="6"/>
    <s v="SEA"/>
    <s v="Seattle, WA: Seattle/Tacoma International"/>
    <n v="206"/>
    <n v="45"/>
    <n v="14.22"/>
    <n v="1"/>
    <n v="18.3"/>
    <n v="0.34"/>
    <n v="11.13"/>
    <n v="0"/>
    <n v="1"/>
    <n v="1864"/>
    <n v="773"/>
    <n v="32"/>
    <n v="511"/>
    <n v="10"/>
    <n v="538"/>
    <n v="0.21840000000000001"/>
    <n v="0"/>
    <n v="4.8999999999999998E-3"/>
  </r>
  <r>
    <n v="2015"/>
    <n v="9"/>
    <x v="7"/>
    <x v="7"/>
    <s v="SEA"/>
    <s v="Seattle, WA: Seattle/Tacoma International"/>
    <n v="1318"/>
    <n v="169"/>
    <n v="45.47"/>
    <n v="10.9"/>
    <n v="74.459999999999994"/>
    <n v="0"/>
    <n v="38.159999999999997"/>
    <n v="0"/>
    <n v="1"/>
    <n v="7484"/>
    <n v="2658"/>
    <n v="618"/>
    <n v="2054"/>
    <n v="0"/>
    <n v="2154"/>
    <n v="0.12820000000000001"/>
    <n v="0"/>
    <n v="8.0000000000000004E-4"/>
  </r>
  <r>
    <n v="2015"/>
    <n v="9"/>
    <x v="8"/>
    <x v="8"/>
    <s v="SEA"/>
    <s v="Seattle, WA: Seattle/Tacoma International"/>
    <n v="97"/>
    <n v="18"/>
    <n v="4.0999999999999996"/>
    <n v="0"/>
    <n v="10.220000000000001"/>
    <n v="0"/>
    <n v="3.68"/>
    <n v="0"/>
    <n v="0"/>
    <n v="870"/>
    <n v="178"/>
    <n v="0"/>
    <n v="283"/>
    <n v="0"/>
    <n v="409"/>
    <n v="0.18559999999999999"/>
    <n v="0"/>
    <n v="0"/>
  </r>
  <r>
    <n v="2015"/>
    <n v="9"/>
    <x v="0"/>
    <x v="0"/>
    <s v="SEA"/>
    <s v="Seattle, WA: Seattle/Tacoma International"/>
    <n v="60"/>
    <n v="19"/>
    <n v="16.64"/>
    <n v="0.97"/>
    <n v="0"/>
    <n v="0"/>
    <n v="1.39"/>
    <n v="0"/>
    <n v="0"/>
    <n v="751"/>
    <n v="641"/>
    <n v="69"/>
    <n v="0"/>
    <n v="0"/>
    <n v="41"/>
    <n v="0.31669999999999998"/>
    <n v="0"/>
    <n v="0"/>
  </r>
  <r>
    <n v="2015"/>
    <n v="9"/>
    <x v="2"/>
    <x v="2"/>
    <s v="SEA"/>
    <s v="Seattle, WA: Seattle/Tacoma International"/>
    <n v="1351"/>
    <n v="145"/>
    <n v="27.33"/>
    <n v="12.51"/>
    <n v="48.58"/>
    <n v="1"/>
    <n v="55.58"/>
    <n v="6"/>
    <n v="1"/>
    <n v="9293"/>
    <n v="3702"/>
    <n v="669"/>
    <n v="1500"/>
    <n v="18"/>
    <n v="3404"/>
    <n v="0.10730000000000001"/>
    <n v="4.4000000000000003E-3"/>
    <n v="6.9999999999999999E-4"/>
  </r>
  <r>
    <n v="2015"/>
    <n v="9"/>
    <x v="9"/>
    <x v="9"/>
    <s v="SEA"/>
    <s v="Seattle, WA: Seattle/Tacoma International"/>
    <n v="798"/>
    <n v="102"/>
    <n v="43.68"/>
    <n v="4.18"/>
    <n v="29.56"/>
    <n v="0"/>
    <n v="24.58"/>
    <n v="0"/>
    <n v="1"/>
    <n v="5011"/>
    <n v="2246"/>
    <n v="159"/>
    <n v="1085"/>
    <n v="0"/>
    <n v="1521"/>
    <n v="0.1278"/>
    <n v="0"/>
    <n v="1.2999999999999999E-3"/>
  </r>
  <r>
    <n v="2015"/>
    <n v="9"/>
    <x v="14"/>
    <x v="14"/>
    <s v="SEA"/>
    <s v="Seattle, WA: Seattle/Tacoma International"/>
    <n v="187"/>
    <n v="43"/>
    <n v="9.07"/>
    <n v="4"/>
    <n v="9.0500000000000007"/>
    <n v="0.03"/>
    <n v="20.85"/>
    <n v="0"/>
    <n v="0"/>
    <n v="1631"/>
    <n v="454"/>
    <n v="74"/>
    <n v="320"/>
    <n v="2"/>
    <n v="781"/>
    <n v="0.22989999999999999"/>
    <n v="0"/>
    <n v="0"/>
  </r>
  <r>
    <n v="2015"/>
    <n v="9"/>
    <x v="10"/>
    <x v="10"/>
    <s v="SEA"/>
    <s v="Seattle, WA: Seattle/Tacoma International"/>
    <n v="1136"/>
    <n v="178"/>
    <n v="56.38"/>
    <n v="1.76"/>
    <n v="59.5"/>
    <n v="1.38"/>
    <n v="58.99"/>
    <n v="3"/>
    <n v="3"/>
    <n v="7197"/>
    <n v="2339"/>
    <n v="64"/>
    <n v="1705"/>
    <n v="26"/>
    <n v="3063"/>
    <n v="0.15670000000000001"/>
    <n v="2.5999999999999999E-3"/>
    <n v="2.5999999999999999E-3"/>
  </r>
  <r>
    <n v="2015"/>
    <n v="8"/>
    <x v="4"/>
    <x v="4"/>
    <s v="SEA"/>
    <s v="Seattle, WA: Seattle/Tacoma International"/>
    <n v="935"/>
    <n v="247"/>
    <n v="82.19"/>
    <n v="5.74"/>
    <n v="94.31"/>
    <n v="0.66"/>
    <n v="64.09"/>
    <n v="1"/>
    <n v="1"/>
    <n v="12010"/>
    <n v="4182"/>
    <n v="280"/>
    <n v="3612"/>
    <n v="41"/>
    <n v="3895"/>
    <n v="0.26419999999999999"/>
    <n v="1.1000000000000001E-3"/>
    <n v="1.1000000000000001E-3"/>
  </r>
  <r>
    <n v="2015"/>
    <n v="8"/>
    <x v="5"/>
    <x v="5"/>
    <s v="SEA"/>
    <s v="Seattle, WA: Seattle/Tacoma International"/>
    <n v="5243"/>
    <n v="970"/>
    <n v="153.87"/>
    <n v="22.54"/>
    <n v="510.97"/>
    <n v="6.65"/>
    <n v="275.97000000000003"/>
    <n v="11"/>
    <n v="3"/>
    <n v="47943"/>
    <n v="9381"/>
    <n v="2033"/>
    <n v="20185"/>
    <n v="207"/>
    <n v="16137"/>
    <n v="0.185"/>
    <n v="2.0999999999999999E-3"/>
    <n v="5.9999999999999995E-4"/>
  </r>
  <r>
    <n v="2015"/>
    <n v="8"/>
    <x v="6"/>
    <x v="6"/>
    <s v="SEA"/>
    <s v="Seattle, WA: Seattle/Tacoma International"/>
    <n v="312"/>
    <n v="95"/>
    <n v="25.37"/>
    <n v="3.07"/>
    <n v="41.37"/>
    <n v="1.29"/>
    <n v="23.9"/>
    <n v="0"/>
    <n v="0"/>
    <n v="4106"/>
    <n v="1266"/>
    <n v="264"/>
    <n v="1249"/>
    <n v="43"/>
    <n v="1284"/>
    <n v="0.30449999999999999"/>
    <n v="0"/>
    <n v="0"/>
  </r>
  <r>
    <n v="2015"/>
    <n v="8"/>
    <x v="7"/>
    <x v="7"/>
    <s v="SEA"/>
    <s v="Seattle, WA: Seattle/Tacoma International"/>
    <n v="1667"/>
    <n v="282"/>
    <n v="85.45"/>
    <n v="14.47"/>
    <n v="121.8"/>
    <n v="0"/>
    <n v="60.28"/>
    <n v="1"/>
    <n v="1"/>
    <n v="13857"/>
    <n v="6555"/>
    <n v="916"/>
    <n v="3638"/>
    <n v="0"/>
    <n v="2748"/>
    <n v="0.16919999999999999"/>
    <n v="5.9999999999999995E-4"/>
    <n v="5.9999999999999995E-4"/>
  </r>
  <r>
    <n v="2015"/>
    <n v="8"/>
    <x v="8"/>
    <x v="8"/>
    <s v="SEA"/>
    <s v="Seattle, WA: Seattle/Tacoma International"/>
    <n v="106"/>
    <n v="28"/>
    <n v="8.6300000000000008"/>
    <n v="0"/>
    <n v="16.809999999999999"/>
    <n v="0"/>
    <n v="2.56"/>
    <n v="0"/>
    <n v="0"/>
    <n v="1337"/>
    <n v="341"/>
    <n v="0"/>
    <n v="639"/>
    <n v="0"/>
    <n v="357"/>
    <n v="0.26419999999999999"/>
    <n v="0"/>
    <n v="0"/>
  </r>
  <r>
    <n v="2015"/>
    <n v="8"/>
    <x v="0"/>
    <x v="0"/>
    <s v="SEA"/>
    <s v="Seattle, WA: Seattle/Tacoma International"/>
    <n v="62"/>
    <n v="16"/>
    <n v="13.61"/>
    <n v="0"/>
    <n v="0"/>
    <n v="0"/>
    <n v="2.39"/>
    <n v="0"/>
    <n v="0"/>
    <n v="731"/>
    <n v="599"/>
    <n v="0"/>
    <n v="0"/>
    <n v="0"/>
    <n v="132"/>
    <n v="0.2581"/>
    <n v="0"/>
    <n v="0"/>
  </r>
  <r>
    <n v="2015"/>
    <n v="8"/>
    <x v="2"/>
    <x v="2"/>
    <s v="SEA"/>
    <s v="Seattle, WA: Seattle/Tacoma International"/>
    <n v="1361"/>
    <n v="300"/>
    <n v="54.45"/>
    <n v="14.13"/>
    <n v="105.51"/>
    <n v="1.41"/>
    <n v="124.5"/>
    <n v="12"/>
    <n v="2"/>
    <n v="16337"/>
    <n v="3814"/>
    <n v="744"/>
    <n v="4233"/>
    <n v="49"/>
    <n v="7497"/>
    <n v="0.22040000000000001"/>
    <n v="8.8000000000000005E-3"/>
    <n v="1.5E-3"/>
  </r>
  <r>
    <n v="2015"/>
    <n v="8"/>
    <x v="9"/>
    <x v="9"/>
    <s v="SEA"/>
    <s v="Seattle, WA: Seattle/Tacoma International"/>
    <n v="921"/>
    <n v="245"/>
    <n v="85.55"/>
    <n v="10.029999999999999"/>
    <n v="74.959999999999994"/>
    <n v="0"/>
    <n v="74.459999999999994"/>
    <n v="1"/>
    <n v="0"/>
    <n v="14470"/>
    <n v="5113"/>
    <n v="681"/>
    <n v="3521"/>
    <n v="0"/>
    <n v="5155"/>
    <n v="0.26600000000000001"/>
    <n v="1.1000000000000001E-3"/>
    <n v="0"/>
  </r>
  <r>
    <n v="2015"/>
    <n v="8"/>
    <x v="14"/>
    <x v="14"/>
    <s v="SEA"/>
    <s v="Seattle, WA: Seattle/Tacoma International"/>
    <n v="197"/>
    <n v="42"/>
    <n v="9.81"/>
    <n v="1.63"/>
    <n v="21.24"/>
    <n v="0.06"/>
    <n v="9.27"/>
    <n v="1"/>
    <n v="0"/>
    <n v="1737"/>
    <n v="358"/>
    <n v="47"/>
    <n v="901"/>
    <n v="4"/>
    <n v="427"/>
    <n v="0.2132"/>
    <n v="5.1000000000000004E-3"/>
    <n v="0"/>
  </r>
  <r>
    <n v="2015"/>
    <n v="8"/>
    <x v="10"/>
    <x v="10"/>
    <s v="SEA"/>
    <s v="Seattle, WA: Seattle/Tacoma International"/>
    <n v="1288"/>
    <n v="330"/>
    <n v="114.47"/>
    <n v="10.15"/>
    <n v="85.29"/>
    <n v="0.92"/>
    <n v="119.17"/>
    <n v="1"/>
    <n v="1"/>
    <n v="16779"/>
    <n v="6303"/>
    <n v="581"/>
    <n v="3337"/>
    <n v="22"/>
    <n v="6536"/>
    <n v="0.25619999999999998"/>
    <n v="8.0000000000000004E-4"/>
    <n v="8.0000000000000004E-4"/>
  </r>
  <r>
    <n v="2015"/>
    <n v="7"/>
    <x v="4"/>
    <x v="4"/>
    <s v="SEA"/>
    <s v="Seattle, WA: Seattle/Tacoma International"/>
    <n v="973"/>
    <n v="174"/>
    <n v="57.99"/>
    <n v="4.45"/>
    <n v="45.99"/>
    <n v="1.31"/>
    <n v="64.260000000000005"/>
    <n v="2"/>
    <n v="0"/>
    <n v="10798"/>
    <n v="3574"/>
    <n v="250"/>
    <n v="2006"/>
    <n v="90"/>
    <n v="4878"/>
    <n v="0.17879999999999999"/>
    <n v="2.0999999999999999E-3"/>
    <n v="0"/>
  </r>
  <r>
    <n v="2015"/>
    <n v="7"/>
    <x v="5"/>
    <x v="5"/>
    <s v="SEA"/>
    <s v="Seattle, WA: Seattle/Tacoma International"/>
    <n v="5010"/>
    <n v="588"/>
    <n v="142.79"/>
    <n v="9.86"/>
    <n v="222.16"/>
    <n v="2.75"/>
    <n v="210.44"/>
    <n v="14"/>
    <n v="5"/>
    <n v="30389"/>
    <n v="10247"/>
    <n v="552"/>
    <n v="6062"/>
    <n v="61"/>
    <n v="13467"/>
    <n v="0.1174"/>
    <n v="2.8E-3"/>
    <n v="1E-3"/>
  </r>
  <r>
    <n v="2015"/>
    <n v="7"/>
    <x v="6"/>
    <x v="6"/>
    <s v="SEA"/>
    <s v="Seattle, WA: Seattle/Tacoma International"/>
    <n v="337"/>
    <n v="91"/>
    <n v="23.97"/>
    <n v="2.48"/>
    <n v="38.28"/>
    <n v="0.48"/>
    <n v="25.79"/>
    <n v="2"/>
    <n v="0"/>
    <n v="4502"/>
    <n v="1547"/>
    <n v="199"/>
    <n v="1164"/>
    <n v="19"/>
    <n v="1573"/>
    <n v="0.27"/>
    <n v="5.8999999999999999E-3"/>
    <n v="0"/>
  </r>
  <r>
    <n v="2015"/>
    <n v="7"/>
    <x v="7"/>
    <x v="7"/>
    <s v="SEA"/>
    <s v="Seattle, WA: Seattle/Tacoma International"/>
    <n v="1590"/>
    <n v="241"/>
    <n v="88.46"/>
    <n v="10.89"/>
    <n v="81.290000000000006"/>
    <n v="0"/>
    <n v="60.35"/>
    <n v="0"/>
    <n v="2"/>
    <n v="10216"/>
    <n v="4572"/>
    <n v="654"/>
    <n v="2409"/>
    <n v="0"/>
    <n v="2581"/>
    <n v="0.15160000000000001"/>
    <n v="0"/>
    <n v="1.2999999999999999E-3"/>
  </r>
  <r>
    <n v="2015"/>
    <n v="7"/>
    <x v="8"/>
    <x v="8"/>
    <s v="SEA"/>
    <s v="Seattle, WA: Seattle/Tacoma International"/>
    <n v="93"/>
    <n v="33"/>
    <n v="15.03"/>
    <n v="0"/>
    <n v="12.57"/>
    <n v="0"/>
    <n v="5.4"/>
    <n v="0"/>
    <n v="0"/>
    <n v="1609"/>
    <n v="594"/>
    <n v="0"/>
    <n v="645"/>
    <n v="0"/>
    <n v="370"/>
    <n v="0.3548"/>
    <n v="0"/>
    <n v="0"/>
  </r>
  <r>
    <n v="2015"/>
    <n v="7"/>
    <x v="0"/>
    <x v="0"/>
    <s v="SEA"/>
    <s v="Seattle, WA: Seattle/Tacoma International"/>
    <n v="62"/>
    <n v="25"/>
    <n v="23.07"/>
    <n v="0"/>
    <n v="0.16"/>
    <n v="0.5"/>
    <n v="1.27"/>
    <n v="0"/>
    <n v="0"/>
    <n v="699"/>
    <n v="637"/>
    <n v="0"/>
    <n v="4"/>
    <n v="8"/>
    <n v="50"/>
    <n v="0.4032"/>
    <n v="0"/>
    <n v="0"/>
  </r>
  <r>
    <n v="2015"/>
    <n v="7"/>
    <x v="2"/>
    <x v="2"/>
    <s v="SEA"/>
    <s v="Seattle, WA: Seattle/Tacoma International"/>
    <n v="1327"/>
    <n v="186"/>
    <n v="43.36"/>
    <n v="2.31"/>
    <n v="43.31"/>
    <n v="0.7"/>
    <n v="96.31"/>
    <n v="9"/>
    <n v="1"/>
    <n v="11553"/>
    <n v="3883"/>
    <n v="127"/>
    <n v="1168"/>
    <n v="19"/>
    <n v="6356"/>
    <n v="0.14019999999999999"/>
    <n v="6.7999999999999996E-3"/>
    <n v="8.0000000000000004E-4"/>
  </r>
  <r>
    <n v="2015"/>
    <n v="7"/>
    <x v="9"/>
    <x v="9"/>
    <s v="SEA"/>
    <s v="Seattle, WA: Seattle/Tacoma International"/>
    <n v="961"/>
    <n v="257"/>
    <n v="119.57"/>
    <n v="5.6"/>
    <n v="45.22"/>
    <n v="0"/>
    <n v="86.62"/>
    <n v="6"/>
    <n v="0"/>
    <n v="16554"/>
    <n v="6599"/>
    <n v="304"/>
    <n v="2195"/>
    <n v="0"/>
    <n v="7456"/>
    <n v="0.26740000000000003"/>
    <n v="6.1999999999999998E-3"/>
    <n v="0"/>
  </r>
  <r>
    <n v="2015"/>
    <n v="7"/>
    <x v="14"/>
    <x v="14"/>
    <s v="SEA"/>
    <s v="Seattle, WA: Seattle/Tacoma International"/>
    <n v="198"/>
    <n v="48"/>
    <n v="12.03"/>
    <n v="1.06"/>
    <n v="9.76"/>
    <n v="0"/>
    <n v="25.14"/>
    <n v="0"/>
    <n v="0"/>
    <n v="2171"/>
    <n v="595"/>
    <n v="23"/>
    <n v="324"/>
    <n v="0"/>
    <n v="1229"/>
    <n v="0.2424"/>
    <n v="0"/>
    <n v="0"/>
  </r>
  <r>
    <n v="2015"/>
    <n v="7"/>
    <x v="10"/>
    <x v="10"/>
    <s v="SEA"/>
    <s v="Seattle, WA: Seattle/Tacoma International"/>
    <n v="1438"/>
    <n v="358"/>
    <n v="144.08000000000001"/>
    <n v="0.84"/>
    <n v="49.93"/>
    <n v="0"/>
    <n v="163.15"/>
    <n v="3"/>
    <n v="2"/>
    <n v="19601"/>
    <n v="6831"/>
    <n v="52"/>
    <n v="2140"/>
    <n v="0"/>
    <n v="10578"/>
    <n v="0.249"/>
    <n v="2.0999999999999999E-3"/>
    <n v="1.4E-3"/>
  </r>
  <r>
    <n v="2015"/>
    <n v="6"/>
    <x v="4"/>
    <x v="4"/>
    <s v="SEA"/>
    <s v="Seattle, WA: Seattle/Tacoma International"/>
    <n v="519"/>
    <n v="138"/>
    <n v="55.16"/>
    <n v="5.66"/>
    <n v="29.19"/>
    <n v="0.13"/>
    <n v="47.85"/>
    <n v="3"/>
    <n v="0"/>
    <n v="7694"/>
    <n v="3406"/>
    <n v="405"/>
    <n v="1170"/>
    <n v="20"/>
    <n v="2693"/>
    <n v="0.26590000000000003"/>
    <n v="5.7999999999999996E-3"/>
    <n v="0"/>
  </r>
  <r>
    <n v="2015"/>
    <n v="6"/>
    <x v="5"/>
    <x v="5"/>
    <s v="SEA"/>
    <s v="Seattle, WA: Seattle/Tacoma International"/>
    <n v="4791"/>
    <n v="518"/>
    <n v="147.51"/>
    <n v="20.58"/>
    <n v="164.05"/>
    <n v="1.97"/>
    <n v="183.9"/>
    <n v="25"/>
    <n v="5"/>
    <n v="29348"/>
    <n v="12340"/>
    <n v="1842"/>
    <n v="4848"/>
    <n v="69"/>
    <n v="10249"/>
    <n v="0.1081"/>
    <n v="5.1999999999999998E-3"/>
    <n v="1E-3"/>
  </r>
  <r>
    <n v="2015"/>
    <n v="6"/>
    <x v="6"/>
    <x v="6"/>
    <s v="SEA"/>
    <s v="Seattle, WA: Seattle/Tacoma International"/>
    <n v="240"/>
    <n v="73"/>
    <n v="18.170000000000002"/>
    <n v="0"/>
    <n v="41.63"/>
    <n v="0.75"/>
    <n v="12.45"/>
    <n v="1"/>
    <n v="0"/>
    <n v="3258"/>
    <n v="1046"/>
    <n v="0"/>
    <n v="1459"/>
    <n v="18"/>
    <n v="735"/>
    <n v="0.30420000000000003"/>
    <n v="4.1999999999999997E-3"/>
    <n v="0"/>
  </r>
  <r>
    <n v="2015"/>
    <n v="6"/>
    <x v="7"/>
    <x v="7"/>
    <s v="SEA"/>
    <s v="Seattle, WA: Seattle/Tacoma International"/>
    <n v="1434"/>
    <n v="265"/>
    <n v="78.45"/>
    <n v="11.96"/>
    <n v="104.56"/>
    <n v="0"/>
    <n v="70.03"/>
    <n v="1"/>
    <n v="2"/>
    <n v="14469"/>
    <n v="6241"/>
    <n v="1310"/>
    <n v="3224"/>
    <n v="0"/>
    <n v="3694"/>
    <n v="0.18479999999999999"/>
    <n v="6.9999999999999999E-4"/>
    <n v="1.4E-3"/>
  </r>
  <r>
    <n v="2015"/>
    <n v="6"/>
    <x v="8"/>
    <x v="8"/>
    <s v="SEA"/>
    <s v="Seattle, WA: Seattle/Tacoma International"/>
    <n v="89"/>
    <n v="27"/>
    <n v="11.13"/>
    <n v="0.5"/>
    <n v="11.23"/>
    <n v="0"/>
    <n v="4.1399999999999997"/>
    <n v="1"/>
    <n v="0"/>
    <n v="1338"/>
    <n v="401"/>
    <n v="22"/>
    <n v="522"/>
    <n v="0"/>
    <n v="393"/>
    <n v="0.3034"/>
    <n v="1.12E-2"/>
    <n v="0"/>
  </r>
  <r>
    <n v="2015"/>
    <n v="6"/>
    <x v="0"/>
    <x v="0"/>
    <s v="SEA"/>
    <s v="Seattle, WA: Seattle/Tacoma International"/>
    <n v="60"/>
    <n v="9"/>
    <n v="8.9499999999999993"/>
    <n v="0"/>
    <n v="0"/>
    <n v="0"/>
    <n v="0.05"/>
    <n v="0"/>
    <n v="0"/>
    <n v="355"/>
    <n v="353"/>
    <n v="0"/>
    <n v="0"/>
    <n v="0"/>
    <n v="2"/>
    <n v="0.15"/>
    <n v="0"/>
    <n v="0"/>
  </r>
  <r>
    <n v="2015"/>
    <n v="6"/>
    <x v="2"/>
    <x v="2"/>
    <s v="SEA"/>
    <s v="Seattle, WA: Seattle/Tacoma International"/>
    <n v="1158"/>
    <n v="164"/>
    <n v="45.72"/>
    <n v="1.92"/>
    <n v="34.369999999999997"/>
    <n v="0"/>
    <n v="81.98"/>
    <n v="12"/>
    <n v="0"/>
    <n v="10170"/>
    <n v="4163"/>
    <n v="202"/>
    <n v="945"/>
    <n v="0"/>
    <n v="4860"/>
    <n v="0.1416"/>
    <n v="1.04E-2"/>
    <n v="0"/>
  </r>
  <r>
    <n v="2015"/>
    <n v="6"/>
    <x v="9"/>
    <x v="9"/>
    <s v="SEA"/>
    <s v="Seattle, WA: Seattle/Tacoma International"/>
    <n v="1000"/>
    <n v="366"/>
    <n v="159.28"/>
    <n v="17.510000000000002"/>
    <n v="63.41"/>
    <n v="0"/>
    <n v="125.81"/>
    <n v="24"/>
    <n v="3"/>
    <n v="22505"/>
    <n v="8515"/>
    <n v="1211"/>
    <n v="3019"/>
    <n v="0"/>
    <n v="9760"/>
    <n v="0.36599999999999999"/>
    <n v="2.4E-2"/>
    <n v="3.0000000000000001E-3"/>
  </r>
  <r>
    <n v="2015"/>
    <n v="6"/>
    <x v="15"/>
    <x v="15"/>
    <s v="SEA"/>
    <s v="Seattle, WA: Seattle/Tacoma International"/>
    <n v="401"/>
    <n v="89"/>
    <n v="28.77"/>
    <n v="5.38"/>
    <n v="35.36"/>
    <n v="0.67"/>
    <n v="18.82"/>
    <n v="1"/>
    <n v="0"/>
    <n v="4353"/>
    <n v="1575"/>
    <n v="580"/>
    <n v="1154"/>
    <n v="14"/>
    <n v="1030"/>
    <n v="0.22189999999999999"/>
    <n v="2.5000000000000001E-3"/>
    <n v="0"/>
  </r>
  <r>
    <n v="2015"/>
    <n v="6"/>
    <x v="14"/>
    <x v="14"/>
    <s v="SEA"/>
    <s v="Seattle, WA: Seattle/Tacoma International"/>
    <n v="194"/>
    <n v="20"/>
    <n v="6.81"/>
    <n v="1.35"/>
    <n v="0.85"/>
    <n v="0.69"/>
    <n v="10.3"/>
    <n v="0"/>
    <n v="0"/>
    <n v="987"/>
    <n v="359"/>
    <n v="22"/>
    <n v="17"/>
    <n v="35"/>
    <n v="554"/>
    <n v="0.1031"/>
    <n v="0"/>
    <n v="0"/>
  </r>
  <r>
    <n v="2015"/>
    <n v="6"/>
    <x v="10"/>
    <x v="10"/>
    <s v="SEA"/>
    <s v="Seattle, WA: Seattle/Tacoma International"/>
    <n v="1305"/>
    <n v="358"/>
    <n v="142.81"/>
    <n v="7.99"/>
    <n v="45.12"/>
    <n v="0"/>
    <n v="162.08000000000001"/>
    <n v="7"/>
    <n v="1"/>
    <n v="18277"/>
    <n v="6776"/>
    <n v="381"/>
    <n v="1704"/>
    <n v="0"/>
    <n v="9416"/>
    <n v="0.27429999999999999"/>
    <n v="5.4000000000000003E-3"/>
    <n v="8.0000000000000004E-4"/>
  </r>
  <r>
    <n v="2015"/>
    <n v="5"/>
    <x v="4"/>
    <x v="4"/>
    <s v="SEA"/>
    <s v="Seattle, WA: Seattle/Tacoma International"/>
    <n v="424"/>
    <n v="79"/>
    <n v="24.8"/>
    <n v="10.95"/>
    <n v="12.5"/>
    <n v="0"/>
    <n v="30.74"/>
    <n v="4"/>
    <n v="0"/>
    <n v="4250"/>
    <n v="1112"/>
    <n v="859"/>
    <n v="498"/>
    <n v="0"/>
    <n v="1781"/>
    <n v="0.18629999999999999"/>
    <n v="9.4000000000000004E-3"/>
    <n v="0"/>
  </r>
  <r>
    <n v="2015"/>
    <n v="5"/>
    <x v="5"/>
    <x v="5"/>
    <s v="SEA"/>
    <s v="Seattle, WA: Seattle/Tacoma International"/>
    <n v="4739"/>
    <n v="492"/>
    <n v="115.06"/>
    <n v="7.64"/>
    <n v="178.37"/>
    <n v="3.4"/>
    <n v="187.53"/>
    <n v="12"/>
    <n v="9"/>
    <n v="21136"/>
    <n v="6433"/>
    <n v="543"/>
    <n v="4799"/>
    <n v="160"/>
    <n v="9201"/>
    <n v="0.1038"/>
    <n v="2.5000000000000001E-3"/>
    <n v="1.9E-3"/>
  </r>
  <r>
    <n v="2015"/>
    <n v="5"/>
    <x v="6"/>
    <x v="6"/>
    <s v="SEA"/>
    <s v="Seattle, WA: Seattle/Tacoma International"/>
    <n v="178"/>
    <n v="19"/>
    <n v="7.05"/>
    <n v="0.52"/>
    <n v="4.84"/>
    <n v="0.7"/>
    <n v="5.89"/>
    <n v="1"/>
    <n v="0"/>
    <n v="929"/>
    <n v="479"/>
    <n v="27"/>
    <n v="128"/>
    <n v="14"/>
    <n v="281"/>
    <n v="0.1067"/>
    <n v="5.5999999999999999E-3"/>
    <n v="0"/>
  </r>
  <r>
    <n v="2015"/>
    <n v="5"/>
    <x v="7"/>
    <x v="7"/>
    <s v="SEA"/>
    <s v="Seattle, WA: Seattle/Tacoma International"/>
    <n v="1249"/>
    <n v="158"/>
    <n v="57.55"/>
    <n v="4.76"/>
    <n v="55.66"/>
    <n v="0"/>
    <n v="40.03"/>
    <n v="0"/>
    <n v="1"/>
    <n v="6683"/>
    <n v="2631"/>
    <n v="162"/>
    <n v="1610"/>
    <n v="0"/>
    <n v="2280"/>
    <n v="0.1265"/>
    <n v="0"/>
    <n v="8.0000000000000004E-4"/>
  </r>
  <r>
    <n v="2015"/>
    <n v="5"/>
    <x v="8"/>
    <x v="8"/>
    <s v="SEA"/>
    <s v="Seattle, WA: Seattle/Tacoma International"/>
    <n v="91"/>
    <n v="13"/>
    <n v="6.41"/>
    <n v="0"/>
    <n v="5.41"/>
    <n v="0"/>
    <n v="1.18"/>
    <n v="1"/>
    <n v="0"/>
    <n v="498"/>
    <n v="210"/>
    <n v="0"/>
    <n v="231"/>
    <n v="0"/>
    <n v="57"/>
    <n v="0.1429"/>
    <n v="1.0999999999999999E-2"/>
    <n v="0"/>
  </r>
  <r>
    <n v="2015"/>
    <n v="5"/>
    <x v="0"/>
    <x v="0"/>
    <s v="SEA"/>
    <s v="Seattle, WA: Seattle/Tacoma International"/>
    <n v="62"/>
    <n v="13"/>
    <n v="9.3000000000000007"/>
    <n v="0"/>
    <n v="0.41"/>
    <n v="0"/>
    <n v="3.29"/>
    <n v="0"/>
    <n v="0"/>
    <n v="580"/>
    <n v="240"/>
    <n v="0"/>
    <n v="19"/>
    <n v="0"/>
    <n v="321"/>
    <n v="0.2097"/>
    <n v="0"/>
    <n v="0"/>
  </r>
  <r>
    <n v="2015"/>
    <n v="5"/>
    <x v="2"/>
    <x v="2"/>
    <s v="SEA"/>
    <s v="Seattle, WA: Seattle/Tacoma International"/>
    <n v="1162"/>
    <n v="104"/>
    <n v="31.48"/>
    <n v="1"/>
    <n v="17.010000000000002"/>
    <n v="0"/>
    <n v="54.52"/>
    <n v="11"/>
    <n v="1"/>
    <n v="6336"/>
    <n v="2385"/>
    <n v="84"/>
    <n v="499"/>
    <n v="0"/>
    <n v="3368"/>
    <n v="8.9499999999999996E-2"/>
    <n v="9.4999999999999998E-3"/>
    <n v="8.9999999999999998E-4"/>
  </r>
  <r>
    <n v="2015"/>
    <n v="5"/>
    <x v="9"/>
    <x v="9"/>
    <s v="SEA"/>
    <s v="Seattle, WA: Seattle/Tacoma International"/>
    <n v="875"/>
    <n v="191"/>
    <n v="74.05"/>
    <n v="13.49"/>
    <n v="32.46"/>
    <n v="0"/>
    <n v="71"/>
    <n v="3"/>
    <n v="1"/>
    <n v="10772"/>
    <n v="3168"/>
    <n v="1158"/>
    <n v="1234"/>
    <n v="0"/>
    <n v="5212"/>
    <n v="0.21829999999999999"/>
    <n v="3.3999999999999998E-3"/>
    <n v="1.1000000000000001E-3"/>
  </r>
  <r>
    <n v="2015"/>
    <n v="5"/>
    <x v="15"/>
    <x v="15"/>
    <s v="SEA"/>
    <s v="Seattle, WA: Seattle/Tacoma International"/>
    <n v="272"/>
    <n v="26"/>
    <n v="10.93"/>
    <n v="0.56999999999999995"/>
    <n v="5.81"/>
    <n v="0"/>
    <n v="8.69"/>
    <n v="0"/>
    <n v="0"/>
    <n v="1270"/>
    <n v="530"/>
    <n v="29"/>
    <n v="357"/>
    <n v="0"/>
    <n v="354"/>
    <n v="9.5600000000000004E-2"/>
    <n v="0"/>
    <n v="0"/>
  </r>
  <r>
    <n v="2015"/>
    <n v="5"/>
    <x v="14"/>
    <x v="14"/>
    <s v="SEA"/>
    <s v="Seattle, WA: Seattle/Tacoma International"/>
    <n v="195"/>
    <n v="23"/>
    <n v="3.17"/>
    <n v="0.21"/>
    <n v="0"/>
    <n v="0"/>
    <n v="19.62"/>
    <n v="0"/>
    <n v="0"/>
    <n v="894"/>
    <n v="118"/>
    <n v="8"/>
    <n v="0"/>
    <n v="0"/>
    <n v="768"/>
    <n v="0.1179"/>
    <n v="0"/>
    <n v="0"/>
  </r>
  <r>
    <n v="2015"/>
    <n v="5"/>
    <x v="10"/>
    <x v="10"/>
    <s v="SEA"/>
    <s v="Seattle, WA: Seattle/Tacoma International"/>
    <n v="1094"/>
    <n v="222"/>
    <n v="91.6"/>
    <n v="2.11"/>
    <n v="16.920000000000002"/>
    <n v="0"/>
    <n v="111.37"/>
    <n v="4"/>
    <n v="1"/>
    <n v="12609"/>
    <n v="5795"/>
    <n v="244"/>
    <n v="536"/>
    <n v="0"/>
    <n v="6034"/>
    <n v="0.2029"/>
    <n v="3.7000000000000002E-3"/>
    <n v="8.9999999999999998E-4"/>
  </r>
  <r>
    <n v="2015"/>
    <n v="4"/>
    <x v="4"/>
    <x v="4"/>
    <s v="SEA"/>
    <s v="Seattle, WA: Seattle/Tacoma International"/>
    <n v="390"/>
    <n v="95"/>
    <n v="31.76"/>
    <n v="6.67"/>
    <n v="11.98"/>
    <n v="0"/>
    <n v="44.6"/>
    <n v="3"/>
    <n v="1"/>
    <n v="4836"/>
    <n v="1373"/>
    <n v="365"/>
    <n v="502"/>
    <n v="0"/>
    <n v="2596"/>
    <n v="0.24360000000000001"/>
    <n v="7.7000000000000002E-3"/>
    <n v="2.5999999999999999E-3"/>
  </r>
  <r>
    <n v="2015"/>
    <n v="4"/>
    <x v="5"/>
    <x v="5"/>
    <s v="SEA"/>
    <s v="Seattle, WA: Seattle/Tacoma International"/>
    <n v="4455"/>
    <n v="403"/>
    <n v="109.25"/>
    <n v="7.44"/>
    <n v="137.91999999999999"/>
    <n v="0"/>
    <n v="148.4"/>
    <n v="26"/>
    <n v="2"/>
    <n v="22367"/>
    <n v="9047"/>
    <n v="543"/>
    <n v="3918"/>
    <n v="0"/>
    <n v="8859"/>
    <n v="9.0499999999999997E-2"/>
    <n v="5.7999999999999996E-3"/>
    <n v="4.0000000000000002E-4"/>
  </r>
  <r>
    <n v="2015"/>
    <n v="4"/>
    <x v="6"/>
    <x v="6"/>
    <s v="SEA"/>
    <s v="Seattle, WA: Seattle/Tacoma International"/>
    <n v="147"/>
    <n v="21"/>
    <n v="10.95"/>
    <n v="0"/>
    <n v="5.18"/>
    <n v="7.0000000000000007E-2"/>
    <n v="4.8"/>
    <n v="0"/>
    <n v="1"/>
    <n v="1111"/>
    <n v="636"/>
    <n v="0"/>
    <n v="145"/>
    <n v="4"/>
    <n v="326"/>
    <n v="0.1429"/>
    <n v="0"/>
    <n v="6.7999999999999996E-3"/>
  </r>
  <r>
    <n v="2015"/>
    <n v="4"/>
    <x v="7"/>
    <x v="7"/>
    <s v="SEA"/>
    <s v="Seattle, WA: Seattle/Tacoma International"/>
    <n v="1054"/>
    <n v="119"/>
    <n v="54.53"/>
    <n v="5.76"/>
    <n v="37.299999999999997"/>
    <n v="0"/>
    <n v="21.41"/>
    <n v="1"/>
    <n v="2"/>
    <n v="6889"/>
    <n v="3914"/>
    <n v="326"/>
    <n v="1053"/>
    <n v="0"/>
    <n v="1596"/>
    <n v="0.1129"/>
    <n v="8.9999999999999998E-4"/>
    <n v="1.9E-3"/>
  </r>
  <r>
    <n v="2015"/>
    <n v="4"/>
    <x v="8"/>
    <x v="8"/>
    <s v="SEA"/>
    <s v="Seattle, WA: Seattle/Tacoma International"/>
    <n v="58"/>
    <n v="8"/>
    <n v="2.5299999999999998"/>
    <n v="0"/>
    <n v="5.15"/>
    <n v="0"/>
    <n v="0.31"/>
    <n v="0"/>
    <n v="0"/>
    <n v="274"/>
    <n v="58"/>
    <n v="0"/>
    <n v="199"/>
    <n v="0"/>
    <n v="17"/>
    <n v="0.13789999999999999"/>
    <n v="0"/>
    <n v="0"/>
  </r>
  <r>
    <n v="2015"/>
    <n v="4"/>
    <x v="0"/>
    <x v="0"/>
    <s v="SEA"/>
    <s v="Seattle, WA: Seattle/Tacoma International"/>
    <n v="60"/>
    <n v="8"/>
    <n v="8"/>
    <n v="0"/>
    <n v="0"/>
    <n v="0"/>
    <n v="0"/>
    <n v="0"/>
    <n v="0"/>
    <n v="180"/>
    <n v="180"/>
    <n v="0"/>
    <n v="0"/>
    <n v="0"/>
    <n v="0"/>
    <n v="0.1333"/>
    <n v="0"/>
    <n v="0"/>
  </r>
  <r>
    <n v="2015"/>
    <n v="4"/>
    <x v="2"/>
    <x v="2"/>
    <s v="SEA"/>
    <s v="Seattle, WA: Seattle/Tacoma International"/>
    <n v="924"/>
    <n v="108"/>
    <n v="32.159999999999997"/>
    <n v="1"/>
    <n v="26.24"/>
    <n v="0"/>
    <n v="48.6"/>
    <n v="13"/>
    <n v="0"/>
    <n v="6575"/>
    <n v="2332"/>
    <n v="61"/>
    <n v="734"/>
    <n v="0"/>
    <n v="3448"/>
    <n v="0.1169"/>
    <n v="1.41E-2"/>
    <n v="0"/>
  </r>
  <r>
    <n v="2015"/>
    <n v="4"/>
    <x v="9"/>
    <x v="9"/>
    <s v="SEA"/>
    <s v="Seattle, WA: Seattle/Tacoma International"/>
    <n v="779"/>
    <n v="133"/>
    <n v="61.01"/>
    <n v="3.28"/>
    <n v="15.73"/>
    <n v="0"/>
    <n v="52.98"/>
    <n v="5"/>
    <n v="0"/>
    <n v="8297"/>
    <n v="2940"/>
    <n v="449"/>
    <n v="581"/>
    <n v="0"/>
    <n v="4327"/>
    <n v="0.17069999999999999"/>
    <n v="6.4000000000000003E-3"/>
    <n v="0"/>
  </r>
  <r>
    <n v="2015"/>
    <n v="4"/>
    <x v="15"/>
    <x v="15"/>
    <s v="SEA"/>
    <s v="Seattle, WA: Seattle/Tacoma International"/>
    <n v="227"/>
    <n v="45"/>
    <n v="21.62"/>
    <n v="1"/>
    <n v="16.600000000000001"/>
    <n v="0"/>
    <n v="5.79"/>
    <n v="0"/>
    <n v="0"/>
    <n v="1335"/>
    <n v="660"/>
    <n v="56"/>
    <n v="432"/>
    <n v="0"/>
    <n v="187"/>
    <n v="0.19819999999999999"/>
    <n v="0"/>
    <n v="0"/>
  </r>
  <r>
    <n v="2015"/>
    <n v="4"/>
    <x v="14"/>
    <x v="14"/>
    <s v="SEA"/>
    <s v="Seattle, WA: Seattle/Tacoma International"/>
    <n v="213"/>
    <n v="26"/>
    <n v="5.14"/>
    <n v="5.18"/>
    <n v="2.6"/>
    <n v="0"/>
    <n v="13.09"/>
    <n v="1"/>
    <n v="0"/>
    <n v="994"/>
    <n v="335"/>
    <n v="106"/>
    <n v="61"/>
    <n v="0"/>
    <n v="492"/>
    <n v="0.1221"/>
    <n v="4.7000000000000002E-3"/>
    <n v="0"/>
  </r>
  <r>
    <n v="2015"/>
    <n v="4"/>
    <x v="10"/>
    <x v="10"/>
    <s v="SEA"/>
    <s v="Seattle, WA: Seattle/Tacoma International"/>
    <n v="947"/>
    <n v="153"/>
    <n v="58.28"/>
    <n v="0.82"/>
    <n v="14.14"/>
    <n v="0"/>
    <n v="79.75"/>
    <n v="0"/>
    <n v="0"/>
    <n v="7203"/>
    <n v="2400"/>
    <n v="49"/>
    <n v="421"/>
    <n v="0"/>
    <n v="4333"/>
    <n v="0.16159999999999999"/>
    <n v="0"/>
    <n v="0"/>
  </r>
  <r>
    <n v="2015"/>
    <n v="3"/>
    <x v="4"/>
    <x v="4"/>
    <s v="SEA"/>
    <s v="Seattle, WA: Seattle/Tacoma International"/>
    <n v="374"/>
    <n v="67"/>
    <n v="26.17"/>
    <n v="3.56"/>
    <n v="13.33"/>
    <n v="0"/>
    <n v="23.95"/>
    <n v="8"/>
    <n v="0"/>
    <n v="4142"/>
    <n v="1607"/>
    <n v="550"/>
    <n v="551"/>
    <n v="0"/>
    <n v="1434"/>
    <n v="0.17910000000000001"/>
    <n v="2.1399999999999999E-2"/>
    <n v="0"/>
  </r>
  <r>
    <n v="2015"/>
    <n v="3"/>
    <x v="5"/>
    <x v="5"/>
    <s v="SEA"/>
    <s v="Seattle, WA: Seattle/Tacoma International"/>
    <n v="4496"/>
    <n v="525"/>
    <n v="111.2"/>
    <n v="12.63"/>
    <n v="160.12"/>
    <n v="1.26"/>
    <n v="239.79"/>
    <n v="12"/>
    <n v="5"/>
    <n v="28862"/>
    <n v="8135"/>
    <n v="1066"/>
    <n v="5046"/>
    <n v="47"/>
    <n v="14568"/>
    <n v="0.1168"/>
    <n v="2.7000000000000001E-3"/>
    <n v="1.1000000000000001E-3"/>
  </r>
  <r>
    <n v="2015"/>
    <n v="3"/>
    <x v="6"/>
    <x v="6"/>
    <s v="SEA"/>
    <s v="Seattle, WA: Seattle/Tacoma International"/>
    <n v="151"/>
    <n v="48"/>
    <n v="15.59"/>
    <n v="0"/>
    <n v="20.440000000000001"/>
    <n v="0"/>
    <n v="11.97"/>
    <n v="0"/>
    <n v="4"/>
    <n v="2420"/>
    <n v="780"/>
    <n v="0"/>
    <n v="883"/>
    <n v="0"/>
    <n v="757"/>
    <n v="0.31790000000000002"/>
    <n v="0"/>
    <n v="2.6499999999999999E-2"/>
  </r>
  <r>
    <n v="2015"/>
    <n v="3"/>
    <x v="7"/>
    <x v="7"/>
    <s v="SEA"/>
    <s v="Seattle, WA: Seattle/Tacoma International"/>
    <n v="967"/>
    <n v="178"/>
    <n v="70.81"/>
    <n v="8.4600000000000009"/>
    <n v="56.32"/>
    <n v="0"/>
    <n v="42.42"/>
    <n v="0"/>
    <n v="1"/>
    <n v="10201"/>
    <n v="4283"/>
    <n v="1134"/>
    <n v="2043"/>
    <n v="0"/>
    <n v="2741"/>
    <n v="0.18410000000000001"/>
    <n v="0"/>
    <n v="1E-3"/>
  </r>
  <r>
    <n v="2015"/>
    <n v="3"/>
    <x v="8"/>
    <x v="8"/>
    <s v="SEA"/>
    <s v="Seattle, WA: Seattle/Tacoma International"/>
    <n v="55"/>
    <n v="7"/>
    <n v="2.44"/>
    <n v="0"/>
    <n v="1.93"/>
    <n v="0"/>
    <n v="2.63"/>
    <n v="0"/>
    <n v="0"/>
    <n v="927"/>
    <n v="254"/>
    <n v="0"/>
    <n v="230"/>
    <n v="0"/>
    <n v="443"/>
    <n v="0.1273"/>
    <n v="0"/>
    <n v="0"/>
  </r>
  <r>
    <n v="2015"/>
    <n v="3"/>
    <x v="0"/>
    <x v="0"/>
    <s v="SEA"/>
    <s v="Seattle, WA: Seattle/Tacoma International"/>
    <n v="62"/>
    <n v="7"/>
    <n v="2.81"/>
    <n v="0"/>
    <n v="0.81"/>
    <n v="0"/>
    <n v="3.38"/>
    <n v="0"/>
    <n v="0"/>
    <n v="547"/>
    <n v="140"/>
    <n v="0"/>
    <n v="16"/>
    <n v="0"/>
    <n v="391"/>
    <n v="0.1129"/>
    <n v="0"/>
    <n v="0"/>
  </r>
  <r>
    <n v="2015"/>
    <n v="3"/>
    <x v="2"/>
    <x v="2"/>
    <s v="SEA"/>
    <s v="Seattle, WA: Seattle/Tacoma International"/>
    <n v="1085"/>
    <n v="135"/>
    <n v="36.17"/>
    <n v="6.81"/>
    <n v="30.29"/>
    <n v="0"/>
    <n v="61.73"/>
    <n v="3"/>
    <n v="0"/>
    <n v="9044"/>
    <n v="3416"/>
    <n v="403"/>
    <n v="1028"/>
    <n v="0"/>
    <n v="4197"/>
    <n v="0.1244"/>
    <n v="2.8E-3"/>
    <n v="0"/>
  </r>
  <r>
    <n v="2015"/>
    <n v="3"/>
    <x v="9"/>
    <x v="9"/>
    <s v="SEA"/>
    <s v="Seattle, WA: Seattle/Tacoma International"/>
    <n v="773"/>
    <n v="126"/>
    <n v="52.58"/>
    <n v="6.39"/>
    <n v="14.92"/>
    <n v="0"/>
    <n v="52.11"/>
    <n v="0"/>
    <n v="1"/>
    <n v="8015"/>
    <n v="2462"/>
    <n v="708"/>
    <n v="882"/>
    <n v="0"/>
    <n v="3963"/>
    <n v="0.16300000000000001"/>
    <n v="0"/>
    <n v="1.2999999999999999E-3"/>
  </r>
  <r>
    <n v="2015"/>
    <n v="3"/>
    <x v="15"/>
    <x v="15"/>
    <s v="SEA"/>
    <s v="Seattle, WA: Seattle/Tacoma International"/>
    <n v="258"/>
    <n v="33"/>
    <n v="14.56"/>
    <n v="0.17"/>
    <n v="11.42"/>
    <n v="0.28999999999999998"/>
    <n v="6.56"/>
    <n v="1"/>
    <n v="6"/>
    <n v="1178"/>
    <n v="555"/>
    <n v="7"/>
    <n v="405"/>
    <n v="5"/>
    <n v="206"/>
    <n v="0.12790000000000001"/>
    <n v="3.8999999999999998E-3"/>
    <n v="2.3300000000000001E-2"/>
  </r>
  <r>
    <n v="2015"/>
    <n v="3"/>
    <x v="14"/>
    <x v="14"/>
    <s v="SEA"/>
    <s v="Seattle, WA: Seattle/Tacoma International"/>
    <n v="196"/>
    <n v="21"/>
    <n v="3.97"/>
    <n v="0.06"/>
    <n v="3.74"/>
    <n v="0"/>
    <n v="13.24"/>
    <n v="0"/>
    <n v="0"/>
    <n v="975"/>
    <n v="209"/>
    <n v="1"/>
    <n v="180"/>
    <n v="0"/>
    <n v="585"/>
    <n v="0.1071"/>
    <n v="0"/>
    <n v="0"/>
  </r>
  <r>
    <n v="2015"/>
    <n v="3"/>
    <x v="10"/>
    <x v="10"/>
    <s v="SEA"/>
    <s v="Seattle, WA: Seattle/Tacoma International"/>
    <n v="849"/>
    <n v="166"/>
    <n v="64.819999999999993"/>
    <n v="2.2000000000000002"/>
    <n v="25"/>
    <n v="0"/>
    <n v="73.98"/>
    <n v="0"/>
    <n v="1"/>
    <n v="7646"/>
    <n v="2933"/>
    <n v="109"/>
    <n v="736"/>
    <n v="0"/>
    <n v="3868"/>
    <n v="0.19550000000000001"/>
    <n v="0"/>
    <n v="1.1999999999999999E-3"/>
  </r>
  <r>
    <n v="2015"/>
    <n v="2"/>
    <x v="4"/>
    <x v="4"/>
    <s v="SEA"/>
    <s v="Seattle, WA: Seattle/Tacoma International"/>
    <n v="332"/>
    <n v="74"/>
    <n v="28.41"/>
    <n v="10.68"/>
    <n v="18.91"/>
    <n v="0.94"/>
    <n v="15.05"/>
    <n v="18"/>
    <n v="0"/>
    <n v="3702"/>
    <n v="1651"/>
    <n v="666"/>
    <n v="633"/>
    <n v="17"/>
    <n v="735"/>
    <n v="0.22289999999999999"/>
    <n v="5.4199999999999998E-2"/>
    <n v="0"/>
  </r>
  <r>
    <n v="2015"/>
    <n v="2"/>
    <x v="5"/>
    <x v="5"/>
    <s v="SEA"/>
    <s v="Seattle, WA: Seattle/Tacoma International"/>
    <n v="3766"/>
    <n v="461"/>
    <n v="83.53"/>
    <n v="9.35"/>
    <n v="180.58"/>
    <n v="0.59"/>
    <n v="186.96"/>
    <n v="22"/>
    <n v="4"/>
    <n v="24841"/>
    <n v="4863"/>
    <n v="894"/>
    <n v="5169"/>
    <n v="33"/>
    <n v="13882"/>
    <n v="0.12239999999999999"/>
    <n v="5.7999999999999996E-3"/>
    <n v="1.1000000000000001E-3"/>
  </r>
  <r>
    <n v="2015"/>
    <n v="2"/>
    <x v="6"/>
    <x v="6"/>
    <s v="SEA"/>
    <s v="Seattle, WA: Seattle/Tacoma International"/>
    <n v="132"/>
    <n v="33"/>
    <n v="11.6"/>
    <n v="1.26"/>
    <n v="11.08"/>
    <n v="0.09"/>
    <n v="8.9499999999999993"/>
    <n v="6"/>
    <n v="2"/>
    <n v="2207"/>
    <n v="679"/>
    <n v="143"/>
    <n v="566"/>
    <n v="4"/>
    <n v="815"/>
    <n v="0.25"/>
    <n v="4.5499999999999999E-2"/>
    <n v="1.52E-2"/>
  </r>
  <r>
    <n v="2015"/>
    <n v="2"/>
    <x v="7"/>
    <x v="7"/>
    <s v="SEA"/>
    <s v="Seattle, WA: Seattle/Tacoma International"/>
    <n v="799"/>
    <n v="151"/>
    <n v="59.69"/>
    <n v="12.88"/>
    <n v="49.93"/>
    <n v="0"/>
    <n v="28.49"/>
    <n v="5"/>
    <n v="2"/>
    <n v="9421"/>
    <n v="4522"/>
    <n v="1145"/>
    <n v="1605"/>
    <n v="0"/>
    <n v="2149"/>
    <n v="0.189"/>
    <n v="6.3E-3"/>
    <n v="2.5000000000000001E-3"/>
  </r>
  <r>
    <n v="2015"/>
    <n v="2"/>
    <x v="8"/>
    <x v="8"/>
    <s v="SEA"/>
    <s v="Seattle, WA: Seattle/Tacoma International"/>
    <n v="36"/>
    <n v="14"/>
    <n v="1.3"/>
    <n v="0.03"/>
    <n v="8.7799999999999994"/>
    <n v="0"/>
    <n v="3.89"/>
    <n v="0"/>
    <n v="0"/>
    <n v="1247"/>
    <n v="60"/>
    <n v="7"/>
    <n v="572"/>
    <n v="0"/>
    <n v="608"/>
    <n v="0.38890000000000002"/>
    <n v="0"/>
    <n v="0"/>
  </r>
  <r>
    <n v="2015"/>
    <n v="2"/>
    <x v="0"/>
    <x v="0"/>
    <s v="SEA"/>
    <s v="Seattle, WA: Seattle/Tacoma International"/>
    <n v="56"/>
    <n v="6"/>
    <n v="4"/>
    <n v="1"/>
    <n v="0"/>
    <n v="0"/>
    <n v="1"/>
    <n v="0"/>
    <n v="0"/>
    <n v="454"/>
    <n v="201"/>
    <n v="206"/>
    <n v="0"/>
    <n v="0"/>
    <n v="47"/>
    <n v="0.1071"/>
    <n v="0"/>
    <n v="0"/>
  </r>
  <r>
    <n v="2015"/>
    <n v="2"/>
    <x v="2"/>
    <x v="2"/>
    <s v="SEA"/>
    <s v="Seattle, WA: Seattle/Tacoma International"/>
    <n v="922"/>
    <n v="115"/>
    <n v="31.06"/>
    <n v="1.78"/>
    <n v="31.98"/>
    <n v="0"/>
    <n v="50.18"/>
    <n v="8"/>
    <n v="1"/>
    <n v="5305"/>
    <n v="1770"/>
    <n v="79"/>
    <n v="749"/>
    <n v="0"/>
    <n v="2707"/>
    <n v="0.12470000000000001"/>
    <n v="8.6999999999999994E-3"/>
    <n v="1.1000000000000001E-3"/>
  </r>
  <r>
    <n v="2015"/>
    <n v="2"/>
    <x v="9"/>
    <x v="9"/>
    <s v="SEA"/>
    <s v="Seattle, WA: Seattle/Tacoma International"/>
    <n v="617"/>
    <n v="135"/>
    <n v="64.86"/>
    <n v="7.32"/>
    <n v="20.58"/>
    <n v="0"/>
    <n v="42.24"/>
    <n v="7"/>
    <n v="0"/>
    <n v="6998"/>
    <n v="3156"/>
    <n v="481"/>
    <n v="866"/>
    <n v="0"/>
    <n v="2495"/>
    <n v="0.21879999999999999"/>
    <n v="1.1299999999999999E-2"/>
    <n v="0"/>
  </r>
  <r>
    <n v="2015"/>
    <n v="2"/>
    <x v="15"/>
    <x v="15"/>
    <s v="SEA"/>
    <s v="Seattle, WA: Seattle/Tacoma International"/>
    <n v="210"/>
    <n v="43"/>
    <n v="10.95"/>
    <n v="2.59"/>
    <n v="18.88"/>
    <n v="1"/>
    <n v="9.58"/>
    <n v="3"/>
    <n v="1"/>
    <n v="1809"/>
    <n v="385"/>
    <n v="256"/>
    <n v="616"/>
    <n v="15"/>
    <n v="537"/>
    <n v="0.20480000000000001"/>
    <n v="1.43E-2"/>
    <n v="4.7999999999999996E-3"/>
  </r>
  <r>
    <n v="2015"/>
    <n v="2"/>
    <x v="14"/>
    <x v="14"/>
    <s v="SEA"/>
    <s v="Seattle, WA: Seattle/Tacoma International"/>
    <n v="167"/>
    <n v="22"/>
    <n v="2.16"/>
    <n v="0.05"/>
    <n v="1.55"/>
    <n v="0"/>
    <n v="18.239999999999998"/>
    <n v="1"/>
    <n v="0"/>
    <n v="1039"/>
    <n v="45"/>
    <n v="2"/>
    <n v="52"/>
    <n v="0"/>
    <n v="940"/>
    <n v="0.13170000000000001"/>
    <n v="6.0000000000000001E-3"/>
    <n v="0"/>
  </r>
  <r>
    <n v="2015"/>
    <n v="2"/>
    <x v="10"/>
    <x v="10"/>
    <s v="SEA"/>
    <s v="Seattle, WA: Seattle/Tacoma International"/>
    <n v="685"/>
    <n v="159"/>
    <n v="47.91"/>
    <n v="0.25"/>
    <n v="20.39"/>
    <n v="0"/>
    <n v="90.45"/>
    <n v="6"/>
    <n v="0"/>
    <n v="7217"/>
    <n v="1867"/>
    <n v="10"/>
    <n v="710"/>
    <n v="0"/>
    <n v="4630"/>
    <n v="0.2321"/>
    <n v="8.8000000000000005E-3"/>
    <n v="0"/>
  </r>
  <r>
    <n v="2015"/>
    <n v="1"/>
    <x v="4"/>
    <x v="4"/>
    <s v="SEA"/>
    <s v="Seattle, WA: Seattle/Tacoma International"/>
    <n v="371"/>
    <n v="92"/>
    <n v="35.840000000000003"/>
    <n v="7.58"/>
    <n v="18.5"/>
    <n v="0.22"/>
    <n v="29.87"/>
    <n v="2"/>
    <n v="4"/>
    <n v="4852"/>
    <n v="1991"/>
    <n v="407"/>
    <n v="792"/>
    <n v="5"/>
    <n v="1657"/>
    <n v="0.248"/>
    <n v="5.4000000000000003E-3"/>
    <n v="1.0800000000000001E-2"/>
  </r>
  <r>
    <n v="2015"/>
    <n v="1"/>
    <x v="5"/>
    <x v="5"/>
    <s v="SEA"/>
    <s v="Seattle, WA: Seattle/Tacoma International"/>
    <n v="4058"/>
    <n v="603"/>
    <n v="109.99"/>
    <n v="27.78"/>
    <n v="237.25"/>
    <n v="0.1"/>
    <n v="227.88"/>
    <n v="21"/>
    <n v="5"/>
    <n v="31053"/>
    <n v="6173"/>
    <n v="2789"/>
    <n v="7562"/>
    <n v="2"/>
    <n v="14527"/>
    <n v="0.14860000000000001"/>
    <n v="5.1999999999999998E-3"/>
    <n v="1.1999999999999999E-3"/>
  </r>
  <r>
    <n v="2015"/>
    <n v="1"/>
    <x v="6"/>
    <x v="6"/>
    <s v="SEA"/>
    <s v="Seattle, WA: Seattle/Tacoma International"/>
    <n v="142"/>
    <n v="35"/>
    <n v="10.73"/>
    <n v="0.91"/>
    <n v="17.440000000000001"/>
    <n v="0"/>
    <n v="5.92"/>
    <n v="5"/>
    <n v="3"/>
    <n v="1792"/>
    <n v="575"/>
    <n v="75"/>
    <n v="847"/>
    <n v="0"/>
    <n v="295"/>
    <n v="0.2465"/>
    <n v="3.5200000000000002E-2"/>
    <n v="2.1100000000000001E-2"/>
  </r>
  <r>
    <n v="2015"/>
    <n v="1"/>
    <x v="7"/>
    <x v="7"/>
    <s v="SEA"/>
    <s v="Seattle, WA: Seattle/Tacoma International"/>
    <n v="897"/>
    <n v="138"/>
    <n v="45.16"/>
    <n v="11.84"/>
    <n v="50.48"/>
    <n v="0"/>
    <n v="30.52"/>
    <n v="5"/>
    <n v="2"/>
    <n v="6945"/>
    <n v="2358"/>
    <n v="685"/>
    <n v="1810"/>
    <n v="0"/>
    <n v="2092"/>
    <n v="0.15379999999999999"/>
    <n v="5.5999999999999999E-3"/>
    <n v="2.2000000000000001E-3"/>
  </r>
  <r>
    <n v="2015"/>
    <n v="1"/>
    <x v="8"/>
    <x v="8"/>
    <s v="SEA"/>
    <s v="Seattle, WA: Seattle/Tacoma International"/>
    <n v="44"/>
    <n v="18"/>
    <n v="3.48"/>
    <n v="0.05"/>
    <n v="8.5500000000000007"/>
    <n v="0"/>
    <n v="5.92"/>
    <n v="0"/>
    <n v="0"/>
    <n v="824"/>
    <n v="79"/>
    <n v="8"/>
    <n v="386"/>
    <n v="0"/>
    <n v="351"/>
    <n v="0.40910000000000002"/>
    <n v="0"/>
    <n v="0"/>
  </r>
  <r>
    <n v="2015"/>
    <n v="1"/>
    <x v="0"/>
    <x v="0"/>
    <s v="SEA"/>
    <s v="Seattle, WA: Seattle/Tacoma International"/>
    <n v="62"/>
    <n v="9"/>
    <n v="4.46"/>
    <n v="1"/>
    <n v="0.67"/>
    <n v="0"/>
    <n v="2.87"/>
    <n v="0"/>
    <n v="1"/>
    <n v="287"/>
    <n v="115"/>
    <n v="25"/>
    <n v="12"/>
    <n v="0"/>
    <n v="135"/>
    <n v="0.1452"/>
    <n v="0"/>
    <n v="1.61E-2"/>
  </r>
  <r>
    <n v="2015"/>
    <n v="1"/>
    <x v="2"/>
    <x v="2"/>
    <s v="SEA"/>
    <s v="Seattle, WA: Seattle/Tacoma International"/>
    <n v="977"/>
    <n v="247"/>
    <n v="51.66"/>
    <n v="17.690000000000001"/>
    <n v="56.17"/>
    <n v="0"/>
    <n v="121.48"/>
    <n v="26"/>
    <n v="10"/>
    <n v="19619"/>
    <n v="5190"/>
    <n v="2119"/>
    <n v="2150"/>
    <n v="0"/>
    <n v="10160"/>
    <n v="0.25280000000000002"/>
    <n v="2.6599999999999999E-2"/>
    <n v="1.0200000000000001E-2"/>
  </r>
  <r>
    <n v="2015"/>
    <n v="1"/>
    <x v="9"/>
    <x v="9"/>
    <s v="SEA"/>
    <s v="Seattle, WA: Seattle/Tacoma International"/>
    <n v="670"/>
    <n v="153"/>
    <n v="73.41"/>
    <n v="8.7899999999999991"/>
    <n v="29.89"/>
    <n v="0"/>
    <n v="40.909999999999997"/>
    <n v="6"/>
    <n v="8"/>
    <n v="7722"/>
    <n v="3081"/>
    <n v="777"/>
    <n v="1343"/>
    <n v="0"/>
    <n v="2521"/>
    <n v="0.22839999999999999"/>
    <n v="8.9999999999999993E-3"/>
    <n v="1.1900000000000001E-2"/>
  </r>
  <r>
    <n v="2015"/>
    <n v="1"/>
    <x v="15"/>
    <x v="15"/>
    <s v="SEA"/>
    <s v="Seattle, WA: Seattle/Tacoma International"/>
    <n v="224"/>
    <n v="45"/>
    <n v="15.17"/>
    <n v="0"/>
    <n v="23.69"/>
    <n v="0"/>
    <n v="6.14"/>
    <n v="1"/>
    <n v="7"/>
    <n v="1567"/>
    <n v="563"/>
    <n v="0"/>
    <n v="645"/>
    <n v="0"/>
    <n v="359"/>
    <n v="0.2009"/>
    <n v="4.4999999999999997E-3"/>
    <n v="3.1300000000000001E-2"/>
  </r>
  <r>
    <n v="2015"/>
    <n v="1"/>
    <x v="14"/>
    <x v="14"/>
    <s v="SEA"/>
    <s v="Seattle, WA: Seattle/Tacoma International"/>
    <n v="192"/>
    <n v="28"/>
    <n v="10.49"/>
    <n v="0.79"/>
    <n v="1.21"/>
    <n v="0"/>
    <n v="15.51"/>
    <n v="0"/>
    <n v="0"/>
    <n v="1155"/>
    <n v="383"/>
    <n v="15"/>
    <n v="48"/>
    <n v="0"/>
    <n v="709"/>
    <n v="0.14580000000000001"/>
    <n v="0"/>
    <n v="0"/>
  </r>
  <r>
    <n v="2015"/>
    <n v="1"/>
    <x v="10"/>
    <x v="10"/>
    <s v="SEA"/>
    <s v="Seattle, WA: Seattle/Tacoma International"/>
    <n v="789"/>
    <n v="176"/>
    <n v="65.959999999999994"/>
    <n v="1"/>
    <n v="31.46"/>
    <n v="0"/>
    <n v="77.58"/>
    <n v="1"/>
    <n v="2"/>
    <n v="7932"/>
    <n v="2675"/>
    <n v="56"/>
    <n v="1123"/>
    <n v="0"/>
    <n v="4078"/>
    <n v="0.22309999999999999"/>
    <n v="1.2999999999999999E-3"/>
    <n v="2.5000000000000001E-3"/>
  </r>
  <r>
    <n v="2014"/>
    <n v="12"/>
    <x v="4"/>
    <x v="4"/>
    <s v="SEA"/>
    <s v="Seattle, WA: Seattle/Tacoma International"/>
    <n v="414"/>
    <n v="101"/>
    <n v="41.8"/>
    <n v="0"/>
    <n v="30.83"/>
    <n v="0"/>
    <n v="28.37"/>
    <n v="0"/>
    <n v="0"/>
    <n v="4091"/>
    <n v="1952"/>
    <n v="0"/>
    <n v="918"/>
    <n v="0"/>
    <n v="1221"/>
    <n v="0.24399999999999999"/>
    <n v="0"/>
    <n v="0"/>
  </r>
  <r>
    <n v="2014"/>
    <n v="12"/>
    <x v="5"/>
    <x v="5"/>
    <s v="SEA"/>
    <s v="Seattle, WA: Seattle/Tacoma International"/>
    <n v="4256"/>
    <n v="762"/>
    <n v="134.1"/>
    <n v="5.46"/>
    <n v="353.01"/>
    <n v="1.63"/>
    <n v="267.8"/>
    <n v="19"/>
    <n v="6"/>
    <n v="39750"/>
    <n v="11040"/>
    <n v="267"/>
    <n v="9938"/>
    <n v="202"/>
    <n v="18303"/>
    <n v="0.17899999999999999"/>
    <n v="4.4999999999999997E-3"/>
    <n v="1.4E-3"/>
  </r>
  <r>
    <n v="2014"/>
    <n v="12"/>
    <x v="6"/>
    <x v="6"/>
    <s v="SEA"/>
    <s v="Seattle, WA: Seattle/Tacoma International"/>
    <n v="143"/>
    <n v="24"/>
    <n v="10.68"/>
    <n v="0.96"/>
    <n v="5.83"/>
    <n v="0.83"/>
    <n v="5.71"/>
    <n v="0"/>
    <n v="0"/>
    <n v="1192"/>
    <n v="621"/>
    <n v="43"/>
    <n v="214"/>
    <n v="83"/>
    <n v="231"/>
    <n v="0.1678"/>
    <n v="0"/>
    <n v="0"/>
  </r>
  <r>
    <n v="2014"/>
    <n v="12"/>
    <x v="7"/>
    <x v="7"/>
    <s v="SEA"/>
    <s v="Seattle, WA: Seattle/Tacoma International"/>
    <n v="927"/>
    <n v="89"/>
    <n v="34.44"/>
    <n v="4.51"/>
    <n v="26.69"/>
    <n v="0"/>
    <n v="23.37"/>
    <n v="1"/>
    <n v="0"/>
    <n v="5022"/>
    <n v="2585"/>
    <n v="187"/>
    <n v="785"/>
    <n v="0"/>
    <n v="1465"/>
    <n v="9.6000000000000002E-2"/>
    <n v="1.1000000000000001E-3"/>
    <n v="0"/>
  </r>
  <r>
    <n v="2014"/>
    <n v="12"/>
    <x v="8"/>
    <x v="8"/>
    <s v="SEA"/>
    <s v="Seattle, WA: Seattle/Tacoma International"/>
    <n v="72"/>
    <n v="19"/>
    <n v="2.56"/>
    <n v="0"/>
    <n v="12.44"/>
    <n v="0"/>
    <n v="4"/>
    <n v="0"/>
    <n v="0"/>
    <n v="832"/>
    <n v="178"/>
    <n v="0"/>
    <n v="461"/>
    <n v="0"/>
    <n v="193"/>
    <n v="0.26390000000000002"/>
    <n v="0"/>
    <n v="0"/>
  </r>
  <r>
    <n v="2014"/>
    <n v="12"/>
    <x v="0"/>
    <x v="0"/>
    <s v="SEA"/>
    <s v="Seattle, WA: Seattle/Tacoma International"/>
    <n v="62"/>
    <n v="3"/>
    <n v="2"/>
    <n v="0"/>
    <n v="0"/>
    <n v="0"/>
    <n v="1"/>
    <n v="0"/>
    <n v="0"/>
    <n v="305"/>
    <n v="127"/>
    <n v="0"/>
    <n v="0"/>
    <n v="0"/>
    <n v="178"/>
    <n v="4.8399999999999999E-2"/>
    <n v="0"/>
    <n v="0"/>
  </r>
  <r>
    <n v="2014"/>
    <n v="12"/>
    <x v="2"/>
    <x v="2"/>
    <s v="SEA"/>
    <s v="Seattle, WA: Seattle/Tacoma International"/>
    <n v="857"/>
    <n v="193"/>
    <n v="32.799999999999997"/>
    <n v="3.55"/>
    <n v="69.760000000000005"/>
    <n v="0"/>
    <n v="86.9"/>
    <n v="6"/>
    <n v="3"/>
    <n v="11044"/>
    <n v="1620"/>
    <n v="462"/>
    <n v="2087"/>
    <n v="0"/>
    <n v="6875"/>
    <n v="0.22520000000000001"/>
    <n v="7.0000000000000001E-3"/>
    <n v="3.5000000000000001E-3"/>
  </r>
  <r>
    <n v="2014"/>
    <n v="12"/>
    <x v="9"/>
    <x v="9"/>
    <s v="SEA"/>
    <s v="Seattle, WA: Seattle/Tacoma International"/>
    <n v="831"/>
    <n v="239"/>
    <n v="115.79"/>
    <n v="2.98"/>
    <n v="37.020000000000003"/>
    <n v="0"/>
    <n v="83.21"/>
    <n v="7"/>
    <n v="0"/>
    <n v="12313"/>
    <n v="5147"/>
    <n v="252"/>
    <n v="1406"/>
    <n v="0"/>
    <n v="5508"/>
    <n v="0.28760000000000002"/>
    <n v="8.3999999999999995E-3"/>
    <n v="0"/>
  </r>
  <r>
    <n v="2014"/>
    <n v="12"/>
    <x v="15"/>
    <x v="15"/>
    <s v="SEA"/>
    <s v="Seattle, WA: Seattle/Tacoma International"/>
    <n v="253"/>
    <n v="52"/>
    <n v="20.43"/>
    <n v="0"/>
    <n v="26.19"/>
    <n v="0"/>
    <n v="5.38"/>
    <n v="0"/>
    <n v="0"/>
    <n v="1433"/>
    <n v="583"/>
    <n v="0"/>
    <n v="679"/>
    <n v="0"/>
    <n v="171"/>
    <n v="0.20549999999999999"/>
    <n v="0"/>
    <n v="0"/>
  </r>
  <r>
    <n v="2014"/>
    <n v="12"/>
    <x v="14"/>
    <x v="14"/>
    <s v="SEA"/>
    <s v="Seattle, WA: Seattle/Tacoma International"/>
    <n v="229"/>
    <n v="56"/>
    <n v="9.08"/>
    <n v="8.8699999999999992"/>
    <n v="4.8099999999999996"/>
    <n v="0.26"/>
    <n v="32.979999999999997"/>
    <n v="2"/>
    <n v="0"/>
    <n v="3841"/>
    <n v="479"/>
    <n v="237"/>
    <n v="226"/>
    <n v="19"/>
    <n v="2880"/>
    <n v="0.2445"/>
    <n v="8.6999999999999994E-3"/>
    <n v="0"/>
  </r>
  <r>
    <n v="2014"/>
    <n v="12"/>
    <x v="10"/>
    <x v="10"/>
    <s v="SEA"/>
    <s v="Seattle, WA: Seattle/Tacoma International"/>
    <n v="947"/>
    <n v="376"/>
    <n v="119.78"/>
    <n v="2.04"/>
    <n v="57.76"/>
    <n v="0.77"/>
    <n v="195.64"/>
    <n v="1"/>
    <n v="1"/>
    <n v="18922"/>
    <n v="5404"/>
    <n v="84"/>
    <n v="1991"/>
    <n v="27"/>
    <n v="11416"/>
    <n v="0.39700000000000002"/>
    <n v="1.1000000000000001E-3"/>
    <n v="1.1000000000000001E-3"/>
  </r>
  <r>
    <n v="2014"/>
    <n v="11"/>
    <x v="0"/>
    <x v="0"/>
    <s v="SEA"/>
    <s v="Seattle, WA: Seattle/Tacoma International"/>
    <n v="60"/>
    <n v="9"/>
    <n v="7.89"/>
    <n v="0"/>
    <n v="0"/>
    <n v="0"/>
    <n v="1.1100000000000001"/>
    <n v="0"/>
    <n v="0"/>
    <n v="312"/>
    <n v="286"/>
    <n v="0"/>
    <n v="0"/>
    <n v="0"/>
    <n v="26"/>
    <n v="0.15"/>
    <n v="0"/>
    <n v="0"/>
  </r>
  <r>
    <n v="2014"/>
    <n v="11"/>
    <x v="2"/>
    <x v="2"/>
    <s v="SEA"/>
    <s v="Seattle, WA: Seattle/Tacoma International"/>
    <n v="788"/>
    <n v="113"/>
    <n v="22.51"/>
    <n v="1"/>
    <n v="35.1"/>
    <n v="0"/>
    <n v="54.39"/>
    <n v="9"/>
    <n v="1"/>
    <n v="6078"/>
    <n v="1390"/>
    <n v="213"/>
    <n v="859"/>
    <n v="0"/>
    <n v="3616"/>
    <n v="0.1434"/>
    <n v="1.14E-2"/>
    <n v="1.2999999999999999E-3"/>
  </r>
  <r>
    <n v="2014"/>
    <n v="11"/>
    <x v="9"/>
    <x v="9"/>
    <s v="SEA"/>
    <s v="Seattle, WA: Seattle/Tacoma International"/>
    <n v="794"/>
    <n v="153"/>
    <n v="82.48"/>
    <n v="11.47"/>
    <n v="25.23"/>
    <n v="0"/>
    <n v="33.82"/>
    <n v="6"/>
    <n v="0"/>
    <n v="8385"/>
    <n v="4035"/>
    <n v="735"/>
    <n v="893"/>
    <n v="0"/>
    <n v="2722"/>
    <n v="0.19270000000000001"/>
    <n v="7.6E-3"/>
    <n v="0"/>
  </r>
  <r>
    <n v="2014"/>
    <n v="11"/>
    <x v="15"/>
    <x v="15"/>
    <s v="SEA"/>
    <s v="Seattle, WA: Seattle/Tacoma International"/>
    <n v="221"/>
    <n v="50"/>
    <n v="18.190000000000001"/>
    <n v="0"/>
    <n v="21.69"/>
    <n v="0"/>
    <n v="10.11"/>
    <n v="0"/>
    <n v="0"/>
    <n v="1604"/>
    <n v="704"/>
    <n v="0"/>
    <n v="555"/>
    <n v="0"/>
    <n v="345"/>
    <n v="0.22620000000000001"/>
    <n v="0"/>
    <n v="0"/>
  </r>
  <r>
    <n v="2014"/>
    <n v="11"/>
    <x v="14"/>
    <x v="14"/>
    <s v="SEA"/>
    <s v="Seattle, WA: Seattle/Tacoma International"/>
    <n v="219"/>
    <n v="30"/>
    <n v="5.68"/>
    <n v="6.32"/>
    <n v="1.1100000000000001"/>
    <n v="0"/>
    <n v="16.88"/>
    <n v="0"/>
    <n v="0"/>
    <n v="1614"/>
    <n v="225"/>
    <n v="125"/>
    <n v="23"/>
    <n v="0"/>
    <n v="1241"/>
    <n v="0.13700000000000001"/>
    <n v="0"/>
    <n v="0"/>
  </r>
  <r>
    <n v="2014"/>
    <n v="11"/>
    <x v="10"/>
    <x v="10"/>
    <s v="SEA"/>
    <s v="Seattle, WA: Seattle/Tacoma International"/>
    <n v="903"/>
    <n v="232"/>
    <n v="71.48"/>
    <n v="0"/>
    <n v="64.260000000000005"/>
    <n v="0"/>
    <n v="96.26"/>
    <n v="1"/>
    <n v="0"/>
    <n v="9366"/>
    <n v="3032"/>
    <n v="0"/>
    <n v="1908"/>
    <n v="0"/>
    <n v="4426"/>
    <n v="0.25690000000000002"/>
    <n v="1.1000000000000001E-3"/>
    <n v="0"/>
  </r>
  <r>
    <n v="2014"/>
    <n v="11"/>
    <x v="4"/>
    <x v="4"/>
    <s v="SEA"/>
    <s v="Seattle, WA: Seattle/Tacoma International"/>
    <n v="403"/>
    <n v="108"/>
    <n v="27.16"/>
    <n v="4.54"/>
    <n v="44.81"/>
    <n v="0"/>
    <n v="31.49"/>
    <n v="0"/>
    <n v="0"/>
    <n v="4799"/>
    <n v="1352"/>
    <n v="164"/>
    <n v="1350"/>
    <n v="0"/>
    <n v="1933"/>
    <n v="0.26800000000000002"/>
    <n v="0"/>
    <n v="0"/>
  </r>
  <r>
    <n v="2014"/>
    <n v="11"/>
    <x v="5"/>
    <x v="5"/>
    <s v="SEA"/>
    <s v="Seattle, WA: Seattle/Tacoma International"/>
    <n v="4026"/>
    <n v="633"/>
    <n v="116.02"/>
    <n v="9.8699999999999992"/>
    <n v="309.05"/>
    <n v="0.63"/>
    <n v="197.43"/>
    <n v="8"/>
    <n v="3"/>
    <n v="26482"/>
    <n v="6504"/>
    <n v="466"/>
    <n v="8626"/>
    <n v="15"/>
    <n v="10871"/>
    <n v="0.15720000000000001"/>
    <n v="2E-3"/>
    <n v="6.9999999999999999E-4"/>
  </r>
  <r>
    <n v="2014"/>
    <n v="11"/>
    <x v="6"/>
    <x v="6"/>
    <s v="SEA"/>
    <s v="Seattle, WA: Seattle/Tacoma International"/>
    <n v="135"/>
    <n v="26"/>
    <n v="10.46"/>
    <n v="0"/>
    <n v="8.94"/>
    <n v="0"/>
    <n v="6.61"/>
    <n v="0"/>
    <n v="0"/>
    <n v="1014"/>
    <n v="345"/>
    <n v="0"/>
    <n v="254"/>
    <n v="0"/>
    <n v="415"/>
    <n v="0.19259999999999999"/>
    <n v="0"/>
    <n v="0"/>
  </r>
  <r>
    <n v="2014"/>
    <n v="11"/>
    <x v="7"/>
    <x v="7"/>
    <s v="SEA"/>
    <s v="Seattle, WA: Seattle/Tacoma International"/>
    <n v="951"/>
    <n v="155"/>
    <n v="54.12"/>
    <n v="3.48"/>
    <n v="72.05"/>
    <n v="0"/>
    <n v="25.35"/>
    <n v="0"/>
    <n v="1"/>
    <n v="6046"/>
    <n v="2298"/>
    <n v="188"/>
    <n v="2138"/>
    <n v="0"/>
    <n v="1422"/>
    <n v="0.16300000000000001"/>
    <n v="0"/>
    <n v="1.1000000000000001E-3"/>
  </r>
  <r>
    <n v="2014"/>
    <n v="11"/>
    <x v="8"/>
    <x v="8"/>
    <s v="SEA"/>
    <s v="Seattle, WA: Seattle/Tacoma International"/>
    <n v="86"/>
    <n v="23"/>
    <n v="5.73"/>
    <n v="0"/>
    <n v="11.3"/>
    <n v="0"/>
    <n v="5.97"/>
    <n v="1"/>
    <n v="0"/>
    <n v="1001"/>
    <n v="187"/>
    <n v="0"/>
    <n v="366"/>
    <n v="0"/>
    <n v="448"/>
    <n v="0.26740000000000003"/>
    <n v="1.1599999999999999E-2"/>
    <n v="0"/>
  </r>
  <r>
    <n v="2014"/>
    <n v="10"/>
    <x v="4"/>
    <x v="4"/>
    <s v="SEA"/>
    <s v="Seattle, WA: Seattle/Tacoma International"/>
    <n v="460"/>
    <n v="148"/>
    <n v="38.08"/>
    <n v="3.79"/>
    <n v="52.8"/>
    <n v="0.35"/>
    <n v="52.97"/>
    <n v="1"/>
    <n v="1"/>
    <n v="7512"/>
    <n v="1873"/>
    <n v="245"/>
    <n v="1652"/>
    <n v="17"/>
    <n v="3725"/>
    <n v="0.32169999999999999"/>
    <n v="2.2000000000000001E-3"/>
    <n v="2.2000000000000001E-3"/>
  </r>
  <r>
    <n v="2014"/>
    <n v="10"/>
    <x v="5"/>
    <x v="5"/>
    <s v="SEA"/>
    <s v="Seattle, WA: Seattle/Tacoma International"/>
    <n v="4205"/>
    <n v="495"/>
    <n v="120.54"/>
    <n v="3.21"/>
    <n v="209.7"/>
    <n v="2.19"/>
    <n v="159.35"/>
    <n v="9"/>
    <n v="4"/>
    <n v="20730"/>
    <n v="6282"/>
    <n v="363"/>
    <n v="5448"/>
    <n v="149"/>
    <n v="8488"/>
    <n v="0.1177"/>
    <n v="2.0999999999999999E-3"/>
    <n v="1E-3"/>
  </r>
  <r>
    <n v="2014"/>
    <n v="10"/>
    <x v="6"/>
    <x v="6"/>
    <s v="SEA"/>
    <s v="Seattle, WA: Seattle/Tacoma International"/>
    <n v="170"/>
    <n v="33"/>
    <n v="9.36"/>
    <n v="1.08"/>
    <n v="20.73"/>
    <n v="0"/>
    <n v="1.83"/>
    <n v="1"/>
    <n v="0"/>
    <n v="914"/>
    <n v="264"/>
    <n v="47"/>
    <n v="526"/>
    <n v="0"/>
    <n v="77"/>
    <n v="0.19409999999999999"/>
    <n v="5.8999999999999999E-3"/>
    <n v="0"/>
  </r>
  <r>
    <n v="2014"/>
    <n v="10"/>
    <x v="7"/>
    <x v="7"/>
    <s v="SEA"/>
    <s v="Seattle, WA: Seattle/Tacoma International"/>
    <n v="1116"/>
    <n v="146"/>
    <n v="54.08"/>
    <n v="3.86"/>
    <n v="62.32"/>
    <n v="0"/>
    <n v="25.74"/>
    <n v="0"/>
    <n v="0"/>
    <n v="5545"/>
    <n v="2467"/>
    <n v="160"/>
    <n v="1734"/>
    <n v="0"/>
    <n v="1184"/>
    <n v="0.1308"/>
    <n v="0"/>
    <n v="0"/>
  </r>
  <r>
    <n v="2014"/>
    <n v="10"/>
    <x v="8"/>
    <x v="8"/>
    <s v="SEA"/>
    <s v="Seattle, WA: Seattle/Tacoma International"/>
    <n v="116"/>
    <n v="18"/>
    <n v="3.48"/>
    <n v="0"/>
    <n v="9.3000000000000007"/>
    <n v="0"/>
    <n v="5.23"/>
    <n v="0"/>
    <n v="0"/>
    <n v="980"/>
    <n v="231"/>
    <n v="0"/>
    <n v="345"/>
    <n v="0"/>
    <n v="404"/>
    <n v="0.1552"/>
    <n v="0"/>
    <n v="0"/>
  </r>
  <r>
    <n v="2014"/>
    <n v="10"/>
    <x v="0"/>
    <x v="0"/>
    <s v="SEA"/>
    <s v="Seattle, WA: Seattle/Tacoma International"/>
    <n v="62"/>
    <n v="7"/>
    <n v="5.86"/>
    <n v="0"/>
    <n v="0"/>
    <n v="0"/>
    <n v="1.1399999999999999"/>
    <n v="0"/>
    <n v="0"/>
    <n v="351"/>
    <n v="311"/>
    <n v="0"/>
    <n v="0"/>
    <n v="0"/>
    <n v="40"/>
    <n v="0.1129"/>
    <n v="0"/>
    <n v="0"/>
  </r>
  <r>
    <n v="2014"/>
    <n v="10"/>
    <x v="2"/>
    <x v="2"/>
    <s v="SEA"/>
    <s v="Seattle, WA: Seattle/Tacoma International"/>
    <n v="684"/>
    <n v="94"/>
    <n v="21.72"/>
    <n v="2.68"/>
    <n v="29.63"/>
    <n v="0"/>
    <n v="39.96"/>
    <n v="7"/>
    <n v="3"/>
    <n v="5390"/>
    <n v="1532"/>
    <n v="254"/>
    <n v="777"/>
    <n v="0"/>
    <n v="2827"/>
    <n v="0.13739999999999999"/>
    <n v="1.0200000000000001E-2"/>
    <n v="4.4000000000000003E-3"/>
  </r>
  <r>
    <n v="2014"/>
    <n v="10"/>
    <x v="9"/>
    <x v="9"/>
    <s v="SEA"/>
    <s v="Seattle, WA: Seattle/Tacoma International"/>
    <n v="933"/>
    <n v="204"/>
    <n v="84.87"/>
    <n v="6.65"/>
    <n v="47.91"/>
    <n v="0"/>
    <n v="64.569999999999993"/>
    <n v="5"/>
    <n v="1"/>
    <n v="10960"/>
    <n v="4277"/>
    <n v="404"/>
    <n v="1811"/>
    <n v="0"/>
    <n v="4468"/>
    <n v="0.21859999999999999"/>
    <n v="5.4000000000000003E-3"/>
    <n v="1.1000000000000001E-3"/>
  </r>
  <r>
    <n v="2014"/>
    <n v="10"/>
    <x v="15"/>
    <x v="15"/>
    <s v="SEA"/>
    <s v="Seattle, WA: Seattle/Tacoma International"/>
    <n v="251"/>
    <n v="50"/>
    <n v="19.16"/>
    <n v="0"/>
    <n v="26"/>
    <n v="0.13"/>
    <n v="4.72"/>
    <n v="0"/>
    <n v="0"/>
    <n v="1848"/>
    <n v="819"/>
    <n v="0"/>
    <n v="765"/>
    <n v="4"/>
    <n v="260"/>
    <n v="0.19919999999999999"/>
    <n v="0"/>
    <n v="0"/>
  </r>
  <r>
    <n v="2014"/>
    <n v="10"/>
    <x v="14"/>
    <x v="14"/>
    <s v="SEA"/>
    <s v="Seattle, WA: Seattle/Tacoma International"/>
    <n v="227"/>
    <n v="25"/>
    <n v="8.6999999999999993"/>
    <n v="3.05"/>
    <n v="4.78"/>
    <n v="0"/>
    <n v="8.4600000000000009"/>
    <n v="0"/>
    <n v="0"/>
    <n v="1713"/>
    <n v="590"/>
    <n v="52"/>
    <n v="105"/>
    <n v="0"/>
    <n v="966"/>
    <n v="0.1101"/>
    <n v="0"/>
    <n v="0"/>
  </r>
  <r>
    <n v="2014"/>
    <n v="10"/>
    <x v="10"/>
    <x v="10"/>
    <s v="SEA"/>
    <s v="Seattle, WA: Seattle/Tacoma International"/>
    <n v="1008"/>
    <n v="182"/>
    <n v="60.02"/>
    <n v="0"/>
    <n v="36.94"/>
    <n v="0"/>
    <n v="85.04"/>
    <n v="3"/>
    <n v="1"/>
    <n v="6819"/>
    <n v="2073"/>
    <n v="0"/>
    <n v="994"/>
    <n v="0"/>
    <n v="3752"/>
    <n v="0.18060000000000001"/>
    <n v="3.0000000000000001E-3"/>
    <n v="1E-3"/>
  </r>
  <r>
    <n v="2014"/>
    <n v="9"/>
    <x v="4"/>
    <x v="4"/>
    <s v="SEA"/>
    <s v="Seattle, WA: Seattle/Tacoma International"/>
    <n v="460"/>
    <n v="91"/>
    <n v="26.56"/>
    <n v="0.48"/>
    <n v="25.89"/>
    <n v="0"/>
    <n v="38.07"/>
    <n v="5"/>
    <n v="0"/>
    <n v="4297"/>
    <n v="1460"/>
    <n v="42"/>
    <n v="743"/>
    <n v="0"/>
    <n v="2052"/>
    <n v="0.1978"/>
    <n v="1.09E-2"/>
    <n v="0"/>
  </r>
  <r>
    <n v="2014"/>
    <n v="9"/>
    <x v="5"/>
    <x v="5"/>
    <s v="SEA"/>
    <s v="Seattle, WA: Seattle/Tacoma International"/>
    <n v="4220"/>
    <n v="478"/>
    <n v="98.18"/>
    <n v="10.44"/>
    <n v="182.16"/>
    <n v="2.0099999999999998"/>
    <n v="185.22"/>
    <n v="10"/>
    <n v="3"/>
    <n v="24714"/>
    <n v="7949"/>
    <n v="709"/>
    <n v="5216"/>
    <n v="49"/>
    <n v="10791"/>
    <n v="0.1133"/>
    <n v="2.3999999999999998E-3"/>
    <n v="6.9999999999999999E-4"/>
  </r>
  <r>
    <n v="2014"/>
    <n v="9"/>
    <x v="6"/>
    <x v="6"/>
    <s v="SEA"/>
    <s v="Seattle, WA: Seattle/Tacoma International"/>
    <n v="204"/>
    <n v="27"/>
    <n v="8.92"/>
    <n v="1.47"/>
    <n v="11.04"/>
    <n v="0"/>
    <n v="5.58"/>
    <n v="0"/>
    <n v="0"/>
    <n v="1246"/>
    <n v="435"/>
    <n v="54"/>
    <n v="361"/>
    <n v="0"/>
    <n v="396"/>
    <n v="0.13239999999999999"/>
    <n v="0"/>
    <n v="0"/>
  </r>
  <r>
    <n v="2014"/>
    <n v="9"/>
    <x v="7"/>
    <x v="7"/>
    <s v="SEA"/>
    <s v="Seattle, WA: Seattle/Tacoma International"/>
    <n v="1142"/>
    <n v="129"/>
    <n v="52.7"/>
    <n v="5.26"/>
    <n v="51.37"/>
    <n v="0"/>
    <n v="19.670000000000002"/>
    <n v="1"/>
    <n v="1"/>
    <n v="6099"/>
    <n v="3404"/>
    <n v="225"/>
    <n v="1469"/>
    <n v="0"/>
    <n v="1001"/>
    <n v="0.113"/>
    <n v="8.9999999999999998E-4"/>
    <n v="8.9999999999999998E-4"/>
  </r>
  <r>
    <n v="2014"/>
    <n v="9"/>
    <x v="8"/>
    <x v="8"/>
    <s v="SEA"/>
    <s v="Seattle, WA: Seattle/Tacoma International"/>
    <n v="118"/>
    <n v="29"/>
    <n v="7.31"/>
    <n v="0"/>
    <n v="14.26"/>
    <n v="0"/>
    <n v="7.43"/>
    <n v="0"/>
    <n v="0"/>
    <n v="1492"/>
    <n v="579"/>
    <n v="0"/>
    <n v="568"/>
    <n v="0"/>
    <n v="345"/>
    <n v="0.24579999999999999"/>
    <n v="0"/>
    <n v="0"/>
  </r>
  <r>
    <n v="2014"/>
    <n v="9"/>
    <x v="0"/>
    <x v="0"/>
    <s v="SEA"/>
    <s v="Seattle, WA: Seattle/Tacoma International"/>
    <n v="60"/>
    <n v="8"/>
    <n v="7"/>
    <n v="0"/>
    <n v="0"/>
    <n v="0"/>
    <n v="1"/>
    <n v="0"/>
    <n v="0"/>
    <n v="1715"/>
    <n v="1472"/>
    <n v="0"/>
    <n v="0"/>
    <n v="0"/>
    <n v="243"/>
    <n v="0.1333"/>
    <n v="0"/>
    <n v="0"/>
  </r>
  <r>
    <n v="2014"/>
    <n v="9"/>
    <x v="2"/>
    <x v="2"/>
    <s v="SEA"/>
    <s v="Seattle, WA: Seattle/Tacoma International"/>
    <n v="660"/>
    <n v="63"/>
    <n v="8.75"/>
    <n v="0.9"/>
    <n v="15.35"/>
    <n v="0"/>
    <n v="38"/>
    <n v="3"/>
    <n v="2"/>
    <n v="2858"/>
    <n v="576"/>
    <n v="37"/>
    <n v="391"/>
    <n v="0"/>
    <n v="1854"/>
    <n v="9.5500000000000002E-2"/>
    <n v="4.4999999999999997E-3"/>
    <n v="3.0000000000000001E-3"/>
  </r>
  <r>
    <n v="2014"/>
    <n v="9"/>
    <x v="9"/>
    <x v="9"/>
    <s v="SEA"/>
    <s v="Seattle, WA: Seattle/Tacoma International"/>
    <n v="916"/>
    <n v="150"/>
    <n v="54.48"/>
    <n v="2.82"/>
    <n v="35.51"/>
    <n v="0"/>
    <n v="57.19"/>
    <n v="1"/>
    <n v="2"/>
    <n v="8574"/>
    <n v="2853"/>
    <n v="136"/>
    <n v="1215"/>
    <n v="0"/>
    <n v="4370"/>
    <n v="0.1638"/>
    <n v="1.1000000000000001E-3"/>
    <n v="2.2000000000000001E-3"/>
  </r>
  <r>
    <n v="2014"/>
    <n v="9"/>
    <x v="15"/>
    <x v="15"/>
    <s v="SEA"/>
    <s v="Seattle, WA: Seattle/Tacoma International"/>
    <n v="300"/>
    <n v="52"/>
    <n v="14.44"/>
    <n v="3.39"/>
    <n v="26.27"/>
    <n v="0"/>
    <n v="7.91"/>
    <n v="1"/>
    <n v="2"/>
    <n v="2468"/>
    <n v="675"/>
    <n v="273"/>
    <n v="1034"/>
    <n v="0"/>
    <n v="486"/>
    <n v="0.17330000000000001"/>
    <n v="3.3E-3"/>
    <n v="6.7000000000000002E-3"/>
  </r>
  <r>
    <n v="2014"/>
    <n v="9"/>
    <x v="14"/>
    <x v="14"/>
    <s v="SEA"/>
    <s v="Seattle, WA: Seattle/Tacoma International"/>
    <n v="217"/>
    <n v="17"/>
    <n v="5.31"/>
    <n v="1.18"/>
    <n v="1.88"/>
    <n v="0.76"/>
    <n v="7.86"/>
    <n v="0"/>
    <n v="0"/>
    <n v="634"/>
    <n v="194"/>
    <n v="37"/>
    <n v="45"/>
    <n v="41"/>
    <n v="317"/>
    <n v="7.8299999999999995E-2"/>
    <n v="0"/>
    <n v="0"/>
  </r>
  <r>
    <n v="2014"/>
    <n v="9"/>
    <x v="10"/>
    <x v="10"/>
    <s v="SEA"/>
    <s v="Seattle, WA: Seattle/Tacoma International"/>
    <n v="1017"/>
    <n v="216"/>
    <n v="67.739999999999995"/>
    <n v="0.59"/>
    <n v="39.770000000000003"/>
    <n v="0"/>
    <n v="107.9"/>
    <n v="4"/>
    <n v="3"/>
    <n v="10129"/>
    <n v="3007"/>
    <n v="53"/>
    <n v="1042"/>
    <n v="0"/>
    <n v="6027"/>
    <n v="0.21240000000000001"/>
    <n v="3.8999999999999998E-3"/>
    <n v="2.8999999999999998E-3"/>
  </r>
  <r>
    <n v="2014"/>
    <n v="8"/>
    <x v="4"/>
    <x v="4"/>
    <s v="SEA"/>
    <s v="Seattle, WA: Seattle/Tacoma International"/>
    <n v="542"/>
    <n v="115"/>
    <n v="40.75"/>
    <n v="6.89"/>
    <n v="19.79"/>
    <n v="0"/>
    <n v="47.56"/>
    <n v="4"/>
    <n v="1"/>
    <n v="5964"/>
    <n v="1734"/>
    <n v="606"/>
    <n v="759"/>
    <n v="0"/>
    <n v="2865"/>
    <n v="0.2122"/>
    <n v="7.4000000000000003E-3"/>
    <n v="1.8E-3"/>
  </r>
  <r>
    <n v="2014"/>
    <n v="8"/>
    <x v="5"/>
    <x v="5"/>
    <s v="SEA"/>
    <s v="Seattle, WA: Seattle/Tacoma International"/>
    <n v="4803"/>
    <n v="756"/>
    <n v="140.97"/>
    <n v="10.31"/>
    <n v="321.64999999999998"/>
    <n v="5.63"/>
    <n v="277.45"/>
    <n v="14"/>
    <n v="2"/>
    <n v="34740"/>
    <n v="9857"/>
    <n v="461"/>
    <n v="9012"/>
    <n v="162"/>
    <n v="15248"/>
    <n v="0.15740000000000001"/>
    <n v="2.8999999999999998E-3"/>
    <n v="4.0000000000000002E-4"/>
  </r>
  <r>
    <n v="2014"/>
    <n v="8"/>
    <x v="6"/>
    <x v="6"/>
    <s v="SEA"/>
    <s v="Seattle, WA: Seattle/Tacoma International"/>
    <n v="274"/>
    <n v="41"/>
    <n v="14.81"/>
    <n v="0"/>
    <n v="15.63"/>
    <n v="0"/>
    <n v="10.56"/>
    <n v="0"/>
    <n v="0"/>
    <n v="1939"/>
    <n v="809"/>
    <n v="0"/>
    <n v="490"/>
    <n v="0"/>
    <n v="640"/>
    <n v="0.14960000000000001"/>
    <n v="0"/>
    <n v="0"/>
  </r>
  <r>
    <n v="2014"/>
    <n v="8"/>
    <x v="7"/>
    <x v="7"/>
    <s v="SEA"/>
    <s v="Seattle, WA: Seattle/Tacoma International"/>
    <n v="1452"/>
    <n v="164"/>
    <n v="68.239999999999995"/>
    <n v="7.92"/>
    <n v="46.84"/>
    <n v="0"/>
    <n v="41"/>
    <n v="1"/>
    <n v="0"/>
    <n v="8666"/>
    <n v="4580"/>
    <n v="353"/>
    <n v="1337"/>
    <n v="0"/>
    <n v="2396"/>
    <n v="0.1129"/>
    <n v="6.9999999999999999E-4"/>
    <n v="0"/>
  </r>
  <r>
    <n v="2014"/>
    <n v="8"/>
    <x v="8"/>
    <x v="8"/>
    <s v="SEA"/>
    <s v="Seattle, WA: Seattle/Tacoma International"/>
    <n v="135"/>
    <n v="27"/>
    <n v="4.8899999999999997"/>
    <n v="0"/>
    <n v="11.76"/>
    <n v="0"/>
    <n v="10.36"/>
    <n v="1"/>
    <n v="0"/>
    <n v="1296"/>
    <n v="222"/>
    <n v="0"/>
    <n v="385"/>
    <n v="0"/>
    <n v="689"/>
    <n v="0.2"/>
    <n v="7.4000000000000003E-3"/>
    <n v="0"/>
  </r>
  <r>
    <n v="2014"/>
    <n v="8"/>
    <x v="0"/>
    <x v="0"/>
    <s v="SEA"/>
    <s v="Seattle, WA: Seattle/Tacoma International"/>
    <n v="62"/>
    <n v="6"/>
    <n v="5"/>
    <n v="0"/>
    <n v="0"/>
    <n v="0"/>
    <n v="1"/>
    <n v="0"/>
    <n v="0"/>
    <n v="279"/>
    <n v="263"/>
    <n v="0"/>
    <n v="0"/>
    <n v="0"/>
    <n v="16"/>
    <n v="9.6799999999999997E-2"/>
    <n v="0"/>
    <n v="0"/>
  </r>
  <r>
    <n v="2014"/>
    <n v="8"/>
    <x v="2"/>
    <x v="2"/>
    <s v="SEA"/>
    <s v="Seattle, WA: Seattle/Tacoma International"/>
    <n v="798"/>
    <n v="106"/>
    <n v="27.21"/>
    <n v="2.02"/>
    <n v="37.72"/>
    <n v="0"/>
    <n v="39.04"/>
    <n v="12"/>
    <n v="2"/>
    <n v="4927"/>
    <n v="1450"/>
    <n v="66"/>
    <n v="945"/>
    <n v="0"/>
    <n v="2466"/>
    <n v="0.1328"/>
    <n v="1.4999999999999999E-2"/>
    <n v="2.5000000000000001E-3"/>
  </r>
  <r>
    <n v="2014"/>
    <n v="8"/>
    <x v="9"/>
    <x v="9"/>
    <s v="SEA"/>
    <s v="Seattle, WA: Seattle/Tacoma International"/>
    <n v="1041"/>
    <n v="220"/>
    <n v="76.87"/>
    <n v="9.1300000000000008"/>
    <n v="36.979999999999997"/>
    <n v="0"/>
    <n v="97.02"/>
    <n v="8"/>
    <n v="0"/>
    <n v="13184"/>
    <n v="4111"/>
    <n v="920"/>
    <n v="1789"/>
    <n v="0"/>
    <n v="6364"/>
    <n v="0.21129999999999999"/>
    <n v="7.7000000000000002E-3"/>
    <n v="0"/>
  </r>
  <r>
    <n v="2014"/>
    <n v="8"/>
    <x v="15"/>
    <x v="15"/>
    <s v="SEA"/>
    <s v="Seattle, WA: Seattle/Tacoma International"/>
    <n v="396"/>
    <n v="76"/>
    <n v="35.549999999999997"/>
    <n v="1.01"/>
    <n v="24.22"/>
    <n v="1"/>
    <n v="14.22"/>
    <n v="2"/>
    <n v="0"/>
    <n v="3609"/>
    <n v="1540"/>
    <n v="89"/>
    <n v="871"/>
    <n v="125"/>
    <n v="984"/>
    <n v="0.19189999999999999"/>
    <n v="5.1000000000000004E-3"/>
    <n v="0"/>
  </r>
  <r>
    <n v="2014"/>
    <n v="8"/>
    <x v="14"/>
    <x v="14"/>
    <s v="SEA"/>
    <s v="Seattle, WA: Seattle/Tacoma International"/>
    <n v="231"/>
    <n v="24"/>
    <n v="10.17"/>
    <n v="2.67"/>
    <n v="4.1399999999999997"/>
    <n v="0"/>
    <n v="7.02"/>
    <n v="0"/>
    <n v="0"/>
    <n v="778"/>
    <n v="416"/>
    <n v="55"/>
    <n v="108"/>
    <n v="0"/>
    <n v="199"/>
    <n v="0.10390000000000001"/>
    <n v="0"/>
    <n v="0"/>
  </r>
  <r>
    <n v="2014"/>
    <n v="8"/>
    <x v="10"/>
    <x v="10"/>
    <s v="SEA"/>
    <s v="Seattle, WA: Seattle/Tacoma International"/>
    <n v="1257"/>
    <n v="350"/>
    <n v="112.82"/>
    <n v="2.52"/>
    <n v="84.69"/>
    <n v="1.31"/>
    <n v="148.65"/>
    <n v="1"/>
    <n v="0"/>
    <n v="14407"/>
    <n v="4608"/>
    <n v="130"/>
    <n v="2448"/>
    <n v="38"/>
    <n v="7183"/>
    <n v="0.27839999999999998"/>
    <n v="8.0000000000000004E-4"/>
    <n v="0"/>
  </r>
  <r>
    <n v="2014"/>
    <n v="7"/>
    <x v="4"/>
    <x v="4"/>
    <s v="SEA"/>
    <s v="Seattle, WA: Seattle/Tacoma International"/>
    <n v="579"/>
    <n v="166"/>
    <n v="59.26"/>
    <n v="4.0599999999999996"/>
    <n v="43.6"/>
    <n v="0"/>
    <n v="59.08"/>
    <n v="1"/>
    <n v="0"/>
    <n v="9060"/>
    <n v="3000"/>
    <n v="527"/>
    <n v="1800"/>
    <n v="0"/>
    <n v="3733"/>
    <n v="0.28670000000000001"/>
    <n v="1.6999999999999999E-3"/>
    <n v="0"/>
  </r>
  <r>
    <n v="2014"/>
    <n v="7"/>
    <x v="5"/>
    <x v="5"/>
    <s v="SEA"/>
    <s v="Seattle, WA: Seattle/Tacoma International"/>
    <n v="4672"/>
    <n v="698"/>
    <n v="125.27"/>
    <n v="11.62"/>
    <n v="253.79"/>
    <n v="2.04"/>
    <n v="305.29000000000002"/>
    <n v="14"/>
    <n v="7"/>
    <n v="32564"/>
    <n v="8541"/>
    <n v="738"/>
    <n v="8162"/>
    <n v="63"/>
    <n v="15060"/>
    <n v="0.14940000000000001"/>
    <n v="3.0000000000000001E-3"/>
    <n v="1.5E-3"/>
  </r>
  <r>
    <n v="2014"/>
    <n v="7"/>
    <x v="6"/>
    <x v="6"/>
    <s v="SEA"/>
    <s v="Seattle, WA: Seattle/Tacoma International"/>
    <n v="274"/>
    <n v="79"/>
    <n v="23.49"/>
    <n v="3.45"/>
    <n v="22.4"/>
    <n v="0"/>
    <n v="29.66"/>
    <n v="3"/>
    <n v="1"/>
    <n v="4832"/>
    <n v="1265"/>
    <n v="751"/>
    <n v="969"/>
    <n v="0"/>
    <n v="1847"/>
    <n v="0.2883"/>
    <n v="1.09E-2"/>
    <n v="3.5999999999999999E-3"/>
  </r>
  <r>
    <n v="2014"/>
    <n v="7"/>
    <x v="7"/>
    <x v="7"/>
    <s v="SEA"/>
    <s v="Seattle, WA: Seattle/Tacoma International"/>
    <n v="1209"/>
    <n v="155"/>
    <n v="71.88"/>
    <n v="9.5"/>
    <n v="42.43"/>
    <n v="0"/>
    <n v="31.19"/>
    <n v="1"/>
    <n v="0"/>
    <n v="9143"/>
    <n v="4473"/>
    <n v="1210"/>
    <n v="1637"/>
    <n v="0"/>
    <n v="1823"/>
    <n v="0.12820000000000001"/>
    <n v="8.0000000000000004E-4"/>
    <n v="0"/>
  </r>
  <r>
    <n v="2014"/>
    <n v="7"/>
    <x v="8"/>
    <x v="8"/>
    <s v="SEA"/>
    <s v="Seattle, WA: Seattle/Tacoma International"/>
    <n v="138"/>
    <n v="44"/>
    <n v="9.6999999999999993"/>
    <n v="0.01"/>
    <n v="21.46"/>
    <n v="0"/>
    <n v="12.83"/>
    <n v="0"/>
    <n v="0"/>
    <n v="2747"/>
    <n v="481"/>
    <n v="2"/>
    <n v="1265"/>
    <n v="0"/>
    <n v="999"/>
    <n v="0.31879999999999997"/>
    <n v="0"/>
    <n v="0"/>
  </r>
  <r>
    <n v="2014"/>
    <n v="7"/>
    <x v="0"/>
    <x v="0"/>
    <s v="SEA"/>
    <s v="Seattle, WA: Seattle/Tacoma International"/>
    <n v="62"/>
    <n v="5"/>
    <n v="3.6"/>
    <n v="0"/>
    <n v="0"/>
    <n v="0"/>
    <n v="1.4"/>
    <n v="0"/>
    <n v="1"/>
    <n v="122"/>
    <n v="99"/>
    <n v="0"/>
    <n v="0"/>
    <n v="0"/>
    <n v="23"/>
    <n v="8.0600000000000005E-2"/>
    <n v="0"/>
    <n v="1.61E-2"/>
  </r>
  <r>
    <n v="2014"/>
    <n v="7"/>
    <x v="2"/>
    <x v="2"/>
    <s v="SEA"/>
    <s v="Seattle, WA: Seattle/Tacoma International"/>
    <n v="695"/>
    <n v="83"/>
    <n v="21.2"/>
    <n v="0.96"/>
    <n v="17.66"/>
    <n v="0"/>
    <n v="43.19"/>
    <n v="3"/>
    <n v="1"/>
    <n v="4755"/>
    <n v="1229"/>
    <n v="136"/>
    <n v="692"/>
    <n v="0"/>
    <n v="2698"/>
    <n v="0.11940000000000001"/>
    <n v="4.3E-3"/>
    <n v="1.4E-3"/>
  </r>
  <r>
    <n v="2014"/>
    <n v="7"/>
    <x v="9"/>
    <x v="9"/>
    <s v="SEA"/>
    <s v="Seattle, WA: Seattle/Tacoma International"/>
    <n v="1077"/>
    <n v="281"/>
    <n v="111.86"/>
    <n v="7.59"/>
    <n v="53.91"/>
    <n v="0"/>
    <n v="107.64"/>
    <n v="9"/>
    <n v="0"/>
    <n v="16210"/>
    <n v="5671"/>
    <n v="867"/>
    <n v="2107"/>
    <n v="0"/>
    <n v="7565"/>
    <n v="0.26090000000000002"/>
    <n v="8.3999999999999995E-3"/>
    <n v="0"/>
  </r>
  <r>
    <n v="2014"/>
    <n v="7"/>
    <x v="15"/>
    <x v="15"/>
    <s v="SEA"/>
    <s v="Seattle, WA: Seattle/Tacoma International"/>
    <n v="400"/>
    <n v="92"/>
    <n v="33.96"/>
    <n v="6.23"/>
    <n v="35.71"/>
    <n v="0.95"/>
    <n v="15.16"/>
    <n v="3"/>
    <n v="0"/>
    <n v="5725"/>
    <n v="2113"/>
    <n v="672"/>
    <n v="1818"/>
    <n v="18"/>
    <n v="1104"/>
    <n v="0.23"/>
    <n v="7.4999999999999997E-3"/>
    <n v="0"/>
  </r>
  <r>
    <n v="2014"/>
    <n v="7"/>
    <x v="14"/>
    <x v="14"/>
    <s v="SEA"/>
    <s v="Seattle, WA: Seattle/Tacoma International"/>
    <n v="233"/>
    <n v="22"/>
    <n v="4.46"/>
    <n v="2"/>
    <n v="3.15"/>
    <n v="1"/>
    <n v="11.39"/>
    <n v="0"/>
    <n v="0"/>
    <n v="802"/>
    <n v="264"/>
    <n v="38"/>
    <n v="74"/>
    <n v="19"/>
    <n v="407"/>
    <n v="9.4399999999999998E-2"/>
    <n v="0"/>
    <n v="0"/>
  </r>
  <r>
    <n v="2014"/>
    <n v="7"/>
    <x v="10"/>
    <x v="10"/>
    <s v="SEA"/>
    <s v="Seattle, WA: Seattle/Tacoma International"/>
    <n v="1408"/>
    <n v="485"/>
    <n v="151.63999999999999"/>
    <n v="4.5599999999999996"/>
    <n v="95.04"/>
    <n v="0.11"/>
    <n v="233.65"/>
    <n v="0"/>
    <n v="1"/>
    <n v="23442"/>
    <n v="7565"/>
    <n v="270"/>
    <n v="3101"/>
    <n v="3"/>
    <n v="12503"/>
    <n v="0.34449999999999997"/>
    <n v="0"/>
    <n v="6.9999999999999999E-4"/>
  </r>
  <r>
    <n v="2014"/>
    <n v="6"/>
    <x v="4"/>
    <x v="4"/>
    <s v="SEA"/>
    <s v="Seattle, WA: Seattle/Tacoma International"/>
    <n v="515"/>
    <n v="166"/>
    <n v="48.9"/>
    <n v="10.66"/>
    <n v="48.02"/>
    <n v="0"/>
    <n v="58.42"/>
    <n v="4"/>
    <n v="0"/>
    <n v="8344"/>
    <n v="2034"/>
    <n v="815"/>
    <n v="1943"/>
    <n v="0"/>
    <n v="3552"/>
    <n v="0.32229999999999998"/>
    <n v="7.7999999999999996E-3"/>
    <n v="0"/>
  </r>
  <r>
    <n v="2014"/>
    <n v="6"/>
    <x v="5"/>
    <x v="5"/>
    <s v="SEA"/>
    <s v="Seattle, WA: Seattle/Tacoma International"/>
    <n v="4438"/>
    <n v="653"/>
    <n v="139.9"/>
    <n v="6.71"/>
    <n v="327.04000000000002"/>
    <n v="2.33"/>
    <n v="177.02"/>
    <n v="9"/>
    <n v="3"/>
    <n v="27699"/>
    <n v="8341"/>
    <n v="645"/>
    <n v="8467"/>
    <n v="63"/>
    <n v="10183"/>
    <n v="0.14710000000000001"/>
    <n v="2E-3"/>
    <n v="6.9999999999999999E-4"/>
  </r>
  <r>
    <n v="2014"/>
    <n v="6"/>
    <x v="6"/>
    <x v="6"/>
    <s v="SEA"/>
    <s v="Seattle, WA: Seattle/Tacoma International"/>
    <n v="266"/>
    <n v="39"/>
    <n v="14.77"/>
    <n v="0"/>
    <n v="12.93"/>
    <n v="0"/>
    <n v="11.3"/>
    <n v="2"/>
    <n v="1"/>
    <n v="1724"/>
    <n v="662"/>
    <n v="0"/>
    <n v="430"/>
    <n v="0"/>
    <n v="632"/>
    <n v="0.14660000000000001"/>
    <n v="7.4999999999999997E-3"/>
    <n v="3.8E-3"/>
  </r>
  <r>
    <n v="2014"/>
    <n v="6"/>
    <x v="7"/>
    <x v="7"/>
    <s v="SEA"/>
    <s v="Seattle, WA: Seattle/Tacoma International"/>
    <n v="1113"/>
    <n v="171"/>
    <n v="70.16"/>
    <n v="7.14"/>
    <n v="48.75"/>
    <n v="0.65"/>
    <n v="44.29"/>
    <n v="1"/>
    <n v="0"/>
    <n v="8760"/>
    <n v="4631"/>
    <n v="343"/>
    <n v="1521"/>
    <n v="49"/>
    <n v="2216"/>
    <n v="0.15359999999999999"/>
    <n v="8.9999999999999998E-4"/>
    <n v="0"/>
  </r>
  <r>
    <n v="2014"/>
    <n v="6"/>
    <x v="8"/>
    <x v="8"/>
    <s v="SEA"/>
    <s v="Seattle, WA: Seattle/Tacoma International"/>
    <n v="133"/>
    <n v="49"/>
    <n v="7.67"/>
    <n v="1.98"/>
    <n v="26.4"/>
    <n v="0"/>
    <n v="12.95"/>
    <n v="0"/>
    <n v="0"/>
    <n v="2291"/>
    <n v="269"/>
    <n v="114"/>
    <n v="882"/>
    <n v="0"/>
    <n v="1026"/>
    <n v="0.36840000000000001"/>
    <n v="0"/>
    <n v="0"/>
  </r>
  <r>
    <n v="2014"/>
    <n v="6"/>
    <x v="0"/>
    <x v="0"/>
    <s v="SEA"/>
    <s v="Seattle, WA: Seattle/Tacoma International"/>
    <n v="60"/>
    <n v="10"/>
    <n v="9"/>
    <n v="0"/>
    <n v="1"/>
    <n v="0"/>
    <n v="0"/>
    <n v="0"/>
    <n v="0"/>
    <n v="301"/>
    <n v="278"/>
    <n v="0"/>
    <n v="23"/>
    <n v="0"/>
    <n v="0"/>
    <n v="0.16669999999999999"/>
    <n v="0"/>
    <n v="0"/>
  </r>
  <r>
    <n v="2014"/>
    <n v="6"/>
    <x v="2"/>
    <x v="2"/>
    <s v="SEA"/>
    <s v="Seattle, WA: Seattle/Tacoma International"/>
    <n v="672"/>
    <n v="71"/>
    <n v="12.78"/>
    <n v="0"/>
    <n v="23.44"/>
    <n v="0"/>
    <n v="34.78"/>
    <n v="5"/>
    <n v="0"/>
    <n v="3416"/>
    <n v="1106"/>
    <n v="0"/>
    <n v="516"/>
    <n v="0"/>
    <n v="1794"/>
    <n v="0.1057"/>
    <n v="7.4000000000000003E-3"/>
    <n v="0"/>
  </r>
  <r>
    <n v="2014"/>
    <n v="6"/>
    <x v="9"/>
    <x v="9"/>
    <s v="SEA"/>
    <s v="Seattle, WA: Seattle/Tacoma International"/>
    <n v="1027"/>
    <n v="312"/>
    <n v="136.85"/>
    <n v="10.99"/>
    <n v="63.28"/>
    <n v="0"/>
    <n v="100.89"/>
    <n v="8"/>
    <n v="0"/>
    <n v="18866"/>
    <n v="6275"/>
    <n v="1443"/>
    <n v="2645"/>
    <n v="0"/>
    <n v="8503"/>
    <n v="0.30380000000000001"/>
    <n v="7.7999999999999996E-3"/>
    <n v="0"/>
  </r>
  <r>
    <n v="2014"/>
    <n v="6"/>
    <x v="15"/>
    <x v="15"/>
    <s v="SEA"/>
    <s v="Seattle, WA: Seattle/Tacoma International"/>
    <n v="412"/>
    <n v="106"/>
    <n v="43.9"/>
    <n v="3.57"/>
    <n v="36.950000000000003"/>
    <n v="0.79"/>
    <n v="20.78"/>
    <n v="2"/>
    <n v="1"/>
    <n v="5830"/>
    <n v="2672"/>
    <n v="700"/>
    <n v="1413"/>
    <n v="23"/>
    <n v="1022"/>
    <n v="0.25729999999999997"/>
    <n v="4.8999999999999998E-3"/>
    <n v="2.3999999999999998E-3"/>
  </r>
  <r>
    <n v="2014"/>
    <n v="6"/>
    <x v="14"/>
    <x v="14"/>
    <s v="SEA"/>
    <s v="Seattle, WA: Seattle/Tacoma International"/>
    <n v="226"/>
    <n v="27"/>
    <n v="9.43"/>
    <n v="0.46"/>
    <n v="2.27"/>
    <n v="0"/>
    <n v="14.84"/>
    <n v="0"/>
    <n v="0"/>
    <n v="1360"/>
    <n v="660"/>
    <n v="28"/>
    <n v="52"/>
    <n v="0"/>
    <n v="620"/>
    <n v="0.1195"/>
    <n v="0"/>
    <n v="0"/>
  </r>
  <r>
    <n v="2014"/>
    <n v="6"/>
    <x v="10"/>
    <x v="10"/>
    <s v="SEA"/>
    <s v="Seattle, WA: Seattle/Tacoma International"/>
    <n v="1279"/>
    <n v="519"/>
    <n v="156.44999999999999"/>
    <n v="2.83"/>
    <n v="126.41"/>
    <n v="0.12"/>
    <n v="233.19"/>
    <n v="4"/>
    <n v="2"/>
    <n v="25299"/>
    <n v="7362"/>
    <n v="241"/>
    <n v="4092"/>
    <n v="5"/>
    <n v="13599"/>
    <n v="0.40579999999999999"/>
    <n v="3.0999999999999999E-3"/>
    <n v="1.6000000000000001E-3"/>
  </r>
  <r>
    <n v="2014"/>
    <n v="5"/>
    <x v="4"/>
    <x v="4"/>
    <s v="SEA"/>
    <s v="Seattle, WA: Seattle/Tacoma International"/>
    <n v="470"/>
    <n v="93"/>
    <n v="28.4"/>
    <n v="8.6999999999999993"/>
    <n v="23.52"/>
    <n v="0"/>
    <n v="32.380000000000003"/>
    <n v="4"/>
    <n v="0"/>
    <n v="5452"/>
    <n v="1406"/>
    <n v="863"/>
    <n v="992"/>
    <n v="0"/>
    <n v="2191"/>
    <n v="0.19789999999999999"/>
    <n v="8.5000000000000006E-3"/>
    <n v="0"/>
  </r>
  <r>
    <n v="2014"/>
    <n v="5"/>
    <x v="5"/>
    <x v="5"/>
    <s v="SEA"/>
    <s v="Seattle, WA: Seattle/Tacoma International"/>
    <n v="4147"/>
    <n v="392"/>
    <n v="96.9"/>
    <n v="2.52"/>
    <n v="168.64"/>
    <n v="2.04"/>
    <n v="121.9"/>
    <n v="5"/>
    <n v="4"/>
    <n v="19444"/>
    <n v="6018"/>
    <n v="314"/>
    <n v="4521"/>
    <n v="54"/>
    <n v="8537"/>
    <n v="9.4500000000000001E-2"/>
    <n v="1.1999999999999999E-3"/>
    <n v="1E-3"/>
  </r>
  <r>
    <n v="2014"/>
    <n v="5"/>
    <x v="6"/>
    <x v="6"/>
    <s v="SEA"/>
    <s v="Seattle, WA: Seattle/Tacoma International"/>
    <n v="219"/>
    <n v="31"/>
    <n v="11.01"/>
    <n v="0.91"/>
    <n v="8.9499999999999993"/>
    <n v="0"/>
    <n v="10.130000000000001"/>
    <n v="5"/>
    <n v="0"/>
    <n v="1581"/>
    <n v="655"/>
    <n v="157"/>
    <n v="216"/>
    <n v="0"/>
    <n v="553"/>
    <n v="0.1416"/>
    <n v="2.2800000000000001E-2"/>
    <n v="0"/>
  </r>
  <r>
    <n v="2014"/>
    <n v="5"/>
    <x v="7"/>
    <x v="7"/>
    <s v="SEA"/>
    <s v="Seattle, WA: Seattle/Tacoma International"/>
    <n v="848"/>
    <n v="134"/>
    <n v="56.11"/>
    <n v="3.27"/>
    <n v="47.47"/>
    <n v="1"/>
    <n v="26.16"/>
    <n v="1"/>
    <n v="0"/>
    <n v="6359"/>
    <n v="2925"/>
    <n v="156"/>
    <n v="1526"/>
    <n v="190"/>
    <n v="1562"/>
    <n v="0.158"/>
    <n v="1.1999999999999999E-3"/>
    <n v="0"/>
  </r>
  <r>
    <n v="2014"/>
    <n v="5"/>
    <x v="8"/>
    <x v="8"/>
    <s v="SEA"/>
    <s v="Seattle, WA: Seattle/Tacoma International"/>
    <n v="140"/>
    <n v="35"/>
    <n v="9.25"/>
    <n v="0.08"/>
    <n v="10.9"/>
    <n v="0"/>
    <n v="14.77"/>
    <n v="1"/>
    <n v="0"/>
    <n v="2207"/>
    <n v="406"/>
    <n v="7"/>
    <n v="664"/>
    <n v="0"/>
    <n v="1130"/>
    <n v="0.25"/>
    <n v="7.1000000000000004E-3"/>
    <n v="0"/>
  </r>
  <r>
    <n v="2014"/>
    <n v="5"/>
    <x v="0"/>
    <x v="0"/>
    <s v="SEA"/>
    <s v="Seattle, WA: Seattle/Tacoma International"/>
    <n v="62"/>
    <n v="5"/>
    <n v="4"/>
    <n v="0"/>
    <n v="0"/>
    <n v="0"/>
    <n v="1"/>
    <n v="0"/>
    <n v="0"/>
    <n v="143"/>
    <n v="125"/>
    <n v="0"/>
    <n v="0"/>
    <n v="0"/>
    <n v="18"/>
    <n v="8.0600000000000005E-2"/>
    <n v="0"/>
    <n v="0"/>
  </r>
  <r>
    <n v="2014"/>
    <n v="5"/>
    <x v="2"/>
    <x v="2"/>
    <s v="SEA"/>
    <s v="Seattle, WA: Seattle/Tacoma International"/>
    <n v="736"/>
    <n v="79"/>
    <n v="28.46"/>
    <n v="0"/>
    <n v="18.239999999999998"/>
    <n v="0"/>
    <n v="32.299999999999997"/>
    <n v="4"/>
    <n v="0"/>
    <n v="4138"/>
    <n v="2056"/>
    <n v="0"/>
    <n v="457"/>
    <n v="0"/>
    <n v="1625"/>
    <n v="0.10730000000000001"/>
    <n v="5.4000000000000003E-3"/>
    <n v="0"/>
  </r>
  <r>
    <n v="2014"/>
    <n v="5"/>
    <x v="9"/>
    <x v="9"/>
    <s v="SEA"/>
    <s v="Seattle, WA: Seattle/Tacoma International"/>
    <n v="1001"/>
    <n v="172"/>
    <n v="61.97"/>
    <n v="7.18"/>
    <n v="42.27"/>
    <n v="0"/>
    <n v="60.58"/>
    <n v="8"/>
    <n v="0"/>
    <n v="10508"/>
    <n v="3418"/>
    <n v="348"/>
    <n v="2299"/>
    <n v="0"/>
    <n v="4443"/>
    <n v="0.17180000000000001"/>
    <n v="8.0000000000000002E-3"/>
    <n v="0"/>
  </r>
  <r>
    <n v="2014"/>
    <n v="5"/>
    <x v="15"/>
    <x v="15"/>
    <s v="SEA"/>
    <s v="Seattle, WA: Seattle/Tacoma International"/>
    <n v="356"/>
    <n v="64"/>
    <n v="27.52"/>
    <n v="1.37"/>
    <n v="23.38"/>
    <n v="0.63"/>
    <n v="11.09"/>
    <n v="0"/>
    <n v="1"/>
    <n v="2683"/>
    <n v="1321"/>
    <n v="80"/>
    <n v="724"/>
    <n v="30"/>
    <n v="528"/>
    <n v="0.17979999999999999"/>
    <n v="0"/>
    <n v="2.8E-3"/>
  </r>
  <r>
    <n v="2014"/>
    <n v="5"/>
    <x v="14"/>
    <x v="14"/>
    <s v="SEA"/>
    <s v="Seattle, WA: Seattle/Tacoma International"/>
    <n v="232"/>
    <n v="29"/>
    <n v="4.6399999999999997"/>
    <n v="2.04"/>
    <n v="3.71"/>
    <n v="0"/>
    <n v="18.62"/>
    <n v="0"/>
    <n v="0"/>
    <n v="1414"/>
    <n v="281"/>
    <n v="52"/>
    <n v="147"/>
    <n v="0"/>
    <n v="934"/>
    <n v="0.125"/>
    <n v="0"/>
    <n v="0"/>
  </r>
  <r>
    <n v="2014"/>
    <n v="5"/>
    <x v="10"/>
    <x v="10"/>
    <s v="SEA"/>
    <s v="Seattle, WA: Seattle/Tacoma International"/>
    <n v="997"/>
    <n v="320"/>
    <n v="103.95"/>
    <n v="0.99"/>
    <n v="34.57"/>
    <n v="0"/>
    <n v="180.49"/>
    <n v="1"/>
    <n v="0"/>
    <n v="16019"/>
    <n v="4529"/>
    <n v="152"/>
    <n v="1203"/>
    <n v="0"/>
    <n v="10135"/>
    <n v="0.32100000000000001"/>
    <n v="1E-3"/>
    <n v="0"/>
  </r>
  <r>
    <n v="2014"/>
    <n v="4"/>
    <x v="5"/>
    <x v="5"/>
    <s v="SEA"/>
    <s v="Seattle, WA: Seattle/Tacoma International"/>
    <n v="3908"/>
    <n v="313"/>
    <n v="74.62"/>
    <n v="2"/>
    <n v="116.38"/>
    <n v="2.06"/>
    <n v="117.95"/>
    <n v="12"/>
    <n v="4"/>
    <n v="17319"/>
    <n v="5757"/>
    <n v="114"/>
    <n v="3987"/>
    <n v="128"/>
    <n v="7333"/>
    <n v="8.0100000000000005E-2"/>
    <n v="3.0999999999999999E-3"/>
    <n v="1E-3"/>
  </r>
  <r>
    <n v="2014"/>
    <n v="4"/>
    <x v="6"/>
    <x v="6"/>
    <s v="SEA"/>
    <s v="Seattle, WA: Seattle/Tacoma International"/>
    <n v="146"/>
    <n v="38"/>
    <n v="14.16"/>
    <n v="1"/>
    <n v="17.3"/>
    <n v="0.28999999999999998"/>
    <n v="5.25"/>
    <n v="0"/>
    <n v="0"/>
    <n v="1867"/>
    <n v="904"/>
    <n v="54"/>
    <n v="513"/>
    <n v="9"/>
    <n v="387"/>
    <n v="0.26029999999999998"/>
    <n v="0"/>
    <n v="0"/>
  </r>
  <r>
    <n v="2014"/>
    <n v="4"/>
    <x v="7"/>
    <x v="7"/>
    <s v="SEA"/>
    <s v="Seattle, WA: Seattle/Tacoma International"/>
    <n v="752"/>
    <n v="77"/>
    <n v="28.48"/>
    <n v="4.4000000000000004"/>
    <n v="30.61"/>
    <n v="0"/>
    <n v="13.51"/>
    <n v="0"/>
    <n v="0"/>
    <n v="3390"/>
    <n v="1669"/>
    <n v="120"/>
    <n v="881"/>
    <n v="0"/>
    <n v="720"/>
    <n v="0.1024"/>
    <n v="0"/>
    <n v="0"/>
  </r>
  <r>
    <n v="2014"/>
    <n v="4"/>
    <x v="8"/>
    <x v="8"/>
    <s v="SEA"/>
    <s v="Seattle, WA: Seattle/Tacoma International"/>
    <n v="104"/>
    <n v="30"/>
    <n v="9.35"/>
    <n v="0.31"/>
    <n v="11.69"/>
    <n v="0"/>
    <n v="8.64"/>
    <n v="0"/>
    <n v="0"/>
    <n v="1760"/>
    <n v="362"/>
    <n v="5"/>
    <n v="562"/>
    <n v="0"/>
    <n v="831"/>
    <n v="0.28849999999999998"/>
    <n v="0"/>
    <n v="0"/>
  </r>
  <r>
    <n v="2014"/>
    <n v="4"/>
    <x v="0"/>
    <x v="0"/>
    <s v="SEA"/>
    <s v="Seattle, WA: Seattle/Tacoma International"/>
    <n v="60"/>
    <n v="4"/>
    <n v="2.62"/>
    <n v="0"/>
    <n v="0"/>
    <n v="0"/>
    <n v="1.38"/>
    <n v="0"/>
    <n v="0"/>
    <n v="270"/>
    <n v="140"/>
    <n v="0"/>
    <n v="0"/>
    <n v="0"/>
    <n v="130"/>
    <n v="6.6699999999999995E-2"/>
    <n v="0"/>
    <n v="0"/>
  </r>
  <r>
    <n v="2014"/>
    <n v="4"/>
    <x v="2"/>
    <x v="2"/>
    <s v="SEA"/>
    <s v="Seattle, WA: Seattle/Tacoma International"/>
    <n v="735"/>
    <n v="95"/>
    <n v="28.69"/>
    <n v="0.93"/>
    <n v="22.96"/>
    <n v="0"/>
    <n v="42.42"/>
    <n v="2"/>
    <n v="1"/>
    <n v="5052"/>
    <n v="2081"/>
    <n v="156"/>
    <n v="521"/>
    <n v="0"/>
    <n v="2294"/>
    <n v="0.1293"/>
    <n v="2.7000000000000001E-3"/>
    <n v="1.4E-3"/>
  </r>
  <r>
    <n v="2014"/>
    <n v="4"/>
    <x v="9"/>
    <x v="9"/>
    <s v="SEA"/>
    <s v="Seattle, WA: Seattle/Tacoma International"/>
    <n v="875"/>
    <n v="133"/>
    <n v="52.9"/>
    <n v="0.63"/>
    <n v="38.979999999999997"/>
    <n v="0"/>
    <n v="40.479999999999997"/>
    <n v="3"/>
    <n v="1"/>
    <n v="5582"/>
    <n v="2091"/>
    <n v="52"/>
    <n v="1110"/>
    <n v="0"/>
    <n v="2329"/>
    <n v="0.152"/>
    <n v="3.3999999999999998E-3"/>
    <n v="1.1000000000000001E-3"/>
  </r>
  <r>
    <n v="2014"/>
    <n v="4"/>
    <x v="15"/>
    <x v="15"/>
    <s v="SEA"/>
    <s v="Seattle, WA: Seattle/Tacoma International"/>
    <n v="265"/>
    <n v="55"/>
    <n v="23.94"/>
    <n v="0"/>
    <n v="21.56"/>
    <n v="0.17"/>
    <n v="9.34"/>
    <n v="1"/>
    <n v="0"/>
    <n v="2006"/>
    <n v="887"/>
    <n v="0"/>
    <n v="559"/>
    <n v="8"/>
    <n v="552"/>
    <n v="0.20749999999999999"/>
    <n v="3.8E-3"/>
    <n v="0"/>
  </r>
  <r>
    <n v="2014"/>
    <n v="4"/>
    <x v="14"/>
    <x v="14"/>
    <s v="SEA"/>
    <s v="Seattle, WA: Seattle/Tacoma International"/>
    <n v="216"/>
    <n v="16"/>
    <n v="2.99"/>
    <n v="0.84"/>
    <n v="1.72"/>
    <n v="0"/>
    <n v="10.46"/>
    <n v="1"/>
    <n v="0"/>
    <n v="580"/>
    <n v="117"/>
    <n v="16"/>
    <n v="94"/>
    <n v="0"/>
    <n v="353"/>
    <n v="7.4099999999999999E-2"/>
    <n v="4.5999999999999999E-3"/>
    <n v="0"/>
  </r>
  <r>
    <n v="2014"/>
    <n v="4"/>
    <x v="10"/>
    <x v="10"/>
    <s v="SEA"/>
    <s v="Seattle, WA: Seattle/Tacoma International"/>
    <n v="965"/>
    <n v="310"/>
    <n v="99.27"/>
    <n v="0.32"/>
    <n v="51.34"/>
    <n v="0"/>
    <n v="159.08000000000001"/>
    <n v="0"/>
    <n v="1"/>
    <n v="12952"/>
    <n v="4216"/>
    <n v="12"/>
    <n v="1492"/>
    <n v="0"/>
    <n v="7232"/>
    <n v="0.32119999999999999"/>
    <n v="0"/>
    <n v="1E-3"/>
  </r>
  <r>
    <n v="2014"/>
    <n v="4"/>
    <x v="4"/>
    <x v="4"/>
    <s v="SEA"/>
    <s v="Seattle, WA: Seattle/Tacoma International"/>
    <n v="412"/>
    <n v="66"/>
    <n v="11"/>
    <n v="4.1900000000000004"/>
    <n v="19.63"/>
    <n v="0"/>
    <n v="31.18"/>
    <n v="1"/>
    <n v="0"/>
    <n v="2931"/>
    <n v="526"/>
    <n v="178"/>
    <n v="594"/>
    <n v="0"/>
    <n v="1633"/>
    <n v="0.16020000000000001"/>
    <n v="2.3999999999999998E-3"/>
    <n v="0"/>
  </r>
  <r>
    <n v="2014"/>
    <n v="3"/>
    <x v="4"/>
    <x v="4"/>
    <s v="SEA"/>
    <s v="Seattle, WA: Seattle/Tacoma International"/>
    <n v="393"/>
    <n v="91"/>
    <n v="32.57"/>
    <n v="3.73"/>
    <n v="29.93"/>
    <n v="0.13"/>
    <n v="24.63"/>
    <n v="3"/>
    <n v="0"/>
    <n v="5234"/>
    <n v="2253"/>
    <n v="212"/>
    <n v="875"/>
    <n v="6"/>
    <n v="1888"/>
    <n v="0.2316"/>
    <n v="7.6E-3"/>
    <n v="0"/>
  </r>
  <r>
    <n v="2014"/>
    <n v="3"/>
    <x v="5"/>
    <x v="5"/>
    <s v="SEA"/>
    <s v="Seattle, WA: Seattle/Tacoma International"/>
    <n v="3897"/>
    <n v="385"/>
    <n v="95.21"/>
    <n v="10.7"/>
    <n v="127.44"/>
    <n v="1.43"/>
    <n v="150.22999999999999"/>
    <n v="22"/>
    <n v="2"/>
    <n v="18993"/>
    <n v="5360"/>
    <n v="1321"/>
    <n v="3699"/>
    <n v="38"/>
    <n v="8575"/>
    <n v="9.8799999999999999E-2"/>
    <n v="5.5999999999999999E-3"/>
    <n v="5.0000000000000001E-4"/>
  </r>
  <r>
    <n v="2014"/>
    <n v="3"/>
    <x v="6"/>
    <x v="6"/>
    <s v="SEA"/>
    <s v="Seattle, WA: Seattle/Tacoma International"/>
    <n v="150"/>
    <n v="36"/>
    <n v="17.190000000000001"/>
    <n v="0.93"/>
    <n v="14.09"/>
    <n v="0"/>
    <n v="3.8"/>
    <n v="1"/>
    <n v="0"/>
    <n v="1524"/>
    <n v="828"/>
    <n v="38"/>
    <n v="427"/>
    <n v="0"/>
    <n v="231"/>
    <n v="0.24"/>
    <n v="6.7000000000000002E-3"/>
    <n v="0"/>
  </r>
  <r>
    <n v="2014"/>
    <n v="3"/>
    <x v="7"/>
    <x v="7"/>
    <s v="SEA"/>
    <s v="Seattle, WA: Seattle/Tacoma International"/>
    <n v="722"/>
    <n v="122"/>
    <n v="54.57"/>
    <n v="2"/>
    <n v="43.4"/>
    <n v="0"/>
    <n v="22.04"/>
    <n v="0"/>
    <n v="0"/>
    <n v="4635"/>
    <n v="2756"/>
    <n v="51"/>
    <n v="1149"/>
    <n v="0"/>
    <n v="679"/>
    <n v="0.16900000000000001"/>
    <n v="0"/>
    <n v="0"/>
  </r>
  <r>
    <n v="2014"/>
    <n v="3"/>
    <x v="8"/>
    <x v="8"/>
    <s v="SEA"/>
    <s v="Seattle, WA: Seattle/Tacoma International"/>
    <n v="103"/>
    <n v="37"/>
    <n v="8.69"/>
    <n v="0"/>
    <n v="17.79"/>
    <n v="0"/>
    <n v="10.52"/>
    <n v="0"/>
    <n v="0"/>
    <n v="1316"/>
    <n v="339"/>
    <n v="0"/>
    <n v="586"/>
    <n v="0"/>
    <n v="391"/>
    <n v="0.35920000000000002"/>
    <n v="0"/>
    <n v="0"/>
  </r>
  <r>
    <n v="2014"/>
    <n v="3"/>
    <x v="2"/>
    <x v="2"/>
    <s v="SEA"/>
    <s v="Seattle, WA: Seattle/Tacoma International"/>
    <n v="798"/>
    <n v="117"/>
    <n v="38.65"/>
    <n v="1.27"/>
    <n v="25.41"/>
    <n v="0"/>
    <n v="51.66"/>
    <n v="10"/>
    <n v="1"/>
    <n v="6222"/>
    <n v="2471"/>
    <n v="30"/>
    <n v="789"/>
    <n v="0"/>
    <n v="2932"/>
    <n v="0.14660000000000001"/>
    <n v="1.2500000000000001E-2"/>
    <n v="1.2999999999999999E-3"/>
  </r>
  <r>
    <n v="2014"/>
    <n v="3"/>
    <x v="0"/>
    <x v="0"/>
    <s v="SEA"/>
    <s v="Seattle, WA: Seattle/Tacoma International"/>
    <n v="62"/>
    <n v="2"/>
    <n v="2"/>
    <n v="0"/>
    <n v="0"/>
    <n v="0"/>
    <n v="0"/>
    <n v="0"/>
    <n v="0"/>
    <n v="44"/>
    <n v="44"/>
    <n v="0"/>
    <n v="0"/>
    <n v="0"/>
    <n v="0"/>
    <n v="3.2300000000000002E-2"/>
    <n v="0"/>
    <n v="0"/>
  </r>
  <r>
    <n v="2014"/>
    <n v="3"/>
    <x v="9"/>
    <x v="9"/>
    <s v="SEA"/>
    <s v="Seattle, WA: Seattle/Tacoma International"/>
    <n v="779"/>
    <n v="147"/>
    <n v="74.17"/>
    <n v="1.74"/>
    <n v="26.73"/>
    <n v="0"/>
    <n v="44.35"/>
    <n v="4"/>
    <n v="2"/>
    <n v="7907"/>
    <n v="3523"/>
    <n v="81"/>
    <n v="974"/>
    <n v="0"/>
    <n v="3329"/>
    <n v="0.18870000000000001"/>
    <n v="5.1000000000000004E-3"/>
    <n v="2.5999999999999999E-3"/>
  </r>
  <r>
    <n v="2014"/>
    <n v="3"/>
    <x v="15"/>
    <x v="15"/>
    <s v="SEA"/>
    <s v="Seattle, WA: Seattle/Tacoma International"/>
    <n v="265"/>
    <n v="52"/>
    <n v="29.54"/>
    <n v="0"/>
    <n v="12.5"/>
    <n v="1"/>
    <n v="8.9600000000000009"/>
    <n v="1"/>
    <n v="0"/>
    <n v="2390"/>
    <n v="1234"/>
    <n v="0"/>
    <n v="673"/>
    <n v="40"/>
    <n v="443"/>
    <n v="0.19620000000000001"/>
    <n v="3.8E-3"/>
    <n v="0"/>
  </r>
  <r>
    <n v="2014"/>
    <n v="3"/>
    <x v="14"/>
    <x v="14"/>
    <s v="SEA"/>
    <s v="Seattle, WA: Seattle/Tacoma International"/>
    <n v="192"/>
    <n v="15"/>
    <n v="4.4800000000000004"/>
    <n v="0.44"/>
    <n v="0"/>
    <n v="0"/>
    <n v="10.08"/>
    <n v="0"/>
    <n v="0"/>
    <n v="884"/>
    <n v="276"/>
    <n v="13"/>
    <n v="0"/>
    <n v="0"/>
    <n v="595"/>
    <n v="7.8100000000000003E-2"/>
    <n v="0"/>
    <n v="0"/>
  </r>
  <r>
    <n v="2014"/>
    <n v="3"/>
    <x v="10"/>
    <x v="10"/>
    <s v="SEA"/>
    <s v="Seattle, WA: Seattle/Tacoma International"/>
    <n v="910"/>
    <n v="301"/>
    <n v="99.2"/>
    <n v="0.46"/>
    <n v="33.299999999999997"/>
    <n v="0"/>
    <n v="168.04"/>
    <n v="0"/>
    <n v="0"/>
    <n v="12390"/>
    <n v="4081"/>
    <n v="43"/>
    <n v="1031"/>
    <n v="0"/>
    <n v="7235"/>
    <n v="0.33079999999999998"/>
    <n v="0"/>
    <n v="0"/>
  </r>
  <r>
    <n v="2014"/>
    <n v="2"/>
    <x v="4"/>
    <x v="4"/>
    <s v="SEA"/>
    <s v="Seattle, WA: Seattle/Tacoma International"/>
    <n v="356"/>
    <n v="126"/>
    <n v="25.06"/>
    <n v="7.46"/>
    <n v="75.430000000000007"/>
    <n v="0"/>
    <n v="18.05"/>
    <n v="7"/>
    <n v="2"/>
    <n v="5222"/>
    <n v="1328"/>
    <n v="318"/>
    <n v="2553"/>
    <n v="0"/>
    <n v="1023"/>
    <n v="0.35389999999999999"/>
    <n v="1.9699999999999999E-2"/>
    <n v="5.5999999999999999E-3"/>
  </r>
  <r>
    <n v="2014"/>
    <n v="2"/>
    <x v="5"/>
    <x v="5"/>
    <s v="SEA"/>
    <s v="Seattle, WA: Seattle/Tacoma International"/>
    <n v="3375"/>
    <n v="437"/>
    <n v="90.49"/>
    <n v="8.52"/>
    <n v="195.79"/>
    <n v="2.12"/>
    <n v="140.08000000000001"/>
    <n v="32"/>
    <n v="3"/>
    <n v="22612"/>
    <n v="5615"/>
    <n v="732"/>
    <n v="6063"/>
    <n v="78"/>
    <n v="10124"/>
    <n v="0.1295"/>
    <n v="9.4999999999999998E-3"/>
    <n v="8.9999999999999998E-4"/>
  </r>
  <r>
    <n v="2014"/>
    <n v="2"/>
    <x v="6"/>
    <x v="6"/>
    <s v="SEA"/>
    <s v="Seattle, WA: Seattle/Tacoma International"/>
    <n v="131"/>
    <n v="38"/>
    <n v="19.989999999999998"/>
    <n v="1.1200000000000001"/>
    <n v="13.15"/>
    <n v="0"/>
    <n v="3.73"/>
    <n v="4"/>
    <n v="0"/>
    <n v="2031"/>
    <n v="1090"/>
    <n v="189"/>
    <n v="518"/>
    <n v="0"/>
    <n v="234"/>
    <n v="0.29010000000000002"/>
    <n v="3.0499999999999999E-2"/>
    <n v="0"/>
  </r>
  <r>
    <n v="2014"/>
    <n v="2"/>
    <x v="7"/>
    <x v="7"/>
    <s v="SEA"/>
    <s v="Seattle, WA: Seattle/Tacoma International"/>
    <n v="614"/>
    <n v="142"/>
    <n v="43.61"/>
    <n v="7.79"/>
    <n v="64.239999999999995"/>
    <n v="0"/>
    <n v="26.36"/>
    <n v="8"/>
    <n v="0"/>
    <n v="7098"/>
    <n v="2686"/>
    <n v="614"/>
    <n v="2269"/>
    <n v="0"/>
    <n v="1529"/>
    <n v="0.23130000000000001"/>
    <n v="1.2999999999999999E-2"/>
    <n v="0"/>
  </r>
  <r>
    <n v="2014"/>
    <n v="2"/>
    <x v="8"/>
    <x v="8"/>
    <s v="SEA"/>
    <s v="Seattle, WA: Seattle/Tacoma International"/>
    <n v="90"/>
    <n v="55"/>
    <n v="8.3000000000000007"/>
    <n v="0"/>
    <n v="34.78"/>
    <n v="0"/>
    <n v="11.92"/>
    <n v="0"/>
    <n v="0"/>
    <n v="2739"/>
    <n v="581"/>
    <n v="0"/>
    <n v="1256"/>
    <n v="0"/>
    <n v="902"/>
    <n v="0.61109999999999998"/>
    <n v="0"/>
    <n v="0"/>
  </r>
  <r>
    <n v="2014"/>
    <n v="2"/>
    <x v="0"/>
    <x v="0"/>
    <s v="SEA"/>
    <s v="Seattle, WA: Seattle/Tacoma International"/>
    <n v="56"/>
    <n v="1"/>
    <n v="0"/>
    <n v="0"/>
    <n v="0"/>
    <n v="0"/>
    <n v="1"/>
    <n v="0"/>
    <n v="0"/>
    <n v="34"/>
    <n v="0"/>
    <n v="0"/>
    <n v="0"/>
    <n v="0"/>
    <n v="34"/>
    <n v="1.7899999999999999E-2"/>
    <n v="0"/>
    <n v="0"/>
  </r>
  <r>
    <n v="2014"/>
    <n v="2"/>
    <x v="2"/>
    <x v="2"/>
    <s v="SEA"/>
    <s v="Seattle, WA: Seattle/Tacoma International"/>
    <n v="701"/>
    <n v="182"/>
    <n v="44.86"/>
    <n v="2.5099999999999998"/>
    <n v="67.94"/>
    <n v="0"/>
    <n v="66.69"/>
    <n v="16"/>
    <n v="0"/>
    <n v="9398"/>
    <n v="2573"/>
    <n v="346"/>
    <n v="2269"/>
    <n v="0"/>
    <n v="4210"/>
    <n v="0.2596"/>
    <n v="2.2800000000000001E-2"/>
    <n v="0"/>
  </r>
  <r>
    <n v="2014"/>
    <n v="2"/>
    <x v="9"/>
    <x v="9"/>
    <s v="SEA"/>
    <s v="Seattle, WA: Seattle/Tacoma International"/>
    <n v="627"/>
    <n v="200"/>
    <n v="74.2"/>
    <n v="6.24"/>
    <n v="70.28"/>
    <n v="0"/>
    <n v="49.28"/>
    <n v="11"/>
    <n v="0"/>
    <n v="10365"/>
    <n v="3518"/>
    <n v="864"/>
    <n v="2606"/>
    <n v="0"/>
    <n v="3377"/>
    <n v="0.31900000000000001"/>
    <n v="1.7500000000000002E-2"/>
    <n v="0"/>
  </r>
  <r>
    <n v="2014"/>
    <n v="2"/>
    <x v="15"/>
    <x v="15"/>
    <s v="SEA"/>
    <s v="Seattle, WA: Seattle/Tacoma International"/>
    <n v="215"/>
    <n v="57"/>
    <n v="24.37"/>
    <n v="1.24"/>
    <n v="22.34"/>
    <n v="0.11"/>
    <n v="8.9499999999999993"/>
    <n v="5"/>
    <n v="0"/>
    <n v="2925"/>
    <n v="1395"/>
    <n v="238"/>
    <n v="765"/>
    <n v="4"/>
    <n v="523"/>
    <n v="0.2651"/>
    <n v="2.3300000000000001E-2"/>
    <n v="0"/>
  </r>
  <r>
    <n v="2014"/>
    <n v="2"/>
    <x v="14"/>
    <x v="14"/>
    <s v="SEA"/>
    <s v="Seattle, WA: Seattle/Tacoma International"/>
    <n v="176"/>
    <n v="40"/>
    <n v="5.97"/>
    <n v="2.79"/>
    <n v="2.15"/>
    <n v="0.16"/>
    <n v="28.93"/>
    <n v="1"/>
    <n v="0"/>
    <n v="3677"/>
    <n v="307"/>
    <n v="73"/>
    <n v="71"/>
    <n v="3"/>
    <n v="3223"/>
    <n v="0.2273"/>
    <n v="5.7000000000000002E-3"/>
    <n v="0"/>
  </r>
  <r>
    <n v="2014"/>
    <n v="2"/>
    <x v="10"/>
    <x v="10"/>
    <s v="SEA"/>
    <s v="Seattle, WA: Seattle/Tacoma International"/>
    <n v="686"/>
    <n v="269"/>
    <n v="79.75"/>
    <n v="0.22"/>
    <n v="44.19"/>
    <n v="0.35"/>
    <n v="144.47999999999999"/>
    <n v="4"/>
    <n v="0"/>
    <n v="11129"/>
    <n v="3283"/>
    <n v="16"/>
    <n v="1411"/>
    <n v="12"/>
    <n v="6407"/>
    <n v="0.3921"/>
    <n v="5.7999999999999996E-3"/>
    <n v="0"/>
  </r>
  <r>
    <n v="2014"/>
    <n v="1"/>
    <x v="4"/>
    <x v="4"/>
    <s v="SEA"/>
    <s v="Seattle, WA: Seattle/Tacoma International"/>
    <n v="395"/>
    <n v="126"/>
    <n v="30.7"/>
    <n v="19.66"/>
    <n v="43.27"/>
    <n v="0"/>
    <n v="32.369999999999997"/>
    <n v="11"/>
    <n v="1"/>
    <n v="6256"/>
    <n v="1537"/>
    <n v="1344"/>
    <n v="1294"/>
    <n v="0"/>
    <n v="2081"/>
    <n v="0.31900000000000001"/>
    <n v="2.7799999999999998E-2"/>
    <n v="2.5000000000000001E-3"/>
  </r>
  <r>
    <n v="2014"/>
    <n v="1"/>
    <x v="5"/>
    <x v="5"/>
    <s v="SEA"/>
    <s v="Seattle, WA: Seattle/Tacoma International"/>
    <n v="3673"/>
    <n v="349"/>
    <n v="87.52"/>
    <n v="11.62"/>
    <n v="130.93"/>
    <n v="0"/>
    <n v="118.93"/>
    <n v="33"/>
    <n v="1"/>
    <n v="18893"/>
    <n v="5831"/>
    <n v="853"/>
    <n v="3798"/>
    <n v="0"/>
    <n v="8411"/>
    <n v="9.5000000000000001E-2"/>
    <n v="8.9999999999999993E-3"/>
    <n v="2.9999999999999997E-4"/>
  </r>
  <r>
    <n v="2014"/>
    <n v="1"/>
    <x v="6"/>
    <x v="6"/>
    <s v="SEA"/>
    <s v="Seattle, WA: Seattle/Tacoma International"/>
    <n v="141"/>
    <n v="35"/>
    <n v="12.5"/>
    <n v="5.2"/>
    <n v="9.59"/>
    <n v="0.52"/>
    <n v="7.19"/>
    <n v="9"/>
    <n v="1"/>
    <n v="3111"/>
    <n v="1279"/>
    <n v="601"/>
    <n v="449"/>
    <n v="13"/>
    <n v="769"/>
    <n v="0.2482"/>
    <n v="6.3799999999999996E-2"/>
    <n v="7.1000000000000004E-3"/>
  </r>
  <r>
    <n v="2014"/>
    <n v="1"/>
    <x v="7"/>
    <x v="7"/>
    <s v="SEA"/>
    <s v="Seattle, WA: Seattle/Tacoma International"/>
    <n v="697"/>
    <n v="177"/>
    <n v="71.39"/>
    <n v="29.75"/>
    <n v="42.87"/>
    <n v="0"/>
    <n v="32.979999999999997"/>
    <n v="8"/>
    <n v="0"/>
    <n v="11978"/>
    <n v="4771"/>
    <n v="3331"/>
    <n v="1714"/>
    <n v="0"/>
    <n v="2162"/>
    <n v="0.25390000000000001"/>
    <n v="1.15E-2"/>
    <n v="0"/>
  </r>
  <r>
    <n v="2014"/>
    <n v="1"/>
    <x v="8"/>
    <x v="8"/>
    <s v="SEA"/>
    <s v="Seattle, WA: Seattle/Tacoma International"/>
    <n v="104"/>
    <n v="51"/>
    <n v="11.25"/>
    <n v="0.17"/>
    <n v="26.32"/>
    <n v="0"/>
    <n v="13.25"/>
    <n v="2"/>
    <n v="0"/>
    <n v="3071"/>
    <n v="565"/>
    <n v="5"/>
    <n v="1336"/>
    <n v="0"/>
    <n v="1165"/>
    <n v="0.4904"/>
    <n v="1.9199999999999998E-2"/>
    <n v="0"/>
  </r>
  <r>
    <n v="2014"/>
    <n v="1"/>
    <x v="0"/>
    <x v="0"/>
    <s v="SEA"/>
    <s v="Seattle, WA: Seattle/Tacoma International"/>
    <n v="62"/>
    <n v="6"/>
    <n v="4"/>
    <n v="0"/>
    <n v="0"/>
    <n v="0"/>
    <n v="2"/>
    <n v="0"/>
    <n v="0"/>
    <n v="619"/>
    <n v="567"/>
    <n v="0"/>
    <n v="0"/>
    <n v="0"/>
    <n v="52"/>
    <n v="9.6799999999999997E-2"/>
    <n v="0"/>
    <n v="0"/>
  </r>
  <r>
    <n v="2014"/>
    <n v="1"/>
    <x v="2"/>
    <x v="2"/>
    <s v="SEA"/>
    <s v="Seattle, WA: Seattle/Tacoma International"/>
    <n v="749"/>
    <n v="162"/>
    <n v="36.47"/>
    <n v="9.08"/>
    <n v="55.29"/>
    <n v="0"/>
    <n v="61.16"/>
    <n v="30"/>
    <n v="10"/>
    <n v="7890"/>
    <n v="1911"/>
    <n v="813"/>
    <n v="1820"/>
    <n v="0"/>
    <n v="3346"/>
    <n v="0.21629999999999999"/>
    <n v="4.0099999999999997E-2"/>
    <n v="1.34E-2"/>
  </r>
  <r>
    <n v="2014"/>
    <n v="1"/>
    <x v="9"/>
    <x v="9"/>
    <s v="SEA"/>
    <s v="Seattle, WA: Seattle/Tacoma International"/>
    <n v="715"/>
    <n v="224"/>
    <n v="99.74"/>
    <n v="15.25"/>
    <n v="56.14"/>
    <n v="0"/>
    <n v="52.87"/>
    <n v="33"/>
    <n v="0"/>
    <n v="12015"/>
    <n v="4694"/>
    <n v="1197"/>
    <n v="1932"/>
    <n v="0"/>
    <n v="4192"/>
    <n v="0.31330000000000002"/>
    <n v="4.6199999999999998E-2"/>
    <n v="0"/>
  </r>
  <r>
    <n v="2014"/>
    <n v="1"/>
    <x v="15"/>
    <x v="15"/>
    <s v="SEA"/>
    <s v="Seattle, WA: Seattle/Tacoma International"/>
    <n v="247"/>
    <n v="60"/>
    <n v="26.07"/>
    <n v="3.23"/>
    <n v="18.309999999999999"/>
    <n v="0"/>
    <n v="12.4"/>
    <n v="3"/>
    <n v="1"/>
    <n v="2515"/>
    <n v="1082"/>
    <n v="240"/>
    <n v="566"/>
    <n v="0"/>
    <n v="627"/>
    <n v="0.2429"/>
    <n v="1.21E-2"/>
    <n v="4.0000000000000001E-3"/>
  </r>
  <r>
    <n v="2014"/>
    <n v="1"/>
    <x v="14"/>
    <x v="14"/>
    <s v="SEA"/>
    <s v="Seattle, WA: Seattle/Tacoma International"/>
    <n v="208"/>
    <n v="15"/>
    <n v="5.63"/>
    <n v="1.94"/>
    <n v="0.77"/>
    <n v="0.67"/>
    <n v="5.99"/>
    <n v="0"/>
    <n v="0"/>
    <n v="762"/>
    <n v="249"/>
    <n v="49"/>
    <n v="17"/>
    <n v="10"/>
    <n v="437"/>
    <n v="7.2099999999999997E-2"/>
    <n v="0"/>
    <n v="0"/>
  </r>
  <r>
    <n v="2014"/>
    <n v="1"/>
    <x v="10"/>
    <x v="10"/>
    <s v="SEA"/>
    <s v="Seattle, WA: Seattle/Tacoma International"/>
    <n v="785"/>
    <n v="322"/>
    <n v="103.7"/>
    <n v="1.32"/>
    <n v="43.1"/>
    <n v="1"/>
    <n v="172.87"/>
    <n v="12"/>
    <n v="1"/>
    <n v="19769"/>
    <n v="5715"/>
    <n v="148"/>
    <n v="1519"/>
    <n v="34"/>
    <n v="12353"/>
    <n v="0.41020000000000001"/>
    <n v="1.5299999999999999E-2"/>
    <n v="1.2999999999999999E-3"/>
  </r>
  <r>
    <n v="2013"/>
    <n v="12"/>
    <x v="4"/>
    <x v="4"/>
    <s v="SEA"/>
    <s v="Seattle, WA: Seattle/Tacoma International"/>
    <n v="395"/>
    <n v="126"/>
    <n v="32.909999999999997"/>
    <n v="16.55"/>
    <n v="47.77"/>
    <n v="0"/>
    <n v="28.77"/>
    <n v="21"/>
    <n v="2"/>
    <n v="6073"/>
    <n v="1328"/>
    <n v="1262"/>
    <n v="1504"/>
    <n v="0"/>
    <n v="1979"/>
    <n v="0.31900000000000001"/>
    <n v="5.3199999999999997E-2"/>
    <n v="5.1000000000000004E-3"/>
  </r>
  <r>
    <n v="2013"/>
    <n v="12"/>
    <x v="5"/>
    <x v="5"/>
    <s v="SEA"/>
    <s v="Seattle, WA: Seattle/Tacoma International"/>
    <n v="3745"/>
    <n v="483"/>
    <n v="98.44"/>
    <n v="20.309999999999999"/>
    <n v="220.1"/>
    <n v="1.29"/>
    <n v="142.86000000000001"/>
    <n v="6"/>
    <n v="7"/>
    <n v="23489"/>
    <n v="6322"/>
    <n v="1256"/>
    <n v="6729"/>
    <n v="70"/>
    <n v="9112"/>
    <n v="0.129"/>
    <n v="1.6000000000000001E-3"/>
    <n v="1.9E-3"/>
  </r>
  <r>
    <n v="2013"/>
    <n v="12"/>
    <x v="6"/>
    <x v="6"/>
    <s v="SEA"/>
    <s v="Seattle, WA: Seattle/Tacoma International"/>
    <n v="141"/>
    <n v="49"/>
    <n v="20.75"/>
    <n v="1.1499999999999999"/>
    <n v="19.149999999999999"/>
    <n v="0"/>
    <n v="7.95"/>
    <n v="1"/>
    <n v="3"/>
    <n v="2632"/>
    <n v="1164"/>
    <n v="123"/>
    <n v="818"/>
    <n v="0"/>
    <n v="527"/>
    <n v="0.34749999999999998"/>
    <n v="7.1000000000000004E-3"/>
    <n v="2.1299999999999999E-2"/>
  </r>
  <r>
    <n v="2013"/>
    <n v="12"/>
    <x v="7"/>
    <x v="7"/>
    <s v="SEA"/>
    <s v="Seattle, WA: Seattle/Tacoma International"/>
    <n v="804"/>
    <n v="227"/>
    <n v="82.32"/>
    <n v="12.08"/>
    <n v="98.88"/>
    <n v="0"/>
    <n v="33.72"/>
    <n v="3"/>
    <n v="2"/>
    <n v="9546"/>
    <n v="3848"/>
    <n v="1143"/>
    <n v="3024"/>
    <n v="0"/>
    <n v="1531"/>
    <n v="0.2823"/>
    <n v="3.7000000000000002E-3"/>
    <n v="2.5000000000000001E-3"/>
  </r>
  <r>
    <n v="2013"/>
    <n v="12"/>
    <x v="8"/>
    <x v="8"/>
    <s v="SEA"/>
    <s v="Seattle, WA: Seattle/Tacoma International"/>
    <n v="123"/>
    <n v="67"/>
    <n v="18.05"/>
    <n v="0.85"/>
    <n v="32.26"/>
    <n v="0"/>
    <n v="15.84"/>
    <n v="0"/>
    <n v="0"/>
    <n v="3446"/>
    <n v="843"/>
    <n v="45"/>
    <n v="1174"/>
    <n v="0"/>
    <n v="1384"/>
    <n v="0.54469999999999996"/>
    <n v="0"/>
    <n v="0"/>
  </r>
  <r>
    <n v="2013"/>
    <n v="12"/>
    <x v="0"/>
    <x v="0"/>
    <s v="SEA"/>
    <s v="Seattle, WA: Seattle/Tacoma International"/>
    <n v="62"/>
    <n v="10"/>
    <n v="10"/>
    <n v="0"/>
    <n v="0"/>
    <n v="0"/>
    <n v="0"/>
    <n v="0"/>
    <n v="0"/>
    <n v="494"/>
    <n v="494"/>
    <n v="0"/>
    <n v="0"/>
    <n v="0"/>
    <n v="0"/>
    <n v="0.1613"/>
    <n v="0"/>
    <n v="0"/>
  </r>
  <r>
    <n v="2013"/>
    <n v="12"/>
    <x v="2"/>
    <x v="2"/>
    <s v="SEA"/>
    <s v="Seattle, WA: Seattle/Tacoma International"/>
    <n v="694"/>
    <n v="163"/>
    <n v="40.17"/>
    <n v="7.11"/>
    <n v="64.11"/>
    <n v="0"/>
    <n v="51.61"/>
    <n v="13"/>
    <n v="4"/>
    <n v="7178"/>
    <n v="2122"/>
    <n v="472"/>
    <n v="1876"/>
    <n v="0"/>
    <n v="2708"/>
    <n v="0.2349"/>
    <n v="1.8700000000000001E-2"/>
    <n v="5.7999999999999996E-3"/>
  </r>
  <r>
    <n v="2013"/>
    <n v="12"/>
    <x v="9"/>
    <x v="9"/>
    <s v="SEA"/>
    <s v="Seattle, WA: Seattle/Tacoma International"/>
    <n v="909"/>
    <n v="307"/>
    <n v="142.56"/>
    <n v="10.01"/>
    <n v="82.26"/>
    <n v="0"/>
    <n v="72.17"/>
    <n v="8"/>
    <n v="1"/>
    <n v="15038"/>
    <n v="6914"/>
    <n v="574"/>
    <n v="2802"/>
    <n v="0"/>
    <n v="4748"/>
    <n v="0.3377"/>
    <n v="8.8000000000000005E-3"/>
    <n v="1.1000000000000001E-3"/>
  </r>
  <r>
    <n v="2013"/>
    <n v="12"/>
    <x v="15"/>
    <x v="15"/>
    <s v="SEA"/>
    <s v="Seattle, WA: Seattle/Tacoma International"/>
    <n v="291"/>
    <n v="89"/>
    <n v="35.880000000000003"/>
    <n v="0.14000000000000001"/>
    <n v="34.15"/>
    <n v="0.87"/>
    <n v="17.96"/>
    <n v="0"/>
    <n v="4"/>
    <n v="3892"/>
    <n v="1769"/>
    <n v="26"/>
    <n v="1185"/>
    <n v="39"/>
    <n v="873"/>
    <n v="0.30580000000000002"/>
    <n v="0"/>
    <n v="1.37E-2"/>
  </r>
  <r>
    <n v="2013"/>
    <n v="12"/>
    <x v="14"/>
    <x v="14"/>
    <s v="SEA"/>
    <s v="Seattle, WA: Seattle/Tacoma International"/>
    <n v="235"/>
    <n v="30"/>
    <n v="8.02"/>
    <n v="13.5"/>
    <n v="3.58"/>
    <n v="0.32"/>
    <n v="4.59"/>
    <n v="0"/>
    <n v="0"/>
    <n v="807"/>
    <n v="196"/>
    <n v="330"/>
    <n v="79"/>
    <n v="6"/>
    <n v="196"/>
    <n v="0.12770000000000001"/>
    <n v="0"/>
    <n v="0"/>
  </r>
  <r>
    <n v="2013"/>
    <n v="12"/>
    <x v="10"/>
    <x v="10"/>
    <s v="SEA"/>
    <s v="Seattle, WA: Seattle/Tacoma International"/>
    <n v="952"/>
    <n v="477"/>
    <n v="178.82"/>
    <n v="1.69"/>
    <n v="69.37"/>
    <n v="2.5299999999999998"/>
    <n v="224.58"/>
    <n v="3"/>
    <n v="1"/>
    <n v="22055"/>
    <n v="7418"/>
    <n v="161"/>
    <n v="2588"/>
    <n v="76"/>
    <n v="11812"/>
    <n v="0.50109999999999999"/>
    <n v="3.2000000000000002E-3"/>
    <n v="1.1000000000000001E-3"/>
  </r>
  <r>
    <n v="2013"/>
    <n v="11"/>
    <x v="4"/>
    <x v="4"/>
    <s v="SEA"/>
    <s v="Seattle, WA: Seattle/Tacoma International"/>
    <n v="410"/>
    <n v="78"/>
    <n v="24.44"/>
    <n v="0.31"/>
    <n v="31.12"/>
    <n v="0"/>
    <n v="22.12"/>
    <n v="3"/>
    <n v="4"/>
    <n v="3345"/>
    <n v="1071"/>
    <n v="23"/>
    <n v="990"/>
    <n v="0"/>
    <n v="1261"/>
    <n v="0.19020000000000001"/>
    <n v="7.3000000000000001E-3"/>
    <n v="9.7999999999999997E-3"/>
  </r>
  <r>
    <n v="2013"/>
    <n v="11"/>
    <x v="5"/>
    <x v="5"/>
    <s v="SEA"/>
    <s v="Seattle, WA: Seattle/Tacoma International"/>
    <n v="3660"/>
    <n v="327"/>
    <n v="86.66"/>
    <n v="9.0399999999999991"/>
    <n v="101.82"/>
    <n v="2.58"/>
    <n v="126.9"/>
    <n v="17"/>
    <n v="5"/>
    <n v="16697"/>
    <n v="4958"/>
    <n v="317"/>
    <n v="2811"/>
    <n v="152"/>
    <n v="8459"/>
    <n v="8.9300000000000004E-2"/>
    <n v="4.5999999999999999E-3"/>
    <n v="1.4E-3"/>
  </r>
  <r>
    <n v="2013"/>
    <n v="11"/>
    <x v="6"/>
    <x v="6"/>
    <s v="SEA"/>
    <s v="Seattle, WA: Seattle/Tacoma International"/>
    <n v="140"/>
    <n v="21"/>
    <n v="8.6999999999999993"/>
    <n v="0.6"/>
    <n v="9.32"/>
    <n v="0"/>
    <n v="2.38"/>
    <n v="0"/>
    <n v="0"/>
    <n v="956"/>
    <n v="591"/>
    <n v="24"/>
    <n v="245"/>
    <n v="0"/>
    <n v="96"/>
    <n v="0.15"/>
    <n v="0"/>
    <n v="0"/>
  </r>
  <r>
    <n v="2013"/>
    <n v="11"/>
    <x v="7"/>
    <x v="7"/>
    <s v="SEA"/>
    <s v="Seattle, WA: Seattle/Tacoma International"/>
    <n v="780"/>
    <n v="88"/>
    <n v="28.06"/>
    <n v="0.63"/>
    <n v="45.39"/>
    <n v="0"/>
    <n v="13.92"/>
    <n v="0"/>
    <n v="2"/>
    <n v="3393"/>
    <n v="1532"/>
    <n v="22"/>
    <n v="1221"/>
    <n v="0"/>
    <n v="618"/>
    <n v="0.1128"/>
    <n v="0"/>
    <n v="2.5999999999999999E-3"/>
  </r>
  <r>
    <n v="2013"/>
    <n v="11"/>
    <x v="8"/>
    <x v="8"/>
    <s v="SEA"/>
    <s v="Seattle, WA: Seattle/Tacoma International"/>
    <n v="115"/>
    <n v="19"/>
    <n v="4.9400000000000004"/>
    <n v="0.28999999999999998"/>
    <n v="6.95"/>
    <n v="0"/>
    <n v="6.82"/>
    <n v="0"/>
    <n v="0"/>
    <n v="1295"/>
    <n v="258"/>
    <n v="8"/>
    <n v="319"/>
    <n v="0"/>
    <n v="710"/>
    <n v="0.16520000000000001"/>
    <n v="0"/>
    <n v="0"/>
  </r>
  <r>
    <n v="2013"/>
    <n v="11"/>
    <x v="0"/>
    <x v="0"/>
    <s v="SEA"/>
    <s v="Seattle, WA: Seattle/Tacoma International"/>
    <n v="60"/>
    <n v="8"/>
    <n v="5.03"/>
    <n v="0"/>
    <n v="0"/>
    <n v="0"/>
    <n v="2.97"/>
    <n v="0"/>
    <n v="0"/>
    <n v="925"/>
    <n v="567"/>
    <n v="0"/>
    <n v="0"/>
    <n v="0"/>
    <n v="358"/>
    <n v="0.1333"/>
    <n v="0"/>
    <n v="0"/>
  </r>
  <r>
    <n v="2013"/>
    <n v="11"/>
    <x v="2"/>
    <x v="2"/>
    <s v="SEA"/>
    <s v="Seattle, WA: Seattle/Tacoma International"/>
    <n v="673"/>
    <n v="96"/>
    <n v="28.07"/>
    <n v="4.13"/>
    <n v="31.04"/>
    <n v="0.37"/>
    <n v="32.39"/>
    <n v="9"/>
    <n v="4"/>
    <n v="4142"/>
    <n v="1089"/>
    <n v="304"/>
    <n v="754"/>
    <n v="7"/>
    <n v="1988"/>
    <n v="0.1426"/>
    <n v="1.34E-2"/>
    <n v="5.8999999999999999E-3"/>
  </r>
  <r>
    <n v="2013"/>
    <n v="11"/>
    <x v="9"/>
    <x v="9"/>
    <s v="SEA"/>
    <s v="Seattle, WA: Seattle/Tacoma International"/>
    <n v="785"/>
    <n v="133"/>
    <n v="58.39"/>
    <n v="3.23"/>
    <n v="37.67"/>
    <n v="0"/>
    <n v="33.700000000000003"/>
    <n v="2"/>
    <n v="5"/>
    <n v="6911"/>
    <n v="2790"/>
    <n v="251"/>
    <n v="1581"/>
    <n v="0"/>
    <n v="2289"/>
    <n v="0.1694"/>
    <n v="2.5000000000000001E-3"/>
    <n v="6.4000000000000003E-3"/>
  </r>
  <r>
    <n v="2013"/>
    <n v="11"/>
    <x v="15"/>
    <x v="15"/>
    <s v="SEA"/>
    <s v="Seattle, WA: Seattle/Tacoma International"/>
    <n v="241"/>
    <n v="32"/>
    <n v="10.45"/>
    <n v="0"/>
    <n v="13.86"/>
    <n v="1"/>
    <n v="6.69"/>
    <n v="0"/>
    <n v="1"/>
    <n v="1095"/>
    <n v="379"/>
    <n v="0"/>
    <n v="384"/>
    <n v="15"/>
    <n v="317"/>
    <n v="0.1328"/>
    <n v="0"/>
    <n v="4.1000000000000003E-3"/>
  </r>
  <r>
    <n v="2013"/>
    <n v="11"/>
    <x v="14"/>
    <x v="14"/>
    <s v="SEA"/>
    <s v="Seattle, WA: Seattle/Tacoma International"/>
    <n v="234"/>
    <n v="25"/>
    <n v="4.76"/>
    <n v="5.04"/>
    <n v="1"/>
    <n v="1"/>
    <n v="13.2"/>
    <n v="4"/>
    <n v="1"/>
    <n v="1398"/>
    <n v="299"/>
    <n v="99"/>
    <n v="17"/>
    <n v="182"/>
    <n v="801"/>
    <n v="0.10680000000000001"/>
    <n v="1.7100000000000001E-2"/>
    <n v="4.3E-3"/>
  </r>
  <r>
    <n v="2013"/>
    <n v="11"/>
    <x v="10"/>
    <x v="10"/>
    <s v="SEA"/>
    <s v="Seattle, WA: Seattle/Tacoma International"/>
    <n v="886"/>
    <n v="190"/>
    <n v="68.03"/>
    <n v="0.92"/>
    <n v="29.64"/>
    <n v="0.68"/>
    <n v="90.73"/>
    <n v="1"/>
    <n v="3"/>
    <n v="6744"/>
    <n v="2236"/>
    <n v="22"/>
    <n v="753"/>
    <n v="13"/>
    <n v="3720"/>
    <n v="0.21440000000000001"/>
    <n v="1.1000000000000001E-3"/>
    <n v="3.3999999999999998E-3"/>
  </r>
  <r>
    <n v="2013"/>
    <n v="10"/>
    <x v="4"/>
    <x v="4"/>
    <s v="SEA"/>
    <s v="Seattle, WA: Seattle/Tacoma International"/>
    <n v="447"/>
    <n v="61"/>
    <n v="25.87"/>
    <n v="5.87"/>
    <n v="12.56"/>
    <n v="0"/>
    <n v="16.7"/>
    <n v="0"/>
    <n v="4"/>
    <n v="2430"/>
    <n v="867"/>
    <n v="424"/>
    <n v="334"/>
    <n v="0"/>
    <n v="805"/>
    <n v="0.13650000000000001"/>
    <n v="0"/>
    <n v="8.8999999999999999E-3"/>
  </r>
  <r>
    <n v="2013"/>
    <n v="10"/>
    <x v="5"/>
    <x v="5"/>
    <s v="SEA"/>
    <s v="Seattle, WA: Seattle/Tacoma International"/>
    <n v="3816"/>
    <n v="377"/>
    <n v="76.63"/>
    <n v="4.3600000000000003"/>
    <n v="180.77"/>
    <n v="3.77"/>
    <n v="111.46"/>
    <n v="5"/>
    <n v="5"/>
    <n v="17078"/>
    <n v="5779"/>
    <n v="131"/>
    <n v="4157"/>
    <n v="95"/>
    <n v="6916"/>
    <n v="9.8799999999999999E-2"/>
    <n v="1.2999999999999999E-3"/>
    <n v="1.2999999999999999E-3"/>
  </r>
  <r>
    <n v="2013"/>
    <n v="10"/>
    <x v="6"/>
    <x v="6"/>
    <s v="SEA"/>
    <s v="Seattle, WA: Seattle/Tacoma International"/>
    <n v="217"/>
    <n v="19"/>
    <n v="7.65"/>
    <n v="0"/>
    <n v="7.55"/>
    <n v="0"/>
    <n v="3.8"/>
    <n v="0"/>
    <n v="0"/>
    <n v="774"/>
    <n v="390"/>
    <n v="0"/>
    <n v="161"/>
    <n v="0"/>
    <n v="223"/>
    <n v="8.7599999999999997E-2"/>
    <n v="0"/>
    <n v="0"/>
  </r>
  <r>
    <n v="2013"/>
    <n v="10"/>
    <x v="7"/>
    <x v="7"/>
    <s v="SEA"/>
    <s v="Seattle, WA: Seattle/Tacoma International"/>
    <n v="830"/>
    <n v="57"/>
    <n v="22.39"/>
    <n v="0.67"/>
    <n v="25.77"/>
    <n v="0"/>
    <n v="8.17"/>
    <n v="1"/>
    <n v="4"/>
    <n v="2131"/>
    <n v="994"/>
    <n v="48"/>
    <n v="644"/>
    <n v="0"/>
    <n v="445"/>
    <n v="6.8699999999999997E-2"/>
    <n v="1.1999999999999999E-3"/>
    <n v="4.7999999999999996E-3"/>
  </r>
  <r>
    <n v="2013"/>
    <n v="10"/>
    <x v="8"/>
    <x v="8"/>
    <s v="SEA"/>
    <s v="Seattle, WA: Seattle/Tacoma International"/>
    <n v="120"/>
    <n v="17"/>
    <n v="4.71"/>
    <n v="0"/>
    <n v="4.92"/>
    <n v="0"/>
    <n v="7.37"/>
    <n v="0"/>
    <n v="0"/>
    <n v="874"/>
    <n v="127"/>
    <n v="0"/>
    <n v="241"/>
    <n v="0"/>
    <n v="506"/>
    <n v="0.14169999999999999"/>
    <n v="0"/>
    <n v="0"/>
  </r>
  <r>
    <n v="2013"/>
    <n v="10"/>
    <x v="0"/>
    <x v="0"/>
    <s v="SEA"/>
    <s v="Seattle, WA: Seattle/Tacoma International"/>
    <n v="62"/>
    <n v="21"/>
    <n v="15.73"/>
    <n v="0"/>
    <n v="0"/>
    <n v="0"/>
    <n v="5.27"/>
    <n v="0"/>
    <n v="0"/>
    <n v="834"/>
    <n v="593"/>
    <n v="0"/>
    <n v="0"/>
    <n v="0"/>
    <n v="241"/>
    <n v="0.3387"/>
    <n v="0"/>
    <n v="0"/>
  </r>
  <r>
    <n v="2013"/>
    <n v="10"/>
    <x v="2"/>
    <x v="2"/>
    <s v="SEA"/>
    <s v="Seattle, WA: Seattle/Tacoma International"/>
    <n v="671"/>
    <n v="113"/>
    <n v="35.979999999999997"/>
    <n v="6.22"/>
    <n v="32.799999999999997"/>
    <n v="0"/>
    <n v="38.01"/>
    <n v="17"/>
    <n v="16"/>
    <n v="6965"/>
    <n v="2663"/>
    <n v="437"/>
    <n v="928"/>
    <n v="0"/>
    <n v="2937"/>
    <n v="0.16839999999999999"/>
    <n v="2.53E-2"/>
    <n v="2.3800000000000002E-2"/>
  </r>
  <r>
    <n v="2013"/>
    <n v="10"/>
    <x v="9"/>
    <x v="9"/>
    <s v="SEA"/>
    <s v="Seattle, WA: Seattle/Tacoma International"/>
    <n v="856"/>
    <n v="79"/>
    <n v="35.89"/>
    <n v="1.83"/>
    <n v="17.600000000000001"/>
    <n v="0"/>
    <n v="23.68"/>
    <n v="1"/>
    <n v="3"/>
    <n v="4058"/>
    <n v="1869"/>
    <n v="63"/>
    <n v="486"/>
    <n v="0"/>
    <n v="1640"/>
    <n v="9.2299999999999993E-2"/>
    <n v="1.1999999999999999E-3"/>
    <n v="3.5000000000000001E-3"/>
  </r>
  <r>
    <n v="2013"/>
    <n v="10"/>
    <x v="15"/>
    <x v="15"/>
    <s v="SEA"/>
    <s v="Seattle, WA: Seattle/Tacoma International"/>
    <n v="273"/>
    <n v="37"/>
    <n v="18.88"/>
    <n v="0"/>
    <n v="12.72"/>
    <n v="0"/>
    <n v="5.4"/>
    <n v="0"/>
    <n v="1"/>
    <n v="1414"/>
    <n v="823"/>
    <n v="0"/>
    <n v="299"/>
    <n v="0"/>
    <n v="292"/>
    <n v="0.13550000000000001"/>
    <n v="0"/>
    <n v="3.7000000000000002E-3"/>
  </r>
  <r>
    <n v="2013"/>
    <n v="10"/>
    <x v="14"/>
    <x v="14"/>
    <s v="SEA"/>
    <s v="Seattle, WA: Seattle/Tacoma International"/>
    <n v="260"/>
    <n v="31"/>
    <n v="5.05"/>
    <n v="5.94"/>
    <n v="3.25"/>
    <n v="0.56000000000000005"/>
    <n v="16.21"/>
    <n v="0"/>
    <n v="0"/>
    <n v="1763"/>
    <n v="200"/>
    <n v="123"/>
    <n v="61"/>
    <n v="15"/>
    <n v="1364"/>
    <n v="0.1192"/>
    <n v="0"/>
    <n v="0"/>
  </r>
  <r>
    <n v="2013"/>
    <n v="10"/>
    <x v="10"/>
    <x v="10"/>
    <s v="SEA"/>
    <s v="Seattle, WA: Seattle/Tacoma International"/>
    <n v="924"/>
    <n v="173"/>
    <n v="55.89"/>
    <n v="0.03"/>
    <n v="26.63"/>
    <n v="0"/>
    <n v="90.45"/>
    <n v="0"/>
    <n v="2"/>
    <n v="6398"/>
    <n v="2158"/>
    <n v="3"/>
    <n v="783"/>
    <n v="0"/>
    <n v="3454"/>
    <n v="0.18720000000000001"/>
    <n v="0"/>
    <n v="2.2000000000000001E-3"/>
  </r>
  <r>
    <n v="2013"/>
    <n v="9"/>
    <x v="5"/>
    <x v="5"/>
    <s v="SEA"/>
    <s v="Seattle, WA: Seattle/Tacoma International"/>
    <n v="3932"/>
    <n v="460"/>
    <n v="95.45"/>
    <n v="4.79"/>
    <n v="207.7"/>
    <n v="4.25"/>
    <n v="147.81"/>
    <n v="14"/>
    <n v="3"/>
    <n v="21391"/>
    <n v="6172"/>
    <n v="285"/>
    <n v="5926"/>
    <n v="103"/>
    <n v="8905"/>
    <n v="0.11700000000000001"/>
    <n v="3.5999999999999999E-3"/>
    <n v="8.0000000000000004E-4"/>
  </r>
  <r>
    <n v="2013"/>
    <n v="9"/>
    <x v="6"/>
    <x v="6"/>
    <s v="SEA"/>
    <s v="Seattle, WA: Seattle/Tacoma International"/>
    <n v="240"/>
    <n v="48"/>
    <n v="22.25"/>
    <n v="1.17"/>
    <n v="13.8"/>
    <n v="0"/>
    <n v="10.79"/>
    <n v="0"/>
    <n v="1"/>
    <n v="2745"/>
    <n v="1179"/>
    <n v="200"/>
    <n v="461"/>
    <n v="0"/>
    <n v="905"/>
    <n v="0.2"/>
    <n v="0"/>
    <n v="4.1999999999999997E-3"/>
  </r>
  <r>
    <n v="2013"/>
    <n v="9"/>
    <x v="7"/>
    <x v="7"/>
    <s v="SEA"/>
    <s v="Seattle, WA: Seattle/Tacoma International"/>
    <n v="897"/>
    <n v="87"/>
    <n v="36.840000000000003"/>
    <n v="1.07"/>
    <n v="39.54"/>
    <n v="0"/>
    <n v="9.5500000000000007"/>
    <n v="0"/>
    <n v="2"/>
    <n v="4495"/>
    <n v="2393"/>
    <n v="77"/>
    <n v="1571"/>
    <n v="0"/>
    <n v="454"/>
    <n v="9.7000000000000003E-2"/>
    <n v="0"/>
    <n v="2.2000000000000001E-3"/>
  </r>
  <r>
    <n v="2013"/>
    <n v="9"/>
    <x v="8"/>
    <x v="8"/>
    <s v="SEA"/>
    <s v="Seattle, WA: Seattle/Tacoma International"/>
    <n v="129"/>
    <n v="27"/>
    <n v="9.0299999999999994"/>
    <n v="2.61"/>
    <n v="8.27"/>
    <n v="0"/>
    <n v="7.09"/>
    <n v="0"/>
    <n v="0"/>
    <n v="1283"/>
    <n v="274"/>
    <n v="92"/>
    <n v="475"/>
    <n v="0"/>
    <n v="442"/>
    <n v="0.20930000000000001"/>
    <n v="0"/>
    <n v="0"/>
  </r>
  <r>
    <n v="2013"/>
    <n v="9"/>
    <x v="0"/>
    <x v="0"/>
    <s v="SEA"/>
    <s v="Seattle, WA: Seattle/Tacoma International"/>
    <n v="60"/>
    <n v="19"/>
    <n v="15.83"/>
    <n v="2"/>
    <n v="0"/>
    <n v="0"/>
    <n v="1.17"/>
    <n v="0"/>
    <n v="0"/>
    <n v="1590"/>
    <n v="1498"/>
    <n v="73"/>
    <n v="0"/>
    <n v="0"/>
    <n v="19"/>
    <n v="0.31669999999999998"/>
    <n v="0"/>
    <n v="0"/>
  </r>
  <r>
    <n v="2013"/>
    <n v="9"/>
    <x v="2"/>
    <x v="2"/>
    <s v="SEA"/>
    <s v="Seattle, WA: Seattle/Tacoma International"/>
    <n v="635"/>
    <n v="128"/>
    <n v="42.67"/>
    <n v="3.78"/>
    <n v="30.53"/>
    <n v="0"/>
    <n v="51.02"/>
    <n v="8"/>
    <n v="1"/>
    <n v="7161"/>
    <n v="2722"/>
    <n v="205"/>
    <n v="799"/>
    <n v="0"/>
    <n v="3435"/>
    <n v="0.2016"/>
    <n v="1.26E-2"/>
    <n v="1.6000000000000001E-3"/>
  </r>
  <r>
    <n v="2013"/>
    <n v="9"/>
    <x v="9"/>
    <x v="9"/>
    <s v="SEA"/>
    <s v="Seattle, WA: Seattle/Tacoma International"/>
    <n v="884"/>
    <n v="111"/>
    <n v="39.11"/>
    <n v="4.18"/>
    <n v="27.97"/>
    <n v="0"/>
    <n v="39.74"/>
    <n v="2"/>
    <n v="3"/>
    <n v="7499"/>
    <n v="2265"/>
    <n v="596"/>
    <n v="1096"/>
    <n v="0"/>
    <n v="3542"/>
    <n v="0.12559999999999999"/>
    <n v="2.3E-3"/>
    <n v="3.3999999999999998E-3"/>
  </r>
  <r>
    <n v="2013"/>
    <n v="9"/>
    <x v="15"/>
    <x v="15"/>
    <s v="SEA"/>
    <s v="Seattle, WA: Seattle/Tacoma International"/>
    <n v="315"/>
    <n v="27"/>
    <n v="14.61"/>
    <n v="0"/>
    <n v="8.5399999999999991"/>
    <n v="0.69"/>
    <n v="3.16"/>
    <n v="0"/>
    <n v="0"/>
    <n v="1223"/>
    <n v="550"/>
    <n v="0"/>
    <n v="489"/>
    <n v="11"/>
    <n v="173"/>
    <n v="8.5699999999999998E-2"/>
    <n v="0"/>
    <n v="0"/>
  </r>
  <r>
    <n v="2013"/>
    <n v="9"/>
    <x v="14"/>
    <x v="14"/>
    <s v="SEA"/>
    <s v="Seattle, WA: Seattle/Tacoma International"/>
    <n v="254"/>
    <n v="29"/>
    <n v="3.25"/>
    <n v="1.53"/>
    <n v="4.01"/>
    <n v="0"/>
    <n v="20.22"/>
    <n v="0"/>
    <n v="0"/>
    <n v="1724"/>
    <n v="136"/>
    <n v="38"/>
    <n v="101"/>
    <n v="0"/>
    <n v="1449"/>
    <n v="0.1142"/>
    <n v="0"/>
    <n v="0"/>
  </r>
  <r>
    <n v="2013"/>
    <n v="9"/>
    <x v="10"/>
    <x v="10"/>
    <s v="SEA"/>
    <s v="Seattle, WA: Seattle/Tacoma International"/>
    <n v="1154"/>
    <n v="294"/>
    <n v="81.62"/>
    <n v="2.98"/>
    <n v="42.59"/>
    <n v="0.63"/>
    <n v="166.17"/>
    <n v="1"/>
    <n v="0"/>
    <n v="12799"/>
    <n v="2972"/>
    <n v="140"/>
    <n v="1239"/>
    <n v="30"/>
    <n v="8418"/>
    <n v="0.25480000000000003"/>
    <n v="8.9999999999999998E-4"/>
    <n v="0"/>
  </r>
  <r>
    <n v="2013"/>
    <n v="9"/>
    <x v="4"/>
    <x v="4"/>
    <s v="SEA"/>
    <s v="Seattle, WA: Seattle/Tacoma International"/>
    <n v="464"/>
    <n v="67"/>
    <n v="26.8"/>
    <n v="3.41"/>
    <n v="21.58"/>
    <n v="0"/>
    <n v="15.21"/>
    <n v="1"/>
    <n v="1"/>
    <n v="3301"/>
    <n v="1207"/>
    <n v="267"/>
    <n v="657"/>
    <n v="0"/>
    <n v="1170"/>
    <n v="0.1444"/>
    <n v="2.2000000000000001E-3"/>
    <n v="2.2000000000000001E-3"/>
  </r>
  <r>
    <n v="2013"/>
    <n v="8"/>
    <x v="4"/>
    <x v="4"/>
    <s v="SEA"/>
    <s v="Seattle, WA: Seattle/Tacoma International"/>
    <n v="518"/>
    <n v="110"/>
    <n v="39.82"/>
    <n v="4.71"/>
    <n v="24.92"/>
    <n v="0"/>
    <n v="40.549999999999997"/>
    <n v="1"/>
    <n v="0"/>
    <n v="5409"/>
    <n v="1973"/>
    <n v="415"/>
    <n v="911"/>
    <n v="0"/>
    <n v="2110"/>
    <n v="0.21240000000000001"/>
    <n v="1.9E-3"/>
    <n v="0"/>
  </r>
  <r>
    <n v="2013"/>
    <n v="8"/>
    <x v="5"/>
    <x v="5"/>
    <s v="SEA"/>
    <s v="Seattle, WA: Seattle/Tacoma International"/>
    <n v="4504"/>
    <n v="578"/>
    <n v="126.31"/>
    <n v="6.61"/>
    <n v="219.01"/>
    <n v="4.68"/>
    <n v="221.39"/>
    <n v="16"/>
    <n v="3"/>
    <n v="27040"/>
    <n v="8823"/>
    <n v="471"/>
    <n v="6019"/>
    <n v="123"/>
    <n v="11604"/>
    <n v="0.1283"/>
    <n v="3.5999999999999999E-3"/>
    <n v="6.9999999999999999E-4"/>
  </r>
  <r>
    <n v="2013"/>
    <n v="8"/>
    <x v="6"/>
    <x v="6"/>
    <s v="SEA"/>
    <s v="Seattle, WA: Seattle/Tacoma International"/>
    <n v="310"/>
    <n v="51"/>
    <n v="20.5"/>
    <n v="0.3"/>
    <n v="18.52"/>
    <n v="0"/>
    <n v="11.68"/>
    <n v="0"/>
    <n v="0"/>
    <n v="3118"/>
    <n v="1472"/>
    <n v="28"/>
    <n v="737"/>
    <n v="0"/>
    <n v="881"/>
    <n v="0.16450000000000001"/>
    <n v="0"/>
    <n v="0"/>
  </r>
  <r>
    <n v="2013"/>
    <n v="8"/>
    <x v="7"/>
    <x v="7"/>
    <s v="SEA"/>
    <s v="Seattle, WA: Seattle/Tacoma International"/>
    <n v="1115"/>
    <n v="135"/>
    <n v="64.209999999999994"/>
    <n v="3.74"/>
    <n v="39.96"/>
    <n v="0"/>
    <n v="27.09"/>
    <n v="0"/>
    <n v="0"/>
    <n v="7992"/>
    <n v="4388"/>
    <n v="152"/>
    <n v="1435"/>
    <n v="0"/>
    <n v="2017"/>
    <n v="0.1211"/>
    <n v="0"/>
    <n v="0"/>
  </r>
  <r>
    <n v="2013"/>
    <n v="8"/>
    <x v="8"/>
    <x v="8"/>
    <s v="SEA"/>
    <s v="Seattle, WA: Seattle/Tacoma International"/>
    <n v="145"/>
    <n v="31"/>
    <n v="9.89"/>
    <n v="0.71"/>
    <n v="9.35"/>
    <n v="0"/>
    <n v="11.05"/>
    <n v="0"/>
    <n v="0"/>
    <n v="1543"/>
    <n v="324"/>
    <n v="63"/>
    <n v="497"/>
    <n v="0"/>
    <n v="659"/>
    <n v="0.21379999999999999"/>
    <n v="0"/>
    <n v="0"/>
  </r>
  <r>
    <n v="2013"/>
    <n v="8"/>
    <x v="0"/>
    <x v="0"/>
    <s v="SEA"/>
    <s v="Seattle, WA: Seattle/Tacoma International"/>
    <n v="61"/>
    <n v="9"/>
    <n v="7.21"/>
    <n v="0"/>
    <n v="0"/>
    <n v="0"/>
    <n v="1.79"/>
    <n v="0"/>
    <n v="2"/>
    <n v="324"/>
    <n v="179"/>
    <n v="0"/>
    <n v="0"/>
    <n v="0"/>
    <n v="145"/>
    <n v="0.14749999999999999"/>
    <n v="0"/>
    <n v="3.2800000000000003E-2"/>
  </r>
  <r>
    <n v="2013"/>
    <n v="8"/>
    <x v="2"/>
    <x v="2"/>
    <s v="SEA"/>
    <s v="Seattle, WA: Seattle/Tacoma International"/>
    <n v="567"/>
    <n v="104"/>
    <n v="30.89"/>
    <n v="7.0000000000000007E-2"/>
    <n v="13.38"/>
    <n v="0"/>
    <n v="59.66"/>
    <n v="2"/>
    <n v="0"/>
    <n v="5518"/>
    <n v="1951"/>
    <n v="8"/>
    <n v="424"/>
    <n v="0"/>
    <n v="3135"/>
    <n v="0.18340000000000001"/>
    <n v="3.5000000000000001E-3"/>
    <n v="0"/>
  </r>
  <r>
    <n v="2013"/>
    <n v="8"/>
    <x v="9"/>
    <x v="9"/>
    <s v="SEA"/>
    <s v="Seattle, WA: Seattle/Tacoma International"/>
    <n v="1066"/>
    <n v="182"/>
    <n v="75.19"/>
    <n v="9.68"/>
    <n v="36.520000000000003"/>
    <n v="0"/>
    <n v="60.61"/>
    <n v="2"/>
    <n v="2"/>
    <n v="9796"/>
    <n v="3434"/>
    <n v="619"/>
    <n v="1477"/>
    <n v="0"/>
    <n v="4266"/>
    <n v="0.17069999999999999"/>
    <n v="1.9E-3"/>
    <n v="1.9E-3"/>
  </r>
  <r>
    <n v="2013"/>
    <n v="8"/>
    <x v="15"/>
    <x v="15"/>
    <s v="SEA"/>
    <s v="Seattle, WA: Seattle/Tacoma International"/>
    <n v="409"/>
    <n v="83"/>
    <n v="28.09"/>
    <n v="0.94"/>
    <n v="39.549999999999997"/>
    <n v="0.26"/>
    <n v="14.15"/>
    <n v="3"/>
    <n v="0"/>
    <n v="4025"/>
    <n v="1773"/>
    <n v="65"/>
    <n v="1470"/>
    <n v="5"/>
    <n v="712"/>
    <n v="0.2029"/>
    <n v="7.3000000000000001E-3"/>
    <n v="0"/>
  </r>
  <r>
    <n v="2013"/>
    <n v="8"/>
    <x v="14"/>
    <x v="14"/>
    <s v="SEA"/>
    <s v="Seattle, WA: Seattle/Tacoma International"/>
    <n v="288"/>
    <n v="35"/>
    <n v="7.28"/>
    <n v="0.71"/>
    <n v="1.97"/>
    <n v="0"/>
    <n v="25.04"/>
    <n v="0"/>
    <n v="0"/>
    <n v="2017"/>
    <n v="407"/>
    <n v="32"/>
    <n v="45"/>
    <n v="0"/>
    <n v="1533"/>
    <n v="0.1215"/>
    <n v="0"/>
    <n v="0"/>
  </r>
  <r>
    <n v="2013"/>
    <n v="8"/>
    <x v="10"/>
    <x v="10"/>
    <s v="SEA"/>
    <s v="Seattle, WA: Seattle/Tacoma International"/>
    <n v="1300"/>
    <n v="347"/>
    <n v="112.13"/>
    <n v="2.08"/>
    <n v="57.36"/>
    <n v="0.31"/>
    <n v="175.13"/>
    <n v="0"/>
    <n v="0"/>
    <n v="14818"/>
    <n v="4590"/>
    <n v="139"/>
    <n v="1650"/>
    <n v="9"/>
    <n v="8430"/>
    <n v="0.26690000000000003"/>
    <n v="0"/>
    <n v="0"/>
  </r>
  <r>
    <n v="2013"/>
    <n v="7"/>
    <x v="4"/>
    <x v="4"/>
    <s v="SEA"/>
    <s v="Seattle, WA: Seattle/Tacoma International"/>
    <n v="524"/>
    <n v="132"/>
    <n v="47.99"/>
    <n v="5.7"/>
    <n v="38.35"/>
    <n v="0"/>
    <n v="39.96"/>
    <n v="2"/>
    <n v="0"/>
    <n v="6645"/>
    <n v="2422"/>
    <n v="243"/>
    <n v="1741"/>
    <n v="0"/>
    <n v="2239"/>
    <n v="0.25190000000000001"/>
    <n v="3.8E-3"/>
    <n v="0"/>
  </r>
  <r>
    <n v="2013"/>
    <n v="7"/>
    <x v="5"/>
    <x v="5"/>
    <s v="SEA"/>
    <s v="Seattle, WA: Seattle/Tacoma International"/>
    <n v="4568"/>
    <n v="569"/>
    <n v="130.05000000000001"/>
    <n v="9.0299999999999994"/>
    <n v="206.81"/>
    <n v="4.91"/>
    <n v="218.2"/>
    <n v="25"/>
    <n v="1"/>
    <n v="25551"/>
    <n v="8308"/>
    <n v="537"/>
    <n v="5601"/>
    <n v="129"/>
    <n v="10976"/>
    <n v="0.1246"/>
    <n v="5.4999999999999997E-3"/>
    <n v="2.0000000000000001E-4"/>
  </r>
  <r>
    <n v="2013"/>
    <n v="7"/>
    <x v="6"/>
    <x v="6"/>
    <s v="SEA"/>
    <s v="Seattle, WA: Seattle/Tacoma International"/>
    <n v="309"/>
    <n v="74"/>
    <n v="27.15"/>
    <n v="0.65"/>
    <n v="17.559999999999999"/>
    <n v="0.86"/>
    <n v="27.78"/>
    <n v="1"/>
    <n v="0"/>
    <n v="4864"/>
    <n v="1884"/>
    <n v="89"/>
    <n v="1052"/>
    <n v="221"/>
    <n v="1618"/>
    <n v="0.23949999999999999"/>
    <n v="3.2000000000000002E-3"/>
    <n v="0"/>
  </r>
  <r>
    <n v="2013"/>
    <n v="7"/>
    <x v="7"/>
    <x v="7"/>
    <s v="SEA"/>
    <s v="Seattle, WA: Seattle/Tacoma International"/>
    <n v="1137"/>
    <n v="223"/>
    <n v="97.88"/>
    <n v="8.2100000000000009"/>
    <n v="68.31"/>
    <n v="0"/>
    <n v="48.6"/>
    <n v="1"/>
    <n v="1"/>
    <n v="12354"/>
    <n v="6337"/>
    <n v="563"/>
    <n v="2664"/>
    <n v="0"/>
    <n v="2790"/>
    <n v="0.1961"/>
    <n v="8.9999999999999998E-4"/>
    <n v="8.9999999999999998E-4"/>
  </r>
  <r>
    <n v="2013"/>
    <n v="7"/>
    <x v="8"/>
    <x v="8"/>
    <s v="SEA"/>
    <s v="Seattle, WA: Seattle/Tacoma International"/>
    <n v="135"/>
    <n v="43"/>
    <n v="12.92"/>
    <n v="1.82"/>
    <n v="12.84"/>
    <n v="0"/>
    <n v="15.42"/>
    <n v="0"/>
    <n v="0"/>
    <n v="2222"/>
    <n v="683"/>
    <n v="73"/>
    <n v="599"/>
    <n v="0"/>
    <n v="867"/>
    <n v="0.31850000000000001"/>
    <n v="0"/>
    <n v="0"/>
  </r>
  <r>
    <n v="2013"/>
    <n v="7"/>
    <x v="0"/>
    <x v="0"/>
    <s v="SEA"/>
    <s v="Seattle, WA: Seattle/Tacoma International"/>
    <n v="62"/>
    <n v="7"/>
    <n v="6.18"/>
    <n v="0"/>
    <n v="0"/>
    <n v="0"/>
    <n v="0.82"/>
    <n v="0"/>
    <n v="0"/>
    <n v="248"/>
    <n v="211"/>
    <n v="0"/>
    <n v="0"/>
    <n v="0"/>
    <n v="37"/>
    <n v="0.1129"/>
    <n v="0"/>
    <n v="0"/>
  </r>
  <r>
    <n v="2013"/>
    <n v="7"/>
    <x v="2"/>
    <x v="2"/>
    <s v="SEA"/>
    <s v="Seattle, WA: Seattle/Tacoma International"/>
    <n v="558"/>
    <n v="112"/>
    <n v="29.89"/>
    <n v="1.06"/>
    <n v="13.77"/>
    <n v="0"/>
    <n v="67.28"/>
    <n v="6"/>
    <n v="0"/>
    <n v="5594"/>
    <n v="1532"/>
    <n v="25"/>
    <n v="374"/>
    <n v="0"/>
    <n v="3663"/>
    <n v="0.20069999999999999"/>
    <n v="1.0800000000000001E-2"/>
    <n v="0"/>
  </r>
  <r>
    <n v="2013"/>
    <n v="7"/>
    <x v="9"/>
    <x v="9"/>
    <s v="SEA"/>
    <s v="Seattle, WA: Seattle/Tacoma International"/>
    <n v="1084"/>
    <n v="297"/>
    <n v="111.14"/>
    <n v="8.07"/>
    <n v="74.58"/>
    <n v="0.85"/>
    <n v="102.36"/>
    <n v="5"/>
    <n v="1"/>
    <n v="17684"/>
    <n v="6351"/>
    <n v="751"/>
    <n v="3533"/>
    <n v="29"/>
    <n v="7020"/>
    <n v="0.27400000000000002"/>
    <n v="4.5999999999999999E-3"/>
    <n v="8.9999999999999998E-4"/>
  </r>
  <r>
    <n v="2013"/>
    <n v="7"/>
    <x v="15"/>
    <x v="15"/>
    <s v="SEA"/>
    <s v="Seattle, WA: Seattle/Tacoma International"/>
    <n v="411"/>
    <n v="122"/>
    <n v="43.15"/>
    <n v="3.48"/>
    <n v="49.2"/>
    <n v="3.68"/>
    <n v="22.48"/>
    <n v="2"/>
    <n v="0"/>
    <n v="6645"/>
    <n v="2796"/>
    <n v="239"/>
    <n v="2214"/>
    <n v="123"/>
    <n v="1273"/>
    <n v="0.29680000000000001"/>
    <n v="4.8999999999999998E-3"/>
    <n v="0"/>
  </r>
  <r>
    <n v="2013"/>
    <n v="7"/>
    <x v="14"/>
    <x v="14"/>
    <s v="SEA"/>
    <s v="Seattle, WA: Seattle/Tacoma International"/>
    <n v="294"/>
    <n v="63"/>
    <n v="9.0299999999999994"/>
    <n v="1.33"/>
    <n v="5.55"/>
    <n v="0"/>
    <n v="47.1"/>
    <n v="3"/>
    <n v="0"/>
    <n v="5916"/>
    <n v="446"/>
    <n v="441"/>
    <n v="618"/>
    <n v="0"/>
    <n v="4411"/>
    <n v="0.21429999999999999"/>
    <n v="1.0200000000000001E-2"/>
    <n v="0"/>
  </r>
  <r>
    <n v="2013"/>
    <n v="7"/>
    <x v="10"/>
    <x v="10"/>
    <s v="SEA"/>
    <s v="Seattle, WA: Seattle/Tacoma International"/>
    <n v="1386"/>
    <n v="334"/>
    <n v="121.68"/>
    <n v="2.98"/>
    <n v="42.43"/>
    <n v="1.92"/>
    <n v="165"/>
    <n v="1"/>
    <n v="2"/>
    <n v="15125"/>
    <n v="4860"/>
    <n v="238"/>
    <n v="1416"/>
    <n v="35"/>
    <n v="8576"/>
    <n v="0.24099999999999999"/>
    <n v="6.9999999999999999E-4"/>
    <n v="1.4E-3"/>
  </r>
  <r>
    <n v="2013"/>
    <n v="6"/>
    <x v="4"/>
    <x v="4"/>
    <s v="SEA"/>
    <s v="Seattle, WA: Seattle/Tacoma International"/>
    <n v="495"/>
    <n v="150"/>
    <n v="46"/>
    <n v="13.66"/>
    <n v="32.72"/>
    <n v="0"/>
    <n v="57.62"/>
    <n v="1"/>
    <n v="1"/>
    <n v="8000"/>
    <n v="1875"/>
    <n v="875"/>
    <n v="1384"/>
    <n v="0"/>
    <n v="3866"/>
    <n v="0.30299999999999999"/>
    <n v="2E-3"/>
    <n v="2E-3"/>
  </r>
  <r>
    <n v="2013"/>
    <n v="6"/>
    <x v="5"/>
    <x v="5"/>
    <s v="SEA"/>
    <s v="Seattle, WA: Seattle/Tacoma International"/>
    <n v="4355"/>
    <n v="447"/>
    <n v="108.81"/>
    <n v="6.56"/>
    <n v="182.51"/>
    <n v="1.39"/>
    <n v="147.72999999999999"/>
    <n v="17"/>
    <n v="4"/>
    <n v="20102"/>
    <n v="6157"/>
    <n v="324"/>
    <n v="5082"/>
    <n v="58"/>
    <n v="8481"/>
    <n v="0.1026"/>
    <n v="3.8999999999999998E-3"/>
    <n v="8.9999999999999998E-4"/>
  </r>
  <r>
    <n v="2013"/>
    <n v="6"/>
    <x v="6"/>
    <x v="6"/>
    <s v="SEA"/>
    <s v="Seattle, WA: Seattle/Tacoma International"/>
    <n v="271"/>
    <n v="59"/>
    <n v="23.2"/>
    <n v="0.86"/>
    <n v="18.38"/>
    <n v="0"/>
    <n v="16.559999999999999"/>
    <n v="0"/>
    <n v="0"/>
    <n v="3715"/>
    <n v="1458"/>
    <n v="38"/>
    <n v="799"/>
    <n v="0"/>
    <n v="1420"/>
    <n v="0.2177"/>
    <n v="0"/>
    <n v="0"/>
  </r>
  <r>
    <n v="2013"/>
    <n v="6"/>
    <x v="7"/>
    <x v="7"/>
    <s v="SEA"/>
    <s v="Seattle, WA: Seattle/Tacoma International"/>
    <n v="973"/>
    <n v="157"/>
    <n v="75.37"/>
    <n v="6.08"/>
    <n v="47.42"/>
    <n v="0"/>
    <n v="28.14"/>
    <n v="5"/>
    <n v="0"/>
    <n v="9766"/>
    <n v="5209"/>
    <n v="326"/>
    <n v="2371"/>
    <n v="0"/>
    <n v="1860"/>
    <n v="0.16139999999999999"/>
    <n v="5.1000000000000004E-3"/>
    <n v="0"/>
  </r>
  <r>
    <n v="2013"/>
    <n v="6"/>
    <x v="8"/>
    <x v="8"/>
    <s v="SEA"/>
    <s v="Seattle, WA: Seattle/Tacoma International"/>
    <n v="141"/>
    <n v="32"/>
    <n v="9.48"/>
    <n v="0.97"/>
    <n v="9.33"/>
    <n v="0"/>
    <n v="12.23"/>
    <n v="0"/>
    <n v="0"/>
    <n v="1755"/>
    <n v="434"/>
    <n v="51"/>
    <n v="314"/>
    <n v="0"/>
    <n v="956"/>
    <n v="0.22700000000000001"/>
    <n v="0"/>
    <n v="0"/>
  </r>
  <r>
    <n v="2013"/>
    <n v="6"/>
    <x v="0"/>
    <x v="0"/>
    <s v="SEA"/>
    <s v="Seattle, WA: Seattle/Tacoma International"/>
    <n v="60"/>
    <n v="8"/>
    <n v="7.12"/>
    <n v="0"/>
    <n v="0"/>
    <n v="0"/>
    <n v="0.88"/>
    <n v="0"/>
    <n v="0"/>
    <n v="240"/>
    <n v="207"/>
    <n v="0"/>
    <n v="0"/>
    <n v="0"/>
    <n v="33"/>
    <n v="0.1333"/>
    <n v="0"/>
    <n v="0"/>
  </r>
  <r>
    <n v="2013"/>
    <n v="6"/>
    <x v="2"/>
    <x v="2"/>
    <s v="SEA"/>
    <s v="Seattle, WA: Seattle/Tacoma International"/>
    <n v="528"/>
    <n v="73"/>
    <n v="21.26"/>
    <n v="0"/>
    <n v="20.25"/>
    <n v="0.04"/>
    <n v="31.44"/>
    <n v="8"/>
    <n v="0"/>
    <n v="3693"/>
    <n v="1285"/>
    <n v="0"/>
    <n v="471"/>
    <n v="1"/>
    <n v="1936"/>
    <n v="0.13830000000000001"/>
    <n v="1.52E-2"/>
    <n v="0"/>
  </r>
  <r>
    <n v="2013"/>
    <n v="6"/>
    <x v="9"/>
    <x v="9"/>
    <s v="SEA"/>
    <s v="Seattle, WA: Seattle/Tacoma International"/>
    <n v="981"/>
    <n v="290"/>
    <n v="117.22"/>
    <n v="8.25"/>
    <n v="54.1"/>
    <n v="0"/>
    <n v="110.43"/>
    <n v="9"/>
    <n v="3"/>
    <n v="21272"/>
    <n v="6929"/>
    <n v="839"/>
    <n v="2578"/>
    <n v="0"/>
    <n v="10926"/>
    <n v="0.29559999999999997"/>
    <n v="9.1999999999999998E-3"/>
    <n v="3.0999999999999999E-3"/>
  </r>
  <r>
    <n v="2013"/>
    <n v="6"/>
    <x v="15"/>
    <x v="15"/>
    <s v="SEA"/>
    <s v="Seattle, WA: Seattle/Tacoma International"/>
    <n v="404"/>
    <n v="122"/>
    <n v="48.23"/>
    <n v="4.5199999999999996"/>
    <n v="41.9"/>
    <n v="0.83"/>
    <n v="26.52"/>
    <n v="2"/>
    <n v="0"/>
    <n v="6027"/>
    <n v="2469"/>
    <n v="413"/>
    <n v="1653"/>
    <n v="21"/>
    <n v="1471"/>
    <n v="0.30199999999999999"/>
    <n v="5.0000000000000001E-3"/>
    <n v="0"/>
  </r>
  <r>
    <n v="2013"/>
    <n v="6"/>
    <x v="14"/>
    <x v="14"/>
    <s v="SEA"/>
    <s v="Seattle, WA: Seattle/Tacoma International"/>
    <n v="264"/>
    <n v="70"/>
    <n v="15.68"/>
    <n v="0.95"/>
    <n v="5.15"/>
    <n v="0"/>
    <n v="48.22"/>
    <n v="1"/>
    <n v="0"/>
    <n v="6144"/>
    <n v="1000"/>
    <n v="28"/>
    <n v="172"/>
    <n v="0"/>
    <n v="4944"/>
    <n v="0.26519999999999999"/>
    <n v="3.8E-3"/>
    <n v="0"/>
  </r>
  <r>
    <n v="2013"/>
    <n v="6"/>
    <x v="10"/>
    <x v="10"/>
    <s v="SEA"/>
    <s v="Seattle, WA: Seattle/Tacoma International"/>
    <n v="1340"/>
    <n v="373"/>
    <n v="138.68"/>
    <n v="6.95"/>
    <n v="56.48"/>
    <n v="1.82"/>
    <n v="169.07"/>
    <n v="1"/>
    <n v="1"/>
    <n v="17656"/>
    <n v="6943"/>
    <n v="600"/>
    <n v="1916"/>
    <n v="54"/>
    <n v="8143"/>
    <n v="0.27839999999999998"/>
    <n v="6.9999999999999999E-4"/>
    <n v="6.9999999999999999E-4"/>
  </r>
  <r>
    <n v="2013"/>
    <n v="5"/>
    <x v="4"/>
    <x v="4"/>
    <s v="SEA"/>
    <s v="Seattle, WA: Seattle/Tacoma International"/>
    <n v="485"/>
    <n v="94"/>
    <n v="33.880000000000003"/>
    <n v="7.47"/>
    <n v="15.08"/>
    <n v="0"/>
    <n v="37.57"/>
    <n v="3"/>
    <n v="2"/>
    <n v="6296"/>
    <n v="2339"/>
    <n v="504"/>
    <n v="506"/>
    <n v="0"/>
    <n v="2947"/>
    <n v="0.1938"/>
    <n v="6.1999999999999998E-3"/>
    <n v="4.1000000000000003E-3"/>
  </r>
  <r>
    <n v="2013"/>
    <n v="5"/>
    <x v="5"/>
    <x v="5"/>
    <s v="SEA"/>
    <s v="Seattle, WA: Seattle/Tacoma International"/>
    <n v="4111"/>
    <n v="310"/>
    <n v="77.05"/>
    <n v="3.69"/>
    <n v="123.52"/>
    <n v="0.3"/>
    <n v="105.45"/>
    <n v="7"/>
    <n v="6"/>
    <n v="14639"/>
    <n v="4048"/>
    <n v="423"/>
    <n v="3422"/>
    <n v="6"/>
    <n v="6740"/>
    <n v="7.5399999999999995E-2"/>
    <n v="1.6999999999999999E-3"/>
    <n v="1.5E-3"/>
  </r>
  <r>
    <n v="2013"/>
    <n v="5"/>
    <x v="6"/>
    <x v="6"/>
    <s v="SEA"/>
    <s v="Seattle, WA: Seattle/Tacoma International"/>
    <n v="215"/>
    <n v="40"/>
    <n v="10.06"/>
    <n v="0"/>
    <n v="19.309999999999999"/>
    <n v="0"/>
    <n v="10.63"/>
    <n v="0"/>
    <n v="0"/>
    <n v="1208"/>
    <n v="279"/>
    <n v="0"/>
    <n v="455"/>
    <n v="0"/>
    <n v="474"/>
    <n v="0.186"/>
    <n v="0"/>
    <n v="0"/>
  </r>
  <r>
    <n v="2013"/>
    <n v="5"/>
    <x v="7"/>
    <x v="7"/>
    <s v="SEA"/>
    <s v="Seattle, WA: Seattle/Tacoma International"/>
    <n v="745"/>
    <n v="73"/>
    <n v="30.69"/>
    <n v="1.41"/>
    <n v="15.32"/>
    <n v="0"/>
    <n v="25.58"/>
    <n v="0"/>
    <n v="0"/>
    <n v="3677"/>
    <n v="1913"/>
    <n v="72"/>
    <n v="504"/>
    <n v="0"/>
    <n v="1188"/>
    <n v="9.8000000000000004E-2"/>
    <n v="0"/>
    <n v="0"/>
  </r>
  <r>
    <n v="2013"/>
    <n v="5"/>
    <x v="8"/>
    <x v="8"/>
    <s v="SEA"/>
    <s v="Seattle, WA: Seattle/Tacoma International"/>
    <n v="127"/>
    <n v="36"/>
    <n v="13.25"/>
    <n v="0.09"/>
    <n v="10.49"/>
    <n v="0"/>
    <n v="12.17"/>
    <n v="0"/>
    <n v="0"/>
    <n v="1791"/>
    <n v="463"/>
    <n v="2"/>
    <n v="371"/>
    <n v="0"/>
    <n v="955"/>
    <n v="0.28349999999999997"/>
    <n v="0"/>
    <n v="0"/>
  </r>
  <r>
    <n v="2013"/>
    <n v="5"/>
    <x v="0"/>
    <x v="0"/>
    <s v="SEA"/>
    <s v="Seattle, WA: Seattle/Tacoma International"/>
    <n v="62"/>
    <n v="11"/>
    <n v="9.8800000000000008"/>
    <n v="0"/>
    <n v="0"/>
    <n v="0"/>
    <n v="1.1200000000000001"/>
    <n v="0"/>
    <n v="0"/>
    <n v="236"/>
    <n v="213"/>
    <n v="0"/>
    <n v="0"/>
    <n v="0"/>
    <n v="23"/>
    <n v="0.1774"/>
    <n v="0"/>
    <n v="0"/>
  </r>
  <r>
    <n v="2013"/>
    <n v="5"/>
    <x v="2"/>
    <x v="2"/>
    <s v="SEA"/>
    <s v="Seattle, WA: Seattle/Tacoma International"/>
    <n v="547"/>
    <n v="72"/>
    <n v="23.13"/>
    <n v="0"/>
    <n v="15.25"/>
    <n v="0"/>
    <n v="33.619999999999997"/>
    <n v="3"/>
    <n v="0"/>
    <n v="3581"/>
    <n v="1190"/>
    <n v="0"/>
    <n v="473"/>
    <n v="0"/>
    <n v="1918"/>
    <n v="0.13159999999999999"/>
    <n v="5.4999999999999997E-3"/>
    <n v="0"/>
  </r>
  <r>
    <n v="2013"/>
    <n v="5"/>
    <x v="9"/>
    <x v="9"/>
    <s v="SEA"/>
    <s v="Seattle, WA: Seattle/Tacoma International"/>
    <n v="898"/>
    <n v="150"/>
    <n v="61.52"/>
    <n v="2.5299999999999998"/>
    <n v="35.47"/>
    <n v="0"/>
    <n v="50.48"/>
    <n v="0"/>
    <n v="0"/>
    <n v="7504"/>
    <n v="3074"/>
    <n v="151"/>
    <n v="1124"/>
    <n v="0"/>
    <n v="3155"/>
    <n v="0.16700000000000001"/>
    <n v="0"/>
    <n v="0"/>
  </r>
  <r>
    <n v="2013"/>
    <n v="5"/>
    <x v="15"/>
    <x v="15"/>
    <s v="SEA"/>
    <s v="Seattle, WA: Seattle/Tacoma International"/>
    <n v="343"/>
    <n v="65"/>
    <n v="23.32"/>
    <n v="2.5"/>
    <n v="24.9"/>
    <n v="0.79"/>
    <n v="13.5"/>
    <n v="2"/>
    <n v="0"/>
    <n v="3080"/>
    <n v="1191"/>
    <n v="409"/>
    <n v="758"/>
    <n v="59"/>
    <n v="663"/>
    <n v="0.1895"/>
    <n v="5.7999999999999996E-3"/>
    <n v="0"/>
  </r>
  <r>
    <n v="2013"/>
    <n v="5"/>
    <x v="14"/>
    <x v="14"/>
    <s v="SEA"/>
    <s v="Seattle, WA: Seattle/Tacoma International"/>
    <n v="260"/>
    <n v="37"/>
    <n v="5.78"/>
    <n v="5.01"/>
    <n v="3.09"/>
    <n v="0"/>
    <n v="23.12"/>
    <n v="0"/>
    <n v="0"/>
    <n v="2267"/>
    <n v="390"/>
    <n v="113"/>
    <n v="73"/>
    <n v="0"/>
    <n v="1691"/>
    <n v="0.14230000000000001"/>
    <n v="0"/>
    <n v="0"/>
  </r>
  <r>
    <n v="2013"/>
    <n v="5"/>
    <x v="10"/>
    <x v="10"/>
    <s v="SEA"/>
    <s v="Seattle, WA: Seattle/Tacoma International"/>
    <n v="1058"/>
    <n v="226"/>
    <n v="77.95"/>
    <n v="0.22"/>
    <n v="24.75"/>
    <n v="0.17"/>
    <n v="122.91"/>
    <n v="0"/>
    <n v="4"/>
    <n v="10053"/>
    <n v="3381"/>
    <n v="7"/>
    <n v="619"/>
    <n v="3"/>
    <n v="6043"/>
    <n v="0.21360000000000001"/>
    <n v="0"/>
    <n v="3.8E-3"/>
  </r>
  <r>
    <n v="2013"/>
    <n v="4"/>
    <x v="4"/>
    <x v="4"/>
    <s v="SEA"/>
    <s v="Seattle, WA: Seattle/Tacoma International"/>
    <n v="440"/>
    <n v="139"/>
    <n v="39.299999999999997"/>
    <n v="8.51"/>
    <n v="29.83"/>
    <n v="0"/>
    <n v="61.36"/>
    <n v="8"/>
    <n v="0"/>
    <n v="8343"/>
    <n v="2443"/>
    <n v="549"/>
    <n v="1030"/>
    <n v="0"/>
    <n v="4321"/>
    <n v="0.31590000000000001"/>
    <n v="1.8200000000000001E-2"/>
    <n v="0"/>
  </r>
  <r>
    <n v="2013"/>
    <n v="4"/>
    <x v="5"/>
    <x v="5"/>
    <s v="SEA"/>
    <s v="Seattle, WA: Seattle/Tacoma International"/>
    <n v="3800"/>
    <n v="448"/>
    <n v="82.66"/>
    <n v="2.25"/>
    <n v="231.66"/>
    <n v="1.73"/>
    <n v="129.69999999999999"/>
    <n v="19"/>
    <n v="6"/>
    <n v="21000"/>
    <n v="6163"/>
    <n v="117"/>
    <n v="6096"/>
    <n v="128"/>
    <n v="8496"/>
    <n v="0.1179"/>
    <n v="5.0000000000000001E-3"/>
    <n v="1.6000000000000001E-3"/>
  </r>
  <r>
    <n v="2013"/>
    <n v="4"/>
    <x v="6"/>
    <x v="6"/>
    <s v="SEA"/>
    <s v="Seattle, WA: Seattle/Tacoma International"/>
    <n v="122"/>
    <n v="24"/>
    <n v="6.71"/>
    <n v="0"/>
    <n v="8.8800000000000008"/>
    <n v="0"/>
    <n v="8.41"/>
    <n v="0"/>
    <n v="0"/>
    <n v="1089"/>
    <n v="208"/>
    <n v="0"/>
    <n v="385"/>
    <n v="0"/>
    <n v="496"/>
    <n v="0.19670000000000001"/>
    <n v="0"/>
    <n v="0"/>
  </r>
  <r>
    <n v="2013"/>
    <n v="4"/>
    <x v="7"/>
    <x v="7"/>
    <s v="SEA"/>
    <s v="Seattle, WA: Seattle/Tacoma International"/>
    <n v="700"/>
    <n v="82"/>
    <n v="36.06"/>
    <n v="3.19"/>
    <n v="25.06"/>
    <n v="0"/>
    <n v="17.68"/>
    <n v="0"/>
    <n v="2"/>
    <n v="4221"/>
    <n v="2176"/>
    <n v="211"/>
    <n v="898"/>
    <n v="0"/>
    <n v="936"/>
    <n v="0.1171"/>
    <n v="0"/>
    <n v="2.8999999999999998E-3"/>
  </r>
  <r>
    <n v="2013"/>
    <n v="4"/>
    <x v="8"/>
    <x v="8"/>
    <s v="SEA"/>
    <s v="Seattle, WA: Seattle/Tacoma International"/>
    <n v="106"/>
    <n v="43"/>
    <n v="12.11"/>
    <n v="0.12"/>
    <n v="24.18"/>
    <n v="0"/>
    <n v="6.59"/>
    <n v="0"/>
    <n v="0"/>
    <n v="2300"/>
    <n v="606"/>
    <n v="6"/>
    <n v="1147"/>
    <n v="0"/>
    <n v="541"/>
    <n v="0.40570000000000001"/>
    <n v="0"/>
    <n v="0"/>
  </r>
  <r>
    <n v="2013"/>
    <n v="4"/>
    <x v="0"/>
    <x v="0"/>
    <s v="SEA"/>
    <s v="Seattle, WA: Seattle/Tacoma International"/>
    <n v="60"/>
    <n v="20"/>
    <n v="17.420000000000002"/>
    <n v="0"/>
    <n v="0"/>
    <n v="0"/>
    <n v="2.58"/>
    <n v="0"/>
    <n v="0"/>
    <n v="528"/>
    <n v="445"/>
    <n v="0"/>
    <n v="0"/>
    <n v="0"/>
    <n v="83"/>
    <n v="0.33329999999999999"/>
    <n v="0"/>
    <n v="0"/>
  </r>
  <r>
    <n v="2013"/>
    <n v="4"/>
    <x v="2"/>
    <x v="2"/>
    <s v="SEA"/>
    <s v="Seattle, WA: Seattle/Tacoma International"/>
    <n v="538"/>
    <n v="87"/>
    <n v="24.85"/>
    <n v="1.04"/>
    <n v="31.09"/>
    <n v="0"/>
    <n v="30.02"/>
    <n v="4"/>
    <n v="1"/>
    <n v="3562"/>
    <n v="1199"/>
    <n v="31"/>
    <n v="858"/>
    <n v="0"/>
    <n v="1474"/>
    <n v="0.16170000000000001"/>
    <n v="7.4000000000000003E-3"/>
    <n v="1.9E-3"/>
  </r>
  <r>
    <n v="2013"/>
    <n v="4"/>
    <x v="9"/>
    <x v="9"/>
    <s v="SEA"/>
    <s v="Seattle, WA: Seattle/Tacoma International"/>
    <n v="776"/>
    <n v="162"/>
    <n v="72.459999999999994"/>
    <n v="6.75"/>
    <n v="41.89"/>
    <n v="0"/>
    <n v="40.9"/>
    <n v="8"/>
    <n v="0"/>
    <n v="8262"/>
    <n v="3495"/>
    <n v="483"/>
    <n v="1621"/>
    <n v="0"/>
    <n v="2663"/>
    <n v="0.20880000000000001"/>
    <n v="1.03E-2"/>
    <n v="0"/>
  </r>
  <r>
    <n v="2013"/>
    <n v="4"/>
    <x v="15"/>
    <x v="15"/>
    <s v="SEA"/>
    <s v="Seattle, WA: Seattle/Tacoma International"/>
    <n v="260"/>
    <n v="74"/>
    <n v="19.8"/>
    <n v="0.81"/>
    <n v="34.39"/>
    <n v="1.1000000000000001"/>
    <n v="17.899999999999999"/>
    <n v="1"/>
    <n v="0"/>
    <n v="2807"/>
    <n v="629"/>
    <n v="153"/>
    <n v="842"/>
    <n v="31"/>
    <n v="1152"/>
    <n v="0.28460000000000002"/>
    <n v="3.8E-3"/>
    <n v="0"/>
  </r>
  <r>
    <n v="2013"/>
    <n v="4"/>
    <x v="14"/>
    <x v="14"/>
    <s v="SEA"/>
    <s v="Seattle, WA: Seattle/Tacoma International"/>
    <n v="218"/>
    <n v="37"/>
    <n v="8.57"/>
    <n v="5.69"/>
    <n v="4.18"/>
    <n v="0"/>
    <n v="18.55"/>
    <n v="0"/>
    <n v="0"/>
    <n v="1626"/>
    <n v="368"/>
    <n v="120"/>
    <n v="87"/>
    <n v="0"/>
    <n v="1051"/>
    <n v="0.16969999999999999"/>
    <n v="0"/>
    <n v="0"/>
  </r>
  <r>
    <n v="2013"/>
    <n v="4"/>
    <x v="10"/>
    <x v="10"/>
    <s v="SEA"/>
    <s v="Seattle, WA: Seattle/Tacoma International"/>
    <n v="992"/>
    <n v="311"/>
    <n v="102.09"/>
    <n v="0.2"/>
    <n v="84.4"/>
    <n v="2.4500000000000002"/>
    <n v="121.86"/>
    <n v="2"/>
    <n v="1"/>
    <n v="11587"/>
    <n v="3537"/>
    <n v="20"/>
    <n v="2254"/>
    <n v="89"/>
    <n v="5687"/>
    <n v="0.3135"/>
    <n v="2E-3"/>
    <n v="1E-3"/>
  </r>
  <r>
    <n v="2013"/>
    <n v="3"/>
    <x v="4"/>
    <x v="4"/>
    <s v="SEA"/>
    <s v="Seattle, WA: Seattle/Tacoma International"/>
    <n v="398"/>
    <n v="98"/>
    <n v="26.26"/>
    <n v="6.36"/>
    <n v="35.93"/>
    <n v="0"/>
    <n v="29.44"/>
    <n v="3"/>
    <n v="1"/>
    <n v="4498"/>
    <n v="1503"/>
    <n v="274"/>
    <n v="1226"/>
    <n v="0"/>
    <n v="1495"/>
    <n v="0.2462"/>
    <n v="7.4999999999999997E-3"/>
    <n v="2.5000000000000001E-3"/>
  </r>
  <r>
    <n v="2013"/>
    <n v="3"/>
    <x v="5"/>
    <x v="5"/>
    <s v="SEA"/>
    <s v="Seattle, WA: Seattle/Tacoma International"/>
    <n v="3797"/>
    <n v="442"/>
    <n v="86.18"/>
    <n v="5.08"/>
    <n v="200.77"/>
    <n v="2.2999999999999998"/>
    <n v="147.66999999999999"/>
    <n v="24"/>
    <n v="2"/>
    <n v="20300"/>
    <n v="5375"/>
    <n v="397"/>
    <n v="5674"/>
    <n v="38"/>
    <n v="8816"/>
    <n v="0.1164"/>
    <n v="6.3E-3"/>
    <n v="5.0000000000000001E-4"/>
  </r>
  <r>
    <n v="2013"/>
    <n v="3"/>
    <x v="6"/>
    <x v="6"/>
    <s v="SEA"/>
    <s v="Seattle, WA: Seattle/Tacoma International"/>
    <n v="124"/>
    <n v="21"/>
    <n v="7.33"/>
    <n v="0.47"/>
    <n v="6.61"/>
    <n v="0"/>
    <n v="6.59"/>
    <n v="0"/>
    <n v="0"/>
    <n v="1029"/>
    <n v="369"/>
    <n v="7"/>
    <n v="171"/>
    <n v="0"/>
    <n v="482"/>
    <n v="0.1694"/>
    <n v="0"/>
    <n v="0"/>
  </r>
  <r>
    <n v="2013"/>
    <n v="3"/>
    <x v="7"/>
    <x v="7"/>
    <s v="SEA"/>
    <s v="Seattle, WA: Seattle/Tacoma International"/>
    <n v="716"/>
    <n v="104"/>
    <n v="53.44"/>
    <n v="2.29"/>
    <n v="38.9"/>
    <n v="0"/>
    <n v="9.3699999999999992"/>
    <n v="1"/>
    <n v="0"/>
    <n v="5175"/>
    <n v="3275"/>
    <n v="262"/>
    <n v="1116"/>
    <n v="0"/>
    <n v="522"/>
    <n v="0.14530000000000001"/>
    <n v="1.4E-3"/>
    <n v="0"/>
  </r>
  <r>
    <n v="2013"/>
    <n v="3"/>
    <x v="8"/>
    <x v="8"/>
    <s v="SEA"/>
    <s v="Seattle, WA: Seattle/Tacoma International"/>
    <n v="94"/>
    <n v="36"/>
    <n v="15.22"/>
    <n v="0"/>
    <n v="17.2"/>
    <n v="0"/>
    <n v="3.58"/>
    <n v="0"/>
    <n v="0"/>
    <n v="1697"/>
    <n v="685"/>
    <n v="0"/>
    <n v="707"/>
    <n v="0"/>
    <n v="305"/>
    <n v="0.38300000000000001"/>
    <n v="0"/>
    <n v="0"/>
  </r>
  <r>
    <n v="2013"/>
    <n v="3"/>
    <x v="0"/>
    <x v="0"/>
    <s v="SEA"/>
    <s v="Seattle, WA: Seattle/Tacoma International"/>
    <n v="62"/>
    <n v="19"/>
    <n v="14.96"/>
    <n v="0"/>
    <n v="0"/>
    <n v="0"/>
    <n v="4.04"/>
    <n v="0"/>
    <n v="1"/>
    <n v="595"/>
    <n v="358"/>
    <n v="0"/>
    <n v="0"/>
    <n v="0"/>
    <n v="237"/>
    <n v="0.30649999999999999"/>
    <n v="0"/>
    <n v="1.61E-2"/>
  </r>
  <r>
    <n v="2013"/>
    <n v="3"/>
    <x v="2"/>
    <x v="2"/>
    <s v="SEA"/>
    <s v="Seattle, WA: Seattle/Tacoma International"/>
    <n v="468"/>
    <n v="67"/>
    <n v="20.5"/>
    <n v="3.69"/>
    <n v="13.44"/>
    <n v="0"/>
    <n v="29.37"/>
    <n v="5"/>
    <n v="1"/>
    <n v="3848"/>
    <n v="1060"/>
    <n v="220"/>
    <n v="403"/>
    <n v="0"/>
    <n v="2165"/>
    <n v="0.14319999999999999"/>
    <n v="1.0699999999999999E-2"/>
    <n v="2.0999999999999999E-3"/>
  </r>
  <r>
    <n v="2013"/>
    <n v="3"/>
    <x v="9"/>
    <x v="9"/>
    <s v="SEA"/>
    <s v="Seattle, WA: Seattle/Tacoma International"/>
    <n v="841"/>
    <n v="197"/>
    <n v="71.34"/>
    <n v="4.2"/>
    <n v="63.6"/>
    <n v="0"/>
    <n v="57.87"/>
    <n v="4"/>
    <n v="2"/>
    <n v="9486"/>
    <n v="3245"/>
    <n v="353"/>
    <n v="2041"/>
    <n v="0"/>
    <n v="3847"/>
    <n v="0.23419999999999999"/>
    <n v="4.7999999999999996E-3"/>
    <n v="2.3999999999999998E-3"/>
  </r>
  <r>
    <n v="2013"/>
    <n v="3"/>
    <x v="15"/>
    <x v="15"/>
    <s v="SEA"/>
    <s v="Seattle, WA: Seattle/Tacoma International"/>
    <n v="289"/>
    <n v="52"/>
    <n v="18.329999999999998"/>
    <n v="0"/>
    <n v="27.04"/>
    <n v="0.28000000000000003"/>
    <n v="6.35"/>
    <n v="0"/>
    <n v="0"/>
    <n v="1843"/>
    <n v="761"/>
    <n v="0"/>
    <n v="698"/>
    <n v="15"/>
    <n v="369"/>
    <n v="0.1799"/>
    <n v="0"/>
    <n v="0"/>
  </r>
  <r>
    <n v="2013"/>
    <n v="3"/>
    <x v="14"/>
    <x v="14"/>
    <s v="SEA"/>
    <s v="Seattle, WA: Seattle/Tacoma International"/>
    <n v="240"/>
    <n v="29"/>
    <n v="8.39"/>
    <n v="5.28"/>
    <n v="2.94"/>
    <n v="0"/>
    <n v="12.39"/>
    <n v="0"/>
    <n v="0"/>
    <n v="1201"/>
    <n v="409"/>
    <n v="139"/>
    <n v="78"/>
    <n v="0"/>
    <n v="575"/>
    <n v="0.1208"/>
    <n v="0"/>
    <n v="0"/>
  </r>
  <r>
    <n v="2013"/>
    <n v="3"/>
    <x v="10"/>
    <x v="10"/>
    <s v="SEA"/>
    <s v="Seattle, WA: Seattle/Tacoma International"/>
    <n v="965"/>
    <n v="235"/>
    <n v="64.87"/>
    <n v="0.47"/>
    <n v="59.77"/>
    <n v="0"/>
    <n v="109.89"/>
    <n v="3"/>
    <n v="1"/>
    <n v="9667"/>
    <n v="2399"/>
    <n v="16"/>
    <n v="1731"/>
    <n v="0"/>
    <n v="5521"/>
    <n v="0.24349999999999999"/>
    <n v="3.0999999999999999E-3"/>
    <n v="1E-3"/>
  </r>
  <r>
    <n v="2013"/>
    <n v="2"/>
    <x v="4"/>
    <x v="4"/>
    <s v="SEA"/>
    <s v="Seattle, WA: Seattle/Tacoma International"/>
    <n v="347"/>
    <n v="77"/>
    <n v="28.72"/>
    <n v="8.27"/>
    <n v="16"/>
    <n v="0"/>
    <n v="24.01"/>
    <n v="5"/>
    <n v="0"/>
    <n v="3277"/>
    <n v="1346"/>
    <n v="315"/>
    <n v="430"/>
    <n v="0"/>
    <n v="1186"/>
    <n v="0.22189999999999999"/>
    <n v="1.44E-2"/>
    <n v="0"/>
  </r>
  <r>
    <n v="2013"/>
    <n v="2"/>
    <x v="5"/>
    <x v="5"/>
    <s v="SEA"/>
    <s v="Seattle, WA: Seattle/Tacoma International"/>
    <n v="3236"/>
    <n v="298"/>
    <n v="81.599999999999994"/>
    <n v="13.65"/>
    <n v="102.54"/>
    <n v="5.53"/>
    <n v="94.69"/>
    <n v="14"/>
    <n v="2"/>
    <n v="15330"/>
    <n v="6092"/>
    <n v="607"/>
    <n v="2677"/>
    <n v="177"/>
    <n v="5777"/>
    <n v="9.2100000000000001E-2"/>
    <n v="4.3E-3"/>
    <n v="5.9999999999999995E-4"/>
  </r>
  <r>
    <n v="2013"/>
    <n v="2"/>
    <x v="6"/>
    <x v="6"/>
    <s v="SEA"/>
    <s v="Seattle, WA: Seattle/Tacoma International"/>
    <n v="106"/>
    <n v="20"/>
    <n v="8.66"/>
    <n v="0.71"/>
    <n v="4.66"/>
    <n v="0"/>
    <n v="5.97"/>
    <n v="2"/>
    <n v="0"/>
    <n v="982"/>
    <n v="503"/>
    <n v="60"/>
    <n v="136"/>
    <n v="0"/>
    <n v="283"/>
    <n v="0.18870000000000001"/>
    <n v="1.89E-2"/>
    <n v="0"/>
  </r>
  <r>
    <n v="2013"/>
    <n v="2"/>
    <x v="7"/>
    <x v="7"/>
    <s v="SEA"/>
    <s v="Seattle, WA: Seattle/Tacoma International"/>
    <n v="572"/>
    <n v="61"/>
    <n v="26.02"/>
    <n v="4.75"/>
    <n v="27.78"/>
    <n v="0"/>
    <n v="2.4500000000000002"/>
    <n v="4"/>
    <n v="1"/>
    <n v="2519"/>
    <n v="1078"/>
    <n v="322"/>
    <n v="994"/>
    <n v="0"/>
    <n v="125"/>
    <n v="0.1066"/>
    <n v="7.0000000000000001E-3"/>
    <n v="1.6999999999999999E-3"/>
  </r>
  <r>
    <n v="2013"/>
    <n v="2"/>
    <x v="8"/>
    <x v="8"/>
    <s v="SEA"/>
    <s v="Seattle, WA: Seattle/Tacoma International"/>
    <n v="88"/>
    <n v="34"/>
    <n v="15.4"/>
    <n v="0.12"/>
    <n v="9"/>
    <n v="0"/>
    <n v="9.48"/>
    <n v="1"/>
    <n v="0"/>
    <n v="2348"/>
    <n v="1179"/>
    <n v="7"/>
    <n v="361"/>
    <n v="0"/>
    <n v="801"/>
    <n v="0.38640000000000002"/>
    <n v="1.14E-2"/>
    <n v="0"/>
  </r>
  <r>
    <n v="2013"/>
    <n v="2"/>
    <x v="0"/>
    <x v="0"/>
    <s v="SEA"/>
    <s v="Seattle, WA: Seattle/Tacoma International"/>
    <n v="56"/>
    <n v="35"/>
    <n v="32.92"/>
    <n v="0.06"/>
    <n v="0.28000000000000003"/>
    <n v="0"/>
    <n v="1.73"/>
    <n v="0"/>
    <n v="0"/>
    <n v="1278"/>
    <n v="1104"/>
    <n v="2"/>
    <n v="9"/>
    <n v="0"/>
    <n v="163"/>
    <n v="0.625"/>
    <n v="0"/>
    <n v="0"/>
  </r>
  <r>
    <n v="2013"/>
    <n v="2"/>
    <x v="2"/>
    <x v="2"/>
    <s v="SEA"/>
    <s v="Seattle, WA: Seattle/Tacoma International"/>
    <n v="429"/>
    <n v="46"/>
    <n v="8.68"/>
    <n v="3.17"/>
    <n v="10.7"/>
    <n v="0"/>
    <n v="23.45"/>
    <n v="4"/>
    <n v="5"/>
    <n v="2503"/>
    <n v="413"/>
    <n v="216"/>
    <n v="314"/>
    <n v="0"/>
    <n v="1560"/>
    <n v="0.1072"/>
    <n v="9.2999999999999992E-3"/>
    <n v="1.17E-2"/>
  </r>
  <r>
    <n v="2013"/>
    <n v="2"/>
    <x v="9"/>
    <x v="9"/>
    <s v="SEA"/>
    <s v="Seattle, WA: Seattle/Tacoma International"/>
    <n v="660"/>
    <n v="118"/>
    <n v="44.45"/>
    <n v="5.51"/>
    <n v="38.01"/>
    <n v="0"/>
    <n v="30.04"/>
    <n v="5"/>
    <n v="0"/>
    <n v="5341"/>
    <n v="2121"/>
    <n v="258"/>
    <n v="1142"/>
    <n v="0"/>
    <n v="1820"/>
    <n v="0.17879999999999999"/>
    <n v="7.6E-3"/>
    <n v="0"/>
  </r>
  <r>
    <n v="2013"/>
    <n v="2"/>
    <x v="15"/>
    <x v="15"/>
    <s v="SEA"/>
    <s v="Seattle, WA: Seattle/Tacoma International"/>
    <n v="210"/>
    <n v="23"/>
    <n v="11.43"/>
    <n v="0.6"/>
    <n v="8.69"/>
    <n v="0.56999999999999995"/>
    <n v="1.71"/>
    <n v="0"/>
    <n v="0"/>
    <n v="1148"/>
    <n v="481"/>
    <n v="160"/>
    <n v="417"/>
    <n v="13"/>
    <n v="77"/>
    <n v="0.1095"/>
    <n v="0"/>
    <n v="0"/>
  </r>
  <r>
    <n v="2013"/>
    <n v="2"/>
    <x v="14"/>
    <x v="14"/>
    <s v="SEA"/>
    <s v="Seattle, WA: Seattle/Tacoma International"/>
    <n v="193"/>
    <n v="14"/>
    <n v="4.05"/>
    <n v="1.24"/>
    <n v="0.59"/>
    <n v="0"/>
    <n v="8.1199999999999992"/>
    <n v="0"/>
    <n v="0"/>
    <n v="508"/>
    <n v="115"/>
    <n v="26"/>
    <n v="14"/>
    <n v="0"/>
    <n v="353"/>
    <n v="7.2499999999999995E-2"/>
    <n v="0"/>
    <n v="0"/>
  </r>
  <r>
    <n v="2013"/>
    <n v="2"/>
    <x v="10"/>
    <x v="10"/>
    <s v="SEA"/>
    <s v="Seattle, WA: Seattle/Tacoma International"/>
    <n v="757"/>
    <n v="88"/>
    <n v="34.479999999999997"/>
    <n v="0.76"/>
    <n v="10.27"/>
    <n v="0.4"/>
    <n v="42.09"/>
    <n v="4"/>
    <n v="0"/>
    <n v="3141"/>
    <n v="1190"/>
    <n v="16"/>
    <n v="349"/>
    <n v="8"/>
    <n v="1578"/>
    <n v="0.1162"/>
    <n v="5.3E-3"/>
    <n v="0"/>
  </r>
  <r>
    <n v="2013"/>
    <n v="1"/>
    <x v="4"/>
    <x v="4"/>
    <s v="SEA"/>
    <s v="Seattle, WA: Seattle/Tacoma International"/>
    <n v="374"/>
    <n v="90"/>
    <n v="26.17"/>
    <n v="6.46"/>
    <n v="26.48"/>
    <n v="0"/>
    <n v="30.89"/>
    <n v="4"/>
    <n v="2"/>
    <n v="3897"/>
    <n v="1119"/>
    <n v="276"/>
    <n v="674"/>
    <n v="0"/>
    <n v="1828"/>
    <n v="0.24060000000000001"/>
    <n v="1.0699999999999999E-2"/>
    <n v="5.3E-3"/>
  </r>
  <r>
    <n v="2013"/>
    <n v="1"/>
    <x v="5"/>
    <x v="5"/>
    <s v="SEA"/>
    <s v="Seattle, WA: Seattle/Tacoma International"/>
    <n v="3551"/>
    <n v="414"/>
    <n v="100.77"/>
    <n v="6.21"/>
    <n v="203.16"/>
    <n v="1.25"/>
    <n v="102.6"/>
    <n v="14"/>
    <n v="7"/>
    <n v="19495"/>
    <n v="7682"/>
    <n v="258"/>
    <n v="5690"/>
    <n v="78"/>
    <n v="5787"/>
    <n v="0.1166"/>
    <n v="3.8999999999999998E-3"/>
    <n v="2E-3"/>
  </r>
  <r>
    <n v="2013"/>
    <n v="1"/>
    <x v="6"/>
    <x v="6"/>
    <s v="SEA"/>
    <s v="Seattle, WA: Seattle/Tacoma International"/>
    <n v="113"/>
    <n v="28"/>
    <n v="9.91"/>
    <n v="0"/>
    <n v="12.84"/>
    <n v="0"/>
    <n v="5.25"/>
    <n v="0"/>
    <n v="0"/>
    <n v="1092"/>
    <n v="448"/>
    <n v="0"/>
    <n v="475"/>
    <n v="0"/>
    <n v="169"/>
    <n v="0.24779999999999999"/>
    <n v="0"/>
    <n v="0"/>
  </r>
  <r>
    <n v="2013"/>
    <n v="1"/>
    <x v="7"/>
    <x v="7"/>
    <s v="SEA"/>
    <s v="Seattle, WA: Seattle/Tacoma International"/>
    <n v="637"/>
    <n v="98"/>
    <n v="39.42"/>
    <n v="8.06"/>
    <n v="42.52"/>
    <n v="0"/>
    <n v="8"/>
    <n v="1"/>
    <n v="0"/>
    <n v="4747"/>
    <n v="1820"/>
    <n v="999"/>
    <n v="1540"/>
    <n v="0"/>
    <n v="388"/>
    <n v="0.15379999999999999"/>
    <n v="1.6000000000000001E-3"/>
    <n v="0"/>
  </r>
  <r>
    <n v="2013"/>
    <n v="1"/>
    <x v="8"/>
    <x v="8"/>
    <s v="SEA"/>
    <s v="Seattle, WA: Seattle/Tacoma International"/>
    <n v="103"/>
    <n v="39"/>
    <n v="17.61"/>
    <n v="0"/>
    <n v="10.7"/>
    <n v="0"/>
    <n v="10.69"/>
    <n v="1"/>
    <n v="0"/>
    <n v="1638"/>
    <n v="596"/>
    <n v="0"/>
    <n v="432"/>
    <n v="0"/>
    <n v="610"/>
    <n v="0.37859999999999999"/>
    <n v="9.7000000000000003E-3"/>
    <n v="0"/>
  </r>
  <r>
    <n v="2013"/>
    <n v="1"/>
    <x v="0"/>
    <x v="0"/>
    <s v="SEA"/>
    <s v="Seattle, WA: Seattle/Tacoma International"/>
    <n v="62"/>
    <n v="27"/>
    <n v="23.92"/>
    <n v="0"/>
    <n v="0"/>
    <n v="0"/>
    <n v="3.08"/>
    <n v="0"/>
    <n v="1"/>
    <n v="949"/>
    <n v="844"/>
    <n v="0"/>
    <n v="0"/>
    <n v="0"/>
    <n v="105"/>
    <n v="0.4355"/>
    <n v="0"/>
    <n v="1.61E-2"/>
  </r>
  <r>
    <n v="2013"/>
    <n v="1"/>
    <x v="2"/>
    <x v="2"/>
    <s v="SEA"/>
    <s v="Seattle, WA: Seattle/Tacoma International"/>
    <n v="458"/>
    <n v="60"/>
    <n v="18.27"/>
    <n v="2.31"/>
    <n v="17.079999999999998"/>
    <n v="0"/>
    <n v="22.34"/>
    <n v="28"/>
    <n v="9"/>
    <n v="3666"/>
    <n v="1183"/>
    <n v="146"/>
    <n v="588"/>
    <n v="0"/>
    <n v="1749"/>
    <n v="0.13100000000000001"/>
    <n v="6.1100000000000002E-2"/>
    <n v="1.9699999999999999E-2"/>
  </r>
  <r>
    <n v="2013"/>
    <n v="1"/>
    <x v="9"/>
    <x v="9"/>
    <s v="SEA"/>
    <s v="Seattle, WA: Seattle/Tacoma International"/>
    <n v="681"/>
    <n v="122"/>
    <n v="56.28"/>
    <n v="3.88"/>
    <n v="44.83"/>
    <n v="0"/>
    <n v="17.010000000000002"/>
    <n v="1"/>
    <n v="6"/>
    <n v="6107"/>
    <n v="2543"/>
    <n v="347"/>
    <n v="1587"/>
    <n v="0"/>
    <n v="1630"/>
    <n v="0.17910000000000001"/>
    <n v="1.5E-3"/>
    <n v="8.8000000000000005E-3"/>
  </r>
  <r>
    <n v="2013"/>
    <n v="1"/>
    <x v="15"/>
    <x v="15"/>
    <s v="SEA"/>
    <s v="Seattle, WA: Seattle/Tacoma International"/>
    <n v="236"/>
    <n v="46"/>
    <n v="17.97"/>
    <n v="0.97"/>
    <n v="18.43"/>
    <n v="1.41"/>
    <n v="7.22"/>
    <n v="0"/>
    <n v="5"/>
    <n v="2429"/>
    <n v="1261"/>
    <n v="115"/>
    <n v="742"/>
    <n v="27"/>
    <n v="284"/>
    <n v="0.19489999999999999"/>
    <n v="0"/>
    <n v="2.12E-2"/>
  </r>
  <r>
    <n v="2013"/>
    <n v="1"/>
    <x v="14"/>
    <x v="14"/>
    <s v="SEA"/>
    <s v="Seattle, WA: Seattle/Tacoma International"/>
    <n v="209"/>
    <n v="12"/>
    <n v="3.7"/>
    <n v="3.33"/>
    <n v="0.04"/>
    <n v="0"/>
    <n v="4.93"/>
    <n v="0"/>
    <n v="0"/>
    <n v="509"/>
    <n v="71"/>
    <n v="68"/>
    <n v="4"/>
    <n v="0"/>
    <n v="366"/>
    <n v="5.74E-2"/>
    <n v="0"/>
    <n v="0"/>
  </r>
  <r>
    <n v="2013"/>
    <n v="1"/>
    <x v="10"/>
    <x v="10"/>
    <s v="SEA"/>
    <s v="Seattle, WA: Seattle/Tacoma International"/>
    <n v="813"/>
    <n v="132"/>
    <n v="60.63"/>
    <n v="3.08"/>
    <n v="18.37"/>
    <n v="1.1100000000000001"/>
    <n v="48.81"/>
    <n v="1"/>
    <n v="0"/>
    <n v="5485"/>
    <n v="2339"/>
    <n v="422"/>
    <n v="609"/>
    <n v="23"/>
    <n v="2092"/>
    <n v="0.16239999999999999"/>
    <n v="1.1999999999999999E-3"/>
    <n v="0"/>
  </r>
  <r>
    <n v="2012"/>
    <n v="12"/>
    <x v="4"/>
    <x v="4"/>
    <s v="SEA"/>
    <s v="Seattle, WA: Seattle/Tacoma International"/>
    <n v="398"/>
    <n v="99"/>
    <n v="35.479999999999997"/>
    <n v="6.92"/>
    <n v="29.86"/>
    <n v="0"/>
    <n v="26.75"/>
    <n v="4"/>
    <n v="1"/>
    <n v="4393"/>
    <n v="1336"/>
    <n v="514"/>
    <n v="873"/>
    <n v="0"/>
    <n v="1670"/>
    <n v="0.2487"/>
    <n v="1.01E-2"/>
    <n v="2.5000000000000001E-3"/>
  </r>
  <r>
    <n v="2012"/>
    <n v="12"/>
    <x v="5"/>
    <x v="5"/>
    <s v="SEA"/>
    <s v="Seattle, WA: Seattle/Tacoma International"/>
    <n v="3562"/>
    <n v="497"/>
    <n v="99.59"/>
    <n v="6.49"/>
    <n v="209.73"/>
    <n v="1.49"/>
    <n v="179.71"/>
    <n v="15"/>
    <n v="4"/>
    <n v="24227"/>
    <n v="6343"/>
    <n v="475"/>
    <n v="5824"/>
    <n v="50"/>
    <n v="11535"/>
    <n v="0.13950000000000001"/>
    <n v="4.1999999999999997E-3"/>
    <n v="1.1000000000000001E-3"/>
  </r>
  <r>
    <n v="2012"/>
    <n v="12"/>
    <x v="6"/>
    <x v="6"/>
    <s v="SEA"/>
    <s v="Seattle, WA: Seattle/Tacoma International"/>
    <n v="115"/>
    <n v="35"/>
    <n v="17.329999999999998"/>
    <n v="0"/>
    <n v="4.96"/>
    <n v="0"/>
    <n v="12.7"/>
    <n v="0"/>
    <n v="0"/>
    <n v="2074"/>
    <n v="1267"/>
    <n v="0"/>
    <n v="134"/>
    <n v="0"/>
    <n v="673"/>
    <n v="0.30430000000000001"/>
    <n v="0"/>
    <n v="0"/>
  </r>
  <r>
    <n v="2012"/>
    <n v="12"/>
    <x v="7"/>
    <x v="7"/>
    <s v="SEA"/>
    <s v="Seattle, WA: Seattle/Tacoma International"/>
    <n v="710"/>
    <n v="80"/>
    <n v="26.89"/>
    <n v="2.66"/>
    <n v="38.119999999999997"/>
    <n v="0"/>
    <n v="12.33"/>
    <n v="0"/>
    <n v="0"/>
    <n v="3872"/>
    <n v="1413"/>
    <n v="602"/>
    <n v="1224"/>
    <n v="0"/>
    <n v="633"/>
    <n v="0.11269999999999999"/>
    <n v="0"/>
    <n v="0"/>
  </r>
  <r>
    <n v="2012"/>
    <n v="12"/>
    <x v="8"/>
    <x v="8"/>
    <s v="SEA"/>
    <s v="Seattle, WA: Seattle/Tacoma International"/>
    <n v="122"/>
    <n v="56"/>
    <n v="27.79"/>
    <n v="0.51"/>
    <n v="18.2"/>
    <n v="0"/>
    <n v="9.5"/>
    <n v="0"/>
    <n v="0"/>
    <n v="2771"/>
    <n v="1313"/>
    <n v="34"/>
    <n v="663"/>
    <n v="0"/>
    <n v="761"/>
    <n v="0.45900000000000002"/>
    <n v="0"/>
    <n v="0"/>
  </r>
  <r>
    <n v="2012"/>
    <n v="12"/>
    <x v="0"/>
    <x v="0"/>
    <s v="SEA"/>
    <s v="Seattle, WA: Seattle/Tacoma International"/>
    <n v="62"/>
    <n v="13"/>
    <n v="10.68"/>
    <n v="0"/>
    <n v="0"/>
    <n v="0"/>
    <n v="2.3199999999999998"/>
    <n v="0"/>
    <n v="0"/>
    <n v="473"/>
    <n v="352"/>
    <n v="0"/>
    <n v="0"/>
    <n v="0"/>
    <n v="121"/>
    <n v="0.2097"/>
    <n v="0"/>
    <n v="0"/>
  </r>
  <r>
    <n v="2012"/>
    <n v="12"/>
    <x v="2"/>
    <x v="2"/>
    <s v="SEA"/>
    <s v="Seattle, WA: Seattle/Tacoma International"/>
    <n v="499"/>
    <n v="93"/>
    <n v="27.49"/>
    <n v="1.68"/>
    <n v="15.27"/>
    <n v="0"/>
    <n v="48.56"/>
    <n v="14"/>
    <n v="2"/>
    <n v="4603"/>
    <n v="1662"/>
    <n v="87"/>
    <n v="440"/>
    <n v="0"/>
    <n v="2414"/>
    <n v="0.18640000000000001"/>
    <n v="2.81E-2"/>
    <n v="4.0000000000000001E-3"/>
  </r>
  <r>
    <n v="2012"/>
    <n v="12"/>
    <x v="9"/>
    <x v="9"/>
    <s v="SEA"/>
    <s v="Seattle, WA: Seattle/Tacoma International"/>
    <n v="871"/>
    <n v="215"/>
    <n v="97.22"/>
    <n v="5.83"/>
    <n v="52.37"/>
    <n v="0.46"/>
    <n v="59.12"/>
    <n v="4"/>
    <n v="5"/>
    <n v="11193"/>
    <n v="4771"/>
    <n v="367"/>
    <n v="1867"/>
    <n v="11"/>
    <n v="4177"/>
    <n v="0.24679999999999999"/>
    <n v="4.5999999999999999E-3"/>
    <n v="5.7000000000000002E-3"/>
  </r>
  <r>
    <n v="2012"/>
    <n v="12"/>
    <x v="15"/>
    <x v="15"/>
    <s v="SEA"/>
    <s v="Seattle, WA: Seattle/Tacoma International"/>
    <n v="308"/>
    <n v="59"/>
    <n v="26.88"/>
    <n v="0"/>
    <n v="20.34"/>
    <n v="0.48"/>
    <n v="11.3"/>
    <n v="1"/>
    <n v="0"/>
    <n v="1983"/>
    <n v="975"/>
    <n v="0"/>
    <n v="588"/>
    <n v="18"/>
    <n v="402"/>
    <n v="0.19159999999999999"/>
    <n v="3.2000000000000002E-3"/>
    <n v="0"/>
  </r>
  <r>
    <n v="2012"/>
    <n v="12"/>
    <x v="14"/>
    <x v="14"/>
    <s v="SEA"/>
    <s v="Seattle, WA: Seattle/Tacoma International"/>
    <n v="229"/>
    <n v="37"/>
    <n v="11.18"/>
    <n v="3.44"/>
    <n v="2.31"/>
    <n v="0"/>
    <n v="20.07"/>
    <n v="0"/>
    <n v="0"/>
    <n v="2305"/>
    <n v="459"/>
    <n v="85"/>
    <n v="59"/>
    <n v="0"/>
    <n v="1702"/>
    <n v="0.16159999999999999"/>
    <n v="0"/>
    <n v="0"/>
  </r>
  <r>
    <n v="2012"/>
    <n v="12"/>
    <x v="10"/>
    <x v="10"/>
    <s v="SEA"/>
    <s v="Seattle, WA: Seattle/Tacoma International"/>
    <n v="956"/>
    <n v="251"/>
    <n v="105.69"/>
    <n v="0.98"/>
    <n v="32.49"/>
    <n v="2.63"/>
    <n v="109.21"/>
    <n v="2"/>
    <n v="0"/>
    <n v="10643"/>
    <n v="4165"/>
    <n v="46"/>
    <n v="907"/>
    <n v="64"/>
    <n v="5461"/>
    <n v="0.2626"/>
    <n v="2.0999999999999999E-3"/>
    <n v="0"/>
  </r>
  <r>
    <n v="2012"/>
    <n v="11"/>
    <x v="4"/>
    <x v="4"/>
    <s v="SEA"/>
    <s v="Seattle, WA: Seattle/Tacoma International"/>
    <n v="404"/>
    <n v="113"/>
    <n v="46.76"/>
    <n v="0.21"/>
    <n v="34.049999999999997"/>
    <n v="0.73"/>
    <n v="31.25"/>
    <n v="1"/>
    <n v="0"/>
    <n v="4871"/>
    <n v="1916"/>
    <n v="4"/>
    <n v="968"/>
    <n v="11"/>
    <n v="1972"/>
    <n v="0.2797"/>
    <n v="2.5000000000000001E-3"/>
    <n v="0"/>
  </r>
  <r>
    <n v="2012"/>
    <n v="11"/>
    <x v="5"/>
    <x v="5"/>
    <s v="SEA"/>
    <s v="Seattle, WA: Seattle/Tacoma International"/>
    <n v="3468"/>
    <n v="330"/>
    <n v="88.01"/>
    <n v="2.76"/>
    <n v="85.68"/>
    <n v="0.08"/>
    <n v="153.47"/>
    <n v="16"/>
    <n v="7"/>
    <n v="18446"/>
    <n v="6533"/>
    <n v="226"/>
    <n v="2494"/>
    <n v="8"/>
    <n v="9185"/>
    <n v="9.5200000000000007E-2"/>
    <n v="4.5999999999999999E-3"/>
    <n v="2E-3"/>
  </r>
  <r>
    <n v="2012"/>
    <n v="11"/>
    <x v="6"/>
    <x v="6"/>
    <s v="SEA"/>
    <s v="Seattle, WA: Seattle/Tacoma International"/>
    <n v="117"/>
    <n v="18"/>
    <n v="6.7"/>
    <n v="2"/>
    <n v="3.88"/>
    <n v="0"/>
    <n v="5.42"/>
    <n v="0"/>
    <n v="0"/>
    <n v="1081"/>
    <n v="475"/>
    <n v="203"/>
    <n v="128"/>
    <n v="0"/>
    <n v="275"/>
    <n v="0.15379999999999999"/>
    <n v="0"/>
    <n v="0"/>
  </r>
  <r>
    <n v="2012"/>
    <n v="11"/>
    <x v="7"/>
    <x v="7"/>
    <s v="SEA"/>
    <s v="Seattle, WA: Seattle/Tacoma International"/>
    <n v="719"/>
    <n v="79"/>
    <n v="31.49"/>
    <n v="0.04"/>
    <n v="31.9"/>
    <n v="0"/>
    <n v="15.58"/>
    <n v="1"/>
    <n v="0"/>
    <n v="4055"/>
    <n v="1613"/>
    <n v="1"/>
    <n v="1333"/>
    <n v="0"/>
    <n v="1108"/>
    <n v="0.1099"/>
    <n v="1.4E-3"/>
    <n v="0"/>
  </r>
  <r>
    <n v="2012"/>
    <n v="11"/>
    <x v="8"/>
    <x v="8"/>
    <s v="SEA"/>
    <s v="Seattle, WA: Seattle/Tacoma International"/>
    <n v="124"/>
    <n v="27"/>
    <n v="10.95"/>
    <n v="0"/>
    <n v="9.7100000000000009"/>
    <n v="0"/>
    <n v="6.33"/>
    <n v="0"/>
    <n v="0"/>
    <n v="876"/>
    <n v="280"/>
    <n v="0"/>
    <n v="364"/>
    <n v="0"/>
    <n v="232"/>
    <n v="0.2177"/>
    <n v="0"/>
    <n v="0"/>
  </r>
  <r>
    <n v="2012"/>
    <n v="11"/>
    <x v="0"/>
    <x v="0"/>
    <s v="SEA"/>
    <s v="Seattle, WA: Seattle/Tacoma International"/>
    <n v="60"/>
    <n v="11"/>
    <n v="9"/>
    <n v="0"/>
    <n v="0"/>
    <n v="0"/>
    <n v="2"/>
    <n v="0"/>
    <n v="0"/>
    <n v="1023"/>
    <n v="970"/>
    <n v="0"/>
    <n v="0"/>
    <n v="0"/>
    <n v="53"/>
    <n v="0.18329999999999999"/>
    <n v="0"/>
    <n v="0"/>
  </r>
  <r>
    <n v="2012"/>
    <n v="11"/>
    <x v="2"/>
    <x v="2"/>
    <s v="SEA"/>
    <s v="Seattle, WA: Seattle/Tacoma International"/>
    <n v="476"/>
    <n v="55"/>
    <n v="16.690000000000001"/>
    <n v="0.94"/>
    <n v="7.72"/>
    <n v="0"/>
    <n v="29.66"/>
    <n v="9"/>
    <n v="1"/>
    <n v="3043"/>
    <n v="1012"/>
    <n v="73"/>
    <n v="264"/>
    <n v="0"/>
    <n v="1694"/>
    <n v="0.11550000000000001"/>
    <n v="1.89E-2"/>
    <n v="2.0999999999999999E-3"/>
  </r>
  <r>
    <n v="2012"/>
    <n v="11"/>
    <x v="9"/>
    <x v="9"/>
    <s v="SEA"/>
    <s v="Seattle, WA: Seattle/Tacoma International"/>
    <n v="767"/>
    <n v="116"/>
    <n v="55.8"/>
    <n v="1.1000000000000001"/>
    <n v="30.49"/>
    <n v="0"/>
    <n v="28.62"/>
    <n v="4"/>
    <n v="1"/>
    <n v="5573"/>
    <n v="2647"/>
    <n v="48"/>
    <n v="940"/>
    <n v="0"/>
    <n v="1938"/>
    <n v="0.1512"/>
    <n v="5.1999999999999998E-3"/>
    <n v="1.2999999999999999E-3"/>
  </r>
  <r>
    <n v="2012"/>
    <n v="11"/>
    <x v="15"/>
    <x v="15"/>
    <s v="SEA"/>
    <s v="Seattle, WA: Seattle/Tacoma International"/>
    <n v="268"/>
    <n v="28"/>
    <n v="11.49"/>
    <n v="0"/>
    <n v="14.65"/>
    <n v="0"/>
    <n v="1.85"/>
    <n v="0"/>
    <n v="3"/>
    <n v="999"/>
    <n v="457"/>
    <n v="0"/>
    <n v="450"/>
    <n v="0"/>
    <n v="92"/>
    <n v="0.1045"/>
    <n v="0"/>
    <n v="1.12E-2"/>
  </r>
  <r>
    <n v="2012"/>
    <n v="11"/>
    <x v="14"/>
    <x v="14"/>
    <s v="SEA"/>
    <s v="Seattle, WA: Seattle/Tacoma International"/>
    <n v="216"/>
    <n v="15"/>
    <n v="3.74"/>
    <n v="0.11"/>
    <n v="1.0900000000000001"/>
    <n v="0"/>
    <n v="10.06"/>
    <n v="0"/>
    <n v="0"/>
    <n v="1011"/>
    <n v="117"/>
    <n v="3"/>
    <n v="28"/>
    <n v="0"/>
    <n v="863"/>
    <n v="6.9400000000000003E-2"/>
    <n v="0"/>
    <n v="0"/>
  </r>
  <r>
    <n v="2012"/>
    <n v="11"/>
    <x v="10"/>
    <x v="10"/>
    <s v="SEA"/>
    <s v="Seattle, WA: Seattle/Tacoma International"/>
    <n v="915"/>
    <n v="114"/>
    <n v="44.06"/>
    <n v="1.78"/>
    <n v="13.81"/>
    <n v="1.81"/>
    <n v="52.55"/>
    <n v="0"/>
    <n v="1"/>
    <n v="4649"/>
    <n v="1602"/>
    <n v="134"/>
    <n v="355"/>
    <n v="99"/>
    <n v="2459"/>
    <n v="0.1246"/>
    <n v="0"/>
    <n v="1.1000000000000001E-3"/>
  </r>
  <r>
    <n v="2012"/>
    <n v="10"/>
    <x v="4"/>
    <x v="4"/>
    <s v="SEA"/>
    <s v="Seattle, WA: Seattle/Tacoma International"/>
    <n v="447"/>
    <n v="195"/>
    <n v="66.61"/>
    <n v="4.0199999999999996"/>
    <n v="86.06"/>
    <n v="0"/>
    <n v="38.31"/>
    <n v="5"/>
    <n v="1"/>
    <n v="7879"/>
    <n v="3303"/>
    <n v="156"/>
    <n v="2563"/>
    <n v="0"/>
    <n v="1857"/>
    <n v="0.43619999999999998"/>
    <n v="1.12E-2"/>
    <n v="2.2000000000000001E-3"/>
  </r>
  <r>
    <n v="2012"/>
    <n v="10"/>
    <x v="5"/>
    <x v="5"/>
    <s v="SEA"/>
    <s v="Seattle, WA: Seattle/Tacoma International"/>
    <n v="3648"/>
    <n v="433"/>
    <n v="120.63"/>
    <n v="6.47"/>
    <n v="128.19999999999999"/>
    <n v="3.94"/>
    <n v="173.76"/>
    <n v="40"/>
    <n v="6"/>
    <n v="30676"/>
    <n v="9759"/>
    <n v="1155"/>
    <n v="3546"/>
    <n v="409"/>
    <n v="15807"/>
    <n v="0.1187"/>
    <n v="1.0999999999999999E-2"/>
    <n v="1.6000000000000001E-3"/>
  </r>
  <r>
    <n v="2012"/>
    <n v="10"/>
    <x v="6"/>
    <x v="6"/>
    <s v="SEA"/>
    <s v="Seattle, WA: Seattle/Tacoma International"/>
    <n v="150"/>
    <n v="31"/>
    <n v="6.19"/>
    <n v="1"/>
    <n v="19.97"/>
    <n v="0.19"/>
    <n v="3.66"/>
    <n v="6"/>
    <n v="0"/>
    <n v="975"/>
    <n v="242"/>
    <n v="42"/>
    <n v="569"/>
    <n v="3"/>
    <n v="119"/>
    <n v="0.20669999999999999"/>
    <n v="0.04"/>
    <n v="0"/>
  </r>
  <r>
    <n v="2012"/>
    <n v="10"/>
    <x v="7"/>
    <x v="7"/>
    <s v="SEA"/>
    <s v="Seattle, WA: Seattle/Tacoma International"/>
    <n v="764"/>
    <n v="83"/>
    <n v="31.5"/>
    <n v="0"/>
    <n v="36.18"/>
    <n v="0"/>
    <n v="15.32"/>
    <n v="9"/>
    <n v="0"/>
    <n v="2822"/>
    <n v="1332"/>
    <n v="0"/>
    <n v="849"/>
    <n v="0"/>
    <n v="641"/>
    <n v="0.1086"/>
    <n v="1.18E-2"/>
    <n v="0"/>
  </r>
  <r>
    <n v="2012"/>
    <n v="10"/>
    <x v="8"/>
    <x v="8"/>
    <s v="SEA"/>
    <s v="Seattle, WA: Seattle/Tacoma International"/>
    <n v="166"/>
    <n v="46"/>
    <n v="13.19"/>
    <n v="0.79"/>
    <n v="25.96"/>
    <n v="0"/>
    <n v="6.05"/>
    <n v="0"/>
    <n v="0"/>
    <n v="1743"/>
    <n v="331"/>
    <n v="284"/>
    <n v="758"/>
    <n v="0"/>
    <n v="370"/>
    <n v="0.27710000000000001"/>
    <n v="0"/>
    <n v="0"/>
  </r>
  <r>
    <n v="2012"/>
    <n v="10"/>
    <x v="0"/>
    <x v="0"/>
    <s v="SEA"/>
    <s v="Seattle, WA: Seattle/Tacoma International"/>
    <n v="62"/>
    <n v="13"/>
    <n v="13"/>
    <n v="0"/>
    <n v="0"/>
    <n v="0"/>
    <n v="0"/>
    <n v="0"/>
    <n v="0"/>
    <n v="380"/>
    <n v="380"/>
    <n v="0"/>
    <n v="0"/>
    <n v="0"/>
    <n v="0"/>
    <n v="0.2097"/>
    <n v="0"/>
    <n v="0"/>
  </r>
  <r>
    <n v="2012"/>
    <n v="10"/>
    <x v="2"/>
    <x v="2"/>
    <s v="SEA"/>
    <s v="Seattle, WA: Seattle/Tacoma International"/>
    <n v="536"/>
    <n v="79"/>
    <n v="25.42"/>
    <n v="1.83"/>
    <n v="16.8"/>
    <n v="0"/>
    <n v="34.950000000000003"/>
    <n v="3"/>
    <n v="0"/>
    <n v="4619"/>
    <n v="1832"/>
    <n v="130"/>
    <n v="407"/>
    <n v="0"/>
    <n v="2250"/>
    <n v="0.1474"/>
    <n v="5.5999999999999999E-3"/>
    <n v="0"/>
  </r>
  <r>
    <n v="2012"/>
    <n v="10"/>
    <x v="9"/>
    <x v="9"/>
    <s v="SEA"/>
    <s v="Seattle, WA: Seattle/Tacoma International"/>
    <n v="855"/>
    <n v="186"/>
    <n v="68.7"/>
    <n v="2.41"/>
    <n v="55.57"/>
    <n v="2.5"/>
    <n v="56.83"/>
    <n v="22"/>
    <n v="1"/>
    <n v="10194"/>
    <n v="3523"/>
    <n v="102"/>
    <n v="1956"/>
    <n v="742"/>
    <n v="3871"/>
    <n v="0.2175"/>
    <n v="2.5700000000000001E-2"/>
    <n v="1.1999999999999999E-3"/>
  </r>
  <r>
    <n v="2012"/>
    <n v="10"/>
    <x v="15"/>
    <x v="15"/>
    <s v="SEA"/>
    <s v="Seattle, WA: Seattle/Tacoma International"/>
    <n v="274"/>
    <n v="45"/>
    <n v="12.4"/>
    <n v="1.05"/>
    <n v="26.2"/>
    <n v="0.13"/>
    <n v="5.23"/>
    <n v="5"/>
    <n v="0"/>
    <n v="1636"/>
    <n v="647"/>
    <n v="22"/>
    <n v="724"/>
    <n v="7"/>
    <n v="236"/>
    <n v="0.16420000000000001"/>
    <n v="1.8200000000000001E-2"/>
    <n v="0"/>
  </r>
  <r>
    <n v="2012"/>
    <n v="10"/>
    <x v="14"/>
    <x v="14"/>
    <s v="SEA"/>
    <s v="Seattle, WA: Seattle/Tacoma International"/>
    <n v="213"/>
    <n v="26"/>
    <n v="5.09"/>
    <n v="2.2400000000000002"/>
    <n v="8.9600000000000009"/>
    <n v="0"/>
    <n v="9.7100000000000009"/>
    <n v="0"/>
    <n v="0"/>
    <n v="1069"/>
    <n v="208"/>
    <n v="55"/>
    <n v="275"/>
    <n v="0"/>
    <n v="531"/>
    <n v="0.1221"/>
    <n v="0"/>
    <n v="0"/>
  </r>
  <r>
    <n v="2012"/>
    <n v="10"/>
    <x v="10"/>
    <x v="10"/>
    <s v="SEA"/>
    <s v="Seattle, WA: Seattle/Tacoma International"/>
    <n v="983"/>
    <n v="175"/>
    <n v="56.53"/>
    <n v="0.09"/>
    <n v="32.31"/>
    <n v="1"/>
    <n v="85.07"/>
    <n v="1"/>
    <n v="0"/>
    <n v="7126"/>
    <n v="2202"/>
    <n v="5"/>
    <n v="970"/>
    <n v="22"/>
    <n v="3927"/>
    <n v="0.17799999999999999"/>
    <n v="1E-3"/>
    <n v="0"/>
  </r>
  <r>
    <n v="2012"/>
    <n v="9"/>
    <x v="4"/>
    <x v="4"/>
    <s v="SEA"/>
    <s v="Seattle, WA: Seattle/Tacoma International"/>
    <n v="460"/>
    <n v="186"/>
    <n v="82.96"/>
    <n v="2.82"/>
    <n v="44.78"/>
    <n v="0"/>
    <n v="55.44"/>
    <n v="3"/>
    <n v="1"/>
    <n v="10336"/>
    <n v="4483"/>
    <n v="141"/>
    <n v="1652"/>
    <n v="0"/>
    <n v="4060"/>
    <n v="0.40429999999999999"/>
    <n v="6.4999999999999997E-3"/>
    <n v="2.2000000000000001E-3"/>
  </r>
  <r>
    <n v="2012"/>
    <n v="9"/>
    <x v="5"/>
    <x v="5"/>
    <s v="SEA"/>
    <s v="Seattle, WA: Seattle/Tacoma International"/>
    <n v="3710"/>
    <n v="316"/>
    <n v="85.41"/>
    <n v="8.77"/>
    <n v="87.97"/>
    <n v="4.43"/>
    <n v="129.43"/>
    <n v="20"/>
    <n v="2"/>
    <n v="17969"/>
    <n v="6520"/>
    <n v="894"/>
    <n v="2325"/>
    <n v="160"/>
    <n v="8070"/>
    <n v="8.5199999999999998E-2"/>
    <n v="5.4000000000000003E-3"/>
    <n v="5.0000000000000001E-4"/>
  </r>
  <r>
    <n v="2012"/>
    <n v="9"/>
    <x v="6"/>
    <x v="6"/>
    <s v="SEA"/>
    <s v="Seattle, WA: Seattle/Tacoma International"/>
    <n v="167"/>
    <n v="25"/>
    <n v="12.77"/>
    <n v="1.34"/>
    <n v="7.18"/>
    <n v="0"/>
    <n v="3.71"/>
    <n v="0"/>
    <n v="0"/>
    <n v="1380"/>
    <n v="629"/>
    <n v="87"/>
    <n v="405"/>
    <n v="0"/>
    <n v="259"/>
    <n v="0.1497"/>
    <n v="0"/>
    <n v="0"/>
  </r>
  <r>
    <n v="2012"/>
    <n v="9"/>
    <x v="7"/>
    <x v="7"/>
    <s v="SEA"/>
    <s v="Seattle, WA: Seattle/Tacoma International"/>
    <n v="802"/>
    <n v="71"/>
    <n v="28.66"/>
    <n v="1.59"/>
    <n v="21.7"/>
    <n v="0"/>
    <n v="19.05"/>
    <n v="0"/>
    <n v="0"/>
    <n v="3836"/>
    <n v="1682"/>
    <n v="80"/>
    <n v="852"/>
    <n v="0"/>
    <n v="1222"/>
    <n v="8.8499999999999995E-2"/>
    <n v="0"/>
    <n v="0"/>
  </r>
  <r>
    <n v="2012"/>
    <n v="9"/>
    <x v="8"/>
    <x v="8"/>
    <s v="SEA"/>
    <s v="Seattle, WA: Seattle/Tacoma International"/>
    <n v="165"/>
    <n v="31"/>
    <n v="8.16"/>
    <n v="2.52"/>
    <n v="6.58"/>
    <n v="0"/>
    <n v="13.75"/>
    <n v="0"/>
    <n v="0"/>
    <n v="1562"/>
    <n v="438"/>
    <n v="113"/>
    <n v="194"/>
    <n v="0"/>
    <n v="817"/>
    <n v="0.18790000000000001"/>
    <n v="0"/>
    <n v="0"/>
  </r>
  <r>
    <n v="2012"/>
    <n v="9"/>
    <x v="16"/>
    <x v="16"/>
    <s v="SEA"/>
    <s v="Seattle, WA: Seattle/Tacoma International"/>
    <n v="3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12"/>
    <n v="9"/>
    <x v="0"/>
    <x v="0"/>
    <s v="SEA"/>
    <s v="Seattle, WA: Seattle/Tacoma International"/>
    <n v="60"/>
    <n v="15"/>
    <n v="14.61"/>
    <n v="0"/>
    <n v="0"/>
    <n v="0.39"/>
    <n v="0"/>
    <n v="0"/>
    <n v="0"/>
    <n v="493"/>
    <n v="480"/>
    <n v="0"/>
    <n v="0"/>
    <n v="13"/>
    <n v="0"/>
    <n v="0.25"/>
    <n v="0"/>
    <n v="0"/>
  </r>
  <r>
    <n v="2012"/>
    <n v="9"/>
    <x v="2"/>
    <x v="2"/>
    <s v="SEA"/>
    <s v="Seattle, WA: Seattle/Tacoma International"/>
    <n v="526"/>
    <n v="41"/>
    <n v="9.4"/>
    <n v="1.76"/>
    <n v="5.71"/>
    <n v="0"/>
    <n v="24.13"/>
    <n v="1"/>
    <n v="0"/>
    <n v="1807"/>
    <n v="381"/>
    <n v="161"/>
    <n v="168"/>
    <n v="0"/>
    <n v="1097"/>
    <n v="7.7899999999999997E-2"/>
    <n v="1.9E-3"/>
    <n v="0"/>
  </r>
  <r>
    <n v="2012"/>
    <n v="9"/>
    <x v="9"/>
    <x v="9"/>
    <s v="SEA"/>
    <s v="Seattle, WA: Seattle/Tacoma International"/>
    <n v="911"/>
    <n v="150"/>
    <n v="68.47"/>
    <n v="1.19"/>
    <n v="32.15"/>
    <n v="0.59"/>
    <n v="47.6"/>
    <n v="2"/>
    <n v="3"/>
    <n v="7619"/>
    <n v="3431"/>
    <n v="130"/>
    <n v="1070"/>
    <n v="16"/>
    <n v="2972"/>
    <n v="0.16470000000000001"/>
    <n v="2.2000000000000001E-3"/>
    <n v="3.3E-3"/>
  </r>
  <r>
    <n v="2012"/>
    <n v="9"/>
    <x v="15"/>
    <x v="15"/>
    <s v="SEA"/>
    <s v="Seattle, WA: Seattle/Tacoma International"/>
    <n v="310"/>
    <n v="33"/>
    <n v="9.27"/>
    <n v="0.57999999999999996"/>
    <n v="18.62"/>
    <n v="1.99"/>
    <n v="2.5299999999999998"/>
    <n v="0"/>
    <n v="0"/>
    <n v="1544"/>
    <n v="503"/>
    <n v="45"/>
    <n v="768"/>
    <n v="68"/>
    <n v="160"/>
    <n v="0.1065"/>
    <n v="0"/>
    <n v="0"/>
  </r>
  <r>
    <n v="2012"/>
    <n v="9"/>
    <x v="14"/>
    <x v="14"/>
    <s v="SEA"/>
    <s v="Seattle, WA: Seattle/Tacoma International"/>
    <n v="233"/>
    <n v="19"/>
    <n v="5.62"/>
    <n v="0.76"/>
    <n v="0.71"/>
    <n v="0"/>
    <n v="11.91"/>
    <n v="0"/>
    <n v="0"/>
    <n v="703"/>
    <n v="174"/>
    <n v="20"/>
    <n v="29"/>
    <n v="0"/>
    <n v="480"/>
    <n v="8.1500000000000003E-2"/>
    <n v="0"/>
    <n v="0"/>
  </r>
  <r>
    <n v="2012"/>
    <n v="9"/>
    <x v="10"/>
    <x v="10"/>
    <s v="SEA"/>
    <s v="Seattle, WA: Seattle/Tacoma International"/>
    <n v="1162"/>
    <n v="135"/>
    <n v="44.74"/>
    <n v="4.09"/>
    <n v="10.28"/>
    <n v="1.19"/>
    <n v="74.69"/>
    <n v="0"/>
    <n v="1"/>
    <n v="5621"/>
    <n v="2110"/>
    <n v="283"/>
    <n v="250"/>
    <n v="75"/>
    <n v="2903"/>
    <n v="0.1162"/>
    <n v="0"/>
    <n v="8.9999999999999998E-4"/>
  </r>
  <r>
    <n v="2012"/>
    <n v="8"/>
    <x v="4"/>
    <x v="4"/>
    <s v="SEA"/>
    <s v="Seattle, WA: Seattle/Tacoma International"/>
    <n v="510"/>
    <n v="137"/>
    <n v="47.92"/>
    <n v="8.51"/>
    <n v="43.63"/>
    <n v="0"/>
    <n v="36.94"/>
    <n v="3"/>
    <n v="0"/>
    <n v="8051"/>
    <n v="2491"/>
    <n v="1198"/>
    <n v="1770"/>
    <n v="0"/>
    <n v="2592"/>
    <n v="0.26860000000000001"/>
    <n v="5.8999999999999999E-3"/>
    <n v="0"/>
  </r>
  <r>
    <n v="2012"/>
    <n v="8"/>
    <x v="5"/>
    <x v="5"/>
    <s v="SEA"/>
    <s v="Seattle, WA: Seattle/Tacoma International"/>
    <n v="4168"/>
    <n v="328"/>
    <n v="93.67"/>
    <n v="5.04"/>
    <n v="74.650000000000006"/>
    <n v="3.65"/>
    <n v="150.99"/>
    <n v="13"/>
    <n v="4"/>
    <n v="19877"/>
    <n v="7528"/>
    <n v="294"/>
    <n v="2760"/>
    <n v="70"/>
    <n v="9225"/>
    <n v="7.8700000000000006E-2"/>
    <n v="3.0999999999999999E-3"/>
    <n v="1E-3"/>
  </r>
  <r>
    <n v="2012"/>
    <n v="8"/>
    <x v="6"/>
    <x v="6"/>
    <s v="SEA"/>
    <s v="Seattle, WA: Seattle/Tacoma International"/>
    <n v="217"/>
    <n v="40"/>
    <n v="16.23"/>
    <n v="0.25"/>
    <n v="12.03"/>
    <n v="0"/>
    <n v="11.5"/>
    <n v="0"/>
    <n v="0"/>
    <n v="2199"/>
    <n v="924"/>
    <n v="14"/>
    <n v="415"/>
    <n v="0"/>
    <n v="846"/>
    <n v="0.18429999999999999"/>
    <n v="0"/>
    <n v="0"/>
  </r>
  <r>
    <n v="2012"/>
    <n v="8"/>
    <x v="7"/>
    <x v="7"/>
    <s v="SEA"/>
    <s v="Seattle, WA: Seattle/Tacoma International"/>
    <n v="915"/>
    <n v="145"/>
    <n v="58.17"/>
    <n v="2.94"/>
    <n v="51.06"/>
    <n v="0"/>
    <n v="32.83"/>
    <n v="1"/>
    <n v="0"/>
    <n v="6224"/>
    <n v="2190"/>
    <n v="250"/>
    <n v="1831"/>
    <n v="0"/>
    <n v="1953"/>
    <n v="0.1585"/>
    <n v="1.1000000000000001E-3"/>
    <n v="0"/>
  </r>
  <r>
    <n v="2012"/>
    <n v="8"/>
    <x v="8"/>
    <x v="8"/>
    <s v="SEA"/>
    <s v="Seattle, WA: Seattle/Tacoma International"/>
    <n v="191"/>
    <n v="28"/>
    <n v="8.0500000000000007"/>
    <n v="0.76"/>
    <n v="12.45"/>
    <n v="0"/>
    <n v="6.74"/>
    <n v="0"/>
    <n v="0"/>
    <n v="1010"/>
    <n v="275"/>
    <n v="19"/>
    <n v="325"/>
    <n v="0"/>
    <n v="391"/>
    <n v="0.14660000000000001"/>
    <n v="0"/>
    <n v="0"/>
  </r>
  <r>
    <n v="2012"/>
    <n v="8"/>
    <x v="16"/>
    <x v="16"/>
    <s v="SEA"/>
    <s v="Seattle, WA: Seattle/Tacoma International"/>
    <n v="70"/>
    <n v="12"/>
    <n v="4.29"/>
    <n v="0"/>
    <n v="1.72"/>
    <n v="0"/>
    <n v="5.98"/>
    <n v="0"/>
    <n v="0"/>
    <n v="492"/>
    <n v="151"/>
    <n v="0"/>
    <n v="38"/>
    <n v="0"/>
    <n v="303"/>
    <n v="0.1714"/>
    <n v="0"/>
    <n v="0"/>
  </r>
  <r>
    <n v="2012"/>
    <n v="8"/>
    <x v="0"/>
    <x v="0"/>
    <s v="SEA"/>
    <s v="Seattle, WA: Seattle/Tacoma International"/>
    <n v="62"/>
    <n v="9"/>
    <n v="9"/>
    <n v="0"/>
    <n v="0"/>
    <n v="0"/>
    <n v="0"/>
    <n v="0"/>
    <n v="0"/>
    <n v="778"/>
    <n v="778"/>
    <n v="0"/>
    <n v="0"/>
    <n v="0"/>
    <n v="0"/>
    <n v="0.1452"/>
    <n v="0"/>
    <n v="0"/>
  </r>
  <r>
    <n v="2012"/>
    <n v="8"/>
    <x v="2"/>
    <x v="2"/>
    <s v="SEA"/>
    <s v="Seattle, WA: Seattle/Tacoma International"/>
    <n v="560"/>
    <n v="41"/>
    <n v="17.46"/>
    <n v="0"/>
    <n v="7.76"/>
    <n v="0"/>
    <n v="15.78"/>
    <n v="2"/>
    <n v="0"/>
    <n v="1518"/>
    <n v="663"/>
    <n v="0"/>
    <n v="178"/>
    <n v="0"/>
    <n v="677"/>
    <n v="7.3200000000000001E-2"/>
    <n v="3.5999999999999999E-3"/>
    <n v="0"/>
  </r>
  <r>
    <n v="2012"/>
    <n v="8"/>
    <x v="9"/>
    <x v="9"/>
    <s v="SEA"/>
    <s v="Seattle, WA: Seattle/Tacoma International"/>
    <n v="1085"/>
    <n v="303"/>
    <n v="140.4"/>
    <n v="3.52"/>
    <n v="61.61"/>
    <n v="1"/>
    <n v="96.47"/>
    <n v="3"/>
    <n v="1"/>
    <n v="18834"/>
    <n v="8332"/>
    <n v="165"/>
    <n v="3112"/>
    <n v="28"/>
    <n v="7197"/>
    <n v="0.27929999999999999"/>
    <n v="2.8E-3"/>
    <n v="8.9999999999999998E-4"/>
  </r>
  <r>
    <n v="2012"/>
    <n v="8"/>
    <x v="15"/>
    <x v="15"/>
    <s v="SEA"/>
    <s v="Seattle, WA: Seattle/Tacoma International"/>
    <n v="377"/>
    <n v="64"/>
    <n v="23.03"/>
    <n v="2.98"/>
    <n v="30.4"/>
    <n v="0.99"/>
    <n v="6.6"/>
    <n v="0"/>
    <n v="1"/>
    <n v="3406"/>
    <n v="1344"/>
    <n v="507"/>
    <n v="1087"/>
    <n v="25"/>
    <n v="443"/>
    <n v="0.16980000000000001"/>
    <n v="0"/>
    <n v="2.7000000000000001E-3"/>
  </r>
  <r>
    <n v="2012"/>
    <n v="8"/>
    <x v="14"/>
    <x v="14"/>
    <s v="SEA"/>
    <s v="Seattle, WA: Seattle/Tacoma International"/>
    <n v="269"/>
    <n v="28"/>
    <n v="6.96"/>
    <n v="1.88"/>
    <n v="0.25"/>
    <n v="0"/>
    <n v="18.91"/>
    <n v="0"/>
    <n v="0"/>
    <n v="1442"/>
    <n v="245"/>
    <n v="48"/>
    <n v="16"/>
    <n v="0"/>
    <n v="1133"/>
    <n v="0.1041"/>
    <n v="0"/>
    <n v="0"/>
  </r>
  <r>
    <n v="2012"/>
    <n v="8"/>
    <x v="10"/>
    <x v="10"/>
    <s v="SEA"/>
    <s v="Seattle, WA: Seattle/Tacoma International"/>
    <n v="1279"/>
    <n v="244"/>
    <n v="100.29"/>
    <n v="2.72"/>
    <n v="23.16"/>
    <n v="0.47"/>
    <n v="117.36"/>
    <n v="1"/>
    <n v="0"/>
    <n v="11140"/>
    <n v="4398"/>
    <n v="148"/>
    <n v="702"/>
    <n v="7"/>
    <n v="5885"/>
    <n v="0.1908"/>
    <n v="8.0000000000000004E-4"/>
    <n v="0"/>
  </r>
  <r>
    <n v="2012"/>
    <n v="7"/>
    <x v="0"/>
    <x v="0"/>
    <s v="SEA"/>
    <s v="Seattle, WA: Seattle/Tacoma International"/>
    <n v="62"/>
    <n v="13"/>
    <n v="10.16"/>
    <n v="0"/>
    <n v="0"/>
    <n v="0"/>
    <n v="2.84"/>
    <n v="0"/>
    <n v="0"/>
    <n v="1038"/>
    <n v="954"/>
    <n v="0"/>
    <n v="0"/>
    <n v="0"/>
    <n v="84"/>
    <n v="0.2097"/>
    <n v="0"/>
    <n v="0"/>
  </r>
  <r>
    <n v="2012"/>
    <n v="7"/>
    <x v="2"/>
    <x v="2"/>
    <s v="SEA"/>
    <s v="Seattle, WA: Seattle/Tacoma International"/>
    <n v="556"/>
    <n v="50"/>
    <n v="14.77"/>
    <n v="1.98"/>
    <n v="6.01"/>
    <n v="0"/>
    <n v="27.24"/>
    <n v="7"/>
    <n v="0"/>
    <n v="2059"/>
    <n v="476"/>
    <n v="158"/>
    <n v="142"/>
    <n v="0"/>
    <n v="1283"/>
    <n v="8.9899999999999994E-2"/>
    <n v="1.26E-2"/>
    <n v="0"/>
  </r>
  <r>
    <n v="2012"/>
    <n v="7"/>
    <x v="9"/>
    <x v="9"/>
    <s v="SEA"/>
    <s v="Seattle, WA: Seattle/Tacoma International"/>
    <n v="1111"/>
    <n v="371"/>
    <n v="146.05000000000001"/>
    <n v="14.24"/>
    <n v="50.13"/>
    <n v="1.81"/>
    <n v="158.76"/>
    <n v="14"/>
    <n v="0"/>
    <n v="24210"/>
    <n v="8067"/>
    <n v="1271"/>
    <n v="2806"/>
    <n v="64"/>
    <n v="12002"/>
    <n v="0.33389999999999997"/>
    <n v="1.26E-2"/>
    <n v="0"/>
  </r>
  <r>
    <n v="2012"/>
    <n v="7"/>
    <x v="15"/>
    <x v="15"/>
    <s v="SEA"/>
    <s v="Seattle, WA: Seattle/Tacoma International"/>
    <n v="392"/>
    <n v="58"/>
    <n v="24.3"/>
    <n v="3.33"/>
    <n v="19.91"/>
    <n v="0.63"/>
    <n v="9.84"/>
    <n v="5"/>
    <n v="1"/>
    <n v="3621"/>
    <n v="1438"/>
    <n v="392"/>
    <n v="1086"/>
    <n v="10"/>
    <n v="695"/>
    <n v="0.14799999999999999"/>
    <n v="1.2800000000000001E-2"/>
    <n v="2.5999999999999999E-3"/>
  </r>
  <r>
    <n v="2012"/>
    <n v="7"/>
    <x v="14"/>
    <x v="14"/>
    <s v="SEA"/>
    <s v="Seattle, WA: Seattle/Tacoma International"/>
    <n v="271"/>
    <n v="36"/>
    <n v="8.5399999999999991"/>
    <n v="0.25"/>
    <n v="3.75"/>
    <n v="0"/>
    <n v="23.47"/>
    <n v="0"/>
    <n v="0"/>
    <n v="2322"/>
    <n v="309"/>
    <n v="6"/>
    <n v="75"/>
    <n v="0"/>
    <n v="1932"/>
    <n v="0.1328"/>
    <n v="0"/>
    <n v="0"/>
  </r>
  <r>
    <n v="2012"/>
    <n v="7"/>
    <x v="10"/>
    <x v="10"/>
    <s v="SEA"/>
    <s v="Seattle, WA: Seattle/Tacoma International"/>
    <n v="1334"/>
    <n v="221"/>
    <n v="107.81"/>
    <n v="1.25"/>
    <n v="12.26"/>
    <n v="1"/>
    <n v="98.68"/>
    <n v="1"/>
    <n v="5"/>
    <n v="11197"/>
    <n v="5328"/>
    <n v="74"/>
    <n v="348"/>
    <n v="18"/>
    <n v="5429"/>
    <n v="0.16569999999999999"/>
    <n v="6.9999999999999999E-4"/>
    <n v="3.7000000000000002E-3"/>
  </r>
  <r>
    <n v="2012"/>
    <n v="7"/>
    <x v="4"/>
    <x v="4"/>
    <s v="SEA"/>
    <s v="Seattle, WA: Seattle/Tacoma International"/>
    <n v="516"/>
    <n v="112"/>
    <n v="40.99"/>
    <n v="15.61"/>
    <n v="21.13"/>
    <n v="0"/>
    <n v="34.270000000000003"/>
    <n v="1"/>
    <n v="0"/>
    <n v="6382"/>
    <n v="1814"/>
    <n v="1395"/>
    <n v="833"/>
    <n v="0"/>
    <n v="2340"/>
    <n v="0.21709999999999999"/>
    <n v="1.9E-3"/>
    <n v="0"/>
  </r>
  <r>
    <n v="2012"/>
    <n v="7"/>
    <x v="5"/>
    <x v="5"/>
    <s v="SEA"/>
    <s v="Seattle, WA: Seattle/Tacoma International"/>
    <n v="4195"/>
    <n v="413"/>
    <n v="92.72"/>
    <n v="6.7"/>
    <n v="99.01"/>
    <n v="4.37"/>
    <n v="210.2"/>
    <n v="9"/>
    <n v="0"/>
    <n v="22947"/>
    <n v="6319"/>
    <n v="308"/>
    <n v="3203"/>
    <n v="99"/>
    <n v="13018"/>
    <n v="9.8500000000000004E-2"/>
    <n v="2.0999999999999999E-3"/>
    <n v="0"/>
  </r>
  <r>
    <n v="2012"/>
    <n v="7"/>
    <x v="6"/>
    <x v="6"/>
    <s v="SEA"/>
    <s v="Seattle, WA: Seattle/Tacoma International"/>
    <n v="217"/>
    <n v="30"/>
    <n v="8.8800000000000008"/>
    <n v="1.56"/>
    <n v="9.27"/>
    <n v="0"/>
    <n v="10.29"/>
    <n v="0"/>
    <n v="0"/>
    <n v="1792"/>
    <n v="495"/>
    <n v="49"/>
    <n v="401"/>
    <n v="0"/>
    <n v="847"/>
    <n v="0.13819999999999999"/>
    <n v="0"/>
    <n v="0"/>
  </r>
  <r>
    <n v="2012"/>
    <n v="7"/>
    <x v="7"/>
    <x v="7"/>
    <s v="SEA"/>
    <s v="Seattle, WA: Seattle/Tacoma International"/>
    <n v="949"/>
    <n v="130"/>
    <n v="54.14"/>
    <n v="8.68"/>
    <n v="31.68"/>
    <n v="0"/>
    <n v="35.5"/>
    <n v="2"/>
    <n v="0"/>
    <n v="8105"/>
    <n v="3952"/>
    <n v="400"/>
    <n v="1340"/>
    <n v="0"/>
    <n v="2413"/>
    <n v="0.13700000000000001"/>
    <n v="2.0999999999999999E-3"/>
    <n v="0"/>
  </r>
  <r>
    <n v="2012"/>
    <n v="7"/>
    <x v="8"/>
    <x v="8"/>
    <s v="SEA"/>
    <s v="Seattle, WA: Seattle/Tacoma International"/>
    <n v="188"/>
    <n v="27"/>
    <n v="11.09"/>
    <n v="0.59"/>
    <n v="5.36"/>
    <n v="0"/>
    <n v="9.9499999999999993"/>
    <n v="0"/>
    <n v="0"/>
    <n v="1548"/>
    <n v="682"/>
    <n v="26"/>
    <n v="187"/>
    <n v="0"/>
    <n v="653"/>
    <n v="0.14360000000000001"/>
    <n v="0"/>
    <n v="0"/>
  </r>
  <r>
    <n v="2012"/>
    <n v="7"/>
    <x v="16"/>
    <x v="16"/>
    <s v="SEA"/>
    <s v="Seattle, WA: Seattle/Tacoma International"/>
    <n v="168"/>
    <n v="22"/>
    <n v="9.9"/>
    <n v="0"/>
    <n v="4.3099999999999996"/>
    <n v="0"/>
    <n v="7.8"/>
    <n v="0"/>
    <n v="0"/>
    <n v="977"/>
    <n v="433"/>
    <n v="0"/>
    <n v="165"/>
    <n v="0"/>
    <n v="379"/>
    <n v="0.13100000000000001"/>
    <n v="0"/>
    <n v="0"/>
  </r>
  <r>
    <n v="2012"/>
    <n v="6"/>
    <x v="4"/>
    <x v="4"/>
    <s v="SEA"/>
    <s v="Seattle, WA: Seattle/Tacoma International"/>
    <n v="465"/>
    <n v="106"/>
    <n v="34.72"/>
    <n v="12.41"/>
    <n v="31.32"/>
    <n v="0"/>
    <n v="27.55"/>
    <n v="3"/>
    <n v="0"/>
    <n v="5723"/>
    <n v="1645"/>
    <n v="961"/>
    <n v="977"/>
    <n v="0"/>
    <n v="2140"/>
    <n v="0.22800000000000001"/>
    <n v="6.4999999999999997E-3"/>
    <n v="0"/>
  </r>
  <r>
    <n v="2012"/>
    <n v="6"/>
    <x v="5"/>
    <x v="5"/>
    <s v="SEA"/>
    <s v="Seattle, WA: Seattle/Tacoma International"/>
    <n v="4033"/>
    <n v="388"/>
    <n v="102.67"/>
    <n v="8.06"/>
    <n v="146.21"/>
    <n v="1.92"/>
    <n v="129.13"/>
    <n v="20"/>
    <n v="3"/>
    <n v="18059"/>
    <n v="6162"/>
    <n v="486"/>
    <n v="3988"/>
    <n v="104"/>
    <n v="7319"/>
    <n v="9.6199999999999994E-2"/>
    <n v="5.0000000000000001E-3"/>
    <n v="6.9999999999999999E-4"/>
  </r>
  <r>
    <n v="2012"/>
    <n v="6"/>
    <x v="6"/>
    <x v="6"/>
    <s v="SEA"/>
    <s v="Seattle, WA: Seattle/Tacoma International"/>
    <n v="207"/>
    <n v="42"/>
    <n v="16.13"/>
    <n v="0.73"/>
    <n v="14.94"/>
    <n v="0"/>
    <n v="10.210000000000001"/>
    <n v="0"/>
    <n v="0"/>
    <n v="1863"/>
    <n v="707"/>
    <n v="69"/>
    <n v="414"/>
    <n v="0"/>
    <n v="673"/>
    <n v="0.2029"/>
    <n v="0"/>
    <n v="0"/>
  </r>
  <r>
    <n v="2012"/>
    <n v="6"/>
    <x v="7"/>
    <x v="7"/>
    <s v="SEA"/>
    <s v="Seattle, WA: Seattle/Tacoma International"/>
    <n v="888"/>
    <n v="149"/>
    <n v="52.02"/>
    <n v="2.68"/>
    <n v="60.5"/>
    <n v="0"/>
    <n v="33.799999999999997"/>
    <n v="0"/>
    <n v="2"/>
    <n v="7262"/>
    <n v="3089"/>
    <n v="282"/>
    <n v="1778"/>
    <n v="0"/>
    <n v="2113"/>
    <n v="0.1678"/>
    <n v="0"/>
    <n v="2.3E-3"/>
  </r>
  <r>
    <n v="2012"/>
    <n v="6"/>
    <x v="8"/>
    <x v="8"/>
    <s v="SEA"/>
    <s v="Seattle, WA: Seattle/Tacoma International"/>
    <n v="186"/>
    <n v="62"/>
    <n v="21.8"/>
    <n v="1.47"/>
    <n v="23.9"/>
    <n v="0"/>
    <n v="14.83"/>
    <n v="0"/>
    <n v="0"/>
    <n v="2520"/>
    <n v="720"/>
    <n v="244"/>
    <n v="928"/>
    <n v="0"/>
    <n v="628"/>
    <n v="0.33329999999999999"/>
    <n v="0"/>
    <n v="0"/>
  </r>
  <r>
    <n v="2012"/>
    <n v="6"/>
    <x v="16"/>
    <x v="16"/>
    <s v="SEA"/>
    <s v="Seattle, WA: Seattle/Tacoma International"/>
    <n v="170"/>
    <n v="23"/>
    <n v="10.44"/>
    <n v="0.75"/>
    <n v="5.81"/>
    <n v="0"/>
    <n v="6"/>
    <n v="1"/>
    <n v="0"/>
    <n v="1227"/>
    <n v="398"/>
    <n v="84"/>
    <n v="319"/>
    <n v="0"/>
    <n v="426"/>
    <n v="0.1353"/>
    <n v="5.8999999999999999E-3"/>
    <n v="0"/>
  </r>
  <r>
    <n v="2012"/>
    <n v="6"/>
    <x v="0"/>
    <x v="0"/>
    <s v="SEA"/>
    <s v="Seattle, WA: Seattle/Tacoma International"/>
    <n v="60"/>
    <n v="14"/>
    <n v="12.54"/>
    <n v="0"/>
    <n v="0.77"/>
    <n v="0"/>
    <n v="0.69"/>
    <n v="0"/>
    <n v="0"/>
    <n v="572"/>
    <n v="531"/>
    <n v="0"/>
    <n v="30"/>
    <n v="0"/>
    <n v="11"/>
    <n v="0.23330000000000001"/>
    <n v="0"/>
    <n v="0"/>
  </r>
  <r>
    <n v="2012"/>
    <n v="6"/>
    <x v="2"/>
    <x v="2"/>
    <s v="SEA"/>
    <s v="Seattle, WA: Seattle/Tacoma International"/>
    <n v="534"/>
    <n v="66"/>
    <n v="25.43"/>
    <n v="2.1"/>
    <n v="15.63"/>
    <n v="0"/>
    <n v="22.84"/>
    <n v="1"/>
    <n v="0"/>
    <n v="3979"/>
    <n v="1744"/>
    <n v="151"/>
    <n v="401"/>
    <n v="0"/>
    <n v="1683"/>
    <n v="0.1236"/>
    <n v="1.9E-3"/>
    <n v="0"/>
  </r>
  <r>
    <n v="2012"/>
    <n v="6"/>
    <x v="9"/>
    <x v="9"/>
    <s v="SEA"/>
    <s v="Seattle, WA: Seattle/Tacoma International"/>
    <n v="1040"/>
    <n v="360"/>
    <n v="142.66999999999999"/>
    <n v="5.21"/>
    <n v="107.73"/>
    <n v="0.7"/>
    <n v="103.69"/>
    <n v="6"/>
    <n v="0"/>
    <n v="19030"/>
    <n v="6872"/>
    <n v="449"/>
    <n v="3816"/>
    <n v="14"/>
    <n v="7879"/>
    <n v="0.34620000000000001"/>
    <n v="5.7999999999999996E-3"/>
    <n v="0"/>
  </r>
  <r>
    <n v="2012"/>
    <n v="6"/>
    <x v="15"/>
    <x v="15"/>
    <s v="SEA"/>
    <s v="Seattle, WA: Seattle/Tacoma International"/>
    <n v="378"/>
    <n v="52"/>
    <n v="16.84"/>
    <n v="0"/>
    <n v="27.13"/>
    <n v="0"/>
    <n v="8.0299999999999994"/>
    <n v="3"/>
    <n v="0"/>
    <n v="2208"/>
    <n v="817"/>
    <n v="0"/>
    <n v="875"/>
    <n v="0"/>
    <n v="516"/>
    <n v="0.1376"/>
    <n v="7.9000000000000008E-3"/>
    <n v="0"/>
  </r>
  <r>
    <n v="2012"/>
    <n v="6"/>
    <x v="14"/>
    <x v="14"/>
    <s v="SEA"/>
    <s v="Seattle, WA: Seattle/Tacoma International"/>
    <n v="260"/>
    <n v="42"/>
    <n v="7.62"/>
    <n v="1.68"/>
    <n v="9.1199999999999992"/>
    <n v="0"/>
    <n v="23.58"/>
    <n v="0"/>
    <n v="0"/>
    <n v="2698"/>
    <n v="405"/>
    <n v="57"/>
    <n v="283"/>
    <n v="0"/>
    <n v="1953"/>
    <n v="0.1615"/>
    <n v="0"/>
    <n v="0"/>
  </r>
  <r>
    <n v="2012"/>
    <n v="6"/>
    <x v="10"/>
    <x v="10"/>
    <s v="SEA"/>
    <s v="Seattle, WA: Seattle/Tacoma International"/>
    <n v="1280"/>
    <n v="243"/>
    <n v="111.31"/>
    <n v="1.32"/>
    <n v="28.39"/>
    <n v="0.73"/>
    <n v="101.25"/>
    <n v="6"/>
    <n v="3"/>
    <n v="11995"/>
    <n v="5027"/>
    <n v="365"/>
    <n v="790"/>
    <n v="30"/>
    <n v="5783"/>
    <n v="0.1898"/>
    <n v="4.7000000000000002E-3"/>
    <n v="2.3E-3"/>
  </r>
  <r>
    <n v="2012"/>
    <n v="5"/>
    <x v="4"/>
    <x v="4"/>
    <s v="SEA"/>
    <s v="Seattle, WA: Seattle/Tacoma International"/>
    <n v="422"/>
    <n v="72"/>
    <n v="27.64"/>
    <n v="10.72"/>
    <n v="18.59"/>
    <n v="0"/>
    <n v="15.06"/>
    <n v="2"/>
    <n v="0"/>
    <n v="3877"/>
    <n v="1421"/>
    <n v="759"/>
    <n v="641"/>
    <n v="0"/>
    <n v="1056"/>
    <n v="0.1706"/>
    <n v="4.7000000000000002E-3"/>
    <n v="0"/>
  </r>
  <r>
    <n v="2012"/>
    <n v="5"/>
    <x v="5"/>
    <x v="5"/>
    <s v="SEA"/>
    <s v="Seattle, WA: Seattle/Tacoma International"/>
    <n v="3860"/>
    <n v="292"/>
    <n v="80.459999999999994"/>
    <n v="3.92"/>
    <n v="91.93"/>
    <n v="2.13"/>
    <n v="113.56"/>
    <n v="11"/>
    <n v="2"/>
    <n v="13542"/>
    <n v="3538"/>
    <n v="127"/>
    <n v="2726"/>
    <n v="81"/>
    <n v="7070"/>
    <n v="7.5600000000000001E-2"/>
    <n v="2.8E-3"/>
    <n v="5.0000000000000001E-4"/>
  </r>
  <r>
    <n v="2012"/>
    <n v="5"/>
    <x v="6"/>
    <x v="6"/>
    <s v="SEA"/>
    <s v="Seattle, WA: Seattle/Tacoma International"/>
    <n v="179"/>
    <n v="19"/>
    <n v="8.2899999999999991"/>
    <n v="0"/>
    <n v="8.35"/>
    <n v="0"/>
    <n v="2.36"/>
    <n v="0"/>
    <n v="0"/>
    <n v="816"/>
    <n v="375"/>
    <n v="0"/>
    <n v="307"/>
    <n v="0"/>
    <n v="134"/>
    <n v="0.1061"/>
    <n v="0"/>
    <n v="0"/>
  </r>
  <r>
    <n v="2012"/>
    <n v="5"/>
    <x v="7"/>
    <x v="7"/>
    <s v="SEA"/>
    <s v="Seattle, WA: Seattle/Tacoma International"/>
    <n v="704"/>
    <n v="93"/>
    <n v="33.71"/>
    <n v="2.34"/>
    <n v="38.65"/>
    <n v="0"/>
    <n v="18.3"/>
    <n v="0"/>
    <n v="0"/>
    <n v="4550"/>
    <n v="2029"/>
    <n v="254"/>
    <n v="1450"/>
    <n v="0"/>
    <n v="817"/>
    <n v="0.1321"/>
    <n v="0"/>
    <n v="0"/>
  </r>
  <r>
    <n v="2012"/>
    <n v="5"/>
    <x v="8"/>
    <x v="8"/>
    <s v="SEA"/>
    <s v="Seattle, WA: Seattle/Tacoma International"/>
    <n v="167"/>
    <n v="42"/>
    <n v="14.76"/>
    <n v="1.34"/>
    <n v="16.13"/>
    <n v="0"/>
    <n v="9.76"/>
    <n v="0"/>
    <n v="0"/>
    <n v="1493"/>
    <n v="408"/>
    <n v="101"/>
    <n v="544"/>
    <n v="0"/>
    <n v="440"/>
    <n v="0.2515"/>
    <n v="0"/>
    <n v="0"/>
  </r>
  <r>
    <n v="2012"/>
    <n v="5"/>
    <x v="16"/>
    <x v="16"/>
    <s v="SEA"/>
    <s v="Seattle, WA: Seattle/Tacoma International"/>
    <n v="62"/>
    <n v="3"/>
    <n v="1.1399999999999999"/>
    <n v="0"/>
    <n v="0.89"/>
    <n v="0"/>
    <n v="0.98"/>
    <n v="0"/>
    <n v="0"/>
    <n v="475"/>
    <n v="131"/>
    <n v="0"/>
    <n v="26"/>
    <n v="0"/>
    <n v="318"/>
    <n v="4.8399999999999999E-2"/>
    <n v="0"/>
    <n v="0"/>
  </r>
  <r>
    <n v="2012"/>
    <n v="5"/>
    <x v="0"/>
    <x v="0"/>
    <s v="SEA"/>
    <s v="Seattle, WA: Seattle/Tacoma International"/>
    <n v="62"/>
    <n v="14"/>
    <n v="13.59"/>
    <n v="0"/>
    <n v="0.12"/>
    <n v="0"/>
    <n v="0.28999999999999998"/>
    <n v="0"/>
    <n v="0"/>
    <n v="331"/>
    <n v="316"/>
    <n v="0"/>
    <n v="4"/>
    <n v="0"/>
    <n v="11"/>
    <n v="0.2258"/>
    <n v="0"/>
    <n v="0"/>
  </r>
  <r>
    <n v="2012"/>
    <n v="5"/>
    <x v="2"/>
    <x v="2"/>
    <s v="SEA"/>
    <s v="Seattle, WA: Seattle/Tacoma International"/>
    <n v="526"/>
    <n v="28"/>
    <n v="13.37"/>
    <n v="0"/>
    <n v="3.75"/>
    <n v="0"/>
    <n v="10.89"/>
    <n v="0"/>
    <n v="0"/>
    <n v="1365"/>
    <n v="707"/>
    <n v="0"/>
    <n v="102"/>
    <n v="0"/>
    <n v="556"/>
    <n v="5.3199999999999997E-2"/>
    <n v="0"/>
    <n v="0"/>
  </r>
  <r>
    <n v="2012"/>
    <n v="5"/>
    <x v="9"/>
    <x v="9"/>
    <s v="SEA"/>
    <s v="Seattle, WA: Seattle/Tacoma International"/>
    <n v="933"/>
    <n v="229"/>
    <n v="106.44"/>
    <n v="3.92"/>
    <n v="66.5"/>
    <n v="0"/>
    <n v="52.14"/>
    <n v="6"/>
    <n v="1"/>
    <n v="11347"/>
    <n v="5094"/>
    <n v="483"/>
    <n v="2710"/>
    <n v="0"/>
    <n v="3060"/>
    <n v="0.24540000000000001"/>
    <n v="6.4000000000000003E-3"/>
    <n v="1.1000000000000001E-3"/>
  </r>
  <r>
    <n v="2012"/>
    <n v="5"/>
    <x v="15"/>
    <x v="15"/>
    <s v="SEA"/>
    <s v="Seattle, WA: Seattle/Tacoma International"/>
    <n v="346"/>
    <n v="43"/>
    <n v="18.63"/>
    <n v="0.78"/>
    <n v="17.29"/>
    <n v="0"/>
    <n v="6.3"/>
    <n v="1"/>
    <n v="2"/>
    <n v="1787"/>
    <n v="797"/>
    <n v="45"/>
    <n v="588"/>
    <n v="0"/>
    <n v="357"/>
    <n v="0.12429999999999999"/>
    <n v="2.8999999999999998E-3"/>
    <n v="5.7999999999999996E-3"/>
  </r>
  <r>
    <n v="2012"/>
    <n v="5"/>
    <x v="14"/>
    <x v="14"/>
    <s v="SEA"/>
    <s v="Seattle, WA: Seattle/Tacoma International"/>
    <n v="271"/>
    <n v="33"/>
    <n v="6.72"/>
    <n v="6.73"/>
    <n v="6.2"/>
    <n v="0"/>
    <n v="13.35"/>
    <n v="0"/>
    <n v="0"/>
    <n v="1072"/>
    <n v="285"/>
    <n v="135"/>
    <n v="136"/>
    <n v="0"/>
    <n v="516"/>
    <n v="0.12180000000000001"/>
    <n v="0"/>
    <n v="0"/>
  </r>
  <r>
    <n v="2012"/>
    <n v="5"/>
    <x v="10"/>
    <x v="10"/>
    <s v="SEA"/>
    <s v="Seattle, WA: Seattle/Tacoma International"/>
    <n v="1092"/>
    <n v="161"/>
    <n v="87.42"/>
    <n v="0"/>
    <n v="16.37"/>
    <n v="0.75"/>
    <n v="56.46"/>
    <n v="1"/>
    <n v="1"/>
    <n v="7072"/>
    <n v="3967"/>
    <n v="0"/>
    <n v="462"/>
    <n v="12"/>
    <n v="2631"/>
    <n v="0.1474"/>
    <n v="8.9999999999999998E-4"/>
    <n v="8.9999999999999998E-4"/>
  </r>
  <r>
    <n v="2012"/>
    <n v="4"/>
    <x v="4"/>
    <x v="4"/>
    <s v="SEA"/>
    <s v="Seattle, WA: Seattle/Tacoma International"/>
    <n v="401"/>
    <n v="56"/>
    <n v="13.86"/>
    <n v="7.91"/>
    <n v="16.41"/>
    <n v="0"/>
    <n v="17.809999999999999"/>
    <n v="9"/>
    <n v="0"/>
    <n v="2777"/>
    <n v="470"/>
    <n v="769"/>
    <n v="434"/>
    <n v="0"/>
    <n v="1104"/>
    <n v="0.13969999999999999"/>
    <n v="2.24E-2"/>
    <n v="0"/>
  </r>
  <r>
    <n v="2012"/>
    <n v="4"/>
    <x v="5"/>
    <x v="5"/>
    <s v="SEA"/>
    <s v="Seattle, WA: Seattle/Tacoma International"/>
    <n v="3586"/>
    <n v="277"/>
    <n v="78.63"/>
    <n v="3.21"/>
    <n v="79.27"/>
    <n v="1.1299999999999999"/>
    <n v="114.76"/>
    <n v="7"/>
    <n v="6"/>
    <n v="13999"/>
    <n v="5057"/>
    <n v="162"/>
    <n v="2211"/>
    <n v="78"/>
    <n v="6491"/>
    <n v="7.7200000000000005E-2"/>
    <n v="2E-3"/>
    <n v="1.6999999999999999E-3"/>
  </r>
  <r>
    <n v="2012"/>
    <n v="4"/>
    <x v="6"/>
    <x v="6"/>
    <s v="SEA"/>
    <s v="Seattle, WA: Seattle/Tacoma International"/>
    <n v="150"/>
    <n v="12"/>
    <n v="6.06"/>
    <n v="0"/>
    <n v="1.84"/>
    <n v="0"/>
    <n v="4.1100000000000003"/>
    <n v="0"/>
    <n v="0"/>
    <n v="569"/>
    <n v="307"/>
    <n v="0"/>
    <n v="60"/>
    <n v="0"/>
    <n v="202"/>
    <n v="0.08"/>
    <n v="0"/>
    <n v="0"/>
  </r>
  <r>
    <n v="2012"/>
    <n v="4"/>
    <x v="7"/>
    <x v="7"/>
    <s v="SEA"/>
    <s v="Seattle, WA: Seattle/Tacoma International"/>
    <n v="686"/>
    <n v="67"/>
    <n v="31.01"/>
    <n v="0"/>
    <n v="22.89"/>
    <n v="0"/>
    <n v="13.11"/>
    <n v="0"/>
    <n v="1"/>
    <n v="3066"/>
    <n v="1715"/>
    <n v="0"/>
    <n v="608"/>
    <n v="0"/>
    <n v="743"/>
    <n v="9.7699999999999995E-2"/>
    <n v="0"/>
    <n v="1.5E-3"/>
  </r>
  <r>
    <n v="2012"/>
    <n v="4"/>
    <x v="8"/>
    <x v="8"/>
    <s v="SEA"/>
    <s v="Seattle, WA: Seattle/Tacoma International"/>
    <n v="139"/>
    <n v="24"/>
    <n v="14.02"/>
    <n v="0.68"/>
    <n v="5"/>
    <n v="0"/>
    <n v="4.3"/>
    <n v="0"/>
    <n v="1"/>
    <n v="1023"/>
    <n v="564"/>
    <n v="21"/>
    <n v="159"/>
    <n v="0"/>
    <n v="279"/>
    <n v="0.17269999999999999"/>
    <n v="0"/>
    <n v="7.1999999999999998E-3"/>
  </r>
  <r>
    <n v="2012"/>
    <n v="4"/>
    <x v="16"/>
    <x v="16"/>
    <s v="SEA"/>
    <s v="Seattle, WA: Seattle/Tacoma International"/>
    <n v="51"/>
    <n v="3"/>
    <n v="1"/>
    <n v="0"/>
    <n v="1"/>
    <n v="0"/>
    <n v="1"/>
    <n v="0"/>
    <n v="0"/>
    <n v="58"/>
    <n v="20"/>
    <n v="0"/>
    <n v="15"/>
    <n v="0"/>
    <n v="23"/>
    <n v="5.8799999999999998E-2"/>
    <n v="0"/>
    <n v="0"/>
  </r>
  <r>
    <n v="2012"/>
    <n v="4"/>
    <x v="0"/>
    <x v="0"/>
    <s v="SEA"/>
    <s v="Seattle, WA: Seattle/Tacoma International"/>
    <n v="60"/>
    <n v="13"/>
    <n v="13"/>
    <n v="0"/>
    <n v="0"/>
    <n v="0"/>
    <n v="0"/>
    <n v="0"/>
    <n v="1"/>
    <n v="1168"/>
    <n v="1168"/>
    <n v="0"/>
    <n v="0"/>
    <n v="0"/>
    <n v="0"/>
    <n v="0.2167"/>
    <n v="0"/>
    <n v="1.67E-2"/>
  </r>
  <r>
    <n v="2012"/>
    <n v="4"/>
    <x v="2"/>
    <x v="2"/>
    <s v="SEA"/>
    <s v="Seattle, WA: Seattle/Tacoma International"/>
    <n v="510"/>
    <n v="37"/>
    <n v="15.33"/>
    <n v="0"/>
    <n v="4.5199999999999996"/>
    <n v="0"/>
    <n v="17.16"/>
    <n v="2"/>
    <n v="1"/>
    <n v="1555"/>
    <n v="710"/>
    <n v="0"/>
    <n v="136"/>
    <n v="0"/>
    <n v="709"/>
    <n v="7.2499999999999995E-2"/>
    <n v="3.8999999999999998E-3"/>
    <n v="2E-3"/>
  </r>
  <r>
    <n v="2012"/>
    <n v="4"/>
    <x v="9"/>
    <x v="9"/>
    <s v="SEA"/>
    <s v="Seattle, WA: Seattle/Tacoma International"/>
    <n v="849"/>
    <n v="185"/>
    <n v="79.459999999999994"/>
    <n v="0.44"/>
    <n v="47.45"/>
    <n v="0.88"/>
    <n v="56.77"/>
    <n v="2"/>
    <n v="2"/>
    <n v="8788"/>
    <n v="3692"/>
    <n v="28"/>
    <n v="1361"/>
    <n v="36"/>
    <n v="3671"/>
    <n v="0.21790000000000001"/>
    <n v="2.3999999999999998E-3"/>
    <n v="2.3999999999999998E-3"/>
  </r>
  <r>
    <n v="2012"/>
    <n v="4"/>
    <x v="15"/>
    <x v="15"/>
    <s v="SEA"/>
    <s v="Seattle, WA: Seattle/Tacoma International"/>
    <n v="258"/>
    <n v="35"/>
    <n v="13.49"/>
    <n v="0"/>
    <n v="15.56"/>
    <n v="0"/>
    <n v="5.94"/>
    <n v="0"/>
    <n v="0"/>
    <n v="1578"/>
    <n v="763"/>
    <n v="0"/>
    <n v="438"/>
    <n v="0"/>
    <n v="377"/>
    <n v="0.13569999999999999"/>
    <n v="0"/>
    <n v="0"/>
  </r>
  <r>
    <n v="2012"/>
    <n v="4"/>
    <x v="14"/>
    <x v="14"/>
    <s v="SEA"/>
    <s v="Seattle, WA: Seattle/Tacoma International"/>
    <n v="232"/>
    <n v="14"/>
    <n v="4.3099999999999996"/>
    <n v="0.62"/>
    <n v="1.41"/>
    <n v="0.63"/>
    <n v="7.04"/>
    <n v="0"/>
    <n v="0"/>
    <n v="801"/>
    <n v="237"/>
    <n v="16"/>
    <n v="38"/>
    <n v="12"/>
    <n v="498"/>
    <n v="6.0299999999999999E-2"/>
    <n v="0"/>
    <n v="0"/>
  </r>
  <r>
    <n v="2012"/>
    <n v="4"/>
    <x v="10"/>
    <x v="10"/>
    <s v="SEA"/>
    <s v="Seattle, WA: Seattle/Tacoma International"/>
    <n v="1033"/>
    <n v="123"/>
    <n v="46.95"/>
    <n v="1.1299999999999999"/>
    <n v="22.33"/>
    <n v="1.44"/>
    <n v="51.16"/>
    <n v="3"/>
    <n v="0"/>
    <n v="4939"/>
    <n v="1977"/>
    <n v="54"/>
    <n v="546"/>
    <n v="53"/>
    <n v="2309"/>
    <n v="0.1191"/>
    <n v="2.8999999999999998E-3"/>
    <n v="0"/>
  </r>
  <r>
    <n v="2012"/>
    <n v="3"/>
    <x v="4"/>
    <x v="4"/>
    <s v="SEA"/>
    <s v="Seattle, WA: Seattle/Tacoma International"/>
    <n v="331"/>
    <n v="62"/>
    <n v="24.43"/>
    <n v="3.8"/>
    <n v="12.77"/>
    <n v="0"/>
    <n v="21"/>
    <n v="5"/>
    <n v="0"/>
    <n v="2698"/>
    <n v="1166"/>
    <n v="142"/>
    <n v="389"/>
    <n v="0"/>
    <n v="1001"/>
    <n v="0.18729999999999999"/>
    <n v="1.5100000000000001E-2"/>
    <n v="0"/>
  </r>
  <r>
    <n v="2012"/>
    <n v="3"/>
    <x v="5"/>
    <x v="5"/>
    <s v="SEA"/>
    <s v="Seattle, WA: Seattle/Tacoma International"/>
    <n v="3657"/>
    <n v="423"/>
    <n v="92.61"/>
    <n v="5.19"/>
    <n v="132.19"/>
    <n v="3.01"/>
    <n v="189.99"/>
    <n v="16"/>
    <n v="5"/>
    <n v="23940"/>
    <n v="7148"/>
    <n v="356"/>
    <n v="3788"/>
    <n v="90"/>
    <n v="12558"/>
    <n v="0.1157"/>
    <n v="4.4000000000000003E-3"/>
    <n v="1.4E-3"/>
  </r>
  <r>
    <n v="2012"/>
    <n v="3"/>
    <x v="6"/>
    <x v="6"/>
    <s v="SEA"/>
    <s v="Seattle, WA: Seattle/Tacoma International"/>
    <n v="155"/>
    <n v="30"/>
    <n v="14.48"/>
    <n v="0"/>
    <n v="5.94"/>
    <n v="0"/>
    <n v="9.58"/>
    <n v="0"/>
    <n v="1"/>
    <n v="1722"/>
    <n v="998"/>
    <n v="0"/>
    <n v="154"/>
    <n v="0"/>
    <n v="570"/>
    <n v="0.19350000000000001"/>
    <n v="0"/>
    <n v="6.4999999999999997E-3"/>
  </r>
  <r>
    <n v="2012"/>
    <n v="3"/>
    <x v="7"/>
    <x v="7"/>
    <s v="SEA"/>
    <s v="Seattle, WA: Seattle/Tacoma International"/>
    <n v="720"/>
    <n v="134"/>
    <n v="46.51"/>
    <n v="2.66"/>
    <n v="62.79"/>
    <n v="0"/>
    <n v="22.04"/>
    <n v="1"/>
    <n v="1"/>
    <n v="5693"/>
    <n v="2188"/>
    <n v="222"/>
    <n v="1816"/>
    <n v="0"/>
    <n v="1467"/>
    <n v="0.18609999999999999"/>
    <n v="1.4E-3"/>
    <n v="1.4E-3"/>
  </r>
  <r>
    <n v="2012"/>
    <n v="3"/>
    <x v="8"/>
    <x v="8"/>
    <s v="SEA"/>
    <s v="Seattle, WA: Seattle/Tacoma International"/>
    <n v="138"/>
    <n v="20"/>
    <n v="9.3699999999999992"/>
    <n v="0"/>
    <n v="5.98"/>
    <n v="0"/>
    <n v="4.6500000000000004"/>
    <n v="0"/>
    <n v="0"/>
    <n v="780"/>
    <n v="306"/>
    <n v="0"/>
    <n v="146"/>
    <n v="0"/>
    <n v="328"/>
    <n v="0.1449"/>
    <n v="0"/>
    <n v="0"/>
  </r>
  <r>
    <n v="2012"/>
    <n v="3"/>
    <x v="16"/>
    <x v="16"/>
    <s v="SEA"/>
    <s v="Seattle, WA: Seattle/Tacoma International"/>
    <n v="31"/>
    <n v="3"/>
    <n v="0.77"/>
    <n v="0"/>
    <n v="2.23"/>
    <n v="0"/>
    <n v="0"/>
    <n v="0"/>
    <n v="0"/>
    <n v="111"/>
    <n v="45"/>
    <n v="0"/>
    <n v="66"/>
    <n v="0"/>
    <n v="0"/>
    <n v="9.6799999999999997E-2"/>
    <n v="0"/>
    <n v="0"/>
  </r>
  <r>
    <n v="2012"/>
    <n v="3"/>
    <x v="0"/>
    <x v="0"/>
    <s v="SEA"/>
    <s v="Seattle, WA: Seattle/Tacoma International"/>
    <n v="62"/>
    <n v="18"/>
    <n v="16"/>
    <n v="0"/>
    <n v="0"/>
    <n v="0"/>
    <n v="2"/>
    <n v="0"/>
    <n v="0"/>
    <n v="1141"/>
    <n v="1077"/>
    <n v="0"/>
    <n v="0"/>
    <n v="0"/>
    <n v="64"/>
    <n v="0.2903"/>
    <n v="0"/>
    <n v="0"/>
  </r>
  <r>
    <n v="2012"/>
    <n v="3"/>
    <x v="2"/>
    <x v="2"/>
    <s v="SEA"/>
    <s v="Seattle, WA: Seattle/Tacoma International"/>
    <n v="540"/>
    <n v="64"/>
    <n v="25.74"/>
    <n v="0"/>
    <n v="12.34"/>
    <n v="0"/>
    <n v="25.92"/>
    <n v="5"/>
    <n v="0"/>
    <n v="3706"/>
    <n v="1863"/>
    <n v="0"/>
    <n v="412"/>
    <n v="0"/>
    <n v="1431"/>
    <n v="0.11849999999999999"/>
    <n v="9.2999999999999992E-3"/>
    <n v="0"/>
  </r>
  <r>
    <n v="2012"/>
    <n v="3"/>
    <x v="9"/>
    <x v="9"/>
    <s v="SEA"/>
    <s v="Seattle, WA: Seattle/Tacoma International"/>
    <n v="881"/>
    <n v="255"/>
    <n v="104.97"/>
    <n v="5.04"/>
    <n v="77.22"/>
    <n v="0"/>
    <n v="67.77"/>
    <n v="2"/>
    <n v="1"/>
    <n v="12207"/>
    <n v="4700"/>
    <n v="324"/>
    <n v="2569"/>
    <n v="0"/>
    <n v="4614"/>
    <n v="0.28939999999999999"/>
    <n v="2.3E-3"/>
    <n v="1.1000000000000001E-3"/>
  </r>
  <r>
    <n v="2012"/>
    <n v="3"/>
    <x v="15"/>
    <x v="15"/>
    <s v="SEA"/>
    <s v="Seattle, WA: Seattle/Tacoma International"/>
    <n v="260"/>
    <n v="36"/>
    <n v="11.6"/>
    <n v="0"/>
    <n v="17.88"/>
    <n v="0"/>
    <n v="6.52"/>
    <n v="1"/>
    <n v="0"/>
    <n v="1629"/>
    <n v="662"/>
    <n v="0"/>
    <n v="433"/>
    <n v="0"/>
    <n v="534"/>
    <n v="0.13850000000000001"/>
    <n v="3.8E-3"/>
    <n v="0"/>
  </r>
  <r>
    <n v="2012"/>
    <n v="3"/>
    <x v="14"/>
    <x v="14"/>
    <s v="SEA"/>
    <s v="Seattle, WA: Seattle/Tacoma International"/>
    <n v="233"/>
    <n v="49"/>
    <n v="9.68"/>
    <n v="4.76"/>
    <n v="9.4700000000000006"/>
    <n v="0.26"/>
    <n v="24.82"/>
    <n v="2"/>
    <n v="0"/>
    <n v="3683"/>
    <n v="687"/>
    <n v="157"/>
    <n v="717"/>
    <n v="10"/>
    <n v="2112"/>
    <n v="0.21029999999999999"/>
    <n v="8.6E-3"/>
    <n v="0"/>
  </r>
  <r>
    <n v="2012"/>
    <n v="3"/>
    <x v="10"/>
    <x v="10"/>
    <s v="SEA"/>
    <s v="Seattle, WA: Seattle/Tacoma International"/>
    <n v="964"/>
    <n v="147"/>
    <n v="48.3"/>
    <n v="1.49"/>
    <n v="30.8"/>
    <n v="0.56000000000000005"/>
    <n v="65.849999999999994"/>
    <n v="0"/>
    <n v="0"/>
    <n v="5655"/>
    <n v="1698"/>
    <n v="52"/>
    <n v="878"/>
    <n v="9"/>
    <n v="3018"/>
    <n v="0.1525"/>
    <n v="0"/>
    <n v="0"/>
  </r>
  <r>
    <n v="2012"/>
    <n v="2"/>
    <x v="4"/>
    <x v="4"/>
    <s v="SEA"/>
    <s v="Seattle, WA: Seattle/Tacoma International"/>
    <n v="297"/>
    <n v="60"/>
    <n v="24.96"/>
    <n v="0.89"/>
    <n v="23.81"/>
    <n v="0"/>
    <n v="10.34"/>
    <n v="2"/>
    <n v="1"/>
    <n v="2304"/>
    <n v="1073"/>
    <n v="49"/>
    <n v="720"/>
    <n v="0"/>
    <n v="462"/>
    <n v="0.20200000000000001"/>
    <n v="6.7000000000000002E-3"/>
    <n v="3.3999999999999998E-3"/>
  </r>
  <r>
    <n v="2012"/>
    <n v="2"/>
    <x v="5"/>
    <x v="5"/>
    <s v="SEA"/>
    <s v="Seattle, WA: Seattle/Tacoma International"/>
    <n v="3271"/>
    <n v="326"/>
    <n v="66.59"/>
    <n v="4"/>
    <n v="162.99"/>
    <n v="3"/>
    <n v="89.41"/>
    <n v="5"/>
    <n v="1"/>
    <n v="14865"/>
    <n v="4643"/>
    <n v="155"/>
    <n v="4080"/>
    <n v="98"/>
    <n v="5889"/>
    <n v="9.9699999999999997E-2"/>
    <n v="1.5E-3"/>
    <n v="2.9999999999999997E-4"/>
  </r>
  <r>
    <n v="2012"/>
    <n v="2"/>
    <x v="6"/>
    <x v="6"/>
    <s v="SEA"/>
    <s v="Seattle, WA: Seattle/Tacoma International"/>
    <n v="137"/>
    <n v="19"/>
    <n v="6.13"/>
    <n v="0"/>
    <n v="2.88"/>
    <n v="0"/>
    <n v="9.99"/>
    <n v="0"/>
    <n v="0"/>
    <n v="864"/>
    <n v="369"/>
    <n v="0"/>
    <n v="99"/>
    <n v="0"/>
    <n v="396"/>
    <n v="0.13869999999999999"/>
    <n v="0"/>
    <n v="0"/>
  </r>
  <r>
    <n v="2012"/>
    <n v="2"/>
    <x v="7"/>
    <x v="7"/>
    <s v="SEA"/>
    <s v="Seattle, WA: Seattle/Tacoma International"/>
    <n v="628"/>
    <n v="49"/>
    <n v="17.34"/>
    <n v="1.1399999999999999"/>
    <n v="22.19"/>
    <n v="0"/>
    <n v="8.34"/>
    <n v="0"/>
    <n v="0"/>
    <n v="2163"/>
    <n v="976"/>
    <n v="99"/>
    <n v="688"/>
    <n v="0"/>
    <n v="400"/>
    <n v="7.8E-2"/>
    <n v="0"/>
    <n v="0"/>
  </r>
  <r>
    <n v="2012"/>
    <n v="2"/>
    <x v="8"/>
    <x v="8"/>
    <s v="SEA"/>
    <s v="Seattle, WA: Seattle/Tacoma International"/>
    <n v="126"/>
    <n v="34"/>
    <n v="15.46"/>
    <n v="0"/>
    <n v="11.04"/>
    <n v="0"/>
    <n v="7.5"/>
    <n v="0"/>
    <n v="0"/>
    <n v="1467"/>
    <n v="759"/>
    <n v="0"/>
    <n v="341"/>
    <n v="0"/>
    <n v="367"/>
    <n v="0.26979999999999998"/>
    <n v="0"/>
    <n v="0"/>
  </r>
  <r>
    <n v="2012"/>
    <n v="2"/>
    <x v="16"/>
    <x v="16"/>
    <s v="SEA"/>
    <s v="Seattle, WA: Seattle/Tacoma International"/>
    <n v="29"/>
    <n v="3"/>
    <n v="0"/>
    <n v="0"/>
    <n v="2.2599999999999998"/>
    <n v="0"/>
    <n v="0.74"/>
    <n v="0"/>
    <n v="0"/>
    <n v="89"/>
    <n v="0"/>
    <n v="0"/>
    <n v="55"/>
    <n v="0"/>
    <n v="34"/>
    <n v="0.10340000000000001"/>
    <n v="0"/>
    <n v="0"/>
  </r>
  <r>
    <n v="2012"/>
    <n v="2"/>
    <x v="0"/>
    <x v="0"/>
    <s v="SEA"/>
    <s v="Seattle, WA: Seattle/Tacoma International"/>
    <n v="58"/>
    <n v="16"/>
    <n v="14.57"/>
    <n v="0"/>
    <n v="0"/>
    <n v="0"/>
    <n v="1.43"/>
    <n v="0"/>
    <n v="1"/>
    <n v="380"/>
    <n v="353"/>
    <n v="0"/>
    <n v="0"/>
    <n v="0"/>
    <n v="27"/>
    <n v="0.27589999999999998"/>
    <n v="0"/>
    <n v="1.72E-2"/>
  </r>
  <r>
    <n v="2012"/>
    <n v="2"/>
    <x v="2"/>
    <x v="2"/>
    <s v="SEA"/>
    <s v="Seattle, WA: Seattle/Tacoma International"/>
    <n v="516"/>
    <n v="66"/>
    <n v="21.6"/>
    <n v="1.25"/>
    <n v="14.69"/>
    <n v="0"/>
    <n v="28.46"/>
    <n v="6"/>
    <n v="1"/>
    <n v="2820"/>
    <n v="920"/>
    <n v="42"/>
    <n v="383"/>
    <n v="0"/>
    <n v="1475"/>
    <n v="0.12790000000000001"/>
    <n v="1.1599999999999999E-2"/>
    <n v="1.9E-3"/>
  </r>
  <r>
    <n v="2012"/>
    <n v="2"/>
    <x v="9"/>
    <x v="9"/>
    <s v="SEA"/>
    <s v="Seattle, WA: Seattle/Tacoma International"/>
    <n v="756"/>
    <n v="138"/>
    <n v="50.35"/>
    <n v="2.4900000000000002"/>
    <n v="50.3"/>
    <n v="0"/>
    <n v="34.86"/>
    <n v="4"/>
    <n v="0"/>
    <n v="5322"/>
    <n v="1842"/>
    <n v="71"/>
    <n v="1687"/>
    <n v="0"/>
    <n v="1722"/>
    <n v="0.1825"/>
    <n v="5.3E-3"/>
    <n v="0"/>
  </r>
  <r>
    <n v="2012"/>
    <n v="2"/>
    <x v="15"/>
    <x v="15"/>
    <s v="SEA"/>
    <s v="Seattle, WA: Seattle/Tacoma International"/>
    <n v="204"/>
    <n v="25"/>
    <n v="9.41"/>
    <n v="0"/>
    <n v="12.2"/>
    <n v="0"/>
    <n v="3.38"/>
    <n v="0"/>
    <n v="0"/>
    <n v="914"/>
    <n v="479"/>
    <n v="0"/>
    <n v="316"/>
    <n v="0"/>
    <n v="119"/>
    <n v="0.1225"/>
    <n v="0"/>
    <n v="0"/>
  </r>
  <r>
    <n v="2012"/>
    <n v="2"/>
    <x v="14"/>
    <x v="14"/>
    <s v="SEA"/>
    <s v="Seattle, WA: Seattle/Tacoma International"/>
    <n v="208"/>
    <n v="14"/>
    <n v="4.91"/>
    <n v="3.02"/>
    <n v="2.27"/>
    <n v="0"/>
    <n v="3.8"/>
    <n v="0"/>
    <n v="0"/>
    <n v="479"/>
    <n v="238"/>
    <n v="66"/>
    <n v="56"/>
    <n v="0"/>
    <n v="119"/>
    <n v="6.7299999999999999E-2"/>
    <n v="0"/>
    <n v="0"/>
  </r>
  <r>
    <n v="2012"/>
    <n v="2"/>
    <x v="10"/>
    <x v="10"/>
    <s v="SEA"/>
    <s v="Seattle, WA: Seattle/Tacoma International"/>
    <n v="778"/>
    <n v="115"/>
    <n v="41.22"/>
    <n v="0.57999999999999996"/>
    <n v="29.98"/>
    <n v="1"/>
    <n v="42.22"/>
    <n v="5"/>
    <n v="0"/>
    <n v="4460"/>
    <n v="1784"/>
    <n v="22"/>
    <n v="825"/>
    <n v="47"/>
    <n v="1782"/>
    <n v="0.14779999999999999"/>
    <n v="6.4000000000000003E-3"/>
    <n v="0"/>
  </r>
  <r>
    <n v="2012"/>
    <n v="1"/>
    <x v="4"/>
    <x v="4"/>
    <s v="SEA"/>
    <s v="Seattle, WA: Seattle/Tacoma International"/>
    <n v="337"/>
    <n v="70"/>
    <n v="30.19"/>
    <n v="7.09"/>
    <n v="23.4"/>
    <n v="0"/>
    <n v="9.31"/>
    <n v="15"/>
    <n v="1"/>
    <n v="3207"/>
    <n v="1696"/>
    <n v="278"/>
    <n v="870"/>
    <n v="0"/>
    <n v="363"/>
    <n v="0.2077"/>
    <n v="4.4499999999999998E-2"/>
    <n v="3.0000000000000001E-3"/>
  </r>
  <r>
    <n v="2012"/>
    <n v="1"/>
    <x v="5"/>
    <x v="5"/>
    <s v="SEA"/>
    <s v="Seattle, WA: Seattle/Tacoma International"/>
    <n v="3463"/>
    <n v="518"/>
    <n v="105.98"/>
    <n v="17.77"/>
    <n v="186.8"/>
    <n v="1.74"/>
    <n v="205.72"/>
    <n v="143"/>
    <n v="11"/>
    <n v="30335"/>
    <n v="7161"/>
    <n v="1553"/>
    <n v="6140"/>
    <n v="53"/>
    <n v="15428"/>
    <n v="0.14960000000000001"/>
    <n v="4.1300000000000003E-2"/>
    <n v="3.2000000000000002E-3"/>
  </r>
  <r>
    <n v="2012"/>
    <n v="1"/>
    <x v="6"/>
    <x v="6"/>
    <s v="SEA"/>
    <s v="Seattle, WA: Seattle/Tacoma International"/>
    <n v="140"/>
    <n v="26"/>
    <n v="8.51"/>
    <n v="1.71"/>
    <n v="10.3"/>
    <n v="0"/>
    <n v="5.47"/>
    <n v="8"/>
    <n v="1"/>
    <n v="982"/>
    <n v="362"/>
    <n v="71"/>
    <n v="391"/>
    <n v="0"/>
    <n v="158"/>
    <n v="0.1857"/>
    <n v="5.7099999999999998E-2"/>
    <n v="7.1000000000000004E-3"/>
  </r>
  <r>
    <n v="2012"/>
    <n v="1"/>
    <x v="7"/>
    <x v="7"/>
    <s v="SEA"/>
    <s v="Seattle, WA: Seattle/Tacoma International"/>
    <n v="664"/>
    <n v="106"/>
    <n v="28.31"/>
    <n v="2.92"/>
    <n v="68.23"/>
    <n v="0"/>
    <n v="6.53"/>
    <n v="18"/>
    <n v="2"/>
    <n v="5162"/>
    <n v="2199"/>
    <n v="231"/>
    <n v="2457"/>
    <n v="0"/>
    <n v="275"/>
    <n v="0.15959999999999999"/>
    <n v="2.7099999999999999E-2"/>
    <n v="3.0000000000000001E-3"/>
  </r>
  <r>
    <n v="2012"/>
    <n v="1"/>
    <x v="8"/>
    <x v="8"/>
    <s v="SEA"/>
    <s v="Seattle, WA: Seattle/Tacoma International"/>
    <n v="135"/>
    <n v="39"/>
    <n v="19.940000000000001"/>
    <n v="0"/>
    <n v="16.940000000000001"/>
    <n v="0"/>
    <n v="2.12"/>
    <n v="2"/>
    <n v="1"/>
    <n v="1935"/>
    <n v="1068"/>
    <n v="0"/>
    <n v="765"/>
    <n v="0"/>
    <n v="102"/>
    <n v="0.28889999999999999"/>
    <n v="1.4800000000000001E-2"/>
    <n v="7.4000000000000003E-3"/>
  </r>
  <r>
    <n v="2012"/>
    <n v="1"/>
    <x v="16"/>
    <x v="16"/>
    <s v="SEA"/>
    <s v="Seattle, WA: Seattle/Tacoma International"/>
    <n v="31"/>
    <n v="9"/>
    <n v="0.41"/>
    <n v="0"/>
    <n v="5.14"/>
    <n v="0"/>
    <n v="3.45"/>
    <n v="1"/>
    <n v="0"/>
    <n v="442"/>
    <n v="11"/>
    <n v="0"/>
    <n v="267"/>
    <n v="0"/>
    <n v="164"/>
    <n v="0.2903"/>
    <n v="3.2300000000000002E-2"/>
    <n v="0"/>
  </r>
  <r>
    <n v="2012"/>
    <n v="1"/>
    <x v="0"/>
    <x v="0"/>
    <s v="SEA"/>
    <s v="Seattle, WA: Seattle/Tacoma International"/>
    <n v="62"/>
    <n v="19"/>
    <n v="15.15"/>
    <n v="1"/>
    <n v="0"/>
    <n v="0"/>
    <n v="2.85"/>
    <n v="0"/>
    <n v="0"/>
    <n v="1144"/>
    <n v="605"/>
    <n v="287"/>
    <n v="0"/>
    <n v="0"/>
    <n v="252"/>
    <n v="0.30649999999999999"/>
    <n v="0"/>
    <n v="0"/>
  </r>
  <r>
    <n v="2012"/>
    <n v="1"/>
    <x v="2"/>
    <x v="2"/>
    <s v="SEA"/>
    <s v="Seattle, WA: Seattle/Tacoma International"/>
    <n v="542"/>
    <n v="76"/>
    <n v="14.47"/>
    <n v="4.47"/>
    <n v="18.190000000000001"/>
    <n v="0"/>
    <n v="38.869999999999997"/>
    <n v="26"/>
    <n v="1"/>
    <n v="4260"/>
    <n v="909"/>
    <n v="194"/>
    <n v="688"/>
    <n v="0"/>
    <n v="2469"/>
    <n v="0.14019999999999999"/>
    <n v="4.8000000000000001E-2"/>
    <n v="1.8E-3"/>
  </r>
  <r>
    <n v="2012"/>
    <n v="1"/>
    <x v="9"/>
    <x v="9"/>
    <s v="SEA"/>
    <s v="Seattle, WA: Seattle/Tacoma International"/>
    <n v="792"/>
    <n v="173"/>
    <n v="51.11"/>
    <n v="2.82"/>
    <n v="74.33"/>
    <n v="0"/>
    <n v="44.74"/>
    <n v="29"/>
    <n v="5"/>
    <n v="10549"/>
    <n v="2970"/>
    <n v="969"/>
    <n v="3081"/>
    <n v="0"/>
    <n v="3529"/>
    <n v="0.21840000000000001"/>
    <n v="3.6600000000000001E-2"/>
    <n v="6.3E-3"/>
  </r>
  <r>
    <n v="2012"/>
    <n v="1"/>
    <x v="15"/>
    <x v="15"/>
    <s v="SEA"/>
    <s v="Seattle, WA: Seattle/Tacoma International"/>
    <n v="231"/>
    <n v="43"/>
    <n v="14.48"/>
    <n v="0"/>
    <n v="17.2"/>
    <n v="1.34"/>
    <n v="9.98"/>
    <n v="8"/>
    <n v="1"/>
    <n v="1571"/>
    <n v="731"/>
    <n v="0"/>
    <n v="448"/>
    <n v="34"/>
    <n v="358"/>
    <n v="0.18609999999999999"/>
    <n v="3.4599999999999999E-2"/>
    <n v="4.3E-3"/>
  </r>
  <r>
    <n v="2012"/>
    <n v="1"/>
    <x v="14"/>
    <x v="14"/>
    <s v="SEA"/>
    <s v="Seattle, WA: Seattle/Tacoma International"/>
    <n v="236"/>
    <n v="34"/>
    <n v="5.91"/>
    <n v="3.32"/>
    <n v="7.55"/>
    <n v="0"/>
    <n v="17.22"/>
    <n v="7"/>
    <n v="0"/>
    <n v="3148"/>
    <n v="345"/>
    <n v="102"/>
    <n v="973"/>
    <n v="0"/>
    <n v="1728"/>
    <n v="0.14410000000000001"/>
    <n v="2.9700000000000001E-2"/>
    <n v="0"/>
  </r>
  <r>
    <n v="2012"/>
    <n v="1"/>
    <x v="10"/>
    <x v="10"/>
    <s v="SEA"/>
    <s v="Seattle, WA: Seattle/Tacoma International"/>
    <n v="839"/>
    <n v="106"/>
    <n v="31.67"/>
    <n v="1.28"/>
    <n v="22.63"/>
    <n v="0.17"/>
    <n v="50.25"/>
    <n v="26"/>
    <n v="4"/>
    <n v="4514"/>
    <n v="1411"/>
    <n v="28"/>
    <n v="734"/>
    <n v="4"/>
    <n v="2337"/>
    <n v="0.1263"/>
    <n v="3.1E-2"/>
    <n v="4.7999999999999996E-3"/>
  </r>
  <r>
    <n v="2011"/>
    <n v="12"/>
    <x v="8"/>
    <x v="8"/>
    <s v="SEA"/>
    <s v="Seattle, WA: Seattle/Tacoma International"/>
    <n v="162"/>
    <n v="48"/>
    <n v="20.14"/>
    <n v="0.71"/>
    <n v="18.760000000000002"/>
    <n v="0"/>
    <n v="8.4"/>
    <n v="0"/>
    <n v="0"/>
    <n v="2336"/>
    <n v="913"/>
    <n v="24"/>
    <n v="744"/>
    <n v="0"/>
    <n v="655"/>
    <n v="0.29630000000000001"/>
    <n v="0"/>
    <n v="0"/>
  </r>
  <r>
    <n v="2011"/>
    <n v="12"/>
    <x v="16"/>
    <x v="16"/>
    <s v="SEA"/>
    <s v="Seattle, WA: Seattle/Tacoma International"/>
    <n v="31"/>
    <n v="4"/>
    <n v="1"/>
    <n v="0"/>
    <n v="1.1000000000000001"/>
    <n v="0"/>
    <n v="1.9"/>
    <n v="0"/>
    <n v="0"/>
    <n v="124"/>
    <n v="30"/>
    <n v="0"/>
    <n v="25"/>
    <n v="0"/>
    <n v="69"/>
    <n v="0.129"/>
    <n v="0"/>
    <n v="0"/>
  </r>
  <r>
    <n v="2011"/>
    <n v="12"/>
    <x v="0"/>
    <x v="0"/>
    <s v="SEA"/>
    <s v="Seattle, WA: Seattle/Tacoma International"/>
    <n v="69"/>
    <n v="27"/>
    <n v="26.37"/>
    <n v="0"/>
    <n v="0.16"/>
    <n v="0"/>
    <n v="0.47"/>
    <n v="0"/>
    <n v="0"/>
    <n v="902"/>
    <n v="888"/>
    <n v="0"/>
    <n v="6"/>
    <n v="0"/>
    <n v="8"/>
    <n v="0.39129999999999998"/>
    <n v="0"/>
    <n v="0"/>
  </r>
  <r>
    <n v="2011"/>
    <n v="12"/>
    <x v="2"/>
    <x v="2"/>
    <s v="SEA"/>
    <s v="Seattle, WA: Seattle/Tacoma International"/>
    <n v="607"/>
    <n v="99"/>
    <n v="27.61"/>
    <n v="9.42"/>
    <n v="20.71"/>
    <n v="0"/>
    <n v="41.27"/>
    <n v="7"/>
    <n v="1"/>
    <n v="4825"/>
    <n v="1752"/>
    <n v="555"/>
    <n v="555"/>
    <n v="0"/>
    <n v="1963"/>
    <n v="0.16309999999999999"/>
    <n v="1.15E-2"/>
    <n v="1.6000000000000001E-3"/>
  </r>
  <r>
    <n v="2011"/>
    <n v="12"/>
    <x v="9"/>
    <x v="9"/>
    <s v="SEA"/>
    <s v="Seattle, WA: Seattle/Tacoma International"/>
    <n v="559"/>
    <n v="73"/>
    <n v="33.49"/>
    <n v="2.84"/>
    <n v="15.56"/>
    <n v="0"/>
    <n v="21.11"/>
    <n v="0"/>
    <n v="0"/>
    <n v="3812"/>
    <n v="2111"/>
    <n v="228"/>
    <n v="421"/>
    <n v="0"/>
    <n v="1052"/>
    <n v="0.13059999999999999"/>
    <n v="0"/>
    <n v="0"/>
  </r>
  <r>
    <n v="2011"/>
    <n v="12"/>
    <x v="15"/>
    <x v="15"/>
    <s v="SEA"/>
    <s v="Seattle, WA: Seattle/Tacoma International"/>
    <n v="325"/>
    <n v="67"/>
    <n v="29.56"/>
    <n v="1"/>
    <n v="25.41"/>
    <n v="0.73"/>
    <n v="10.29"/>
    <n v="2"/>
    <n v="3"/>
    <n v="3020"/>
    <n v="1773"/>
    <n v="99"/>
    <n v="675"/>
    <n v="11"/>
    <n v="462"/>
    <n v="0.20619999999999999"/>
    <n v="6.1999999999999998E-3"/>
    <n v="9.1999999999999998E-3"/>
  </r>
  <r>
    <n v="2011"/>
    <n v="12"/>
    <x v="10"/>
    <x v="10"/>
    <s v="SEA"/>
    <s v="Seattle, WA: Seattle/Tacoma International"/>
    <n v="1131"/>
    <n v="135"/>
    <n v="44.1"/>
    <n v="5"/>
    <n v="12.12"/>
    <n v="0.28999999999999998"/>
    <n v="73.5"/>
    <n v="1"/>
    <n v="1"/>
    <n v="6210"/>
    <n v="1866"/>
    <n v="198"/>
    <n v="302"/>
    <n v="6"/>
    <n v="3838"/>
    <n v="0.11940000000000001"/>
    <n v="8.9999999999999998E-4"/>
    <n v="8.9999999999999998E-4"/>
  </r>
  <r>
    <n v="2011"/>
    <n v="12"/>
    <x v="4"/>
    <x v="4"/>
    <s v="SEA"/>
    <s v="Seattle, WA: Seattle/Tacoma International"/>
    <n v="353"/>
    <n v="60"/>
    <n v="32.700000000000003"/>
    <n v="5.0199999999999996"/>
    <n v="10.19"/>
    <n v="0"/>
    <n v="12.09"/>
    <n v="2"/>
    <n v="0"/>
    <n v="2559"/>
    <n v="1581"/>
    <n v="226"/>
    <n v="246"/>
    <n v="0"/>
    <n v="506"/>
    <n v="0.17"/>
    <n v="5.7000000000000002E-3"/>
    <n v="0"/>
  </r>
  <r>
    <n v="2011"/>
    <n v="12"/>
    <x v="5"/>
    <x v="5"/>
    <s v="SEA"/>
    <s v="Seattle, WA: Seattle/Tacoma International"/>
    <n v="3504"/>
    <n v="380"/>
    <n v="89.92"/>
    <n v="6.14"/>
    <n v="158.80000000000001"/>
    <n v="0.06"/>
    <n v="125.08"/>
    <n v="11"/>
    <n v="1"/>
    <n v="17214"/>
    <n v="5910"/>
    <n v="146"/>
    <n v="4105"/>
    <n v="3"/>
    <n v="7050"/>
    <n v="0.1084"/>
    <n v="3.0999999999999999E-3"/>
    <n v="2.9999999999999997E-4"/>
  </r>
  <r>
    <n v="2011"/>
    <n v="12"/>
    <x v="6"/>
    <x v="6"/>
    <s v="SEA"/>
    <s v="Seattle, WA: Seattle/Tacoma International"/>
    <n v="138"/>
    <n v="16"/>
    <n v="6.95"/>
    <n v="0.98"/>
    <n v="5.65"/>
    <n v="0"/>
    <n v="2.42"/>
    <n v="0"/>
    <n v="0"/>
    <n v="978"/>
    <n v="518"/>
    <n v="49"/>
    <n v="179"/>
    <n v="0"/>
    <n v="232"/>
    <n v="0.1159"/>
    <n v="0"/>
    <n v="0"/>
  </r>
  <r>
    <n v="2011"/>
    <n v="12"/>
    <x v="17"/>
    <x v="17"/>
    <s v="SEA"/>
    <s v="Seattle, WA: Seattle/Tacoma International"/>
    <n v="440"/>
    <n v="130"/>
    <n v="44.49"/>
    <n v="1.64"/>
    <n v="52.5"/>
    <n v="0"/>
    <n v="31.38"/>
    <n v="1"/>
    <n v="0"/>
    <n v="5086"/>
    <n v="2049"/>
    <n v="69"/>
    <n v="1589"/>
    <n v="0"/>
    <n v="1379"/>
    <n v="0.29549999999999998"/>
    <n v="2.3E-3"/>
    <n v="0"/>
  </r>
  <r>
    <n v="2011"/>
    <n v="12"/>
    <x v="7"/>
    <x v="7"/>
    <s v="SEA"/>
    <s v="Seattle, WA: Seattle/Tacoma International"/>
    <n v="752"/>
    <n v="74"/>
    <n v="25.41"/>
    <n v="2.73"/>
    <n v="32.19"/>
    <n v="0"/>
    <n v="13.67"/>
    <n v="0"/>
    <n v="2"/>
    <n v="2817"/>
    <n v="955"/>
    <n v="90"/>
    <n v="800"/>
    <n v="0"/>
    <n v="972"/>
    <n v="9.8400000000000001E-2"/>
    <n v="0"/>
    <n v="2.7000000000000001E-3"/>
  </r>
  <r>
    <n v="2011"/>
    <n v="11"/>
    <x v="4"/>
    <x v="4"/>
    <s v="SEA"/>
    <s v="Seattle, WA: Seattle/Tacoma International"/>
    <n v="348"/>
    <n v="111"/>
    <n v="39.67"/>
    <n v="6.71"/>
    <n v="48.71"/>
    <n v="0"/>
    <n v="15.92"/>
    <n v="1"/>
    <n v="0"/>
    <n v="4419"/>
    <n v="2083"/>
    <n v="253"/>
    <n v="1289"/>
    <n v="0"/>
    <n v="794"/>
    <n v="0.31900000000000001"/>
    <n v="2.8999999999999998E-3"/>
    <n v="0"/>
  </r>
  <r>
    <n v="2011"/>
    <n v="11"/>
    <x v="5"/>
    <x v="5"/>
    <s v="SEA"/>
    <s v="Seattle, WA: Seattle/Tacoma International"/>
    <n v="3452"/>
    <n v="420"/>
    <n v="85.02"/>
    <n v="10.97"/>
    <n v="170.24"/>
    <n v="1.76"/>
    <n v="152"/>
    <n v="17"/>
    <n v="8"/>
    <n v="21036"/>
    <n v="5502"/>
    <n v="868"/>
    <n v="5178"/>
    <n v="56"/>
    <n v="9432"/>
    <n v="0.1217"/>
    <n v="4.8999999999999998E-3"/>
    <n v="2.3E-3"/>
  </r>
  <r>
    <n v="2011"/>
    <n v="11"/>
    <x v="6"/>
    <x v="6"/>
    <s v="SEA"/>
    <s v="Seattle, WA: Seattle/Tacoma International"/>
    <n v="117"/>
    <n v="15"/>
    <n v="8.6999999999999993"/>
    <n v="0.14000000000000001"/>
    <n v="4.29"/>
    <n v="0"/>
    <n v="1.87"/>
    <n v="0"/>
    <n v="1"/>
    <n v="755"/>
    <n v="597"/>
    <n v="5"/>
    <n v="96"/>
    <n v="0"/>
    <n v="57"/>
    <n v="0.12820000000000001"/>
    <n v="0"/>
    <n v="8.5000000000000006E-3"/>
  </r>
  <r>
    <n v="2011"/>
    <n v="11"/>
    <x v="17"/>
    <x v="17"/>
    <s v="SEA"/>
    <s v="Seattle, WA: Seattle/Tacoma International"/>
    <n v="356"/>
    <n v="102"/>
    <n v="37.07"/>
    <n v="1.64"/>
    <n v="43.47"/>
    <n v="0"/>
    <n v="19.829999999999998"/>
    <n v="1"/>
    <n v="0"/>
    <n v="3838"/>
    <n v="1355"/>
    <n v="92"/>
    <n v="1364"/>
    <n v="0"/>
    <n v="1027"/>
    <n v="0.28649999999999998"/>
    <n v="2.8E-3"/>
    <n v="0"/>
  </r>
  <r>
    <n v="2011"/>
    <n v="11"/>
    <x v="7"/>
    <x v="7"/>
    <s v="SEA"/>
    <s v="Seattle, WA: Seattle/Tacoma International"/>
    <n v="761"/>
    <n v="85"/>
    <n v="34.75"/>
    <n v="1.95"/>
    <n v="36.78"/>
    <n v="0"/>
    <n v="11.51"/>
    <n v="0"/>
    <n v="1"/>
    <n v="3788"/>
    <n v="1969"/>
    <n v="83"/>
    <n v="1199"/>
    <n v="0"/>
    <n v="537"/>
    <n v="0.11169999999999999"/>
    <n v="0"/>
    <n v="1.2999999999999999E-3"/>
  </r>
  <r>
    <n v="2011"/>
    <n v="11"/>
    <x v="8"/>
    <x v="8"/>
    <s v="SEA"/>
    <s v="Seattle, WA: Seattle/Tacoma International"/>
    <n v="159"/>
    <n v="41"/>
    <n v="14.73"/>
    <n v="0.38"/>
    <n v="16.89"/>
    <n v="0"/>
    <n v="8.99"/>
    <n v="0"/>
    <n v="0"/>
    <n v="1362"/>
    <n v="351"/>
    <n v="42"/>
    <n v="496"/>
    <n v="0"/>
    <n v="473"/>
    <n v="0.25790000000000002"/>
    <n v="0"/>
    <n v="0"/>
  </r>
  <r>
    <n v="2011"/>
    <n v="11"/>
    <x v="16"/>
    <x v="16"/>
    <s v="SEA"/>
    <s v="Seattle, WA: Seattle/Tacoma International"/>
    <n v="43"/>
    <n v="9"/>
    <n v="4.4000000000000004"/>
    <n v="0"/>
    <n v="3.62"/>
    <n v="0"/>
    <n v="0.98"/>
    <n v="0"/>
    <n v="0"/>
    <n v="390"/>
    <n v="258"/>
    <n v="0"/>
    <n v="86"/>
    <n v="0"/>
    <n v="46"/>
    <n v="0.20930000000000001"/>
    <n v="0"/>
    <n v="0"/>
  </r>
  <r>
    <n v="2011"/>
    <n v="11"/>
    <x v="0"/>
    <x v="0"/>
    <s v="SEA"/>
    <s v="Seattle, WA: Seattle/Tacoma International"/>
    <n v="70"/>
    <n v="22"/>
    <n v="19.87"/>
    <n v="0"/>
    <n v="0.36"/>
    <n v="0"/>
    <n v="1.77"/>
    <n v="0"/>
    <n v="0"/>
    <n v="1227"/>
    <n v="1088"/>
    <n v="0"/>
    <n v="14"/>
    <n v="0"/>
    <n v="125"/>
    <n v="0.31430000000000002"/>
    <n v="0"/>
    <n v="0"/>
  </r>
  <r>
    <n v="2011"/>
    <n v="11"/>
    <x v="2"/>
    <x v="2"/>
    <s v="SEA"/>
    <s v="Seattle, WA: Seattle/Tacoma International"/>
    <n v="590"/>
    <n v="75"/>
    <n v="12.11"/>
    <n v="0"/>
    <n v="24.53"/>
    <n v="0"/>
    <n v="38.35"/>
    <n v="2"/>
    <n v="5"/>
    <n v="3744"/>
    <n v="976"/>
    <n v="0"/>
    <n v="705"/>
    <n v="0"/>
    <n v="2063"/>
    <n v="0.12709999999999999"/>
    <n v="3.3999999999999998E-3"/>
    <n v="8.5000000000000006E-3"/>
  </r>
  <r>
    <n v="2011"/>
    <n v="11"/>
    <x v="9"/>
    <x v="9"/>
    <s v="SEA"/>
    <s v="Seattle, WA: Seattle/Tacoma International"/>
    <n v="504"/>
    <n v="78"/>
    <n v="33.99"/>
    <n v="0"/>
    <n v="23.16"/>
    <n v="0"/>
    <n v="20.85"/>
    <n v="0"/>
    <n v="0"/>
    <n v="3457"/>
    <n v="1554"/>
    <n v="0"/>
    <n v="710"/>
    <n v="0"/>
    <n v="1193"/>
    <n v="0.15479999999999999"/>
    <n v="0"/>
    <n v="0"/>
  </r>
  <r>
    <n v="2011"/>
    <n v="11"/>
    <x v="15"/>
    <x v="15"/>
    <s v="SEA"/>
    <s v="Seattle, WA: Seattle/Tacoma International"/>
    <n v="263"/>
    <n v="35"/>
    <n v="13.79"/>
    <n v="0"/>
    <n v="17.38"/>
    <n v="1.06"/>
    <n v="2.77"/>
    <n v="1"/>
    <n v="0"/>
    <n v="1231"/>
    <n v="660"/>
    <n v="0"/>
    <n v="457"/>
    <n v="29"/>
    <n v="85"/>
    <n v="0.1331"/>
    <n v="3.8E-3"/>
    <n v="0"/>
  </r>
  <r>
    <n v="2011"/>
    <n v="11"/>
    <x v="10"/>
    <x v="10"/>
    <s v="SEA"/>
    <s v="Seattle, WA: Seattle/Tacoma International"/>
    <n v="1091"/>
    <n v="136"/>
    <n v="39.159999999999997"/>
    <n v="3"/>
    <n v="22.37"/>
    <n v="0"/>
    <n v="71.47"/>
    <n v="4"/>
    <n v="1"/>
    <n v="4755"/>
    <n v="1382"/>
    <n v="225"/>
    <n v="614"/>
    <n v="0"/>
    <n v="2534"/>
    <n v="0.12470000000000001"/>
    <n v="3.7000000000000002E-3"/>
    <n v="8.9999999999999998E-4"/>
  </r>
  <r>
    <n v="2011"/>
    <n v="10"/>
    <x v="4"/>
    <x v="4"/>
    <s v="SEA"/>
    <s v="Seattle, WA: Seattle/Tacoma International"/>
    <n v="403"/>
    <n v="124"/>
    <n v="36.36"/>
    <n v="3.88"/>
    <n v="67.75"/>
    <n v="0"/>
    <n v="16.010000000000002"/>
    <n v="1"/>
    <n v="0"/>
    <n v="5274"/>
    <n v="2071"/>
    <n v="351"/>
    <n v="1927"/>
    <n v="0"/>
    <n v="925"/>
    <n v="0.30769999999999997"/>
    <n v="2.5000000000000001E-3"/>
    <n v="0"/>
  </r>
  <r>
    <n v="2011"/>
    <n v="10"/>
    <x v="5"/>
    <x v="5"/>
    <s v="SEA"/>
    <s v="Seattle, WA: Seattle/Tacoma International"/>
    <n v="3724"/>
    <n v="292"/>
    <n v="86.33"/>
    <n v="3.86"/>
    <n v="126.43"/>
    <n v="0.45"/>
    <n v="74.930000000000007"/>
    <n v="11"/>
    <n v="4"/>
    <n v="14990"/>
    <n v="5901"/>
    <n v="176"/>
    <n v="3278"/>
    <n v="37"/>
    <n v="5598"/>
    <n v="7.8399999999999997E-2"/>
    <n v="3.0000000000000001E-3"/>
    <n v="1.1000000000000001E-3"/>
  </r>
  <r>
    <n v="2011"/>
    <n v="10"/>
    <x v="6"/>
    <x v="6"/>
    <s v="SEA"/>
    <s v="Seattle, WA: Seattle/Tacoma International"/>
    <n v="154"/>
    <n v="19"/>
    <n v="5.3"/>
    <n v="0.57999999999999996"/>
    <n v="9.18"/>
    <n v="0"/>
    <n v="3.94"/>
    <n v="0"/>
    <n v="0"/>
    <n v="830"/>
    <n v="370"/>
    <n v="23"/>
    <n v="285"/>
    <n v="0"/>
    <n v="152"/>
    <n v="0.1234"/>
    <n v="0"/>
    <n v="0"/>
  </r>
  <r>
    <n v="2011"/>
    <n v="10"/>
    <x v="17"/>
    <x v="17"/>
    <s v="SEA"/>
    <s v="Seattle, WA: Seattle/Tacoma International"/>
    <n v="368"/>
    <n v="110"/>
    <n v="22.8"/>
    <n v="2.21"/>
    <n v="80.099999999999994"/>
    <n v="0"/>
    <n v="4.8899999999999997"/>
    <n v="2"/>
    <n v="0"/>
    <n v="3923"/>
    <n v="1021"/>
    <n v="342"/>
    <n v="2126"/>
    <n v="0"/>
    <n v="434"/>
    <n v="0.2989"/>
    <n v="5.4000000000000003E-3"/>
    <n v="0"/>
  </r>
  <r>
    <n v="2011"/>
    <n v="10"/>
    <x v="7"/>
    <x v="7"/>
    <s v="SEA"/>
    <s v="Seattle, WA: Seattle/Tacoma International"/>
    <n v="805"/>
    <n v="118"/>
    <n v="23.26"/>
    <n v="1.73"/>
    <n v="81.02"/>
    <n v="0"/>
    <n v="11.99"/>
    <n v="0"/>
    <n v="2"/>
    <n v="3901"/>
    <n v="1018"/>
    <n v="167"/>
    <n v="2076"/>
    <n v="0"/>
    <n v="640"/>
    <n v="0.14660000000000001"/>
    <n v="0"/>
    <n v="2.5000000000000001E-3"/>
  </r>
  <r>
    <n v="2011"/>
    <n v="10"/>
    <x v="8"/>
    <x v="8"/>
    <s v="SEA"/>
    <s v="Seattle, WA: Seattle/Tacoma International"/>
    <n v="146"/>
    <n v="21"/>
    <n v="9.7200000000000006"/>
    <n v="0"/>
    <n v="5.4"/>
    <n v="0"/>
    <n v="5.87"/>
    <n v="0"/>
    <n v="0"/>
    <n v="575"/>
    <n v="279"/>
    <n v="0"/>
    <n v="142"/>
    <n v="0"/>
    <n v="154"/>
    <n v="0.14380000000000001"/>
    <n v="0"/>
    <n v="0"/>
  </r>
  <r>
    <n v="2011"/>
    <n v="10"/>
    <x v="16"/>
    <x v="16"/>
    <s v="SEA"/>
    <s v="Seattle, WA: Seattle/Tacoma International"/>
    <n v="81"/>
    <n v="8"/>
    <n v="4"/>
    <n v="0"/>
    <n v="4"/>
    <n v="0"/>
    <n v="0"/>
    <n v="0"/>
    <n v="0"/>
    <n v="223"/>
    <n v="143"/>
    <n v="0"/>
    <n v="80"/>
    <n v="0"/>
    <n v="0"/>
    <n v="9.8799999999999999E-2"/>
    <n v="0"/>
    <n v="0"/>
  </r>
  <r>
    <n v="2011"/>
    <n v="10"/>
    <x v="0"/>
    <x v="0"/>
    <s v="SEA"/>
    <s v="Seattle, WA: Seattle/Tacoma International"/>
    <n v="62"/>
    <n v="16"/>
    <n v="14.74"/>
    <n v="0"/>
    <n v="0"/>
    <n v="0"/>
    <n v="1.26"/>
    <n v="0"/>
    <n v="0"/>
    <n v="1611"/>
    <n v="1562"/>
    <n v="0"/>
    <n v="0"/>
    <n v="0"/>
    <n v="49"/>
    <n v="0.2581"/>
    <n v="0"/>
    <n v="0"/>
  </r>
  <r>
    <n v="2011"/>
    <n v="10"/>
    <x v="2"/>
    <x v="2"/>
    <s v="SEA"/>
    <s v="Seattle, WA: Seattle/Tacoma International"/>
    <n v="604"/>
    <n v="57"/>
    <n v="17.329999999999998"/>
    <n v="0"/>
    <n v="26"/>
    <n v="0"/>
    <n v="13.67"/>
    <n v="5"/>
    <n v="0"/>
    <n v="2740"/>
    <n v="1448"/>
    <n v="0"/>
    <n v="744"/>
    <n v="0"/>
    <n v="548"/>
    <n v="9.4399999999999998E-2"/>
    <n v="8.3000000000000001E-3"/>
    <n v="0"/>
  </r>
  <r>
    <n v="2011"/>
    <n v="10"/>
    <x v="9"/>
    <x v="9"/>
    <s v="SEA"/>
    <s v="Seattle, WA: Seattle/Tacoma International"/>
    <n v="551"/>
    <n v="109"/>
    <n v="28.06"/>
    <n v="1.55"/>
    <n v="60.99"/>
    <n v="0"/>
    <n v="18.399999999999999"/>
    <n v="0"/>
    <n v="0"/>
    <n v="4589"/>
    <n v="1502"/>
    <n v="98"/>
    <n v="1721"/>
    <n v="0"/>
    <n v="1268"/>
    <n v="0.1978"/>
    <n v="0"/>
    <n v="0"/>
  </r>
  <r>
    <n v="2011"/>
    <n v="10"/>
    <x v="15"/>
    <x v="15"/>
    <s v="SEA"/>
    <s v="Seattle, WA: Seattle/Tacoma International"/>
    <n v="261"/>
    <n v="42"/>
    <n v="13.47"/>
    <n v="0"/>
    <n v="27.93"/>
    <n v="0"/>
    <n v="0.6"/>
    <n v="0"/>
    <n v="0"/>
    <n v="1503"/>
    <n v="707"/>
    <n v="0"/>
    <n v="777"/>
    <n v="0"/>
    <n v="19"/>
    <n v="0.16089999999999999"/>
    <n v="0"/>
    <n v="0"/>
  </r>
  <r>
    <n v="2011"/>
    <n v="10"/>
    <x v="10"/>
    <x v="10"/>
    <s v="SEA"/>
    <s v="Seattle, WA: Seattle/Tacoma International"/>
    <n v="1176"/>
    <n v="132"/>
    <n v="47.31"/>
    <n v="0"/>
    <n v="17.82"/>
    <n v="0.26"/>
    <n v="66.599999999999994"/>
    <n v="4"/>
    <n v="0"/>
    <n v="5616"/>
    <n v="2031"/>
    <n v="0"/>
    <n v="455"/>
    <n v="6"/>
    <n v="3124"/>
    <n v="0.11219999999999999"/>
    <n v="3.3999999999999998E-3"/>
    <n v="0"/>
  </r>
  <r>
    <n v="2011"/>
    <n v="9"/>
    <x v="4"/>
    <x v="4"/>
    <s v="SEA"/>
    <s v="Seattle, WA: Seattle/Tacoma International"/>
    <n v="400"/>
    <n v="64"/>
    <n v="33.159999999999997"/>
    <n v="5.26"/>
    <n v="14.78"/>
    <n v="0"/>
    <n v="10.8"/>
    <n v="0"/>
    <n v="0"/>
    <n v="3453"/>
    <n v="1903"/>
    <n v="434"/>
    <n v="467"/>
    <n v="0"/>
    <n v="649"/>
    <n v="0.16"/>
    <n v="0"/>
    <n v="0"/>
  </r>
  <r>
    <n v="2011"/>
    <n v="9"/>
    <x v="5"/>
    <x v="5"/>
    <s v="SEA"/>
    <s v="Seattle, WA: Seattle/Tacoma International"/>
    <n v="3728"/>
    <n v="245"/>
    <n v="76.25"/>
    <n v="3.09"/>
    <n v="78.48"/>
    <n v="2.5299999999999998"/>
    <n v="84.66"/>
    <n v="10"/>
    <n v="2"/>
    <n v="11672"/>
    <n v="4073"/>
    <n v="155"/>
    <n v="2236"/>
    <n v="171"/>
    <n v="5037"/>
    <n v="6.5699999999999995E-2"/>
    <n v="2.7000000000000001E-3"/>
    <n v="5.0000000000000001E-4"/>
  </r>
  <r>
    <n v="2011"/>
    <n v="9"/>
    <x v="6"/>
    <x v="6"/>
    <s v="SEA"/>
    <s v="Seattle, WA: Seattle/Tacoma International"/>
    <n v="189"/>
    <n v="22"/>
    <n v="7.92"/>
    <n v="0"/>
    <n v="8.65"/>
    <n v="0.4"/>
    <n v="5.0199999999999996"/>
    <n v="0"/>
    <n v="0"/>
    <n v="803"/>
    <n v="322"/>
    <n v="0"/>
    <n v="267"/>
    <n v="12"/>
    <n v="202"/>
    <n v="0.1164"/>
    <n v="0"/>
    <n v="0"/>
  </r>
  <r>
    <n v="2011"/>
    <n v="9"/>
    <x v="17"/>
    <x v="17"/>
    <s v="SEA"/>
    <s v="Seattle, WA: Seattle/Tacoma International"/>
    <n v="412"/>
    <n v="82"/>
    <n v="28.12"/>
    <n v="2.0699999999999998"/>
    <n v="42.54"/>
    <n v="0"/>
    <n v="9.27"/>
    <n v="0"/>
    <n v="0"/>
    <n v="3155"/>
    <n v="981"/>
    <n v="115"/>
    <n v="1147"/>
    <n v="0"/>
    <n v="912"/>
    <n v="0.19900000000000001"/>
    <n v="0"/>
    <n v="0"/>
  </r>
  <r>
    <n v="2011"/>
    <n v="9"/>
    <x v="7"/>
    <x v="7"/>
    <s v="SEA"/>
    <s v="Seattle, WA: Seattle/Tacoma International"/>
    <n v="839"/>
    <n v="64"/>
    <n v="25.32"/>
    <n v="1"/>
    <n v="22.38"/>
    <n v="0"/>
    <n v="15.3"/>
    <n v="0"/>
    <n v="1"/>
    <n v="3221"/>
    <n v="1904"/>
    <n v="20"/>
    <n v="571"/>
    <n v="0"/>
    <n v="726"/>
    <n v="7.6300000000000007E-2"/>
    <n v="0"/>
    <n v="1.1999999999999999E-3"/>
  </r>
  <r>
    <n v="2011"/>
    <n v="9"/>
    <x v="8"/>
    <x v="8"/>
    <s v="SEA"/>
    <s v="Seattle, WA: Seattle/Tacoma International"/>
    <n v="147"/>
    <n v="15"/>
    <n v="4.63"/>
    <n v="1.22"/>
    <n v="6.1"/>
    <n v="0"/>
    <n v="3.05"/>
    <n v="0"/>
    <n v="0"/>
    <n v="633"/>
    <n v="170"/>
    <n v="50"/>
    <n v="211"/>
    <n v="0"/>
    <n v="202"/>
    <n v="0.10199999999999999"/>
    <n v="0"/>
    <n v="0"/>
  </r>
  <r>
    <n v="2011"/>
    <n v="9"/>
    <x v="16"/>
    <x v="16"/>
    <s v="SEA"/>
    <s v="Seattle, WA: Seattle/Tacoma International"/>
    <n v="95"/>
    <n v="3"/>
    <n v="2"/>
    <n v="0"/>
    <n v="0"/>
    <n v="0"/>
    <n v="1"/>
    <n v="0"/>
    <n v="0"/>
    <n v="103"/>
    <n v="67"/>
    <n v="0"/>
    <n v="0"/>
    <n v="0"/>
    <n v="36"/>
    <n v="3.1600000000000003E-2"/>
    <n v="0"/>
    <n v="0"/>
  </r>
  <r>
    <n v="2011"/>
    <n v="9"/>
    <x v="0"/>
    <x v="0"/>
    <s v="SEA"/>
    <s v="Seattle, WA: Seattle/Tacoma International"/>
    <n v="60"/>
    <n v="4"/>
    <n v="2.44"/>
    <n v="0"/>
    <n v="0"/>
    <n v="0.56999999999999995"/>
    <n v="0.99"/>
    <n v="0"/>
    <n v="0"/>
    <n v="493"/>
    <n v="119"/>
    <n v="0"/>
    <n v="0"/>
    <n v="33"/>
    <n v="341"/>
    <n v="6.6699999999999995E-2"/>
    <n v="0"/>
    <n v="0"/>
  </r>
  <r>
    <n v="2011"/>
    <n v="9"/>
    <x v="2"/>
    <x v="2"/>
    <s v="SEA"/>
    <s v="Seattle, WA: Seattle/Tacoma International"/>
    <n v="600"/>
    <n v="40"/>
    <n v="15.6"/>
    <n v="0"/>
    <n v="6.7"/>
    <n v="0"/>
    <n v="17.7"/>
    <n v="2"/>
    <n v="0"/>
    <n v="1708"/>
    <n v="568"/>
    <n v="0"/>
    <n v="165"/>
    <n v="0"/>
    <n v="975"/>
    <n v="6.6699999999999995E-2"/>
    <n v="3.3E-3"/>
    <n v="0"/>
  </r>
  <r>
    <n v="2011"/>
    <n v="9"/>
    <x v="9"/>
    <x v="9"/>
    <s v="SEA"/>
    <s v="Seattle, WA: Seattle/Tacoma International"/>
    <n v="539"/>
    <n v="59"/>
    <n v="19.43"/>
    <n v="1.92"/>
    <n v="15.78"/>
    <n v="0"/>
    <n v="21.87"/>
    <n v="0"/>
    <n v="1"/>
    <n v="3151"/>
    <n v="883"/>
    <n v="55"/>
    <n v="644"/>
    <n v="0"/>
    <n v="1569"/>
    <n v="0.1095"/>
    <n v="0"/>
    <n v="1.9E-3"/>
  </r>
  <r>
    <n v="2011"/>
    <n v="9"/>
    <x v="15"/>
    <x v="15"/>
    <s v="SEA"/>
    <s v="Seattle, WA: Seattle/Tacoma International"/>
    <n v="311"/>
    <n v="36"/>
    <n v="13.6"/>
    <n v="0"/>
    <n v="13.77"/>
    <n v="0.19"/>
    <n v="8.4499999999999993"/>
    <n v="0"/>
    <n v="0"/>
    <n v="1630"/>
    <n v="782"/>
    <n v="0"/>
    <n v="432"/>
    <n v="3"/>
    <n v="413"/>
    <n v="0.1158"/>
    <n v="0"/>
    <n v="0"/>
  </r>
  <r>
    <n v="2011"/>
    <n v="9"/>
    <x v="10"/>
    <x v="10"/>
    <s v="SEA"/>
    <s v="Seattle, WA: Seattle/Tacoma International"/>
    <n v="1238"/>
    <n v="122"/>
    <n v="41.13"/>
    <n v="0.15"/>
    <n v="8.51"/>
    <n v="1.59"/>
    <n v="70.61"/>
    <n v="8"/>
    <n v="1"/>
    <n v="5720"/>
    <n v="1776"/>
    <n v="4"/>
    <n v="245"/>
    <n v="66"/>
    <n v="3629"/>
    <n v="9.8500000000000004E-2"/>
    <n v="6.4999999999999997E-3"/>
    <n v="8.0000000000000004E-4"/>
  </r>
  <r>
    <n v="2011"/>
    <n v="8"/>
    <x v="4"/>
    <x v="4"/>
    <s v="SEA"/>
    <s v="Seattle, WA: Seattle/Tacoma International"/>
    <n v="470"/>
    <n v="107"/>
    <n v="50.39"/>
    <n v="5.69"/>
    <n v="24.11"/>
    <n v="0"/>
    <n v="26.81"/>
    <n v="5"/>
    <n v="0"/>
    <n v="6009"/>
    <n v="2275"/>
    <n v="644"/>
    <n v="1143"/>
    <n v="0"/>
    <n v="1947"/>
    <n v="0.22770000000000001"/>
    <n v="1.06E-2"/>
    <n v="0"/>
  </r>
  <r>
    <n v="2011"/>
    <n v="8"/>
    <x v="5"/>
    <x v="5"/>
    <s v="SEA"/>
    <s v="Seattle, WA: Seattle/Tacoma International"/>
    <n v="4169"/>
    <n v="290"/>
    <n v="103.21"/>
    <n v="6.61"/>
    <n v="58.74"/>
    <n v="1.47"/>
    <n v="119.97"/>
    <n v="24"/>
    <n v="2"/>
    <n v="16014"/>
    <n v="7251"/>
    <n v="300"/>
    <n v="1753"/>
    <n v="27"/>
    <n v="6683"/>
    <n v="6.9599999999999995E-2"/>
    <n v="5.7999999999999996E-3"/>
    <n v="5.0000000000000001E-4"/>
  </r>
  <r>
    <n v="2011"/>
    <n v="8"/>
    <x v="6"/>
    <x v="6"/>
    <s v="SEA"/>
    <s v="Seattle, WA: Seattle/Tacoma International"/>
    <n v="217"/>
    <n v="56"/>
    <n v="22.87"/>
    <n v="1.23"/>
    <n v="10.45"/>
    <n v="0.82"/>
    <n v="20.62"/>
    <n v="8"/>
    <n v="0"/>
    <n v="3527"/>
    <n v="1305"/>
    <n v="153"/>
    <n v="590"/>
    <n v="14"/>
    <n v="1465"/>
    <n v="0.2581"/>
    <n v="3.6900000000000002E-2"/>
    <n v="0"/>
  </r>
  <r>
    <n v="2011"/>
    <n v="8"/>
    <x v="17"/>
    <x v="17"/>
    <s v="SEA"/>
    <s v="Seattle, WA: Seattle/Tacoma International"/>
    <n v="488"/>
    <n v="115"/>
    <n v="49.64"/>
    <n v="4.1900000000000004"/>
    <n v="45.18"/>
    <n v="0.56999999999999995"/>
    <n v="15.42"/>
    <n v="9"/>
    <n v="0"/>
    <n v="5377"/>
    <n v="1937"/>
    <n v="244"/>
    <n v="1593"/>
    <n v="12"/>
    <n v="1591"/>
    <n v="0.23569999999999999"/>
    <n v="1.84E-2"/>
    <n v="0"/>
  </r>
  <r>
    <n v="2011"/>
    <n v="8"/>
    <x v="7"/>
    <x v="7"/>
    <s v="SEA"/>
    <s v="Seattle, WA: Seattle/Tacoma International"/>
    <n v="920"/>
    <n v="117"/>
    <n v="55.24"/>
    <n v="6.59"/>
    <n v="28.19"/>
    <n v="0"/>
    <n v="26.99"/>
    <n v="9"/>
    <n v="0"/>
    <n v="7403"/>
    <n v="3776"/>
    <n v="628"/>
    <n v="1247"/>
    <n v="0"/>
    <n v="1752"/>
    <n v="0.12720000000000001"/>
    <n v="9.7999999999999997E-3"/>
    <n v="0"/>
  </r>
  <r>
    <n v="2011"/>
    <n v="8"/>
    <x v="8"/>
    <x v="8"/>
    <s v="SEA"/>
    <s v="Seattle, WA: Seattle/Tacoma International"/>
    <n v="167"/>
    <n v="26"/>
    <n v="9.49"/>
    <n v="0"/>
    <n v="7.3"/>
    <n v="0"/>
    <n v="9.2100000000000009"/>
    <n v="0"/>
    <n v="0"/>
    <n v="809"/>
    <n v="298"/>
    <n v="0"/>
    <n v="179"/>
    <n v="0"/>
    <n v="332"/>
    <n v="0.15570000000000001"/>
    <n v="0"/>
    <n v="0"/>
  </r>
  <r>
    <n v="2011"/>
    <n v="8"/>
    <x v="16"/>
    <x v="16"/>
    <s v="SEA"/>
    <s v="Seattle, WA: Seattle/Tacoma International"/>
    <n v="233"/>
    <n v="21"/>
    <n v="5.98"/>
    <n v="1"/>
    <n v="5.71"/>
    <n v="0"/>
    <n v="8.31"/>
    <n v="3"/>
    <n v="0"/>
    <n v="977"/>
    <n v="253"/>
    <n v="48"/>
    <n v="165"/>
    <n v="0"/>
    <n v="511"/>
    <n v="9.01E-2"/>
    <n v="1.29E-2"/>
    <n v="0"/>
  </r>
  <r>
    <n v="2011"/>
    <n v="8"/>
    <x v="0"/>
    <x v="0"/>
    <s v="SEA"/>
    <s v="Seattle, WA: Seattle/Tacoma International"/>
    <n v="73"/>
    <n v="8"/>
    <n v="6.93"/>
    <n v="0"/>
    <n v="0"/>
    <n v="0"/>
    <n v="1.07"/>
    <n v="0"/>
    <n v="1"/>
    <n v="213"/>
    <n v="166"/>
    <n v="0"/>
    <n v="0"/>
    <n v="0"/>
    <n v="47"/>
    <n v="0.1096"/>
    <n v="0"/>
    <n v="1.37E-2"/>
  </r>
  <r>
    <n v="2011"/>
    <n v="8"/>
    <x v="2"/>
    <x v="2"/>
    <s v="SEA"/>
    <s v="Seattle, WA: Seattle/Tacoma International"/>
    <n v="669"/>
    <n v="42"/>
    <n v="16.350000000000001"/>
    <n v="0"/>
    <n v="7.27"/>
    <n v="0"/>
    <n v="18.38"/>
    <n v="1"/>
    <n v="0"/>
    <n v="1147"/>
    <n v="481"/>
    <n v="0"/>
    <n v="156"/>
    <n v="0"/>
    <n v="510"/>
    <n v="6.2799999999999995E-2"/>
    <n v="1.5E-3"/>
    <n v="0"/>
  </r>
  <r>
    <n v="2011"/>
    <n v="8"/>
    <x v="9"/>
    <x v="9"/>
    <s v="SEA"/>
    <s v="Seattle, WA: Seattle/Tacoma International"/>
    <n v="631"/>
    <n v="111"/>
    <n v="32.74"/>
    <n v="4.82"/>
    <n v="20.25"/>
    <n v="0"/>
    <n v="53.19"/>
    <n v="4"/>
    <n v="0"/>
    <n v="7263"/>
    <n v="2283"/>
    <n v="530"/>
    <n v="968"/>
    <n v="0"/>
    <n v="3482"/>
    <n v="0.1759"/>
    <n v="6.3E-3"/>
    <n v="0"/>
  </r>
  <r>
    <n v="2011"/>
    <n v="8"/>
    <x v="15"/>
    <x v="15"/>
    <s v="SEA"/>
    <s v="Seattle, WA: Seattle/Tacoma International"/>
    <n v="372"/>
    <n v="56"/>
    <n v="23.53"/>
    <n v="6.36"/>
    <n v="19.05"/>
    <n v="0"/>
    <n v="7.06"/>
    <n v="6"/>
    <n v="0"/>
    <n v="3570"/>
    <n v="1591"/>
    <n v="784"/>
    <n v="737"/>
    <n v="0"/>
    <n v="458"/>
    <n v="0.15049999999999999"/>
    <n v="1.61E-2"/>
    <n v="0"/>
  </r>
  <r>
    <n v="2011"/>
    <n v="8"/>
    <x v="10"/>
    <x v="10"/>
    <s v="SEA"/>
    <s v="Seattle, WA: Seattle/Tacoma International"/>
    <n v="1329"/>
    <n v="161"/>
    <n v="54.03"/>
    <n v="1.37"/>
    <n v="9.86"/>
    <n v="0"/>
    <n v="95.73"/>
    <n v="1"/>
    <n v="1"/>
    <n v="8033"/>
    <n v="2859"/>
    <n v="37"/>
    <n v="261"/>
    <n v="0"/>
    <n v="4876"/>
    <n v="0.1211"/>
    <n v="8.0000000000000004E-4"/>
    <n v="8.0000000000000004E-4"/>
  </r>
  <r>
    <n v="2011"/>
    <n v="7"/>
    <x v="4"/>
    <x v="4"/>
    <s v="SEA"/>
    <s v="Seattle, WA: Seattle/Tacoma International"/>
    <n v="494"/>
    <n v="120"/>
    <n v="59.86"/>
    <n v="6.06"/>
    <n v="20.65"/>
    <n v="0"/>
    <n v="33.43"/>
    <n v="4"/>
    <n v="1"/>
    <n v="6918"/>
    <n v="3808"/>
    <n v="396"/>
    <n v="927"/>
    <n v="0"/>
    <n v="1787"/>
    <n v="0.2429"/>
    <n v="8.0999999999999996E-3"/>
    <n v="2E-3"/>
  </r>
  <r>
    <n v="2011"/>
    <n v="7"/>
    <x v="5"/>
    <x v="5"/>
    <s v="SEA"/>
    <s v="Seattle, WA: Seattle/Tacoma International"/>
    <n v="4168"/>
    <n v="304"/>
    <n v="108.09"/>
    <n v="5.93"/>
    <n v="48.75"/>
    <n v="1"/>
    <n v="140.22"/>
    <n v="10"/>
    <n v="2"/>
    <n v="17902"/>
    <n v="8464"/>
    <n v="282"/>
    <n v="1610"/>
    <n v="20"/>
    <n v="7526"/>
    <n v="7.2900000000000006E-2"/>
    <n v="2.3999999999999998E-3"/>
    <n v="5.0000000000000001E-4"/>
  </r>
  <r>
    <n v="2011"/>
    <n v="7"/>
    <x v="6"/>
    <x v="6"/>
    <s v="SEA"/>
    <s v="Seattle, WA: Seattle/Tacoma International"/>
    <n v="216"/>
    <n v="50"/>
    <n v="19.84"/>
    <n v="0"/>
    <n v="14.27"/>
    <n v="0"/>
    <n v="15.89"/>
    <n v="0"/>
    <n v="0"/>
    <n v="2633"/>
    <n v="1245"/>
    <n v="0"/>
    <n v="530"/>
    <n v="0"/>
    <n v="858"/>
    <n v="0.23150000000000001"/>
    <n v="0"/>
    <n v="0"/>
  </r>
  <r>
    <n v="2011"/>
    <n v="7"/>
    <x v="17"/>
    <x v="17"/>
    <s v="SEA"/>
    <s v="Seattle, WA: Seattle/Tacoma International"/>
    <n v="494"/>
    <n v="105"/>
    <n v="43.87"/>
    <n v="8.14"/>
    <n v="32.119999999999997"/>
    <n v="0.2"/>
    <n v="20.68"/>
    <n v="0"/>
    <n v="1"/>
    <n v="5085"/>
    <n v="1614"/>
    <n v="334"/>
    <n v="1649"/>
    <n v="8"/>
    <n v="1480"/>
    <n v="0.21260000000000001"/>
    <n v="0"/>
    <n v="2E-3"/>
  </r>
  <r>
    <n v="2011"/>
    <n v="7"/>
    <x v="7"/>
    <x v="7"/>
    <s v="SEA"/>
    <s v="Seattle, WA: Seattle/Tacoma International"/>
    <n v="986"/>
    <n v="158"/>
    <n v="64.709999999999994"/>
    <n v="11.19"/>
    <n v="40.049999999999997"/>
    <n v="0"/>
    <n v="42.05"/>
    <n v="4"/>
    <n v="1"/>
    <n v="9885"/>
    <n v="4213"/>
    <n v="671"/>
    <n v="1631"/>
    <n v="0"/>
    <n v="3370"/>
    <n v="0.16020000000000001"/>
    <n v="4.1000000000000003E-3"/>
    <n v="1E-3"/>
  </r>
  <r>
    <n v="2011"/>
    <n v="7"/>
    <x v="8"/>
    <x v="8"/>
    <s v="SEA"/>
    <s v="Seattle, WA: Seattle/Tacoma International"/>
    <n v="169"/>
    <n v="38"/>
    <n v="13.06"/>
    <n v="2.66"/>
    <n v="9.24"/>
    <n v="0"/>
    <n v="13.04"/>
    <n v="4"/>
    <n v="0"/>
    <n v="2846"/>
    <n v="621"/>
    <n v="262"/>
    <n v="1004"/>
    <n v="0"/>
    <n v="959"/>
    <n v="0.22489999999999999"/>
    <n v="2.3699999999999999E-2"/>
    <n v="0"/>
  </r>
  <r>
    <n v="2011"/>
    <n v="7"/>
    <x v="16"/>
    <x v="16"/>
    <s v="SEA"/>
    <s v="Seattle, WA: Seattle/Tacoma International"/>
    <n v="217"/>
    <n v="31"/>
    <n v="11.75"/>
    <n v="0"/>
    <n v="4.74"/>
    <n v="0"/>
    <n v="14.5"/>
    <n v="0"/>
    <n v="0"/>
    <n v="1301"/>
    <n v="356"/>
    <n v="0"/>
    <n v="242"/>
    <n v="0"/>
    <n v="703"/>
    <n v="0.1429"/>
    <n v="0"/>
    <n v="0"/>
  </r>
  <r>
    <n v="2011"/>
    <n v="7"/>
    <x v="0"/>
    <x v="0"/>
    <s v="SEA"/>
    <s v="Seattle, WA: Seattle/Tacoma International"/>
    <n v="62"/>
    <n v="10"/>
    <n v="8.09"/>
    <n v="0"/>
    <n v="0"/>
    <n v="0"/>
    <n v="1.91"/>
    <n v="0"/>
    <n v="0"/>
    <n v="632"/>
    <n v="455"/>
    <n v="0"/>
    <n v="0"/>
    <n v="0"/>
    <n v="177"/>
    <n v="0.1613"/>
    <n v="0"/>
    <n v="0"/>
  </r>
  <r>
    <n v="2011"/>
    <n v="7"/>
    <x v="2"/>
    <x v="2"/>
    <s v="SEA"/>
    <s v="Seattle, WA: Seattle/Tacoma International"/>
    <n v="656"/>
    <n v="56"/>
    <n v="21.94"/>
    <n v="0"/>
    <n v="12.39"/>
    <n v="0"/>
    <n v="21.68"/>
    <n v="3"/>
    <n v="0"/>
    <n v="2169"/>
    <n v="1034"/>
    <n v="0"/>
    <n v="311"/>
    <n v="0"/>
    <n v="824"/>
    <n v="8.5400000000000004E-2"/>
    <n v="4.5999999999999999E-3"/>
    <n v="0"/>
  </r>
  <r>
    <n v="2011"/>
    <n v="7"/>
    <x v="9"/>
    <x v="9"/>
    <s v="SEA"/>
    <s v="Seattle, WA: Seattle/Tacoma International"/>
    <n v="626"/>
    <n v="155"/>
    <n v="49.06"/>
    <n v="4.25"/>
    <n v="17.649999999999999"/>
    <n v="0"/>
    <n v="84.04"/>
    <n v="14"/>
    <n v="0"/>
    <n v="10966"/>
    <n v="3378"/>
    <n v="409"/>
    <n v="710"/>
    <n v="0"/>
    <n v="6469"/>
    <n v="0.24759999999999999"/>
    <n v="2.24E-2"/>
    <n v="0"/>
  </r>
  <r>
    <n v="2011"/>
    <n v="7"/>
    <x v="15"/>
    <x v="15"/>
    <s v="SEA"/>
    <s v="Seattle, WA: Seattle/Tacoma International"/>
    <n v="387"/>
    <n v="67"/>
    <n v="34.33"/>
    <n v="4.46"/>
    <n v="17.34"/>
    <n v="0.5"/>
    <n v="10.37"/>
    <n v="1"/>
    <n v="0"/>
    <n v="3497"/>
    <n v="2037"/>
    <n v="217"/>
    <n v="648"/>
    <n v="22"/>
    <n v="573"/>
    <n v="0.1731"/>
    <n v="2.5999999999999999E-3"/>
    <n v="0"/>
  </r>
  <r>
    <n v="2011"/>
    <n v="7"/>
    <x v="10"/>
    <x v="10"/>
    <s v="SEA"/>
    <s v="Seattle, WA: Seattle/Tacoma International"/>
    <n v="1350"/>
    <n v="165"/>
    <n v="56.26"/>
    <n v="3.43"/>
    <n v="7.51"/>
    <n v="0"/>
    <n v="97.79"/>
    <n v="0"/>
    <n v="0"/>
    <n v="9111"/>
    <n v="2487"/>
    <n v="292"/>
    <n v="310"/>
    <n v="0"/>
    <n v="6022"/>
    <n v="0.1222"/>
    <n v="0"/>
    <n v="0"/>
  </r>
  <r>
    <n v="2011"/>
    <n v="6"/>
    <x v="4"/>
    <x v="4"/>
    <s v="SEA"/>
    <s v="Seattle, WA: Seattle/Tacoma International"/>
    <n v="462"/>
    <n v="108"/>
    <n v="51.47"/>
    <n v="7.3"/>
    <n v="24.68"/>
    <n v="0"/>
    <n v="24.56"/>
    <n v="5"/>
    <n v="0"/>
    <n v="5775"/>
    <n v="2401"/>
    <n v="757"/>
    <n v="732"/>
    <n v="0"/>
    <n v="1885"/>
    <n v="0.23380000000000001"/>
    <n v="1.0800000000000001E-2"/>
    <n v="0"/>
  </r>
  <r>
    <n v="2011"/>
    <n v="6"/>
    <x v="5"/>
    <x v="5"/>
    <s v="SEA"/>
    <s v="Seattle, WA: Seattle/Tacoma International"/>
    <n v="4025"/>
    <n v="301"/>
    <n v="71.97"/>
    <n v="7.68"/>
    <n v="114.53"/>
    <n v="1.1200000000000001"/>
    <n v="105.7"/>
    <n v="9"/>
    <n v="9"/>
    <n v="15029"/>
    <n v="4669"/>
    <n v="530"/>
    <n v="3197"/>
    <n v="64"/>
    <n v="6569"/>
    <n v="7.4800000000000005E-2"/>
    <n v="2.2000000000000001E-3"/>
    <n v="2.2000000000000001E-3"/>
  </r>
  <r>
    <n v="2011"/>
    <n v="6"/>
    <x v="6"/>
    <x v="6"/>
    <s v="SEA"/>
    <s v="Seattle, WA: Seattle/Tacoma International"/>
    <n v="201"/>
    <n v="41"/>
    <n v="19.579999999999998"/>
    <n v="0.61"/>
    <n v="10.02"/>
    <n v="0.39"/>
    <n v="10.4"/>
    <n v="0"/>
    <n v="0"/>
    <n v="1950"/>
    <n v="972"/>
    <n v="57"/>
    <n v="464"/>
    <n v="12"/>
    <n v="445"/>
    <n v="0.20399999999999999"/>
    <n v="0"/>
    <n v="0"/>
  </r>
  <r>
    <n v="2011"/>
    <n v="6"/>
    <x v="17"/>
    <x v="17"/>
    <s v="SEA"/>
    <s v="Seattle, WA: Seattle/Tacoma International"/>
    <n v="459"/>
    <n v="122"/>
    <n v="44.95"/>
    <n v="6.32"/>
    <n v="51.77"/>
    <n v="2.0499999999999998"/>
    <n v="16.91"/>
    <n v="0"/>
    <n v="0"/>
    <n v="5319"/>
    <n v="1888"/>
    <n v="355"/>
    <n v="1883"/>
    <n v="46"/>
    <n v="1147"/>
    <n v="0.26579999999999998"/>
    <n v="0"/>
    <n v="0"/>
  </r>
  <r>
    <n v="2011"/>
    <n v="6"/>
    <x v="7"/>
    <x v="7"/>
    <s v="SEA"/>
    <s v="Seattle, WA: Seattle/Tacoma International"/>
    <n v="896"/>
    <n v="146"/>
    <n v="52.05"/>
    <n v="7.4"/>
    <n v="48.48"/>
    <n v="0"/>
    <n v="38.07"/>
    <n v="3"/>
    <n v="1"/>
    <n v="7154"/>
    <n v="2727"/>
    <n v="408"/>
    <n v="1803"/>
    <n v="0"/>
    <n v="2216"/>
    <n v="0.16289999999999999"/>
    <n v="3.3E-3"/>
    <n v="1.1000000000000001E-3"/>
  </r>
  <r>
    <n v="2011"/>
    <n v="6"/>
    <x v="8"/>
    <x v="8"/>
    <s v="SEA"/>
    <s v="Seattle, WA: Seattle/Tacoma International"/>
    <n v="154"/>
    <n v="44"/>
    <n v="14.46"/>
    <n v="2.88"/>
    <n v="9.42"/>
    <n v="0"/>
    <n v="17.25"/>
    <n v="1"/>
    <n v="0"/>
    <n v="1908"/>
    <n v="446"/>
    <n v="197"/>
    <n v="384"/>
    <n v="0"/>
    <n v="881"/>
    <n v="0.28570000000000001"/>
    <n v="6.4999999999999997E-3"/>
    <n v="0"/>
  </r>
  <r>
    <n v="2011"/>
    <n v="6"/>
    <x v="16"/>
    <x v="16"/>
    <s v="SEA"/>
    <s v="Seattle, WA: Seattle/Tacoma International"/>
    <n v="202"/>
    <n v="29"/>
    <n v="4.9000000000000004"/>
    <n v="1"/>
    <n v="3.75"/>
    <n v="0"/>
    <n v="19.350000000000001"/>
    <n v="2"/>
    <n v="0"/>
    <n v="1891"/>
    <n v="163"/>
    <n v="82"/>
    <n v="245"/>
    <n v="0"/>
    <n v="1401"/>
    <n v="0.14360000000000001"/>
    <n v="9.9000000000000008E-3"/>
    <n v="0"/>
  </r>
  <r>
    <n v="2011"/>
    <n v="6"/>
    <x v="0"/>
    <x v="0"/>
    <s v="SEA"/>
    <s v="Seattle, WA: Seattle/Tacoma International"/>
    <n v="60"/>
    <n v="27"/>
    <n v="24.75"/>
    <n v="0"/>
    <n v="0"/>
    <n v="0"/>
    <n v="2.25"/>
    <n v="0"/>
    <n v="0"/>
    <n v="953"/>
    <n v="860"/>
    <n v="0"/>
    <n v="0"/>
    <n v="0"/>
    <n v="93"/>
    <n v="0.45"/>
    <n v="0"/>
    <n v="0"/>
  </r>
  <r>
    <n v="2011"/>
    <n v="6"/>
    <x v="2"/>
    <x v="2"/>
    <s v="SEA"/>
    <s v="Seattle, WA: Seattle/Tacoma International"/>
    <n v="599"/>
    <n v="112"/>
    <n v="22.86"/>
    <n v="0.05"/>
    <n v="43.34"/>
    <n v="0"/>
    <n v="45.75"/>
    <n v="3"/>
    <n v="0"/>
    <n v="4794"/>
    <n v="1378"/>
    <n v="1"/>
    <n v="1164"/>
    <n v="0"/>
    <n v="2251"/>
    <n v="0.187"/>
    <n v="5.0000000000000001E-3"/>
    <n v="0"/>
  </r>
  <r>
    <n v="2011"/>
    <n v="6"/>
    <x v="9"/>
    <x v="9"/>
    <s v="SEA"/>
    <s v="Seattle, WA: Seattle/Tacoma International"/>
    <n v="593"/>
    <n v="144"/>
    <n v="38.49"/>
    <n v="1.81"/>
    <n v="27.05"/>
    <n v="0"/>
    <n v="76.66"/>
    <n v="7"/>
    <n v="0"/>
    <n v="10665"/>
    <n v="2876"/>
    <n v="133"/>
    <n v="1692"/>
    <n v="0"/>
    <n v="5964"/>
    <n v="0.24279999999999999"/>
    <n v="1.18E-2"/>
    <n v="0"/>
  </r>
  <r>
    <n v="2011"/>
    <n v="6"/>
    <x v="15"/>
    <x v="15"/>
    <s v="SEA"/>
    <s v="Seattle, WA: Seattle/Tacoma International"/>
    <n v="372"/>
    <n v="101"/>
    <n v="43.03"/>
    <n v="1.36"/>
    <n v="37.799999999999997"/>
    <n v="0"/>
    <n v="18.8"/>
    <n v="3"/>
    <n v="1"/>
    <n v="4939"/>
    <n v="2296"/>
    <n v="97"/>
    <n v="1592"/>
    <n v="0"/>
    <n v="954"/>
    <n v="0.27150000000000002"/>
    <n v="8.0999999999999996E-3"/>
    <n v="2.7000000000000001E-3"/>
  </r>
  <r>
    <n v="2011"/>
    <n v="6"/>
    <x v="10"/>
    <x v="10"/>
    <s v="SEA"/>
    <s v="Seattle, WA: Seattle/Tacoma International"/>
    <n v="1311"/>
    <n v="248"/>
    <n v="74.92"/>
    <n v="0"/>
    <n v="31.76"/>
    <n v="1.05"/>
    <n v="140.27000000000001"/>
    <n v="2"/>
    <n v="0"/>
    <n v="11313"/>
    <n v="3312"/>
    <n v="0"/>
    <n v="926"/>
    <n v="67"/>
    <n v="7008"/>
    <n v="0.18920000000000001"/>
    <n v="1.5E-3"/>
    <n v="0"/>
  </r>
  <r>
    <n v="2011"/>
    <n v="5"/>
    <x v="2"/>
    <x v="2"/>
    <s v="SEA"/>
    <s v="Seattle, WA: Seattle/Tacoma International"/>
    <n v="525"/>
    <n v="56"/>
    <n v="15.19"/>
    <n v="0"/>
    <n v="13.44"/>
    <n v="0"/>
    <n v="27.36"/>
    <n v="4"/>
    <n v="0"/>
    <n v="2482"/>
    <n v="880"/>
    <n v="0"/>
    <n v="326"/>
    <n v="0"/>
    <n v="1276"/>
    <n v="0.1067"/>
    <n v="7.6E-3"/>
    <n v="0"/>
  </r>
  <r>
    <n v="2011"/>
    <n v="5"/>
    <x v="9"/>
    <x v="9"/>
    <s v="SEA"/>
    <s v="Seattle, WA: Seattle/Tacoma International"/>
    <n v="539"/>
    <n v="70"/>
    <n v="11.74"/>
    <n v="3.46"/>
    <n v="13.49"/>
    <n v="1"/>
    <n v="40.32"/>
    <n v="1"/>
    <n v="0"/>
    <n v="4661"/>
    <n v="941"/>
    <n v="293"/>
    <n v="740"/>
    <n v="23"/>
    <n v="2664"/>
    <n v="0.12989999999999999"/>
    <n v="1.9E-3"/>
    <n v="0"/>
  </r>
  <r>
    <n v="2011"/>
    <n v="5"/>
    <x v="15"/>
    <x v="15"/>
    <s v="SEA"/>
    <s v="Seattle, WA: Seattle/Tacoma International"/>
    <n v="340"/>
    <n v="69"/>
    <n v="29.14"/>
    <n v="0.57999999999999996"/>
    <n v="20.05"/>
    <n v="1.18"/>
    <n v="18.05"/>
    <n v="1"/>
    <n v="0"/>
    <n v="3052"/>
    <n v="1314"/>
    <n v="59"/>
    <n v="757"/>
    <n v="31"/>
    <n v="891"/>
    <n v="0.2029"/>
    <n v="2.8999999999999998E-3"/>
    <n v="0"/>
  </r>
  <r>
    <n v="2011"/>
    <n v="5"/>
    <x v="10"/>
    <x v="10"/>
    <s v="SEA"/>
    <s v="Seattle, WA: Seattle/Tacoma International"/>
    <n v="1267"/>
    <n v="255"/>
    <n v="81.010000000000005"/>
    <n v="3"/>
    <n v="15.89"/>
    <n v="1.64"/>
    <n v="153.46"/>
    <n v="2"/>
    <n v="0"/>
    <n v="13075"/>
    <n v="3416"/>
    <n v="79"/>
    <n v="651"/>
    <n v="50"/>
    <n v="8879"/>
    <n v="0.20130000000000001"/>
    <n v="1.6000000000000001E-3"/>
    <n v="0"/>
  </r>
  <r>
    <n v="2011"/>
    <n v="5"/>
    <x v="4"/>
    <x v="4"/>
    <s v="SEA"/>
    <s v="Seattle, WA: Seattle/Tacoma International"/>
    <n v="444"/>
    <n v="134"/>
    <n v="44.77"/>
    <n v="19.97"/>
    <n v="34.659999999999997"/>
    <n v="0"/>
    <n v="34.6"/>
    <n v="21"/>
    <n v="3"/>
    <n v="8107"/>
    <n v="2352"/>
    <n v="1531"/>
    <n v="1447"/>
    <n v="0"/>
    <n v="2777"/>
    <n v="0.30180000000000001"/>
    <n v="4.7300000000000002E-2"/>
    <n v="6.7999999999999996E-3"/>
  </r>
  <r>
    <n v="2011"/>
    <n v="5"/>
    <x v="5"/>
    <x v="5"/>
    <s v="SEA"/>
    <s v="Seattle, WA: Seattle/Tacoma International"/>
    <n v="3817"/>
    <n v="298"/>
    <n v="77.59"/>
    <n v="4.08"/>
    <n v="104.56"/>
    <n v="1.21"/>
    <n v="110.56"/>
    <n v="3"/>
    <n v="17"/>
    <n v="16415"/>
    <n v="6240"/>
    <n v="269"/>
    <n v="2541"/>
    <n v="100"/>
    <n v="7265"/>
    <n v="7.8100000000000003E-2"/>
    <n v="8.0000000000000004E-4"/>
    <n v="4.4999999999999997E-3"/>
  </r>
  <r>
    <n v="2011"/>
    <n v="5"/>
    <x v="6"/>
    <x v="6"/>
    <s v="SEA"/>
    <s v="Seattle, WA: Seattle/Tacoma International"/>
    <n v="183"/>
    <n v="24"/>
    <n v="13.86"/>
    <n v="0"/>
    <n v="2.2400000000000002"/>
    <n v="0"/>
    <n v="7.89"/>
    <n v="0"/>
    <n v="0"/>
    <n v="1233"/>
    <n v="739"/>
    <n v="0"/>
    <n v="215"/>
    <n v="0"/>
    <n v="279"/>
    <n v="0.13109999999999999"/>
    <n v="0"/>
    <n v="0"/>
  </r>
  <r>
    <n v="2011"/>
    <n v="5"/>
    <x v="17"/>
    <x v="17"/>
    <s v="SEA"/>
    <s v="Seattle, WA: Seattle/Tacoma International"/>
    <n v="362"/>
    <n v="95"/>
    <n v="36.020000000000003"/>
    <n v="2.41"/>
    <n v="39.42"/>
    <n v="0.71"/>
    <n v="16.45"/>
    <n v="0"/>
    <n v="1"/>
    <n v="4303"/>
    <n v="1440"/>
    <n v="144"/>
    <n v="1530"/>
    <n v="19"/>
    <n v="1170"/>
    <n v="0.26240000000000002"/>
    <n v="0"/>
    <n v="2.8E-3"/>
  </r>
  <r>
    <n v="2011"/>
    <n v="5"/>
    <x v="7"/>
    <x v="7"/>
    <s v="SEA"/>
    <s v="Seattle, WA: Seattle/Tacoma International"/>
    <n v="735"/>
    <n v="102"/>
    <n v="43.22"/>
    <n v="1.78"/>
    <n v="34.47"/>
    <n v="0"/>
    <n v="22.53"/>
    <n v="1"/>
    <n v="1"/>
    <n v="4781"/>
    <n v="2272"/>
    <n v="78"/>
    <n v="1309"/>
    <n v="0"/>
    <n v="1122"/>
    <n v="0.13880000000000001"/>
    <n v="1.4E-3"/>
    <n v="1.4E-3"/>
  </r>
  <r>
    <n v="2011"/>
    <n v="5"/>
    <x v="8"/>
    <x v="8"/>
    <s v="SEA"/>
    <s v="Seattle, WA: Seattle/Tacoma International"/>
    <n v="157"/>
    <n v="46"/>
    <n v="14.46"/>
    <n v="3.21"/>
    <n v="11.45"/>
    <n v="0"/>
    <n v="16.88"/>
    <n v="0"/>
    <n v="0"/>
    <n v="2592"/>
    <n v="704"/>
    <n v="315"/>
    <n v="550"/>
    <n v="0"/>
    <n v="1023"/>
    <n v="0.29299999999999998"/>
    <n v="0"/>
    <n v="0"/>
  </r>
  <r>
    <n v="2011"/>
    <n v="5"/>
    <x v="16"/>
    <x v="16"/>
    <s v="SEA"/>
    <s v="Seattle, WA: Seattle/Tacoma International"/>
    <n v="106"/>
    <n v="12"/>
    <n v="3.09"/>
    <n v="0.41"/>
    <n v="3.88"/>
    <n v="0"/>
    <n v="4.6100000000000003"/>
    <n v="1"/>
    <n v="0"/>
    <n v="702"/>
    <n v="173"/>
    <n v="12"/>
    <n v="94"/>
    <n v="0"/>
    <n v="423"/>
    <n v="0.1132"/>
    <n v="9.4000000000000004E-3"/>
    <n v="0"/>
  </r>
  <r>
    <n v="2011"/>
    <n v="5"/>
    <x v="0"/>
    <x v="0"/>
    <s v="SEA"/>
    <s v="Seattle, WA: Seattle/Tacoma International"/>
    <n v="62"/>
    <n v="23"/>
    <n v="21.05"/>
    <n v="0"/>
    <n v="0"/>
    <n v="0"/>
    <n v="1.95"/>
    <n v="0"/>
    <n v="0"/>
    <n v="876"/>
    <n v="774"/>
    <n v="0"/>
    <n v="0"/>
    <n v="0"/>
    <n v="102"/>
    <n v="0.371"/>
    <n v="0"/>
    <n v="0"/>
  </r>
  <r>
    <n v="2011"/>
    <n v="4"/>
    <x v="4"/>
    <x v="4"/>
    <s v="SEA"/>
    <s v="Seattle, WA: Seattle/Tacoma International"/>
    <n v="433"/>
    <n v="194"/>
    <n v="50.35"/>
    <n v="16.28"/>
    <n v="87"/>
    <n v="0"/>
    <n v="40.369999999999997"/>
    <n v="6"/>
    <n v="1"/>
    <n v="9710"/>
    <n v="2635"/>
    <n v="1433"/>
    <n v="2975"/>
    <n v="0"/>
    <n v="2667"/>
    <n v="0.44800000000000001"/>
    <n v="1.3899999999999999E-2"/>
    <n v="2.3E-3"/>
  </r>
  <r>
    <n v="2011"/>
    <n v="4"/>
    <x v="5"/>
    <x v="5"/>
    <s v="SEA"/>
    <s v="Seattle, WA: Seattle/Tacoma International"/>
    <n v="3580"/>
    <n v="390"/>
    <n v="98.15"/>
    <n v="3.64"/>
    <n v="174.19"/>
    <n v="4.55"/>
    <n v="109.47"/>
    <n v="8"/>
    <n v="2"/>
    <n v="18161"/>
    <n v="6331"/>
    <n v="232"/>
    <n v="5143"/>
    <n v="161"/>
    <n v="6294"/>
    <n v="0.1089"/>
    <n v="2.2000000000000001E-3"/>
    <n v="5.9999999999999995E-4"/>
  </r>
  <r>
    <n v="2011"/>
    <n v="4"/>
    <x v="6"/>
    <x v="6"/>
    <s v="SEA"/>
    <s v="Seattle, WA: Seattle/Tacoma International"/>
    <n v="131"/>
    <n v="42"/>
    <n v="12.1"/>
    <n v="0"/>
    <n v="17.399999999999999"/>
    <n v="0"/>
    <n v="12.5"/>
    <n v="0"/>
    <n v="0"/>
    <n v="1470"/>
    <n v="513"/>
    <n v="0"/>
    <n v="499"/>
    <n v="0"/>
    <n v="458"/>
    <n v="0.3206"/>
    <n v="0"/>
    <n v="0"/>
  </r>
  <r>
    <n v="2011"/>
    <n v="4"/>
    <x v="17"/>
    <x v="17"/>
    <s v="SEA"/>
    <s v="Seattle, WA: Seattle/Tacoma International"/>
    <n v="317"/>
    <n v="144"/>
    <n v="41.28"/>
    <n v="0.99"/>
    <n v="86.57"/>
    <n v="1.0900000000000001"/>
    <n v="14.07"/>
    <n v="0"/>
    <n v="0"/>
    <n v="7131"/>
    <n v="2322"/>
    <n v="322"/>
    <n v="3086"/>
    <n v="24"/>
    <n v="1377"/>
    <n v="0.45429999999999998"/>
    <n v="0"/>
    <n v="0"/>
  </r>
  <r>
    <n v="2011"/>
    <n v="4"/>
    <x v="7"/>
    <x v="7"/>
    <s v="SEA"/>
    <s v="Seattle, WA: Seattle/Tacoma International"/>
    <n v="696"/>
    <n v="218"/>
    <n v="66.73"/>
    <n v="4.78"/>
    <n v="107.29"/>
    <n v="0"/>
    <n v="39.19"/>
    <n v="1"/>
    <n v="0"/>
    <n v="10072"/>
    <n v="3664"/>
    <n v="374"/>
    <n v="3769"/>
    <n v="0"/>
    <n v="2265"/>
    <n v="0.31319999999999998"/>
    <n v="1.4E-3"/>
    <n v="0"/>
  </r>
  <r>
    <n v="2011"/>
    <n v="4"/>
    <x v="8"/>
    <x v="8"/>
    <s v="SEA"/>
    <s v="Seattle, WA: Seattle/Tacoma International"/>
    <n v="135"/>
    <n v="39"/>
    <n v="15.02"/>
    <n v="0"/>
    <n v="11.03"/>
    <n v="0"/>
    <n v="12.95"/>
    <n v="0"/>
    <n v="0"/>
    <n v="1449"/>
    <n v="502"/>
    <n v="0"/>
    <n v="398"/>
    <n v="0"/>
    <n v="549"/>
    <n v="0.28889999999999999"/>
    <n v="0"/>
    <n v="0"/>
  </r>
  <r>
    <n v="2011"/>
    <n v="4"/>
    <x v="16"/>
    <x v="16"/>
    <s v="SEA"/>
    <s v="Seattle, WA: Seattle/Tacoma International"/>
    <n v="47"/>
    <n v="13"/>
    <n v="3.63"/>
    <n v="1"/>
    <n v="6.8"/>
    <n v="0"/>
    <n v="1.57"/>
    <n v="0"/>
    <n v="0"/>
    <n v="564"/>
    <n v="144"/>
    <n v="33"/>
    <n v="334"/>
    <n v="0"/>
    <n v="53"/>
    <n v="0.27660000000000001"/>
    <n v="0"/>
    <n v="0"/>
  </r>
  <r>
    <n v="2011"/>
    <n v="4"/>
    <x v="0"/>
    <x v="0"/>
    <s v="SEA"/>
    <s v="Seattle, WA: Seattle/Tacoma International"/>
    <n v="63"/>
    <n v="9"/>
    <n v="9"/>
    <n v="0"/>
    <n v="0"/>
    <n v="0"/>
    <n v="0"/>
    <n v="0"/>
    <n v="0"/>
    <n v="597"/>
    <n v="597"/>
    <n v="0"/>
    <n v="0"/>
    <n v="0"/>
    <n v="0"/>
    <n v="0.1429"/>
    <n v="0"/>
    <n v="0"/>
  </r>
  <r>
    <n v="2011"/>
    <n v="4"/>
    <x v="2"/>
    <x v="2"/>
    <s v="SEA"/>
    <s v="Seattle, WA: Seattle/Tacoma International"/>
    <n v="438"/>
    <n v="61"/>
    <n v="9.76"/>
    <n v="0.05"/>
    <n v="25.29"/>
    <n v="0"/>
    <n v="25.9"/>
    <n v="3"/>
    <n v="0"/>
    <n v="2309"/>
    <n v="441"/>
    <n v="4"/>
    <n v="708"/>
    <n v="0"/>
    <n v="1156"/>
    <n v="0.13930000000000001"/>
    <n v="6.7999999999999996E-3"/>
    <n v="0"/>
  </r>
  <r>
    <n v="2011"/>
    <n v="4"/>
    <x v="9"/>
    <x v="9"/>
    <s v="SEA"/>
    <s v="Seattle, WA: Seattle/Tacoma International"/>
    <n v="525"/>
    <n v="101"/>
    <n v="14.47"/>
    <n v="2.44"/>
    <n v="36.25"/>
    <n v="0"/>
    <n v="47.84"/>
    <n v="2"/>
    <n v="1"/>
    <n v="5852"/>
    <n v="766"/>
    <n v="274"/>
    <n v="1470"/>
    <n v="0"/>
    <n v="3342"/>
    <n v="0.19239999999999999"/>
    <n v="3.8E-3"/>
    <n v="1.9E-3"/>
  </r>
  <r>
    <n v="2011"/>
    <n v="4"/>
    <x v="15"/>
    <x v="15"/>
    <s v="SEA"/>
    <s v="Seattle, WA: Seattle/Tacoma International"/>
    <n v="254"/>
    <n v="64"/>
    <n v="20.22"/>
    <n v="1"/>
    <n v="34.11"/>
    <n v="0.1"/>
    <n v="8.56"/>
    <n v="1"/>
    <n v="1"/>
    <n v="3013"/>
    <n v="915"/>
    <n v="188"/>
    <n v="1140"/>
    <n v="10"/>
    <n v="760"/>
    <n v="0.252"/>
    <n v="3.8999999999999998E-3"/>
    <n v="3.8999999999999998E-3"/>
  </r>
  <r>
    <n v="2011"/>
    <n v="4"/>
    <x v="10"/>
    <x v="10"/>
    <s v="SEA"/>
    <s v="Seattle, WA: Seattle/Tacoma International"/>
    <n v="1100"/>
    <n v="260"/>
    <n v="87.47"/>
    <n v="1.66"/>
    <n v="35.79"/>
    <n v="0"/>
    <n v="135.08000000000001"/>
    <n v="15"/>
    <n v="0"/>
    <n v="12550"/>
    <n v="4071"/>
    <n v="125"/>
    <n v="1124"/>
    <n v="0"/>
    <n v="7230"/>
    <n v="0.2364"/>
    <n v="1.3599999999999999E-2"/>
    <n v="0"/>
  </r>
  <r>
    <n v="2011"/>
    <n v="3"/>
    <x v="4"/>
    <x v="4"/>
    <s v="SEA"/>
    <s v="Seattle, WA: Seattle/Tacoma International"/>
    <n v="368"/>
    <n v="120"/>
    <n v="48.42"/>
    <n v="3.25"/>
    <n v="51.54"/>
    <n v="0"/>
    <n v="16.8"/>
    <n v="1"/>
    <n v="0"/>
    <n v="4887"/>
    <n v="2359"/>
    <n v="180"/>
    <n v="1381"/>
    <n v="0"/>
    <n v="967"/>
    <n v="0.3261"/>
    <n v="2.7000000000000001E-3"/>
    <n v="0"/>
  </r>
  <r>
    <n v="2011"/>
    <n v="3"/>
    <x v="5"/>
    <x v="5"/>
    <s v="SEA"/>
    <s v="Seattle, WA: Seattle/Tacoma International"/>
    <n v="3649"/>
    <n v="588"/>
    <n v="141.78"/>
    <n v="10.66"/>
    <n v="204.18"/>
    <n v="0.94"/>
    <n v="230.44"/>
    <n v="37"/>
    <n v="5"/>
    <n v="38386"/>
    <n v="12552"/>
    <n v="2309"/>
    <n v="5957"/>
    <n v="39"/>
    <n v="17529"/>
    <n v="0.16109999999999999"/>
    <n v="1.01E-2"/>
    <n v="1.4E-3"/>
  </r>
  <r>
    <n v="2011"/>
    <n v="3"/>
    <x v="6"/>
    <x v="6"/>
    <s v="SEA"/>
    <s v="Seattle, WA: Seattle/Tacoma International"/>
    <n v="130"/>
    <n v="34"/>
    <n v="10.86"/>
    <n v="0"/>
    <n v="13.75"/>
    <n v="0"/>
    <n v="9.39"/>
    <n v="2"/>
    <n v="0"/>
    <n v="1338"/>
    <n v="495"/>
    <n v="0"/>
    <n v="377"/>
    <n v="0"/>
    <n v="466"/>
    <n v="0.26150000000000001"/>
    <n v="1.54E-2"/>
    <n v="0"/>
  </r>
  <r>
    <n v="2011"/>
    <n v="3"/>
    <x v="17"/>
    <x v="17"/>
    <s v="SEA"/>
    <s v="Seattle, WA: Seattle/Tacoma International"/>
    <n v="338"/>
    <n v="128"/>
    <n v="41.58"/>
    <n v="1.53"/>
    <n v="69.819999999999993"/>
    <n v="0.61"/>
    <n v="14.47"/>
    <n v="0"/>
    <n v="2"/>
    <n v="5230"/>
    <n v="1612"/>
    <n v="95"/>
    <n v="2655"/>
    <n v="19"/>
    <n v="849"/>
    <n v="0.37869999999999998"/>
    <n v="0"/>
    <n v="5.8999999999999999E-3"/>
  </r>
  <r>
    <n v="2011"/>
    <n v="3"/>
    <x v="7"/>
    <x v="7"/>
    <s v="SEA"/>
    <s v="Seattle, WA: Seattle/Tacoma International"/>
    <n v="692"/>
    <n v="182"/>
    <n v="48.35"/>
    <n v="1.53"/>
    <n v="87.94"/>
    <n v="0"/>
    <n v="44.18"/>
    <n v="1"/>
    <n v="0"/>
    <n v="7733"/>
    <n v="2062"/>
    <n v="143"/>
    <n v="2705"/>
    <n v="0"/>
    <n v="2823"/>
    <n v="0.26300000000000001"/>
    <n v="1.4E-3"/>
    <n v="0"/>
  </r>
  <r>
    <n v="2011"/>
    <n v="3"/>
    <x v="8"/>
    <x v="8"/>
    <s v="SEA"/>
    <s v="Seattle, WA: Seattle/Tacoma International"/>
    <n v="133"/>
    <n v="39"/>
    <n v="9.41"/>
    <n v="0.3"/>
    <n v="17.75"/>
    <n v="0"/>
    <n v="11.53"/>
    <n v="0"/>
    <n v="1"/>
    <n v="1782"/>
    <n v="373"/>
    <n v="9"/>
    <n v="444"/>
    <n v="0"/>
    <n v="956"/>
    <n v="0.29320000000000002"/>
    <n v="0"/>
    <n v="7.4999999999999997E-3"/>
  </r>
  <r>
    <n v="2011"/>
    <n v="3"/>
    <x v="16"/>
    <x v="16"/>
    <s v="SEA"/>
    <s v="Seattle, WA: Seattle/Tacoma International"/>
    <n v="31"/>
    <n v="14"/>
    <n v="3.67"/>
    <n v="0"/>
    <n v="6.04"/>
    <n v="0"/>
    <n v="4.29"/>
    <n v="0"/>
    <n v="0"/>
    <n v="352"/>
    <n v="107"/>
    <n v="0"/>
    <n v="143"/>
    <n v="0"/>
    <n v="102"/>
    <n v="0.4516"/>
    <n v="0"/>
    <n v="0"/>
  </r>
  <r>
    <n v="2011"/>
    <n v="3"/>
    <x v="0"/>
    <x v="0"/>
    <s v="SEA"/>
    <s v="Seattle, WA: Seattle/Tacoma International"/>
    <n v="74"/>
    <n v="15"/>
    <n v="13.29"/>
    <n v="0"/>
    <n v="0"/>
    <n v="0"/>
    <n v="1.71"/>
    <n v="0"/>
    <n v="1"/>
    <n v="596"/>
    <n v="529"/>
    <n v="0"/>
    <n v="0"/>
    <n v="0"/>
    <n v="67"/>
    <n v="0.20269999999999999"/>
    <n v="0"/>
    <n v="1.35E-2"/>
  </r>
  <r>
    <n v="2011"/>
    <n v="3"/>
    <x v="2"/>
    <x v="2"/>
    <s v="SEA"/>
    <s v="Seattle, WA: Seattle/Tacoma International"/>
    <n v="515"/>
    <n v="75"/>
    <n v="27.56"/>
    <n v="0"/>
    <n v="16.18"/>
    <n v="0"/>
    <n v="31.26"/>
    <n v="4"/>
    <n v="0"/>
    <n v="2952"/>
    <n v="1161"/>
    <n v="0"/>
    <n v="447"/>
    <n v="0"/>
    <n v="1344"/>
    <n v="0.14560000000000001"/>
    <n v="7.7999999999999996E-3"/>
    <n v="0"/>
  </r>
  <r>
    <n v="2011"/>
    <n v="3"/>
    <x v="9"/>
    <x v="9"/>
    <s v="SEA"/>
    <s v="Seattle, WA: Seattle/Tacoma International"/>
    <n v="562"/>
    <n v="83"/>
    <n v="20.260000000000002"/>
    <n v="1.42"/>
    <n v="18"/>
    <n v="0"/>
    <n v="43.31"/>
    <n v="2"/>
    <n v="3"/>
    <n v="4732"/>
    <n v="1285"/>
    <n v="53"/>
    <n v="577"/>
    <n v="0"/>
    <n v="2817"/>
    <n v="0.1477"/>
    <n v="3.5999999999999999E-3"/>
    <n v="5.3E-3"/>
  </r>
  <r>
    <n v="2011"/>
    <n v="3"/>
    <x v="15"/>
    <x v="15"/>
    <s v="SEA"/>
    <s v="Seattle, WA: Seattle/Tacoma International"/>
    <n v="259"/>
    <n v="53"/>
    <n v="22.69"/>
    <n v="0.08"/>
    <n v="17.41"/>
    <n v="1.27"/>
    <n v="11.55"/>
    <n v="1"/>
    <n v="0"/>
    <n v="2178"/>
    <n v="997"/>
    <n v="8"/>
    <n v="562"/>
    <n v="28"/>
    <n v="583"/>
    <n v="0.2046"/>
    <n v="3.8999999999999998E-3"/>
    <n v="0"/>
  </r>
  <r>
    <n v="2011"/>
    <n v="3"/>
    <x v="10"/>
    <x v="10"/>
    <s v="SEA"/>
    <s v="Seattle, WA: Seattle/Tacoma International"/>
    <n v="1109"/>
    <n v="241"/>
    <n v="83.28"/>
    <n v="0.49"/>
    <n v="33.17"/>
    <n v="0.69"/>
    <n v="123.37"/>
    <n v="2"/>
    <n v="0"/>
    <n v="10326"/>
    <n v="3904"/>
    <n v="22"/>
    <n v="997"/>
    <n v="14"/>
    <n v="5389"/>
    <n v="0.21729999999999999"/>
    <n v="1.8E-3"/>
    <n v="0"/>
  </r>
  <r>
    <n v="2011"/>
    <n v="2"/>
    <x v="4"/>
    <x v="4"/>
    <s v="SEA"/>
    <s v="Seattle, WA: Seattle/Tacoma International"/>
    <n v="331"/>
    <n v="124"/>
    <n v="33.25"/>
    <n v="15.55"/>
    <n v="57.1"/>
    <n v="0"/>
    <n v="18.100000000000001"/>
    <n v="19"/>
    <n v="1"/>
    <n v="5853"/>
    <n v="1789"/>
    <n v="941"/>
    <n v="2088"/>
    <n v="0"/>
    <n v="1035"/>
    <n v="0.37459999999999999"/>
    <n v="5.74E-2"/>
    <n v="3.0000000000000001E-3"/>
  </r>
  <r>
    <n v="2011"/>
    <n v="2"/>
    <x v="5"/>
    <x v="5"/>
    <s v="SEA"/>
    <s v="Seattle, WA: Seattle/Tacoma International"/>
    <n v="3188"/>
    <n v="474"/>
    <n v="102.74"/>
    <n v="10.039999999999999"/>
    <n v="206.88"/>
    <n v="2.78"/>
    <n v="151.56"/>
    <n v="28"/>
    <n v="3"/>
    <n v="22029"/>
    <n v="6293"/>
    <n v="537"/>
    <n v="6049"/>
    <n v="90"/>
    <n v="9060"/>
    <n v="0.1487"/>
    <n v="8.8000000000000005E-3"/>
    <n v="8.9999999999999998E-4"/>
  </r>
  <r>
    <n v="2011"/>
    <n v="2"/>
    <x v="6"/>
    <x v="6"/>
    <s v="SEA"/>
    <s v="Seattle, WA: Seattle/Tacoma International"/>
    <n v="122"/>
    <n v="32"/>
    <n v="4.49"/>
    <n v="0.11"/>
    <n v="19.100000000000001"/>
    <n v="0"/>
    <n v="8.3000000000000007"/>
    <n v="0"/>
    <n v="0"/>
    <n v="1632"/>
    <n v="311"/>
    <n v="10"/>
    <n v="634"/>
    <n v="0"/>
    <n v="677"/>
    <n v="0.26229999999999998"/>
    <n v="0"/>
    <n v="0"/>
  </r>
  <r>
    <n v="2011"/>
    <n v="2"/>
    <x v="17"/>
    <x v="17"/>
    <s v="SEA"/>
    <s v="Seattle, WA: Seattle/Tacoma International"/>
    <n v="252"/>
    <n v="88"/>
    <n v="26.98"/>
    <n v="2.2799999999999998"/>
    <n v="43.58"/>
    <n v="0.93"/>
    <n v="14.24"/>
    <n v="7"/>
    <n v="0"/>
    <n v="3732"/>
    <n v="1152"/>
    <n v="108"/>
    <n v="1519"/>
    <n v="29"/>
    <n v="924"/>
    <n v="0.34920000000000001"/>
    <n v="2.7799999999999998E-2"/>
    <n v="0"/>
  </r>
  <r>
    <n v="2011"/>
    <n v="2"/>
    <x v="7"/>
    <x v="7"/>
    <s v="SEA"/>
    <s v="Seattle, WA: Seattle/Tacoma International"/>
    <n v="610"/>
    <n v="186"/>
    <n v="48.59"/>
    <n v="5.13"/>
    <n v="100.98"/>
    <n v="0"/>
    <n v="31.31"/>
    <n v="7"/>
    <n v="1"/>
    <n v="8667"/>
    <n v="2577"/>
    <n v="213"/>
    <n v="3549"/>
    <n v="0"/>
    <n v="2328"/>
    <n v="0.3049"/>
    <n v="1.15E-2"/>
    <n v="1.6000000000000001E-3"/>
  </r>
  <r>
    <n v="2011"/>
    <n v="2"/>
    <x v="8"/>
    <x v="8"/>
    <s v="SEA"/>
    <s v="Seattle, WA: Seattle/Tacoma International"/>
    <n v="112"/>
    <n v="42"/>
    <n v="12.79"/>
    <n v="0.1"/>
    <n v="21.32"/>
    <n v="0"/>
    <n v="7.79"/>
    <n v="0"/>
    <n v="0"/>
    <n v="1822"/>
    <n v="442"/>
    <n v="7"/>
    <n v="685"/>
    <n v="0"/>
    <n v="688"/>
    <n v="0.375"/>
    <n v="0"/>
    <n v="0"/>
  </r>
  <r>
    <n v="2011"/>
    <n v="2"/>
    <x v="16"/>
    <x v="16"/>
    <s v="SEA"/>
    <s v="Seattle, WA: Seattle/Tacoma International"/>
    <n v="28"/>
    <n v="11"/>
    <n v="2.44"/>
    <n v="0"/>
    <n v="6.57"/>
    <n v="0"/>
    <n v="1.99"/>
    <n v="1"/>
    <n v="0"/>
    <n v="743"/>
    <n v="193"/>
    <n v="0"/>
    <n v="262"/>
    <n v="0"/>
    <n v="288"/>
    <n v="0.39290000000000003"/>
    <n v="3.5700000000000003E-2"/>
    <n v="0"/>
  </r>
  <r>
    <n v="2011"/>
    <n v="2"/>
    <x v="0"/>
    <x v="0"/>
    <s v="SEA"/>
    <s v="Seattle, WA: Seattle/Tacoma International"/>
    <n v="68"/>
    <n v="19"/>
    <n v="17.95"/>
    <n v="0"/>
    <n v="0"/>
    <n v="0"/>
    <n v="1.05"/>
    <n v="0"/>
    <n v="0"/>
    <n v="921"/>
    <n v="805"/>
    <n v="0"/>
    <n v="0"/>
    <n v="0"/>
    <n v="116"/>
    <n v="0.27939999999999998"/>
    <n v="0"/>
    <n v="0"/>
  </r>
  <r>
    <n v="2011"/>
    <n v="2"/>
    <x v="2"/>
    <x v="2"/>
    <s v="SEA"/>
    <s v="Seattle, WA: Seattle/Tacoma International"/>
    <n v="429"/>
    <n v="73"/>
    <n v="26.67"/>
    <n v="0"/>
    <n v="17.8"/>
    <n v="0"/>
    <n v="28.53"/>
    <n v="2"/>
    <n v="1"/>
    <n v="3193"/>
    <n v="1111"/>
    <n v="0"/>
    <n v="448"/>
    <n v="0"/>
    <n v="1634"/>
    <n v="0.17019999999999999"/>
    <n v="4.7000000000000002E-3"/>
    <n v="2.3E-3"/>
  </r>
  <r>
    <n v="2011"/>
    <n v="2"/>
    <x v="9"/>
    <x v="9"/>
    <s v="SEA"/>
    <s v="Seattle, WA: Seattle/Tacoma International"/>
    <n v="500"/>
    <n v="103"/>
    <n v="27.06"/>
    <n v="2"/>
    <n v="39.99"/>
    <n v="0"/>
    <n v="33.950000000000003"/>
    <n v="12"/>
    <n v="1"/>
    <n v="4871"/>
    <n v="1332"/>
    <n v="133"/>
    <n v="1251"/>
    <n v="0"/>
    <n v="2155"/>
    <n v="0.20599999999999999"/>
    <n v="2.4E-2"/>
    <n v="2E-3"/>
  </r>
  <r>
    <n v="2011"/>
    <n v="2"/>
    <x v="15"/>
    <x v="15"/>
    <s v="SEA"/>
    <s v="Seattle, WA: Seattle/Tacoma International"/>
    <n v="200"/>
    <n v="57"/>
    <n v="12.39"/>
    <n v="0.51"/>
    <n v="31.7"/>
    <n v="1"/>
    <n v="11.4"/>
    <n v="0"/>
    <n v="0"/>
    <n v="2249"/>
    <n v="630"/>
    <n v="45"/>
    <n v="1056"/>
    <n v="74"/>
    <n v="444"/>
    <n v="0.28499999999999998"/>
    <n v="0"/>
    <n v="0"/>
  </r>
  <r>
    <n v="2011"/>
    <n v="2"/>
    <x v="10"/>
    <x v="10"/>
    <s v="SEA"/>
    <s v="Seattle, WA: Seattle/Tacoma International"/>
    <n v="971"/>
    <n v="288"/>
    <n v="90.12"/>
    <n v="1.2"/>
    <n v="53.55"/>
    <n v="0.12"/>
    <n v="143"/>
    <n v="9"/>
    <n v="1"/>
    <n v="12730"/>
    <n v="3792"/>
    <n v="199"/>
    <n v="1699"/>
    <n v="8"/>
    <n v="7032"/>
    <n v="0.29659999999999997"/>
    <n v="9.2999999999999992E-3"/>
    <n v="1E-3"/>
  </r>
  <r>
    <n v="2011"/>
    <n v="1"/>
    <x v="4"/>
    <x v="4"/>
    <s v="SEA"/>
    <s v="Seattle, WA: Seattle/Tacoma International"/>
    <n v="367"/>
    <n v="118"/>
    <n v="30.08"/>
    <n v="14.22"/>
    <n v="57.67"/>
    <n v="0"/>
    <n v="16.03"/>
    <n v="3"/>
    <n v="4"/>
    <n v="4869"/>
    <n v="1584"/>
    <n v="547"/>
    <n v="1741"/>
    <n v="0"/>
    <n v="997"/>
    <n v="0.32150000000000001"/>
    <n v="8.2000000000000007E-3"/>
    <n v="1.09E-2"/>
  </r>
  <r>
    <n v="2011"/>
    <n v="1"/>
    <x v="5"/>
    <x v="5"/>
    <s v="SEA"/>
    <s v="Seattle, WA: Seattle/Tacoma International"/>
    <n v="3497"/>
    <n v="474"/>
    <n v="112.48"/>
    <n v="6.27"/>
    <n v="225.8"/>
    <n v="0.71"/>
    <n v="128.75"/>
    <n v="28"/>
    <n v="11"/>
    <n v="23280"/>
    <n v="8281"/>
    <n v="393"/>
    <n v="6902"/>
    <n v="20"/>
    <n v="7684"/>
    <n v="0.13550000000000001"/>
    <n v="8.0000000000000002E-3"/>
    <n v="3.0999999999999999E-3"/>
  </r>
  <r>
    <n v="2011"/>
    <n v="1"/>
    <x v="6"/>
    <x v="6"/>
    <s v="SEA"/>
    <s v="Seattle, WA: Seattle/Tacoma International"/>
    <n v="128"/>
    <n v="35"/>
    <n v="13.48"/>
    <n v="0"/>
    <n v="12.31"/>
    <n v="0"/>
    <n v="9.2100000000000009"/>
    <n v="0"/>
    <n v="0"/>
    <n v="1781"/>
    <n v="640"/>
    <n v="0"/>
    <n v="489"/>
    <n v="0"/>
    <n v="652"/>
    <n v="0.27339999999999998"/>
    <n v="0"/>
    <n v="0"/>
  </r>
  <r>
    <n v="2011"/>
    <n v="1"/>
    <x v="17"/>
    <x v="17"/>
    <s v="SEA"/>
    <s v="Seattle, WA: Seattle/Tacoma International"/>
    <n v="266"/>
    <n v="112"/>
    <n v="45.17"/>
    <n v="4.03"/>
    <n v="46.05"/>
    <n v="3.47"/>
    <n v="13.28"/>
    <n v="4"/>
    <n v="0"/>
    <n v="4470"/>
    <n v="1800"/>
    <n v="565"/>
    <n v="1667"/>
    <n v="63"/>
    <n v="375"/>
    <n v="0.42109999999999997"/>
    <n v="1.4999999999999999E-2"/>
    <n v="0"/>
  </r>
  <r>
    <n v="2011"/>
    <n v="1"/>
    <x v="7"/>
    <x v="7"/>
    <s v="SEA"/>
    <s v="Seattle, WA: Seattle/Tacoma International"/>
    <n v="675"/>
    <n v="267"/>
    <n v="71.52"/>
    <n v="8.8800000000000008"/>
    <n v="144.62"/>
    <n v="0"/>
    <n v="41.99"/>
    <n v="15"/>
    <n v="2"/>
    <n v="12704"/>
    <n v="4033"/>
    <n v="853"/>
    <n v="5176"/>
    <n v="0"/>
    <n v="2642"/>
    <n v="0.39560000000000001"/>
    <n v="2.2200000000000001E-2"/>
    <n v="3.0000000000000001E-3"/>
  </r>
  <r>
    <n v="2011"/>
    <n v="1"/>
    <x v="8"/>
    <x v="8"/>
    <s v="SEA"/>
    <s v="Seattle, WA: Seattle/Tacoma International"/>
    <n v="121"/>
    <n v="54"/>
    <n v="16.559999999999999"/>
    <n v="7.0000000000000007E-2"/>
    <n v="30.62"/>
    <n v="0"/>
    <n v="6.75"/>
    <n v="0"/>
    <n v="0"/>
    <n v="2212"/>
    <n v="606"/>
    <n v="9"/>
    <n v="989"/>
    <n v="0"/>
    <n v="608"/>
    <n v="0.44629999999999997"/>
    <n v="0"/>
    <n v="0"/>
  </r>
  <r>
    <n v="2011"/>
    <n v="1"/>
    <x v="16"/>
    <x v="16"/>
    <s v="SEA"/>
    <s v="Seattle, WA: Seattle/Tacoma International"/>
    <n v="34"/>
    <n v="16"/>
    <n v="5.67"/>
    <n v="0"/>
    <n v="6.99"/>
    <n v="0"/>
    <n v="3.34"/>
    <n v="0"/>
    <n v="0"/>
    <n v="800"/>
    <n v="167"/>
    <n v="0"/>
    <n v="348"/>
    <n v="0"/>
    <n v="285"/>
    <n v="0.47060000000000002"/>
    <n v="0"/>
    <n v="0"/>
  </r>
  <r>
    <n v="2011"/>
    <n v="1"/>
    <x v="0"/>
    <x v="0"/>
    <s v="SEA"/>
    <s v="Seattle, WA: Seattle/Tacoma International"/>
    <n v="76"/>
    <n v="17"/>
    <n v="16.52"/>
    <n v="0"/>
    <n v="0"/>
    <n v="0"/>
    <n v="0.48"/>
    <n v="0"/>
    <n v="0"/>
    <n v="663"/>
    <n v="640"/>
    <n v="0"/>
    <n v="0"/>
    <n v="0"/>
    <n v="23"/>
    <n v="0.22370000000000001"/>
    <n v="0"/>
    <n v="0"/>
  </r>
  <r>
    <n v="2011"/>
    <n v="1"/>
    <x v="2"/>
    <x v="2"/>
    <s v="SEA"/>
    <s v="Seattle, WA: Seattle/Tacoma International"/>
    <n v="548"/>
    <n v="111"/>
    <n v="32.729999999999997"/>
    <n v="5.33"/>
    <n v="35.32"/>
    <n v="0"/>
    <n v="37.619999999999997"/>
    <n v="9"/>
    <n v="2"/>
    <n v="4666"/>
    <n v="1457"/>
    <n v="317"/>
    <n v="959"/>
    <n v="0"/>
    <n v="1933"/>
    <n v="0.2026"/>
    <n v="1.6400000000000001E-2"/>
    <n v="3.5999999999999999E-3"/>
  </r>
  <r>
    <n v="2011"/>
    <n v="1"/>
    <x v="9"/>
    <x v="9"/>
    <s v="SEA"/>
    <s v="Seattle, WA: Seattle/Tacoma International"/>
    <n v="547"/>
    <n v="82"/>
    <n v="21.43"/>
    <n v="1.99"/>
    <n v="36.54"/>
    <n v="0.97"/>
    <n v="21.07"/>
    <n v="4"/>
    <n v="2"/>
    <n v="3785"/>
    <n v="1265"/>
    <n v="120"/>
    <n v="986"/>
    <n v="146"/>
    <n v="1268"/>
    <n v="0.14990000000000001"/>
    <n v="7.3000000000000001E-3"/>
    <n v="3.7000000000000002E-3"/>
  </r>
  <r>
    <n v="2011"/>
    <n v="1"/>
    <x v="15"/>
    <x v="15"/>
    <s v="SEA"/>
    <s v="Seattle, WA: Seattle/Tacoma International"/>
    <n v="229"/>
    <n v="48"/>
    <n v="13.8"/>
    <n v="0"/>
    <n v="27.71"/>
    <n v="0.3"/>
    <n v="6.19"/>
    <n v="2"/>
    <n v="0"/>
    <n v="1764"/>
    <n v="622"/>
    <n v="0"/>
    <n v="726"/>
    <n v="6"/>
    <n v="410"/>
    <n v="0.20960000000000001"/>
    <n v="8.6999999999999994E-3"/>
    <n v="0"/>
  </r>
  <r>
    <n v="2011"/>
    <n v="1"/>
    <x v="10"/>
    <x v="10"/>
    <s v="SEA"/>
    <s v="Seattle, WA: Seattle/Tacoma International"/>
    <n v="1095"/>
    <n v="349"/>
    <n v="112.81"/>
    <n v="3.77"/>
    <n v="65.319999999999993"/>
    <n v="1.79"/>
    <n v="165.31"/>
    <n v="1"/>
    <n v="4"/>
    <n v="13500"/>
    <n v="4106"/>
    <n v="136"/>
    <n v="2091"/>
    <n v="47"/>
    <n v="7120"/>
    <n v="0.31869999999999998"/>
    <n v="8.9999999999999998E-4"/>
    <n v="3.7000000000000002E-3"/>
  </r>
  <r>
    <n v="2010"/>
    <n v="12"/>
    <x v="4"/>
    <x v="4"/>
    <s v="SEA"/>
    <s v="Seattle, WA: Seattle/Tacoma International"/>
    <n v="363"/>
    <n v="115"/>
    <n v="31.74"/>
    <n v="9.31"/>
    <n v="61.96"/>
    <n v="1"/>
    <n v="11"/>
    <n v="5"/>
    <n v="0"/>
    <n v="4320"/>
    <n v="1249"/>
    <n v="468"/>
    <n v="1871"/>
    <n v="26"/>
    <n v="706"/>
    <n v="0.31680000000000003"/>
    <n v="1.38E-2"/>
    <n v="0"/>
  </r>
  <r>
    <n v="2010"/>
    <n v="12"/>
    <x v="5"/>
    <x v="5"/>
    <s v="SEA"/>
    <s v="Seattle, WA: Seattle/Tacoma International"/>
    <n v="3561"/>
    <n v="608"/>
    <n v="144.09"/>
    <n v="14.86"/>
    <n v="244.42"/>
    <n v="1.07"/>
    <n v="203.56"/>
    <n v="24"/>
    <n v="2"/>
    <n v="29768"/>
    <n v="8780"/>
    <n v="974"/>
    <n v="7139"/>
    <n v="37"/>
    <n v="12838"/>
    <n v="0.17069999999999999"/>
    <n v="6.7000000000000002E-3"/>
    <n v="5.9999999999999995E-4"/>
  </r>
  <r>
    <n v="2010"/>
    <n v="12"/>
    <x v="6"/>
    <x v="6"/>
    <s v="SEA"/>
    <s v="Seattle, WA: Seattle/Tacoma International"/>
    <n v="151"/>
    <n v="42"/>
    <n v="16.100000000000001"/>
    <n v="0.32"/>
    <n v="8.2799999999999994"/>
    <n v="0"/>
    <n v="17.3"/>
    <n v="8"/>
    <n v="0"/>
    <n v="2423"/>
    <n v="808"/>
    <n v="19"/>
    <n v="415"/>
    <n v="0"/>
    <n v="1181"/>
    <n v="0.27810000000000001"/>
    <n v="5.2999999999999999E-2"/>
    <n v="0"/>
  </r>
  <r>
    <n v="2010"/>
    <n v="12"/>
    <x v="17"/>
    <x v="17"/>
    <s v="SEA"/>
    <s v="Seattle, WA: Seattle/Tacoma International"/>
    <n v="398"/>
    <n v="139"/>
    <n v="54.78"/>
    <n v="6.37"/>
    <n v="50"/>
    <n v="0.72"/>
    <n v="27.13"/>
    <n v="8"/>
    <n v="1"/>
    <n v="6485"/>
    <n v="2076"/>
    <n v="618"/>
    <n v="1739"/>
    <n v="33"/>
    <n v="2019"/>
    <n v="0.34920000000000001"/>
    <n v="2.01E-2"/>
    <n v="2.5000000000000001E-3"/>
  </r>
  <r>
    <n v="2010"/>
    <n v="12"/>
    <x v="7"/>
    <x v="7"/>
    <s v="SEA"/>
    <s v="Seattle, WA: Seattle/Tacoma International"/>
    <n v="731"/>
    <n v="293"/>
    <n v="90.63"/>
    <n v="8.25"/>
    <n v="146.09"/>
    <n v="0"/>
    <n v="48.03"/>
    <n v="14"/>
    <n v="0"/>
    <n v="13481"/>
    <n v="5025"/>
    <n v="699"/>
    <n v="5124"/>
    <n v="0"/>
    <n v="2633"/>
    <n v="0.40079999999999999"/>
    <n v="1.9199999999999998E-2"/>
    <n v="0"/>
  </r>
  <r>
    <n v="2010"/>
    <n v="12"/>
    <x v="8"/>
    <x v="8"/>
    <s v="SEA"/>
    <s v="Seattle, WA: Seattle/Tacoma International"/>
    <n v="132"/>
    <n v="35"/>
    <n v="18.600000000000001"/>
    <n v="0.21"/>
    <n v="10.43"/>
    <n v="0"/>
    <n v="5.76"/>
    <n v="0"/>
    <n v="0"/>
    <n v="1151"/>
    <n v="656"/>
    <n v="8"/>
    <n v="281"/>
    <n v="0"/>
    <n v="206"/>
    <n v="0.26519999999999999"/>
    <n v="0"/>
    <n v="0"/>
  </r>
  <r>
    <n v="2010"/>
    <n v="12"/>
    <x v="16"/>
    <x v="16"/>
    <s v="SEA"/>
    <s v="Seattle, WA: Seattle/Tacoma International"/>
    <n v="46"/>
    <n v="23"/>
    <n v="2.5299999999999998"/>
    <n v="0"/>
    <n v="10.89"/>
    <n v="0"/>
    <n v="9.58"/>
    <n v="0"/>
    <n v="0"/>
    <n v="996"/>
    <n v="91"/>
    <n v="0"/>
    <n v="456"/>
    <n v="0"/>
    <n v="449"/>
    <n v="0.5"/>
    <n v="0"/>
    <n v="0"/>
  </r>
  <r>
    <n v="2010"/>
    <n v="12"/>
    <x v="0"/>
    <x v="0"/>
    <s v="SEA"/>
    <s v="Seattle, WA: Seattle/Tacoma International"/>
    <n v="75"/>
    <n v="15"/>
    <n v="12.36"/>
    <n v="0"/>
    <n v="0"/>
    <n v="0"/>
    <n v="2.64"/>
    <n v="0"/>
    <n v="0"/>
    <n v="783"/>
    <n v="528"/>
    <n v="0"/>
    <n v="0"/>
    <n v="0"/>
    <n v="255"/>
    <n v="0.2"/>
    <n v="0"/>
    <n v="0"/>
  </r>
  <r>
    <n v="2010"/>
    <n v="12"/>
    <x v="2"/>
    <x v="2"/>
    <s v="SEA"/>
    <s v="Seattle, WA: Seattle/Tacoma International"/>
    <n v="588"/>
    <n v="146"/>
    <n v="45.93"/>
    <n v="4.83"/>
    <n v="28.11"/>
    <n v="0"/>
    <n v="67.13"/>
    <n v="9"/>
    <n v="1"/>
    <n v="6702"/>
    <n v="2235"/>
    <n v="233"/>
    <n v="805"/>
    <n v="0"/>
    <n v="3429"/>
    <n v="0.24829999999999999"/>
    <n v="1.5299999999999999E-2"/>
    <n v="1.6999999999999999E-3"/>
  </r>
  <r>
    <n v="2010"/>
    <n v="12"/>
    <x v="9"/>
    <x v="9"/>
    <s v="SEA"/>
    <s v="Seattle, WA: Seattle/Tacoma International"/>
    <n v="537"/>
    <n v="70"/>
    <n v="22.07"/>
    <n v="0.96"/>
    <n v="10.58"/>
    <n v="0"/>
    <n v="36.39"/>
    <n v="2"/>
    <n v="0"/>
    <n v="3377"/>
    <n v="951"/>
    <n v="153"/>
    <n v="314"/>
    <n v="0"/>
    <n v="1959"/>
    <n v="0.13039999999999999"/>
    <n v="3.7000000000000002E-3"/>
    <n v="0"/>
  </r>
  <r>
    <n v="2010"/>
    <n v="12"/>
    <x v="15"/>
    <x v="15"/>
    <s v="SEA"/>
    <s v="Seattle, WA: Seattle/Tacoma International"/>
    <n v="293"/>
    <n v="58"/>
    <n v="17.34"/>
    <n v="0.8"/>
    <n v="25.94"/>
    <n v="0.28999999999999998"/>
    <n v="13.63"/>
    <n v="7"/>
    <n v="0"/>
    <n v="2963"/>
    <n v="1109"/>
    <n v="63"/>
    <n v="863"/>
    <n v="7"/>
    <n v="921"/>
    <n v="0.19800000000000001"/>
    <n v="2.3900000000000001E-2"/>
    <n v="0"/>
  </r>
  <r>
    <n v="2010"/>
    <n v="12"/>
    <x v="10"/>
    <x v="10"/>
    <s v="SEA"/>
    <s v="Seattle, WA: Seattle/Tacoma International"/>
    <n v="1167"/>
    <n v="358"/>
    <n v="129.34"/>
    <n v="1.78"/>
    <n v="37.840000000000003"/>
    <n v="1.59"/>
    <n v="187.45"/>
    <n v="5"/>
    <n v="1"/>
    <n v="18165"/>
    <n v="6163"/>
    <n v="94"/>
    <n v="1336"/>
    <n v="31"/>
    <n v="10541"/>
    <n v="0.30680000000000002"/>
    <n v="4.3E-3"/>
    <n v="8.9999999999999998E-4"/>
  </r>
  <r>
    <n v="2010"/>
    <n v="11"/>
    <x v="4"/>
    <x v="4"/>
    <s v="SEA"/>
    <s v="Seattle, WA: Seattle/Tacoma International"/>
    <n v="368"/>
    <n v="87"/>
    <n v="22.35"/>
    <n v="4.63"/>
    <n v="49.9"/>
    <n v="0"/>
    <n v="10.119999999999999"/>
    <n v="0"/>
    <n v="3"/>
    <n v="3240"/>
    <n v="1006"/>
    <n v="150"/>
    <n v="1659"/>
    <n v="0"/>
    <n v="425"/>
    <n v="0.2364"/>
    <n v="0"/>
    <n v="8.2000000000000007E-3"/>
  </r>
  <r>
    <n v="2010"/>
    <n v="11"/>
    <x v="5"/>
    <x v="5"/>
    <s v="SEA"/>
    <s v="Seattle, WA: Seattle/Tacoma International"/>
    <n v="3467"/>
    <n v="524"/>
    <n v="99.99"/>
    <n v="16.239999999999998"/>
    <n v="243.93"/>
    <n v="1.5"/>
    <n v="162.34"/>
    <n v="28"/>
    <n v="5"/>
    <n v="26330"/>
    <n v="6553"/>
    <n v="1026"/>
    <n v="8761"/>
    <n v="40"/>
    <n v="9950"/>
    <n v="0.15110000000000001"/>
    <n v="8.0999999999999996E-3"/>
    <n v="1.4E-3"/>
  </r>
  <r>
    <n v="2010"/>
    <n v="11"/>
    <x v="6"/>
    <x v="6"/>
    <s v="SEA"/>
    <s v="Seattle, WA: Seattle/Tacoma International"/>
    <n v="139"/>
    <n v="30"/>
    <n v="6.97"/>
    <n v="1"/>
    <n v="11.68"/>
    <n v="0.35"/>
    <n v="10"/>
    <n v="1"/>
    <n v="0"/>
    <n v="1426"/>
    <n v="393"/>
    <n v="43"/>
    <n v="598"/>
    <n v="6"/>
    <n v="386"/>
    <n v="0.21579999999999999"/>
    <n v="7.1999999999999998E-3"/>
    <n v="0"/>
  </r>
  <r>
    <n v="2010"/>
    <n v="11"/>
    <x v="17"/>
    <x v="17"/>
    <s v="SEA"/>
    <s v="Seattle, WA: Seattle/Tacoma International"/>
    <n v="338"/>
    <n v="74"/>
    <n v="37.14"/>
    <n v="0"/>
    <n v="26.48"/>
    <n v="1"/>
    <n v="9.3800000000000008"/>
    <n v="0"/>
    <n v="0"/>
    <n v="3472"/>
    <n v="1724"/>
    <n v="0"/>
    <n v="762"/>
    <n v="19"/>
    <n v="967"/>
    <n v="0.21890000000000001"/>
    <n v="0"/>
    <n v="0"/>
  </r>
  <r>
    <n v="2010"/>
    <n v="11"/>
    <x v="7"/>
    <x v="7"/>
    <s v="SEA"/>
    <s v="Seattle, WA: Seattle/Tacoma International"/>
    <n v="709"/>
    <n v="180"/>
    <n v="54.32"/>
    <n v="5.57"/>
    <n v="96.17"/>
    <n v="0"/>
    <n v="23.94"/>
    <n v="1"/>
    <n v="2"/>
    <n v="7176"/>
    <n v="2302"/>
    <n v="289"/>
    <n v="3452"/>
    <n v="0"/>
    <n v="1133"/>
    <n v="0.25390000000000001"/>
    <n v="1.4E-3"/>
    <n v="2.8E-3"/>
  </r>
  <r>
    <n v="2010"/>
    <n v="11"/>
    <x v="8"/>
    <x v="8"/>
    <s v="SEA"/>
    <s v="Seattle, WA: Seattle/Tacoma International"/>
    <n v="126"/>
    <n v="27"/>
    <n v="5.16"/>
    <n v="0"/>
    <n v="12.85"/>
    <n v="0"/>
    <n v="8.99"/>
    <n v="0"/>
    <n v="0"/>
    <n v="1161"/>
    <n v="170"/>
    <n v="0"/>
    <n v="625"/>
    <n v="0"/>
    <n v="366"/>
    <n v="0.21429999999999999"/>
    <n v="0"/>
    <n v="0"/>
  </r>
  <r>
    <n v="2010"/>
    <n v="11"/>
    <x v="16"/>
    <x v="16"/>
    <s v="SEA"/>
    <s v="Seattle, WA: Seattle/Tacoma International"/>
    <n v="30"/>
    <n v="15"/>
    <n v="3.43"/>
    <n v="0"/>
    <n v="5.98"/>
    <n v="0"/>
    <n v="5.58"/>
    <n v="0"/>
    <n v="0"/>
    <n v="868"/>
    <n v="138"/>
    <n v="0"/>
    <n v="201"/>
    <n v="0"/>
    <n v="529"/>
    <n v="0.5"/>
    <n v="0"/>
    <n v="0"/>
  </r>
  <r>
    <n v="2010"/>
    <n v="11"/>
    <x v="0"/>
    <x v="0"/>
    <s v="SEA"/>
    <s v="Seattle, WA: Seattle/Tacoma International"/>
    <n v="72"/>
    <n v="20"/>
    <n v="18.61"/>
    <n v="0"/>
    <n v="0"/>
    <n v="0"/>
    <n v="1.39"/>
    <n v="0"/>
    <n v="0"/>
    <n v="855"/>
    <n v="790"/>
    <n v="0"/>
    <n v="0"/>
    <n v="0"/>
    <n v="65"/>
    <n v="0.27779999999999999"/>
    <n v="0"/>
    <n v="0"/>
  </r>
  <r>
    <n v="2010"/>
    <n v="11"/>
    <x v="2"/>
    <x v="2"/>
    <s v="SEA"/>
    <s v="Seattle, WA: Seattle/Tacoma International"/>
    <n v="594"/>
    <n v="157"/>
    <n v="42.36"/>
    <n v="7.42"/>
    <n v="48.74"/>
    <n v="0"/>
    <n v="58.48"/>
    <n v="12"/>
    <n v="2"/>
    <n v="6998"/>
    <n v="1929"/>
    <n v="285"/>
    <n v="1466"/>
    <n v="0"/>
    <n v="3318"/>
    <n v="0.26429999999999998"/>
    <n v="2.0199999999999999E-2"/>
    <n v="3.3999999999999998E-3"/>
  </r>
  <r>
    <n v="2010"/>
    <n v="11"/>
    <x v="9"/>
    <x v="9"/>
    <s v="SEA"/>
    <s v="Seattle, WA: Seattle/Tacoma International"/>
    <n v="492"/>
    <n v="46"/>
    <n v="13.3"/>
    <n v="0.5"/>
    <n v="15.14"/>
    <n v="0"/>
    <n v="17.059999999999999"/>
    <n v="0"/>
    <n v="1"/>
    <n v="2115"/>
    <n v="394"/>
    <n v="9"/>
    <n v="833"/>
    <n v="0"/>
    <n v="879"/>
    <n v="9.35E-2"/>
    <n v="0"/>
    <n v="2E-3"/>
  </r>
  <r>
    <n v="2010"/>
    <n v="11"/>
    <x v="15"/>
    <x v="15"/>
    <s v="SEA"/>
    <s v="Seattle, WA: Seattle/Tacoma International"/>
    <n v="267"/>
    <n v="50"/>
    <n v="10.62"/>
    <n v="0"/>
    <n v="29.47"/>
    <n v="0"/>
    <n v="9.91"/>
    <n v="0"/>
    <n v="0"/>
    <n v="2066"/>
    <n v="528"/>
    <n v="0"/>
    <n v="1208"/>
    <n v="0"/>
    <n v="330"/>
    <n v="0.18729999999999999"/>
    <n v="0"/>
    <n v="0"/>
  </r>
  <r>
    <n v="2010"/>
    <n v="11"/>
    <x v="10"/>
    <x v="10"/>
    <s v="SEA"/>
    <s v="Seattle, WA: Seattle/Tacoma International"/>
    <n v="1131"/>
    <n v="230"/>
    <n v="78.709999999999994"/>
    <n v="6.58"/>
    <n v="34.479999999999997"/>
    <n v="1.26"/>
    <n v="108.98"/>
    <n v="0"/>
    <n v="0"/>
    <n v="10721"/>
    <n v="3290"/>
    <n v="1013"/>
    <n v="1407"/>
    <n v="20"/>
    <n v="4991"/>
    <n v="0.2034"/>
    <n v="0"/>
    <n v="0"/>
  </r>
  <r>
    <n v="2010"/>
    <n v="10"/>
    <x v="4"/>
    <x v="4"/>
    <s v="SEA"/>
    <s v="Seattle, WA: Seattle/Tacoma International"/>
    <n v="398"/>
    <n v="57"/>
    <n v="23.01"/>
    <n v="2.25"/>
    <n v="26"/>
    <n v="0"/>
    <n v="5.74"/>
    <n v="3"/>
    <n v="1"/>
    <n v="2732"/>
    <n v="1150"/>
    <n v="283"/>
    <n v="846"/>
    <n v="0"/>
    <n v="453"/>
    <n v="0.14319999999999999"/>
    <n v="7.4999999999999997E-3"/>
    <n v="2.5000000000000001E-3"/>
  </r>
  <r>
    <n v="2010"/>
    <n v="10"/>
    <x v="5"/>
    <x v="5"/>
    <s v="SEA"/>
    <s v="Seattle, WA: Seattle/Tacoma International"/>
    <n v="3725"/>
    <n v="428"/>
    <n v="91.48"/>
    <n v="6.93"/>
    <n v="212.41"/>
    <n v="4.97"/>
    <n v="112.21"/>
    <n v="15"/>
    <n v="4"/>
    <n v="18965"/>
    <n v="5594"/>
    <n v="595"/>
    <n v="5407"/>
    <n v="142"/>
    <n v="7227"/>
    <n v="0.1149"/>
    <n v="4.0000000000000001E-3"/>
    <n v="1.1000000000000001E-3"/>
  </r>
  <r>
    <n v="2010"/>
    <n v="10"/>
    <x v="6"/>
    <x v="6"/>
    <s v="SEA"/>
    <s v="Seattle, WA: Seattle/Tacoma International"/>
    <n v="175"/>
    <n v="33"/>
    <n v="10.29"/>
    <n v="0"/>
    <n v="16.559999999999999"/>
    <n v="0"/>
    <n v="6.15"/>
    <n v="0"/>
    <n v="0"/>
    <n v="1169"/>
    <n v="448"/>
    <n v="0"/>
    <n v="405"/>
    <n v="0"/>
    <n v="316"/>
    <n v="0.18859999999999999"/>
    <n v="0"/>
    <n v="0"/>
  </r>
  <r>
    <n v="2010"/>
    <n v="10"/>
    <x v="17"/>
    <x v="17"/>
    <s v="SEA"/>
    <s v="Seattle, WA: Seattle/Tacoma International"/>
    <n v="346"/>
    <n v="53"/>
    <n v="18.52"/>
    <n v="0.48"/>
    <n v="31.16"/>
    <n v="0"/>
    <n v="2.84"/>
    <n v="0"/>
    <n v="0"/>
    <n v="1862"/>
    <n v="683"/>
    <n v="14"/>
    <n v="1072"/>
    <n v="0"/>
    <n v="93"/>
    <n v="0.1532"/>
    <n v="0"/>
    <n v="0"/>
  </r>
  <r>
    <n v="2010"/>
    <n v="10"/>
    <x v="7"/>
    <x v="7"/>
    <s v="SEA"/>
    <s v="Seattle, WA: Seattle/Tacoma International"/>
    <n v="821"/>
    <n v="128"/>
    <n v="57.12"/>
    <n v="2.62"/>
    <n v="40.18"/>
    <n v="0"/>
    <n v="28.09"/>
    <n v="1"/>
    <n v="2"/>
    <n v="5829"/>
    <n v="2977"/>
    <n v="182"/>
    <n v="1170"/>
    <n v="0"/>
    <n v="1500"/>
    <n v="0.15590000000000001"/>
    <n v="1.1999999999999999E-3"/>
    <n v="2.3999999999999998E-3"/>
  </r>
  <r>
    <n v="2010"/>
    <n v="10"/>
    <x v="8"/>
    <x v="8"/>
    <s v="SEA"/>
    <s v="Seattle, WA: Seattle/Tacoma International"/>
    <n v="145"/>
    <n v="9"/>
    <n v="1.4"/>
    <n v="0"/>
    <n v="1.05"/>
    <n v="0"/>
    <n v="6.55"/>
    <n v="0"/>
    <n v="1"/>
    <n v="321"/>
    <n v="36"/>
    <n v="0"/>
    <n v="21"/>
    <n v="0"/>
    <n v="264"/>
    <n v="6.2100000000000002E-2"/>
    <n v="0"/>
    <n v="6.8999999999999999E-3"/>
  </r>
  <r>
    <n v="2010"/>
    <n v="10"/>
    <x v="16"/>
    <x v="16"/>
    <s v="SEA"/>
    <s v="Seattle, WA: Seattle/Tacoma International"/>
    <n v="74"/>
    <n v="5"/>
    <n v="1.59"/>
    <n v="0"/>
    <n v="2.25"/>
    <n v="0"/>
    <n v="1.1599999999999999"/>
    <n v="0"/>
    <n v="0"/>
    <n v="330"/>
    <n v="29"/>
    <n v="0"/>
    <n v="47"/>
    <n v="0"/>
    <n v="254"/>
    <n v="6.7599999999999993E-2"/>
    <n v="0"/>
    <n v="0"/>
  </r>
  <r>
    <n v="2010"/>
    <n v="10"/>
    <x v="0"/>
    <x v="0"/>
    <s v="SEA"/>
    <s v="Seattle, WA: Seattle/Tacoma International"/>
    <n v="76"/>
    <n v="19"/>
    <n v="15.44"/>
    <n v="0"/>
    <n v="0"/>
    <n v="0"/>
    <n v="3.56"/>
    <n v="0"/>
    <n v="0"/>
    <n v="708"/>
    <n v="541"/>
    <n v="0"/>
    <n v="0"/>
    <n v="0"/>
    <n v="167"/>
    <n v="0.25"/>
    <n v="0"/>
    <n v="0"/>
  </r>
  <r>
    <n v="2010"/>
    <n v="10"/>
    <x v="2"/>
    <x v="2"/>
    <s v="SEA"/>
    <s v="Seattle, WA: Seattle/Tacoma International"/>
    <n v="604"/>
    <n v="70"/>
    <n v="23.59"/>
    <n v="3.39"/>
    <n v="10.130000000000001"/>
    <n v="0"/>
    <n v="32.9"/>
    <n v="11"/>
    <n v="0"/>
    <n v="3814"/>
    <n v="1450"/>
    <n v="200"/>
    <n v="391"/>
    <n v="0"/>
    <n v="1773"/>
    <n v="0.1159"/>
    <n v="1.8200000000000001E-2"/>
    <n v="0"/>
  </r>
  <r>
    <n v="2010"/>
    <n v="10"/>
    <x v="9"/>
    <x v="9"/>
    <s v="SEA"/>
    <s v="Seattle, WA: Seattle/Tacoma International"/>
    <n v="577"/>
    <n v="37"/>
    <n v="14.46"/>
    <n v="0"/>
    <n v="4.62"/>
    <n v="0"/>
    <n v="17.91"/>
    <n v="0"/>
    <n v="1"/>
    <n v="2423"/>
    <n v="1186"/>
    <n v="0"/>
    <n v="163"/>
    <n v="0"/>
    <n v="1074"/>
    <n v="6.4100000000000004E-2"/>
    <n v="0"/>
    <n v="1.6999999999999999E-3"/>
  </r>
  <r>
    <n v="2010"/>
    <n v="10"/>
    <x v="15"/>
    <x v="15"/>
    <s v="SEA"/>
    <s v="Seattle, WA: Seattle/Tacoma International"/>
    <n v="273"/>
    <n v="47"/>
    <n v="9.26"/>
    <n v="0.19"/>
    <n v="30.56"/>
    <n v="7.0000000000000007E-2"/>
    <n v="6.92"/>
    <n v="0"/>
    <n v="0"/>
    <n v="1858"/>
    <n v="461"/>
    <n v="7"/>
    <n v="945"/>
    <n v="2"/>
    <n v="443"/>
    <n v="0.17219999999999999"/>
    <n v="0"/>
    <n v="0"/>
  </r>
  <r>
    <n v="2010"/>
    <n v="10"/>
    <x v="10"/>
    <x v="10"/>
    <s v="SEA"/>
    <s v="Seattle, WA: Seattle/Tacoma International"/>
    <n v="1187"/>
    <n v="201"/>
    <n v="62.86"/>
    <n v="0.65"/>
    <n v="19.78"/>
    <n v="2.13"/>
    <n v="115.58"/>
    <n v="1"/>
    <n v="2"/>
    <n v="8836"/>
    <n v="2655"/>
    <n v="26"/>
    <n v="634"/>
    <n v="48"/>
    <n v="5473"/>
    <n v="0.16930000000000001"/>
    <n v="8.0000000000000004E-4"/>
    <n v="1.6999999999999999E-3"/>
  </r>
  <r>
    <n v="2010"/>
    <n v="9"/>
    <x v="4"/>
    <x v="4"/>
    <s v="SEA"/>
    <s v="Seattle, WA: Seattle/Tacoma International"/>
    <n v="386"/>
    <n v="70"/>
    <n v="37.79"/>
    <n v="3.56"/>
    <n v="18.329999999999998"/>
    <n v="0.62"/>
    <n v="9.6999999999999993"/>
    <n v="1"/>
    <n v="1"/>
    <n v="4165"/>
    <n v="2349"/>
    <n v="252"/>
    <n v="806"/>
    <n v="16"/>
    <n v="742"/>
    <n v="0.18129999999999999"/>
    <n v="2.5999999999999999E-3"/>
    <n v="2.5999999999999999E-3"/>
  </r>
  <r>
    <n v="2010"/>
    <n v="9"/>
    <x v="5"/>
    <x v="5"/>
    <s v="SEA"/>
    <s v="Seattle, WA: Seattle/Tacoma International"/>
    <n v="3719"/>
    <n v="312"/>
    <n v="81.87"/>
    <n v="7.1"/>
    <n v="125.31"/>
    <n v="0"/>
    <n v="97.72"/>
    <n v="10"/>
    <n v="2"/>
    <n v="14731"/>
    <n v="4864"/>
    <n v="249"/>
    <n v="3204"/>
    <n v="0"/>
    <n v="6414"/>
    <n v="8.3900000000000002E-2"/>
    <n v="2.7000000000000001E-3"/>
    <n v="5.0000000000000001E-4"/>
  </r>
  <r>
    <n v="2010"/>
    <n v="9"/>
    <x v="6"/>
    <x v="6"/>
    <s v="SEA"/>
    <s v="Seattle, WA: Seattle/Tacoma International"/>
    <n v="187"/>
    <n v="42"/>
    <n v="19.649999999999999"/>
    <n v="0.22"/>
    <n v="14.86"/>
    <n v="0"/>
    <n v="7.27"/>
    <n v="0"/>
    <n v="0"/>
    <n v="2250"/>
    <n v="1250"/>
    <n v="42"/>
    <n v="582"/>
    <n v="0"/>
    <n v="376"/>
    <n v="0.22459999999999999"/>
    <n v="0"/>
    <n v="0"/>
  </r>
  <r>
    <n v="2010"/>
    <n v="9"/>
    <x v="17"/>
    <x v="17"/>
    <s v="SEA"/>
    <s v="Seattle, WA: Seattle/Tacoma International"/>
    <n v="383"/>
    <n v="76"/>
    <n v="20.27"/>
    <n v="3.94"/>
    <n v="46"/>
    <n v="0.28999999999999998"/>
    <n v="5.5"/>
    <n v="0"/>
    <n v="1"/>
    <n v="3158"/>
    <n v="1266"/>
    <n v="181"/>
    <n v="1343"/>
    <n v="7"/>
    <n v="361"/>
    <n v="0.19839999999999999"/>
    <n v="0"/>
    <n v="2.5999999999999999E-3"/>
  </r>
  <r>
    <n v="2010"/>
    <n v="9"/>
    <x v="7"/>
    <x v="7"/>
    <s v="SEA"/>
    <s v="Seattle, WA: Seattle/Tacoma International"/>
    <n v="854"/>
    <n v="254"/>
    <n v="70.319999999999993"/>
    <n v="2.34"/>
    <n v="138.19999999999999"/>
    <n v="0"/>
    <n v="43.14"/>
    <n v="1"/>
    <n v="0"/>
    <n v="9779"/>
    <n v="3270"/>
    <n v="120"/>
    <n v="3993"/>
    <n v="0"/>
    <n v="2396"/>
    <n v="0.2974"/>
    <n v="1.1999999999999999E-3"/>
    <n v="0"/>
  </r>
  <r>
    <n v="2010"/>
    <n v="9"/>
    <x v="8"/>
    <x v="8"/>
    <s v="SEA"/>
    <s v="Seattle, WA: Seattle/Tacoma International"/>
    <n v="125"/>
    <n v="19"/>
    <n v="6.84"/>
    <n v="0"/>
    <n v="7.62"/>
    <n v="0"/>
    <n v="4.54"/>
    <n v="0"/>
    <n v="0"/>
    <n v="494"/>
    <n v="202"/>
    <n v="0"/>
    <n v="153"/>
    <n v="0"/>
    <n v="139"/>
    <n v="0.152"/>
    <n v="0"/>
    <n v="0"/>
  </r>
  <r>
    <n v="2010"/>
    <n v="9"/>
    <x v="16"/>
    <x v="16"/>
    <s v="SEA"/>
    <s v="Seattle, WA: Seattle/Tacoma International"/>
    <n v="110"/>
    <n v="16"/>
    <n v="3.55"/>
    <n v="0"/>
    <n v="11.06"/>
    <n v="0"/>
    <n v="1.38"/>
    <n v="0"/>
    <n v="0"/>
    <n v="498"/>
    <n v="175"/>
    <n v="0"/>
    <n v="251"/>
    <n v="0"/>
    <n v="72"/>
    <n v="0.14549999999999999"/>
    <n v="0"/>
    <n v="0"/>
  </r>
  <r>
    <n v="2010"/>
    <n v="9"/>
    <x v="0"/>
    <x v="0"/>
    <s v="SEA"/>
    <s v="Seattle, WA: Seattle/Tacoma International"/>
    <n v="72"/>
    <n v="8"/>
    <n v="5.89"/>
    <n v="0"/>
    <n v="0"/>
    <n v="0"/>
    <n v="2.11"/>
    <n v="0"/>
    <n v="0"/>
    <n v="697"/>
    <n v="630"/>
    <n v="0"/>
    <n v="0"/>
    <n v="0"/>
    <n v="67"/>
    <n v="0.1111"/>
    <n v="0"/>
    <n v="0"/>
  </r>
  <r>
    <n v="2010"/>
    <n v="9"/>
    <x v="2"/>
    <x v="2"/>
    <s v="SEA"/>
    <s v="Seattle, WA: Seattle/Tacoma International"/>
    <n v="619"/>
    <n v="51"/>
    <n v="19.05"/>
    <n v="2.54"/>
    <n v="9.83"/>
    <n v="0"/>
    <n v="19.57"/>
    <n v="3"/>
    <n v="0"/>
    <n v="2359"/>
    <n v="1055"/>
    <n v="61"/>
    <n v="283"/>
    <n v="0"/>
    <n v="960"/>
    <n v="8.2400000000000001E-2"/>
    <n v="4.7999999999999996E-3"/>
    <n v="0"/>
  </r>
  <r>
    <n v="2010"/>
    <n v="9"/>
    <x v="9"/>
    <x v="9"/>
    <s v="SEA"/>
    <s v="Seattle, WA: Seattle/Tacoma International"/>
    <n v="555"/>
    <n v="50"/>
    <n v="14.72"/>
    <n v="1.49"/>
    <n v="11.8"/>
    <n v="0"/>
    <n v="21.99"/>
    <n v="0"/>
    <n v="2"/>
    <n v="2653"/>
    <n v="838"/>
    <n v="150"/>
    <n v="370"/>
    <n v="0"/>
    <n v="1295"/>
    <n v="9.01E-2"/>
    <n v="0"/>
    <n v="3.5999999999999999E-3"/>
  </r>
  <r>
    <n v="2010"/>
    <n v="9"/>
    <x v="15"/>
    <x v="15"/>
    <s v="SEA"/>
    <s v="Seattle, WA: Seattle/Tacoma International"/>
    <n v="331"/>
    <n v="60"/>
    <n v="21.67"/>
    <n v="0.36"/>
    <n v="27.55"/>
    <n v="0"/>
    <n v="10.42"/>
    <n v="1"/>
    <n v="0"/>
    <n v="2680"/>
    <n v="1227"/>
    <n v="25"/>
    <n v="936"/>
    <n v="0"/>
    <n v="492"/>
    <n v="0.18129999999999999"/>
    <n v="3.0000000000000001E-3"/>
    <n v="0"/>
  </r>
  <r>
    <n v="2010"/>
    <n v="9"/>
    <x v="10"/>
    <x v="10"/>
    <s v="SEA"/>
    <s v="Seattle, WA: Seattle/Tacoma International"/>
    <n v="1155"/>
    <n v="174"/>
    <n v="53.65"/>
    <n v="1"/>
    <n v="44.67"/>
    <n v="0"/>
    <n v="74.680000000000007"/>
    <n v="1"/>
    <n v="0"/>
    <n v="6219"/>
    <n v="2036"/>
    <n v="17"/>
    <n v="1237"/>
    <n v="0"/>
    <n v="2929"/>
    <n v="0.15060000000000001"/>
    <n v="8.9999999999999998E-4"/>
    <n v="0"/>
  </r>
  <r>
    <n v="2010"/>
    <n v="8"/>
    <x v="4"/>
    <x v="4"/>
    <s v="SEA"/>
    <s v="Seattle, WA: Seattle/Tacoma International"/>
    <n v="471"/>
    <n v="97"/>
    <n v="45.2"/>
    <n v="5.33"/>
    <n v="24.19"/>
    <n v="0"/>
    <n v="22.28"/>
    <n v="0"/>
    <n v="1"/>
    <n v="5467"/>
    <n v="3038"/>
    <n v="480"/>
    <n v="706"/>
    <n v="0"/>
    <n v="1243"/>
    <n v="0.2059"/>
    <n v="0"/>
    <n v="2.0999999999999999E-3"/>
  </r>
  <r>
    <n v="2010"/>
    <n v="8"/>
    <x v="5"/>
    <x v="5"/>
    <s v="SEA"/>
    <s v="Seattle, WA: Seattle/Tacoma International"/>
    <n v="4075"/>
    <n v="350"/>
    <n v="94.21"/>
    <n v="3.34"/>
    <n v="95.25"/>
    <n v="7.18"/>
    <n v="150.02000000000001"/>
    <n v="11"/>
    <n v="2"/>
    <n v="17394"/>
    <n v="6721"/>
    <n v="337"/>
    <n v="2660"/>
    <n v="142"/>
    <n v="7534"/>
    <n v="8.5900000000000004E-2"/>
    <n v="2.7000000000000001E-3"/>
    <n v="5.0000000000000001E-4"/>
  </r>
  <r>
    <n v="2010"/>
    <n v="8"/>
    <x v="6"/>
    <x v="6"/>
    <s v="SEA"/>
    <s v="Seattle, WA: Seattle/Tacoma International"/>
    <n v="217"/>
    <n v="53"/>
    <n v="25.03"/>
    <n v="0"/>
    <n v="18.989999999999998"/>
    <n v="0"/>
    <n v="8.98"/>
    <n v="0"/>
    <n v="0"/>
    <n v="2391"/>
    <n v="1230"/>
    <n v="0"/>
    <n v="577"/>
    <n v="0"/>
    <n v="584"/>
    <n v="0.2442"/>
    <n v="0"/>
    <n v="0"/>
  </r>
  <r>
    <n v="2010"/>
    <n v="8"/>
    <x v="17"/>
    <x v="17"/>
    <s v="SEA"/>
    <s v="Seattle, WA: Seattle/Tacoma International"/>
    <n v="466"/>
    <n v="54"/>
    <n v="23.49"/>
    <n v="3.64"/>
    <n v="12.01"/>
    <n v="0"/>
    <n v="14.86"/>
    <n v="0"/>
    <n v="0"/>
    <n v="3006"/>
    <n v="1075"/>
    <n v="351"/>
    <n v="441"/>
    <n v="0"/>
    <n v="1139"/>
    <n v="0.1159"/>
    <n v="0"/>
    <n v="0"/>
  </r>
  <r>
    <n v="2010"/>
    <n v="8"/>
    <x v="7"/>
    <x v="7"/>
    <s v="SEA"/>
    <s v="Seattle, WA: Seattle/Tacoma International"/>
    <n v="943"/>
    <n v="162"/>
    <n v="88.85"/>
    <n v="4.21"/>
    <n v="34.24"/>
    <n v="0"/>
    <n v="34.69"/>
    <n v="3"/>
    <n v="0"/>
    <n v="7897"/>
    <n v="4564"/>
    <n v="264"/>
    <n v="967"/>
    <n v="0"/>
    <n v="2102"/>
    <n v="0.17180000000000001"/>
    <n v="3.2000000000000002E-3"/>
    <n v="0"/>
  </r>
  <r>
    <n v="2010"/>
    <n v="8"/>
    <x v="8"/>
    <x v="8"/>
    <s v="SEA"/>
    <s v="Seattle, WA: Seattle/Tacoma International"/>
    <n v="156"/>
    <n v="25"/>
    <n v="7.97"/>
    <n v="0.28000000000000003"/>
    <n v="5.07"/>
    <n v="0"/>
    <n v="11.68"/>
    <n v="0"/>
    <n v="0"/>
    <n v="1265"/>
    <n v="343"/>
    <n v="18"/>
    <n v="163"/>
    <n v="0"/>
    <n v="741"/>
    <n v="0.1603"/>
    <n v="0"/>
    <n v="0"/>
  </r>
  <r>
    <n v="2010"/>
    <n v="8"/>
    <x v="16"/>
    <x v="16"/>
    <s v="SEA"/>
    <s v="Seattle, WA: Seattle/Tacoma International"/>
    <n v="212"/>
    <n v="37"/>
    <n v="19.79"/>
    <n v="1"/>
    <n v="5.53"/>
    <n v="0"/>
    <n v="10.68"/>
    <n v="0"/>
    <n v="0"/>
    <n v="1875"/>
    <n v="763"/>
    <n v="94"/>
    <n v="191"/>
    <n v="0"/>
    <n v="827"/>
    <n v="0.17449999999999999"/>
    <n v="0"/>
    <n v="0"/>
  </r>
  <r>
    <n v="2010"/>
    <n v="8"/>
    <x v="0"/>
    <x v="0"/>
    <s v="SEA"/>
    <s v="Seattle, WA: Seattle/Tacoma International"/>
    <n v="75"/>
    <n v="18"/>
    <n v="17.100000000000001"/>
    <n v="0"/>
    <n v="0"/>
    <n v="0"/>
    <n v="0.9"/>
    <n v="0"/>
    <n v="2"/>
    <n v="459"/>
    <n v="404"/>
    <n v="0"/>
    <n v="0"/>
    <n v="0"/>
    <n v="55"/>
    <n v="0.24"/>
    <n v="0"/>
    <n v="2.6700000000000002E-2"/>
  </r>
  <r>
    <n v="2010"/>
    <n v="8"/>
    <x v="2"/>
    <x v="2"/>
    <s v="SEA"/>
    <s v="Seattle, WA: Seattle/Tacoma International"/>
    <n v="692"/>
    <n v="107"/>
    <n v="26.28"/>
    <n v="10.73"/>
    <n v="26.55"/>
    <n v="0"/>
    <n v="43.44"/>
    <n v="8"/>
    <n v="0"/>
    <n v="4822"/>
    <n v="1213"/>
    <n v="778"/>
    <n v="798"/>
    <n v="0"/>
    <n v="2033"/>
    <n v="0.15459999999999999"/>
    <n v="1.1599999999999999E-2"/>
    <n v="0"/>
  </r>
  <r>
    <n v="2010"/>
    <n v="8"/>
    <x v="9"/>
    <x v="9"/>
    <s v="SEA"/>
    <s v="Seattle, WA: Seattle/Tacoma International"/>
    <n v="597"/>
    <n v="86"/>
    <n v="27.73"/>
    <n v="1.31"/>
    <n v="8.39"/>
    <n v="0"/>
    <n v="48.58"/>
    <n v="3"/>
    <n v="1"/>
    <n v="4583"/>
    <n v="1431"/>
    <n v="92"/>
    <n v="332"/>
    <n v="0"/>
    <n v="2728"/>
    <n v="0.14410000000000001"/>
    <n v="5.0000000000000001E-3"/>
    <n v="1.6999999999999999E-3"/>
  </r>
  <r>
    <n v="2010"/>
    <n v="8"/>
    <x v="15"/>
    <x v="15"/>
    <s v="SEA"/>
    <s v="Seattle, WA: Seattle/Tacoma International"/>
    <n v="338"/>
    <n v="47"/>
    <n v="11.23"/>
    <n v="0.92"/>
    <n v="20.36"/>
    <n v="1.83"/>
    <n v="12.65"/>
    <n v="1"/>
    <n v="1"/>
    <n v="2691"/>
    <n v="958"/>
    <n v="57"/>
    <n v="754"/>
    <n v="53"/>
    <n v="869"/>
    <n v="0.1391"/>
    <n v="3.0000000000000001E-3"/>
    <n v="3.0000000000000001E-3"/>
  </r>
  <r>
    <n v="2010"/>
    <n v="8"/>
    <x v="10"/>
    <x v="10"/>
    <s v="SEA"/>
    <s v="Seattle, WA: Seattle/Tacoma International"/>
    <n v="1231"/>
    <n v="219"/>
    <n v="83.62"/>
    <n v="2.93"/>
    <n v="28.73"/>
    <n v="0.5"/>
    <n v="103.22"/>
    <n v="1"/>
    <n v="1"/>
    <n v="9005"/>
    <n v="3352"/>
    <n v="214"/>
    <n v="865"/>
    <n v="12"/>
    <n v="4562"/>
    <n v="0.1779"/>
    <n v="8.0000000000000004E-4"/>
    <n v="8.0000000000000004E-4"/>
  </r>
  <r>
    <n v="2010"/>
    <n v="7"/>
    <x v="4"/>
    <x v="4"/>
    <s v="SEA"/>
    <s v="Seattle, WA: Seattle/Tacoma International"/>
    <n v="495"/>
    <n v="125"/>
    <n v="53.01"/>
    <n v="7.04"/>
    <n v="38.57"/>
    <n v="0.05"/>
    <n v="26.33"/>
    <n v="2"/>
    <n v="0"/>
    <n v="7018"/>
    <n v="3232"/>
    <n v="405"/>
    <n v="1604"/>
    <n v="4"/>
    <n v="1773"/>
    <n v="0.2525"/>
    <n v="4.0000000000000001E-3"/>
    <n v="0"/>
  </r>
  <r>
    <n v="2010"/>
    <n v="7"/>
    <x v="5"/>
    <x v="5"/>
    <s v="SEA"/>
    <s v="Seattle, WA: Seattle/Tacoma International"/>
    <n v="4104"/>
    <n v="376"/>
    <n v="125.29"/>
    <n v="4.5"/>
    <n v="83.22"/>
    <n v="1"/>
    <n v="161.99"/>
    <n v="10"/>
    <n v="3"/>
    <n v="19527"/>
    <n v="7284"/>
    <n v="259"/>
    <n v="2502"/>
    <n v="15"/>
    <n v="9467"/>
    <n v="9.1600000000000001E-2"/>
    <n v="2.3999999999999998E-3"/>
    <n v="6.9999999999999999E-4"/>
  </r>
  <r>
    <n v="2010"/>
    <n v="7"/>
    <x v="6"/>
    <x v="6"/>
    <s v="SEA"/>
    <s v="Seattle, WA: Seattle/Tacoma International"/>
    <n v="217"/>
    <n v="67"/>
    <n v="32.28"/>
    <n v="0.21"/>
    <n v="21.29"/>
    <n v="0"/>
    <n v="13.22"/>
    <n v="0"/>
    <n v="0"/>
    <n v="3483"/>
    <n v="1765"/>
    <n v="27"/>
    <n v="811"/>
    <n v="0"/>
    <n v="880"/>
    <n v="0.30880000000000002"/>
    <n v="0"/>
    <n v="0"/>
  </r>
  <r>
    <n v="2010"/>
    <n v="7"/>
    <x v="17"/>
    <x v="17"/>
    <s v="SEA"/>
    <s v="Seattle, WA: Seattle/Tacoma International"/>
    <n v="480"/>
    <n v="112"/>
    <n v="49.56"/>
    <n v="5.4"/>
    <n v="34.880000000000003"/>
    <n v="0.19"/>
    <n v="21.97"/>
    <n v="0"/>
    <n v="0"/>
    <n v="5697"/>
    <n v="2330"/>
    <n v="309"/>
    <n v="1596"/>
    <n v="3"/>
    <n v="1459"/>
    <n v="0.23330000000000001"/>
    <n v="0"/>
    <n v="0"/>
  </r>
  <r>
    <n v="2010"/>
    <n v="7"/>
    <x v="7"/>
    <x v="7"/>
    <s v="SEA"/>
    <s v="Seattle, WA: Seattle/Tacoma International"/>
    <n v="1004"/>
    <n v="260"/>
    <n v="122.55"/>
    <n v="12.18"/>
    <n v="52.57"/>
    <n v="0.68"/>
    <n v="72.03"/>
    <n v="9"/>
    <n v="3"/>
    <n v="13662"/>
    <n v="6468"/>
    <n v="698"/>
    <n v="1728"/>
    <n v="25"/>
    <n v="4743"/>
    <n v="0.25900000000000001"/>
    <n v="8.9999999999999993E-3"/>
    <n v="3.0000000000000001E-3"/>
  </r>
  <r>
    <n v="2010"/>
    <n v="7"/>
    <x v="8"/>
    <x v="8"/>
    <s v="SEA"/>
    <s v="Seattle, WA: Seattle/Tacoma International"/>
    <n v="156"/>
    <n v="41"/>
    <n v="16.8"/>
    <n v="1.44"/>
    <n v="6.34"/>
    <n v="0"/>
    <n v="16.43"/>
    <n v="0"/>
    <n v="0"/>
    <n v="2764"/>
    <n v="951"/>
    <n v="139"/>
    <n v="285"/>
    <n v="0"/>
    <n v="1389"/>
    <n v="0.26279999999999998"/>
    <n v="0"/>
    <n v="0"/>
  </r>
  <r>
    <n v="2010"/>
    <n v="7"/>
    <x v="16"/>
    <x v="16"/>
    <s v="SEA"/>
    <s v="Seattle, WA: Seattle/Tacoma International"/>
    <n v="213"/>
    <n v="44"/>
    <n v="21.26"/>
    <n v="0"/>
    <n v="11.34"/>
    <n v="0"/>
    <n v="11.4"/>
    <n v="3"/>
    <n v="0"/>
    <n v="2167"/>
    <n v="842"/>
    <n v="0"/>
    <n v="425"/>
    <n v="0"/>
    <n v="900"/>
    <n v="0.20660000000000001"/>
    <n v="1.41E-2"/>
    <n v="0"/>
  </r>
  <r>
    <n v="2010"/>
    <n v="7"/>
    <x v="0"/>
    <x v="0"/>
    <s v="SEA"/>
    <s v="Seattle, WA: Seattle/Tacoma International"/>
    <n v="76"/>
    <n v="17"/>
    <n v="16.21"/>
    <n v="0"/>
    <n v="0"/>
    <n v="0"/>
    <n v="0.79"/>
    <n v="1"/>
    <n v="0"/>
    <n v="1046"/>
    <n v="1028"/>
    <n v="0"/>
    <n v="0"/>
    <n v="0"/>
    <n v="18"/>
    <n v="0.22370000000000001"/>
    <n v="1.32E-2"/>
    <n v="0"/>
  </r>
  <r>
    <n v="2010"/>
    <n v="7"/>
    <x v="2"/>
    <x v="2"/>
    <s v="SEA"/>
    <s v="Seattle, WA: Seattle/Tacoma International"/>
    <n v="706"/>
    <n v="57"/>
    <n v="20.170000000000002"/>
    <n v="3.11"/>
    <n v="8.2899999999999991"/>
    <n v="0.57999999999999996"/>
    <n v="24.85"/>
    <n v="7"/>
    <n v="1"/>
    <n v="2727"/>
    <n v="1047"/>
    <n v="192"/>
    <n v="272"/>
    <n v="33"/>
    <n v="1183"/>
    <n v="8.0699999999999994E-2"/>
    <n v="9.9000000000000008E-3"/>
    <n v="1.4E-3"/>
  </r>
  <r>
    <n v="2010"/>
    <n v="7"/>
    <x v="9"/>
    <x v="9"/>
    <s v="SEA"/>
    <s v="Seattle, WA: Seattle/Tacoma International"/>
    <n v="597"/>
    <n v="99"/>
    <n v="27.18"/>
    <n v="5.09"/>
    <n v="21.62"/>
    <n v="0"/>
    <n v="45.11"/>
    <n v="2"/>
    <n v="1"/>
    <n v="6878"/>
    <n v="1794"/>
    <n v="494"/>
    <n v="1161"/>
    <n v="0"/>
    <n v="3429"/>
    <n v="0.1658"/>
    <n v="3.3999999999999998E-3"/>
    <n v="1.6999999999999999E-3"/>
  </r>
  <r>
    <n v="2010"/>
    <n v="7"/>
    <x v="15"/>
    <x v="15"/>
    <s v="SEA"/>
    <s v="Seattle, WA: Seattle/Tacoma International"/>
    <n v="357"/>
    <n v="66"/>
    <n v="22.03"/>
    <n v="2.46"/>
    <n v="25.25"/>
    <n v="1.62"/>
    <n v="14.64"/>
    <n v="0"/>
    <n v="2"/>
    <n v="3981"/>
    <n v="1390"/>
    <n v="299"/>
    <n v="1241"/>
    <n v="32"/>
    <n v="1019"/>
    <n v="0.18490000000000001"/>
    <n v="0"/>
    <n v="5.5999999999999999E-3"/>
  </r>
  <r>
    <n v="2010"/>
    <n v="7"/>
    <x v="10"/>
    <x v="10"/>
    <s v="SEA"/>
    <s v="Seattle, WA: Seattle/Tacoma International"/>
    <n v="1268"/>
    <n v="229"/>
    <n v="94.33"/>
    <n v="2.56"/>
    <n v="15.21"/>
    <n v="1.53"/>
    <n v="115.37"/>
    <n v="0"/>
    <n v="0"/>
    <n v="10976"/>
    <n v="4078"/>
    <n v="243"/>
    <n v="465"/>
    <n v="31"/>
    <n v="6159"/>
    <n v="0.18060000000000001"/>
    <n v="0"/>
    <n v="0"/>
  </r>
  <r>
    <n v="2010"/>
    <n v="6"/>
    <x v="4"/>
    <x v="4"/>
    <s v="SEA"/>
    <s v="Seattle, WA: Seattle/Tacoma International"/>
    <n v="470"/>
    <n v="127"/>
    <n v="38.979999999999997"/>
    <n v="7.38"/>
    <n v="50.87"/>
    <n v="0"/>
    <n v="29.77"/>
    <n v="6"/>
    <n v="0"/>
    <n v="6988"/>
    <n v="2476"/>
    <n v="663"/>
    <n v="2336"/>
    <n v="0"/>
    <n v="1513"/>
    <n v="0.2702"/>
    <n v="1.2800000000000001E-2"/>
    <n v="0"/>
  </r>
  <r>
    <n v="2010"/>
    <n v="6"/>
    <x v="5"/>
    <x v="5"/>
    <s v="SEA"/>
    <s v="Seattle, WA: Seattle/Tacoma International"/>
    <n v="3911"/>
    <n v="428"/>
    <n v="124.55"/>
    <n v="7.72"/>
    <n v="160.19"/>
    <n v="1"/>
    <n v="134.54"/>
    <n v="11"/>
    <n v="4"/>
    <n v="20250"/>
    <n v="7128"/>
    <n v="715"/>
    <n v="4432"/>
    <n v="20"/>
    <n v="7955"/>
    <n v="0.1094"/>
    <n v="2.8E-3"/>
    <n v="1E-3"/>
  </r>
  <r>
    <n v="2010"/>
    <n v="6"/>
    <x v="6"/>
    <x v="6"/>
    <s v="SEA"/>
    <s v="Seattle, WA: Seattle/Tacoma International"/>
    <n v="162"/>
    <n v="35"/>
    <n v="13.77"/>
    <n v="0"/>
    <n v="18.87"/>
    <n v="0"/>
    <n v="2.36"/>
    <n v="0"/>
    <n v="0"/>
    <n v="1562"/>
    <n v="790"/>
    <n v="0"/>
    <n v="620"/>
    <n v="0"/>
    <n v="152"/>
    <n v="0.216"/>
    <n v="0"/>
    <n v="0"/>
  </r>
  <r>
    <n v="2010"/>
    <n v="6"/>
    <x v="17"/>
    <x v="17"/>
    <s v="SEA"/>
    <s v="Seattle, WA: Seattle/Tacoma International"/>
    <n v="437"/>
    <n v="90"/>
    <n v="38.25"/>
    <n v="6.03"/>
    <n v="32.14"/>
    <n v="0.77"/>
    <n v="12.81"/>
    <n v="0"/>
    <n v="1"/>
    <n v="4105"/>
    <n v="1509"/>
    <n v="272"/>
    <n v="1051"/>
    <n v="17"/>
    <n v="1256"/>
    <n v="0.2059"/>
    <n v="0"/>
    <n v="2.3E-3"/>
  </r>
  <r>
    <n v="2010"/>
    <n v="6"/>
    <x v="7"/>
    <x v="7"/>
    <s v="SEA"/>
    <s v="Seattle, WA: Seattle/Tacoma International"/>
    <n v="896"/>
    <n v="238"/>
    <n v="102.17"/>
    <n v="10.45"/>
    <n v="68.900000000000006"/>
    <n v="0"/>
    <n v="56.48"/>
    <n v="9"/>
    <n v="0"/>
    <n v="13141"/>
    <n v="4939"/>
    <n v="745"/>
    <n v="2486"/>
    <n v="0"/>
    <n v="4971"/>
    <n v="0.2656"/>
    <n v="0.01"/>
    <n v="0"/>
  </r>
  <r>
    <n v="2010"/>
    <n v="6"/>
    <x v="8"/>
    <x v="8"/>
    <s v="SEA"/>
    <s v="Seattle, WA: Seattle/Tacoma International"/>
    <n v="137"/>
    <n v="35"/>
    <n v="15.72"/>
    <n v="1.1499999999999999"/>
    <n v="7.25"/>
    <n v="0"/>
    <n v="10.88"/>
    <n v="0"/>
    <n v="0"/>
    <n v="1712"/>
    <n v="512"/>
    <n v="71"/>
    <n v="214"/>
    <n v="0"/>
    <n v="915"/>
    <n v="0.2555"/>
    <n v="0"/>
    <n v="0"/>
  </r>
  <r>
    <n v="2010"/>
    <n v="6"/>
    <x v="16"/>
    <x v="16"/>
    <s v="SEA"/>
    <s v="Seattle, WA: Seattle/Tacoma International"/>
    <n v="205"/>
    <n v="63"/>
    <n v="16.87"/>
    <n v="2.87"/>
    <n v="28.7"/>
    <n v="0"/>
    <n v="14.56"/>
    <n v="0"/>
    <n v="2"/>
    <n v="2070"/>
    <n v="546"/>
    <n v="159"/>
    <n v="744"/>
    <n v="0"/>
    <n v="621"/>
    <n v="0.30730000000000002"/>
    <n v="0"/>
    <n v="9.7999999999999997E-3"/>
  </r>
  <r>
    <n v="2010"/>
    <n v="6"/>
    <x v="0"/>
    <x v="0"/>
    <s v="SEA"/>
    <s v="Seattle, WA: Seattle/Tacoma International"/>
    <n v="72"/>
    <n v="9"/>
    <n v="7.83"/>
    <n v="0"/>
    <n v="0"/>
    <n v="0"/>
    <n v="1.17"/>
    <n v="0"/>
    <n v="0"/>
    <n v="691"/>
    <n v="657"/>
    <n v="0"/>
    <n v="0"/>
    <n v="0"/>
    <n v="34"/>
    <n v="0.125"/>
    <n v="0"/>
    <n v="0"/>
  </r>
  <r>
    <n v="2010"/>
    <n v="6"/>
    <x v="2"/>
    <x v="2"/>
    <s v="SEA"/>
    <s v="Seattle, WA: Seattle/Tacoma International"/>
    <n v="700"/>
    <n v="59"/>
    <n v="18.34"/>
    <n v="1"/>
    <n v="13.66"/>
    <n v="0"/>
    <n v="26"/>
    <n v="0"/>
    <n v="0"/>
    <n v="2646"/>
    <n v="755"/>
    <n v="164"/>
    <n v="380"/>
    <n v="0"/>
    <n v="1347"/>
    <n v="8.43E-2"/>
    <n v="0"/>
    <n v="0"/>
  </r>
  <r>
    <n v="2010"/>
    <n v="6"/>
    <x v="9"/>
    <x v="9"/>
    <s v="SEA"/>
    <s v="Seattle, WA: Seattle/Tacoma International"/>
    <n v="579"/>
    <n v="122"/>
    <n v="31.99"/>
    <n v="6.08"/>
    <n v="36.549999999999997"/>
    <n v="0"/>
    <n v="47.39"/>
    <n v="4"/>
    <n v="0"/>
    <n v="7178"/>
    <n v="1466"/>
    <n v="474"/>
    <n v="1534"/>
    <n v="0"/>
    <n v="3704"/>
    <n v="0.2107"/>
    <n v="6.8999999999999999E-3"/>
    <n v="0"/>
  </r>
  <r>
    <n v="2010"/>
    <n v="6"/>
    <x v="15"/>
    <x v="15"/>
    <s v="SEA"/>
    <s v="Seattle, WA: Seattle/Tacoma International"/>
    <n v="327"/>
    <n v="53"/>
    <n v="14.05"/>
    <n v="1.36"/>
    <n v="26.34"/>
    <n v="0.06"/>
    <n v="11.19"/>
    <n v="0"/>
    <n v="0"/>
    <n v="2302"/>
    <n v="675"/>
    <n v="95"/>
    <n v="755"/>
    <n v="1"/>
    <n v="776"/>
    <n v="0.16209999999999999"/>
    <n v="0"/>
    <n v="0"/>
  </r>
  <r>
    <n v="2010"/>
    <n v="6"/>
    <x v="10"/>
    <x v="10"/>
    <s v="SEA"/>
    <s v="Seattle, WA: Seattle/Tacoma International"/>
    <n v="1236"/>
    <n v="241"/>
    <n v="80.45"/>
    <n v="2.68"/>
    <n v="50.02"/>
    <n v="1.1200000000000001"/>
    <n v="106.74"/>
    <n v="1"/>
    <n v="0"/>
    <n v="10427"/>
    <n v="3542"/>
    <n v="234"/>
    <n v="1529"/>
    <n v="22"/>
    <n v="5100"/>
    <n v="0.19500000000000001"/>
    <n v="8.0000000000000004E-4"/>
    <n v="0"/>
  </r>
  <r>
    <n v="2010"/>
    <n v="5"/>
    <x v="4"/>
    <x v="4"/>
    <s v="SEA"/>
    <s v="Seattle, WA: Seattle/Tacoma International"/>
    <n v="460"/>
    <n v="97"/>
    <n v="34.380000000000003"/>
    <n v="9.43"/>
    <n v="24.39"/>
    <n v="0"/>
    <n v="28.8"/>
    <n v="4"/>
    <n v="0"/>
    <n v="6230"/>
    <n v="2212"/>
    <n v="639"/>
    <n v="1210"/>
    <n v="0"/>
    <n v="2169"/>
    <n v="0.2109"/>
    <n v="8.6999999999999994E-3"/>
    <n v="0"/>
  </r>
  <r>
    <n v="2010"/>
    <n v="5"/>
    <x v="5"/>
    <x v="5"/>
    <s v="SEA"/>
    <s v="Seattle, WA: Seattle/Tacoma International"/>
    <n v="3703"/>
    <n v="267"/>
    <n v="84.36"/>
    <n v="4.87"/>
    <n v="100.07"/>
    <n v="1.33"/>
    <n v="76.37"/>
    <n v="9"/>
    <n v="3"/>
    <n v="13078"/>
    <n v="5990"/>
    <n v="182"/>
    <n v="2516"/>
    <n v="38"/>
    <n v="4352"/>
    <n v="7.2099999999999997E-2"/>
    <n v="2.3999999999999998E-3"/>
    <n v="8.0000000000000004E-4"/>
  </r>
  <r>
    <n v="2010"/>
    <n v="5"/>
    <x v="6"/>
    <x v="6"/>
    <s v="SEA"/>
    <s v="Seattle, WA: Seattle/Tacoma International"/>
    <n v="146"/>
    <n v="18"/>
    <n v="6.94"/>
    <n v="0"/>
    <n v="8.42"/>
    <n v="0"/>
    <n v="2.64"/>
    <n v="1"/>
    <n v="0"/>
    <n v="963"/>
    <n v="354"/>
    <n v="0"/>
    <n v="293"/>
    <n v="0"/>
    <n v="316"/>
    <n v="0.12330000000000001"/>
    <n v="6.7999999999999996E-3"/>
    <n v="0"/>
  </r>
  <r>
    <n v="2010"/>
    <n v="5"/>
    <x v="17"/>
    <x v="17"/>
    <s v="SEA"/>
    <s v="Seattle, WA: Seattle/Tacoma International"/>
    <n v="373"/>
    <n v="63"/>
    <n v="21.28"/>
    <n v="5.01"/>
    <n v="22.18"/>
    <n v="0"/>
    <n v="14.53"/>
    <n v="0"/>
    <n v="0"/>
    <n v="4042"/>
    <n v="1608"/>
    <n v="220"/>
    <n v="698"/>
    <n v="0"/>
    <n v="1516"/>
    <n v="0.16889999999999999"/>
    <n v="0"/>
    <n v="0"/>
  </r>
  <r>
    <n v="2010"/>
    <n v="5"/>
    <x v="7"/>
    <x v="7"/>
    <s v="SEA"/>
    <s v="Seattle, WA: Seattle/Tacoma International"/>
    <n v="692"/>
    <n v="113"/>
    <n v="53.53"/>
    <n v="8.68"/>
    <n v="33.65"/>
    <n v="0"/>
    <n v="17.14"/>
    <n v="4"/>
    <n v="1"/>
    <n v="5866"/>
    <n v="2855"/>
    <n v="750"/>
    <n v="1225"/>
    <n v="0"/>
    <n v="1036"/>
    <n v="0.1633"/>
    <n v="5.7999999999999996E-3"/>
    <n v="1.4E-3"/>
  </r>
  <r>
    <n v="2010"/>
    <n v="5"/>
    <x v="8"/>
    <x v="8"/>
    <s v="SEA"/>
    <s v="Seattle, WA: Seattle/Tacoma International"/>
    <n v="124"/>
    <n v="23"/>
    <n v="11.1"/>
    <n v="0.1"/>
    <n v="3.64"/>
    <n v="0"/>
    <n v="8.17"/>
    <n v="0"/>
    <n v="0"/>
    <n v="1280"/>
    <n v="322"/>
    <n v="15"/>
    <n v="155"/>
    <n v="0"/>
    <n v="788"/>
    <n v="0.1855"/>
    <n v="0"/>
    <n v="0"/>
  </r>
  <r>
    <n v="2010"/>
    <n v="5"/>
    <x v="16"/>
    <x v="16"/>
    <s v="SEA"/>
    <s v="Seattle, WA: Seattle/Tacoma International"/>
    <n v="106"/>
    <n v="10"/>
    <n v="5.32"/>
    <n v="1"/>
    <n v="0.72"/>
    <n v="0"/>
    <n v="2.96"/>
    <n v="0"/>
    <n v="1"/>
    <n v="526"/>
    <n v="331"/>
    <n v="76"/>
    <n v="14"/>
    <n v="0"/>
    <n v="105"/>
    <n v="9.4299999999999995E-2"/>
    <n v="0"/>
    <n v="9.4000000000000004E-3"/>
  </r>
  <r>
    <n v="2010"/>
    <n v="5"/>
    <x v="0"/>
    <x v="0"/>
    <s v="SEA"/>
    <s v="Seattle, WA: Seattle/Tacoma International"/>
    <n v="76"/>
    <n v="12"/>
    <n v="10.69"/>
    <n v="0"/>
    <n v="0"/>
    <n v="0"/>
    <n v="1.31"/>
    <n v="0"/>
    <n v="0"/>
    <n v="667"/>
    <n v="400"/>
    <n v="0"/>
    <n v="0"/>
    <n v="0"/>
    <n v="267"/>
    <n v="0.15790000000000001"/>
    <n v="0"/>
    <n v="0"/>
  </r>
  <r>
    <n v="2010"/>
    <n v="5"/>
    <x v="2"/>
    <x v="2"/>
    <s v="SEA"/>
    <s v="Seattle, WA: Seattle/Tacoma International"/>
    <n v="671"/>
    <n v="43"/>
    <n v="18.11"/>
    <n v="0.28999999999999998"/>
    <n v="7.91"/>
    <n v="0"/>
    <n v="16.68"/>
    <n v="3"/>
    <n v="0"/>
    <n v="2022"/>
    <n v="923"/>
    <n v="5"/>
    <n v="183"/>
    <n v="0"/>
    <n v="911"/>
    <n v="6.4100000000000004E-2"/>
    <n v="4.4999999999999997E-3"/>
    <n v="0"/>
  </r>
  <r>
    <n v="2010"/>
    <n v="5"/>
    <x v="9"/>
    <x v="9"/>
    <s v="SEA"/>
    <s v="Seattle, WA: Seattle/Tacoma International"/>
    <n v="582"/>
    <n v="55"/>
    <n v="15.39"/>
    <n v="1.96"/>
    <n v="4.97"/>
    <n v="0"/>
    <n v="32.68"/>
    <n v="2"/>
    <n v="2"/>
    <n v="3999"/>
    <n v="987"/>
    <n v="225"/>
    <n v="169"/>
    <n v="0"/>
    <n v="2618"/>
    <n v="9.4500000000000001E-2"/>
    <n v="3.3999999999999998E-3"/>
    <n v="3.3999999999999998E-3"/>
  </r>
  <r>
    <n v="2010"/>
    <n v="5"/>
    <x v="15"/>
    <x v="15"/>
    <s v="SEA"/>
    <s v="Seattle, WA: Seattle/Tacoma International"/>
    <n v="278"/>
    <n v="36"/>
    <n v="10.51"/>
    <n v="2.33"/>
    <n v="15.57"/>
    <n v="1.1000000000000001"/>
    <n v="6.49"/>
    <n v="0"/>
    <n v="2"/>
    <n v="1395"/>
    <n v="528"/>
    <n v="55"/>
    <n v="506"/>
    <n v="22"/>
    <n v="284"/>
    <n v="0.1295"/>
    <n v="0"/>
    <n v="7.1999999999999998E-3"/>
  </r>
  <r>
    <n v="2010"/>
    <n v="5"/>
    <x v="10"/>
    <x v="10"/>
    <s v="SEA"/>
    <s v="Seattle, WA: Seattle/Tacoma International"/>
    <n v="1189"/>
    <n v="163"/>
    <n v="56.67"/>
    <n v="1.95"/>
    <n v="14.3"/>
    <n v="0"/>
    <n v="90.08"/>
    <n v="0"/>
    <n v="0"/>
    <n v="8233"/>
    <n v="2210"/>
    <n v="208"/>
    <n v="464"/>
    <n v="0"/>
    <n v="5351"/>
    <n v="0.1371"/>
    <n v="0"/>
    <n v="0"/>
  </r>
  <r>
    <n v="2010"/>
    <n v="4"/>
    <x v="4"/>
    <x v="4"/>
    <s v="SEA"/>
    <s v="Seattle, WA: Seattle/Tacoma International"/>
    <n v="434"/>
    <n v="70"/>
    <n v="31.97"/>
    <n v="4.2699999999999996"/>
    <n v="9.9"/>
    <n v="0"/>
    <n v="23.86"/>
    <n v="0"/>
    <n v="1"/>
    <n v="3325"/>
    <n v="1295"/>
    <n v="195"/>
    <n v="390"/>
    <n v="0"/>
    <n v="1445"/>
    <n v="0.1613"/>
    <n v="0"/>
    <n v="2.3E-3"/>
  </r>
  <r>
    <n v="2010"/>
    <n v="4"/>
    <x v="5"/>
    <x v="5"/>
    <s v="SEA"/>
    <s v="Seattle, WA: Seattle/Tacoma International"/>
    <n v="3359"/>
    <n v="263"/>
    <n v="62.28"/>
    <n v="6.46"/>
    <n v="120.07"/>
    <n v="0"/>
    <n v="74.19"/>
    <n v="7"/>
    <n v="2"/>
    <n v="12664"/>
    <n v="4121"/>
    <n v="366"/>
    <n v="2895"/>
    <n v="0"/>
    <n v="5282"/>
    <n v="7.8299999999999995E-2"/>
    <n v="2.0999999999999999E-3"/>
    <n v="5.9999999999999995E-4"/>
  </r>
  <r>
    <n v="2010"/>
    <n v="4"/>
    <x v="6"/>
    <x v="6"/>
    <s v="SEA"/>
    <s v="Seattle, WA: Seattle/Tacoma International"/>
    <n v="120"/>
    <n v="13"/>
    <n v="5.47"/>
    <n v="0"/>
    <n v="3.84"/>
    <n v="0"/>
    <n v="3.68"/>
    <n v="0"/>
    <n v="0"/>
    <n v="550"/>
    <n v="203"/>
    <n v="0"/>
    <n v="96"/>
    <n v="0"/>
    <n v="251"/>
    <n v="0.10829999999999999"/>
    <n v="0"/>
    <n v="0"/>
  </r>
  <r>
    <n v="2010"/>
    <n v="4"/>
    <x v="17"/>
    <x v="17"/>
    <s v="SEA"/>
    <s v="Seattle, WA: Seattle/Tacoma International"/>
    <n v="314"/>
    <n v="60"/>
    <n v="25.91"/>
    <n v="1.26"/>
    <n v="23.85"/>
    <n v="1.34"/>
    <n v="7.66"/>
    <n v="0"/>
    <n v="0"/>
    <n v="2223"/>
    <n v="1022"/>
    <n v="36"/>
    <n v="744"/>
    <n v="28"/>
    <n v="393"/>
    <n v="0.19109999999999999"/>
    <n v="0"/>
    <n v="0"/>
  </r>
  <r>
    <n v="2010"/>
    <n v="4"/>
    <x v="7"/>
    <x v="7"/>
    <s v="SEA"/>
    <s v="Seattle, WA: Seattle/Tacoma International"/>
    <n v="662"/>
    <n v="82"/>
    <n v="39.450000000000003"/>
    <n v="2.2999999999999998"/>
    <n v="19.579999999999998"/>
    <n v="0"/>
    <n v="20.67"/>
    <n v="2"/>
    <n v="0"/>
    <n v="4488"/>
    <n v="2229"/>
    <n v="263"/>
    <n v="664"/>
    <n v="0"/>
    <n v="1332"/>
    <n v="0.1239"/>
    <n v="3.0000000000000001E-3"/>
    <n v="0"/>
  </r>
  <r>
    <n v="2010"/>
    <n v="4"/>
    <x v="8"/>
    <x v="8"/>
    <s v="SEA"/>
    <s v="Seattle, WA: Seattle/Tacoma International"/>
    <n v="99"/>
    <n v="17"/>
    <n v="5.41"/>
    <n v="0"/>
    <n v="2.1800000000000002"/>
    <n v="0"/>
    <n v="9.41"/>
    <n v="0"/>
    <n v="0"/>
    <n v="786"/>
    <n v="186"/>
    <n v="0"/>
    <n v="232"/>
    <n v="0"/>
    <n v="368"/>
    <n v="0.17169999999999999"/>
    <n v="0"/>
    <n v="0"/>
  </r>
  <r>
    <n v="2010"/>
    <n v="4"/>
    <x v="16"/>
    <x v="16"/>
    <s v="SEA"/>
    <s v="Seattle, WA: Seattle/Tacoma International"/>
    <n v="30"/>
    <n v="9"/>
    <n v="5.37"/>
    <n v="0"/>
    <n v="1.1299999999999999"/>
    <n v="0"/>
    <n v="2.5"/>
    <n v="0"/>
    <n v="0"/>
    <n v="342"/>
    <n v="204"/>
    <n v="0"/>
    <n v="30"/>
    <n v="0"/>
    <n v="108"/>
    <n v="0.3"/>
    <n v="0"/>
    <n v="0"/>
  </r>
  <r>
    <n v="2010"/>
    <n v="4"/>
    <x v="0"/>
    <x v="0"/>
    <s v="SEA"/>
    <s v="Seattle, WA: Seattle/Tacoma International"/>
    <n v="73"/>
    <n v="9"/>
    <n v="8.52"/>
    <n v="0"/>
    <n v="0"/>
    <n v="0"/>
    <n v="0.48"/>
    <n v="0"/>
    <n v="1"/>
    <n v="786"/>
    <n v="776"/>
    <n v="0"/>
    <n v="0"/>
    <n v="0"/>
    <n v="10"/>
    <n v="0.12330000000000001"/>
    <n v="0"/>
    <n v="1.37E-2"/>
  </r>
  <r>
    <n v="2010"/>
    <n v="4"/>
    <x v="2"/>
    <x v="2"/>
    <s v="SEA"/>
    <s v="Seattle, WA: Seattle/Tacoma International"/>
    <n v="662"/>
    <n v="50"/>
    <n v="19.989999999999998"/>
    <n v="0.33"/>
    <n v="15.6"/>
    <n v="0"/>
    <n v="14.09"/>
    <n v="2"/>
    <n v="1"/>
    <n v="1900"/>
    <n v="725"/>
    <n v="14"/>
    <n v="454"/>
    <n v="0"/>
    <n v="707"/>
    <n v="7.5499999999999998E-2"/>
    <n v="3.0000000000000001E-3"/>
    <n v="1.5E-3"/>
  </r>
  <r>
    <n v="2010"/>
    <n v="4"/>
    <x v="9"/>
    <x v="9"/>
    <s v="SEA"/>
    <s v="Seattle, WA: Seattle/Tacoma International"/>
    <n v="564"/>
    <n v="48"/>
    <n v="13.95"/>
    <n v="3.59"/>
    <n v="4.17"/>
    <n v="0"/>
    <n v="26.29"/>
    <n v="1"/>
    <n v="2"/>
    <n v="2766"/>
    <n v="962"/>
    <n v="138"/>
    <n v="126"/>
    <n v="0"/>
    <n v="1540"/>
    <n v="8.5099999999999995E-2"/>
    <n v="1.8E-3"/>
    <n v="3.5000000000000001E-3"/>
  </r>
  <r>
    <n v="2010"/>
    <n v="4"/>
    <x v="15"/>
    <x v="15"/>
    <s v="SEA"/>
    <s v="Seattle, WA: Seattle/Tacoma International"/>
    <n v="240"/>
    <n v="21"/>
    <n v="9.1300000000000008"/>
    <n v="0"/>
    <n v="8.7899999999999991"/>
    <n v="1"/>
    <n v="2.08"/>
    <n v="2"/>
    <n v="0"/>
    <n v="751"/>
    <n v="350"/>
    <n v="0"/>
    <n v="227"/>
    <n v="28"/>
    <n v="146"/>
    <n v="8.7499999999999994E-2"/>
    <n v="8.3000000000000001E-3"/>
    <n v="0"/>
  </r>
  <r>
    <n v="2010"/>
    <n v="4"/>
    <x v="10"/>
    <x v="10"/>
    <s v="SEA"/>
    <s v="Seattle, WA: Seattle/Tacoma International"/>
    <n v="968"/>
    <n v="119"/>
    <n v="42.63"/>
    <n v="0"/>
    <n v="9.0500000000000007"/>
    <n v="0.14000000000000001"/>
    <n v="67.180000000000007"/>
    <n v="2"/>
    <n v="0"/>
    <n v="4184"/>
    <n v="1488"/>
    <n v="0"/>
    <n v="207"/>
    <n v="4"/>
    <n v="2485"/>
    <n v="0.1229"/>
    <n v="2.0999999999999999E-3"/>
    <n v="0"/>
  </r>
  <r>
    <n v="2010"/>
    <n v="3"/>
    <x v="4"/>
    <x v="4"/>
    <s v="SEA"/>
    <s v="Seattle, WA: Seattle/Tacoma International"/>
    <n v="391"/>
    <n v="66"/>
    <n v="28.06"/>
    <n v="11.22"/>
    <n v="7.05"/>
    <n v="0"/>
    <n v="19.68"/>
    <n v="3"/>
    <n v="4"/>
    <n v="4098"/>
    <n v="1365"/>
    <n v="719"/>
    <n v="625"/>
    <n v="0"/>
    <n v="1389"/>
    <n v="0.16880000000000001"/>
    <n v="7.7000000000000002E-3"/>
    <n v="1.0200000000000001E-2"/>
  </r>
  <r>
    <n v="2010"/>
    <n v="3"/>
    <x v="5"/>
    <x v="5"/>
    <s v="SEA"/>
    <s v="Seattle, WA: Seattle/Tacoma International"/>
    <n v="3444"/>
    <n v="363"/>
    <n v="79.83"/>
    <n v="4.3600000000000003"/>
    <n v="135.27000000000001"/>
    <n v="2.08"/>
    <n v="141.46"/>
    <n v="10"/>
    <n v="0"/>
    <n v="16951"/>
    <n v="5210"/>
    <n v="226"/>
    <n v="3581"/>
    <n v="84"/>
    <n v="7850"/>
    <n v="0.10539999999999999"/>
    <n v="2.8999999999999998E-3"/>
    <n v="0"/>
  </r>
  <r>
    <n v="2010"/>
    <n v="3"/>
    <x v="6"/>
    <x v="6"/>
    <s v="SEA"/>
    <s v="Seattle, WA: Seattle/Tacoma International"/>
    <n v="124"/>
    <n v="33"/>
    <n v="14.49"/>
    <n v="0"/>
    <n v="9.2899999999999991"/>
    <n v="0"/>
    <n v="9.23"/>
    <n v="0"/>
    <n v="0"/>
    <n v="1910"/>
    <n v="1123"/>
    <n v="0"/>
    <n v="295"/>
    <n v="0"/>
    <n v="492"/>
    <n v="0.2661"/>
    <n v="0"/>
    <n v="0"/>
  </r>
  <r>
    <n v="2010"/>
    <n v="3"/>
    <x v="17"/>
    <x v="17"/>
    <s v="SEA"/>
    <s v="Seattle, WA: Seattle/Tacoma International"/>
    <n v="337"/>
    <n v="69"/>
    <n v="31.74"/>
    <n v="2.0699999999999998"/>
    <n v="16.88"/>
    <n v="1.74"/>
    <n v="16.559999999999999"/>
    <n v="0"/>
    <n v="0"/>
    <n v="3008"/>
    <n v="1161"/>
    <n v="80"/>
    <n v="497"/>
    <n v="46"/>
    <n v="1224"/>
    <n v="0.20469999999999999"/>
    <n v="0"/>
    <n v="0"/>
  </r>
  <r>
    <n v="2010"/>
    <n v="3"/>
    <x v="7"/>
    <x v="7"/>
    <s v="SEA"/>
    <s v="Seattle, WA: Seattle/Tacoma International"/>
    <n v="651"/>
    <n v="43"/>
    <n v="22.18"/>
    <n v="2.1"/>
    <n v="8.32"/>
    <n v="0"/>
    <n v="10.39"/>
    <n v="3"/>
    <n v="1"/>
    <n v="2409"/>
    <n v="1281"/>
    <n v="145"/>
    <n v="336"/>
    <n v="0"/>
    <n v="647"/>
    <n v="6.6100000000000006E-2"/>
    <n v="4.5999999999999999E-3"/>
    <n v="1.5E-3"/>
  </r>
  <r>
    <n v="2010"/>
    <n v="3"/>
    <x v="8"/>
    <x v="8"/>
    <s v="SEA"/>
    <s v="Seattle, WA: Seattle/Tacoma International"/>
    <n v="89"/>
    <n v="12"/>
    <n v="3.97"/>
    <n v="0.67"/>
    <n v="2.48"/>
    <n v="0"/>
    <n v="4.88"/>
    <n v="2"/>
    <n v="0"/>
    <n v="533"/>
    <n v="166"/>
    <n v="47"/>
    <n v="102"/>
    <n v="0"/>
    <n v="218"/>
    <n v="0.1348"/>
    <n v="2.2499999999999999E-2"/>
    <n v="0"/>
  </r>
  <r>
    <n v="2010"/>
    <n v="3"/>
    <x v="16"/>
    <x v="16"/>
    <s v="SEA"/>
    <s v="Seattle, WA: Seattle/Tacoma International"/>
    <n v="31"/>
    <n v="10"/>
    <n v="2.52"/>
    <n v="0"/>
    <n v="0.64"/>
    <n v="0"/>
    <n v="6.84"/>
    <n v="0"/>
    <n v="0"/>
    <n v="412"/>
    <n v="147"/>
    <n v="0"/>
    <n v="16"/>
    <n v="0"/>
    <n v="249"/>
    <n v="0.3226"/>
    <n v="0"/>
    <n v="0"/>
  </r>
  <r>
    <n v="2010"/>
    <n v="3"/>
    <x v="0"/>
    <x v="0"/>
    <s v="SEA"/>
    <s v="Seattle, WA: Seattle/Tacoma International"/>
    <n v="75"/>
    <n v="25"/>
    <n v="19.75"/>
    <n v="0"/>
    <n v="0"/>
    <n v="0"/>
    <n v="5.25"/>
    <n v="0"/>
    <n v="0"/>
    <n v="1069"/>
    <n v="906"/>
    <n v="0"/>
    <n v="0"/>
    <n v="0"/>
    <n v="163"/>
    <n v="0.33329999999999999"/>
    <n v="0"/>
    <n v="0"/>
  </r>
  <r>
    <n v="2010"/>
    <n v="3"/>
    <x v="2"/>
    <x v="2"/>
    <s v="SEA"/>
    <s v="Seattle, WA: Seattle/Tacoma International"/>
    <n v="720"/>
    <n v="64"/>
    <n v="27.27"/>
    <n v="0"/>
    <n v="19.48"/>
    <n v="0"/>
    <n v="17.260000000000002"/>
    <n v="2"/>
    <n v="0"/>
    <n v="2716"/>
    <n v="1502"/>
    <n v="0"/>
    <n v="495"/>
    <n v="0"/>
    <n v="719"/>
    <n v="8.8900000000000007E-2"/>
    <n v="2.8E-3"/>
    <n v="0"/>
  </r>
  <r>
    <n v="2010"/>
    <n v="3"/>
    <x v="9"/>
    <x v="9"/>
    <s v="SEA"/>
    <s v="Seattle, WA: Seattle/Tacoma International"/>
    <n v="585"/>
    <n v="66"/>
    <n v="23.98"/>
    <n v="2.9"/>
    <n v="5.55"/>
    <n v="0"/>
    <n v="33.57"/>
    <n v="4"/>
    <n v="1"/>
    <n v="3754"/>
    <n v="1234"/>
    <n v="269"/>
    <n v="208"/>
    <n v="0"/>
    <n v="2043"/>
    <n v="0.1128"/>
    <n v="6.7999999999999996E-3"/>
    <n v="1.6999999999999999E-3"/>
  </r>
  <r>
    <n v="2010"/>
    <n v="3"/>
    <x v="15"/>
    <x v="15"/>
    <s v="SEA"/>
    <s v="Seattle, WA: Seattle/Tacoma International"/>
    <n v="248"/>
    <n v="18"/>
    <n v="11.26"/>
    <n v="0"/>
    <n v="2.68"/>
    <n v="0"/>
    <n v="4.0599999999999996"/>
    <n v="1"/>
    <n v="0"/>
    <n v="1147"/>
    <n v="850"/>
    <n v="0"/>
    <n v="81"/>
    <n v="0"/>
    <n v="216"/>
    <n v="7.2599999999999998E-2"/>
    <n v="4.0000000000000001E-3"/>
    <n v="0"/>
  </r>
  <r>
    <n v="2010"/>
    <n v="3"/>
    <x v="10"/>
    <x v="10"/>
    <s v="SEA"/>
    <s v="Seattle, WA: Seattle/Tacoma International"/>
    <n v="976"/>
    <n v="142"/>
    <n v="51.04"/>
    <n v="1.1100000000000001"/>
    <n v="5.78"/>
    <n v="0.21"/>
    <n v="83.86"/>
    <n v="1"/>
    <n v="1"/>
    <n v="6291"/>
    <n v="2019"/>
    <n v="87"/>
    <n v="214"/>
    <n v="7"/>
    <n v="3964"/>
    <n v="0.14549999999999999"/>
    <n v="1E-3"/>
    <n v="1E-3"/>
  </r>
  <r>
    <n v="2010"/>
    <n v="2"/>
    <x v="4"/>
    <x v="4"/>
    <s v="SEA"/>
    <s v="Seattle, WA: Seattle/Tacoma International"/>
    <n v="352"/>
    <n v="61"/>
    <n v="25.94"/>
    <n v="7.77"/>
    <n v="13.89"/>
    <n v="0"/>
    <n v="13.41"/>
    <n v="8"/>
    <n v="1"/>
    <n v="3746"/>
    <n v="1203"/>
    <n v="610"/>
    <n v="1062"/>
    <n v="0"/>
    <n v="871"/>
    <n v="0.17330000000000001"/>
    <n v="2.2700000000000001E-2"/>
    <n v="2.8E-3"/>
  </r>
  <r>
    <n v="2010"/>
    <n v="2"/>
    <x v="5"/>
    <x v="5"/>
    <s v="SEA"/>
    <s v="Seattle, WA: Seattle/Tacoma International"/>
    <n v="3013"/>
    <n v="328"/>
    <n v="79.16"/>
    <n v="4.7"/>
    <n v="114.25"/>
    <n v="2.91"/>
    <n v="126.98"/>
    <n v="21"/>
    <n v="1"/>
    <n v="17448"/>
    <n v="5394"/>
    <n v="812"/>
    <n v="3210"/>
    <n v="82"/>
    <n v="7950"/>
    <n v="0.1089"/>
    <n v="7.0000000000000001E-3"/>
    <n v="2.9999999999999997E-4"/>
  </r>
  <r>
    <n v="2010"/>
    <n v="2"/>
    <x v="6"/>
    <x v="6"/>
    <s v="SEA"/>
    <s v="Seattle, WA: Seattle/Tacoma International"/>
    <n v="108"/>
    <n v="24"/>
    <n v="9.0399999999999991"/>
    <n v="1"/>
    <n v="2.61"/>
    <n v="0.5"/>
    <n v="10.85"/>
    <n v="2"/>
    <n v="0"/>
    <n v="1055"/>
    <n v="450"/>
    <n v="104"/>
    <n v="55"/>
    <n v="11"/>
    <n v="435"/>
    <n v="0.22220000000000001"/>
    <n v="1.8499999999999999E-2"/>
    <n v="0"/>
  </r>
  <r>
    <n v="2010"/>
    <n v="2"/>
    <x v="17"/>
    <x v="17"/>
    <s v="SEA"/>
    <s v="Seattle, WA: Seattle/Tacoma International"/>
    <n v="273"/>
    <n v="40"/>
    <n v="15.88"/>
    <n v="5.09"/>
    <n v="13.64"/>
    <n v="1.39"/>
    <n v="4.01"/>
    <n v="7"/>
    <n v="1"/>
    <n v="1855"/>
    <n v="849"/>
    <n v="403"/>
    <n v="353"/>
    <n v="39"/>
    <n v="211"/>
    <n v="0.14649999999999999"/>
    <n v="2.5600000000000001E-2"/>
    <n v="3.7000000000000002E-3"/>
  </r>
  <r>
    <n v="2010"/>
    <n v="2"/>
    <x v="7"/>
    <x v="7"/>
    <s v="SEA"/>
    <s v="Seattle, WA: Seattle/Tacoma International"/>
    <n v="596"/>
    <n v="69"/>
    <n v="30.33"/>
    <n v="5.82"/>
    <n v="16.05"/>
    <n v="1.58"/>
    <n v="15.21"/>
    <n v="9"/>
    <n v="0"/>
    <n v="3493"/>
    <n v="1525"/>
    <n v="447"/>
    <n v="615"/>
    <n v="35"/>
    <n v="871"/>
    <n v="0.1158"/>
    <n v="1.5100000000000001E-2"/>
    <n v="0"/>
  </r>
  <r>
    <n v="2010"/>
    <n v="2"/>
    <x v="8"/>
    <x v="8"/>
    <s v="SEA"/>
    <s v="Seattle, WA: Seattle/Tacoma International"/>
    <n v="80"/>
    <n v="18"/>
    <n v="6.85"/>
    <n v="0"/>
    <n v="2.89"/>
    <n v="0"/>
    <n v="8.26"/>
    <n v="0"/>
    <n v="0"/>
    <n v="504"/>
    <n v="189"/>
    <n v="0"/>
    <n v="79"/>
    <n v="0"/>
    <n v="236"/>
    <n v="0.22500000000000001"/>
    <n v="0"/>
    <n v="0"/>
  </r>
  <r>
    <n v="2010"/>
    <n v="2"/>
    <x v="16"/>
    <x v="16"/>
    <s v="SEA"/>
    <s v="Seattle, WA: Seattle/Tacoma International"/>
    <n v="28"/>
    <n v="3"/>
    <n v="0"/>
    <n v="0"/>
    <n v="0"/>
    <n v="0"/>
    <n v="3"/>
    <n v="0"/>
    <n v="0"/>
    <n v="183"/>
    <n v="0"/>
    <n v="0"/>
    <n v="0"/>
    <n v="0"/>
    <n v="183"/>
    <n v="0.1071"/>
    <n v="0"/>
    <n v="0"/>
  </r>
  <r>
    <n v="2010"/>
    <n v="2"/>
    <x v="0"/>
    <x v="0"/>
    <s v="SEA"/>
    <s v="Seattle, WA: Seattle/Tacoma International"/>
    <n v="68"/>
    <n v="9"/>
    <n v="6.69"/>
    <n v="0"/>
    <n v="0"/>
    <n v="0"/>
    <n v="2.31"/>
    <n v="0"/>
    <n v="1"/>
    <n v="339"/>
    <n v="223"/>
    <n v="0"/>
    <n v="0"/>
    <n v="0"/>
    <n v="116"/>
    <n v="0.13239999999999999"/>
    <n v="0"/>
    <n v="1.47E-2"/>
  </r>
  <r>
    <n v="2010"/>
    <n v="2"/>
    <x v="2"/>
    <x v="2"/>
    <s v="SEA"/>
    <s v="Seattle, WA: Seattle/Tacoma International"/>
    <n v="650"/>
    <n v="88"/>
    <n v="23.39"/>
    <n v="1.78"/>
    <n v="21.51"/>
    <n v="0"/>
    <n v="41.32"/>
    <n v="6"/>
    <n v="2"/>
    <n v="3779"/>
    <n v="1244"/>
    <n v="130"/>
    <n v="504"/>
    <n v="0"/>
    <n v="1901"/>
    <n v="0.13539999999999999"/>
    <n v="9.1999999999999998E-3"/>
    <n v="3.0999999999999999E-3"/>
  </r>
  <r>
    <n v="2010"/>
    <n v="2"/>
    <x v="9"/>
    <x v="9"/>
    <s v="SEA"/>
    <s v="Seattle, WA: Seattle/Tacoma International"/>
    <n v="512"/>
    <n v="51"/>
    <n v="18.2"/>
    <n v="0.79"/>
    <n v="2.0499999999999998"/>
    <n v="0"/>
    <n v="29.96"/>
    <n v="15"/>
    <n v="0"/>
    <n v="2698"/>
    <n v="790"/>
    <n v="35"/>
    <n v="90"/>
    <n v="0"/>
    <n v="1783"/>
    <n v="9.9599999999999994E-2"/>
    <n v="2.93E-2"/>
    <n v="0"/>
  </r>
  <r>
    <n v="2010"/>
    <n v="2"/>
    <x v="15"/>
    <x v="15"/>
    <s v="SEA"/>
    <s v="Seattle, WA: Seattle/Tacoma International"/>
    <n v="195"/>
    <n v="18"/>
    <n v="7.55"/>
    <n v="0"/>
    <n v="4.93"/>
    <n v="0"/>
    <n v="5.52"/>
    <n v="2"/>
    <n v="0"/>
    <n v="684"/>
    <n v="290"/>
    <n v="0"/>
    <n v="138"/>
    <n v="0"/>
    <n v="256"/>
    <n v="9.2299999999999993E-2"/>
    <n v="1.03E-2"/>
    <n v="0"/>
  </r>
  <r>
    <n v="2010"/>
    <n v="2"/>
    <x v="10"/>
    <x v="10"/>
    <s v="SEA"/>
    <s v="Seattle, WA: Seattle/Tacoma International"/>
    <n v="828"/>
    <n v="86"/>
    <n v="27.3"/>
    <n v="0.96"/>
    <n v="4.4400000000000004"/>
    <n v="0"/>
    <n v="53.3"/>
    <n v="4"/>
    <n v="1"/>
    <n v="3774"/>
    <n v="1022"/>
    <n v="28"/>
    <n v="96"/>
    <n v="0"/>
    <n v="2628"/>
    <n v="0.10390000000000001"/>
    <n v="4.7999999999999996E-3"/>
    <n v="1.1999999999999999E-3"/>
  </r>
  <r>
    <n v="2010"/>
    <n v="1"/>
    <x v="4"/>
    <x v="4"/>
    <s v="SEA"/>
    <s v="Seattle, WA: Seattle/Tacoma International"/>
    <n v="388"/>
    <n v="48"/>
    <n v="25.42"/>
    <n v="5.42"/>
    <n v="7.73"/>
    <n v="1"/>
    <n v="8.42"/>
    <n v="2"/>
    <n v="1"/>
    <n v="2418"/>
    <n v="1436"/>
    <n v="158"/>
    <n v="320"/>
    <n v="205"/>
    <n v="299"/>
    <n v="0.1237"/>
    <n v="5.1999999999999998E-3"/>
    <n v="2.5999999999999999E-3"/>
  </r>
  <r>
    <n v="2010"/>
    <n v="1"/>
    <x v="5"/>
    <x v="5"/>
    <s v="SEA"/>
    <s v="Seattle, WA: Seattle/Tacoma International"/>
    <n v="3328"/>
    <n v="404"/>
    <n v="75.31"/>
    <n v="9.6999999999999993"/>
    <n v="159.71"/>
    <n v="0"/>
    <n v="159.28"/>
    <n v="18"/>
    <n v="1"/>
    <n v="20655"/>
    <n v="5097"/>
    <n v="828"/>
    <n v="4346"/>
    <n v="0"/>
    <n v="10384"/>
    <n v="0.12139999999999999"/>
    <n v="5.4000000000000003E-3"/>
    <n v="2.9999999999999997E-4"/>
  </r>
  <r>
    <n v="2010"/>
    <n v="1"/>
    <x v="6"/>
    <x v="6"/>
    <s v="SEA"/>
    <s v="Seattle, WA: Seattle/Tacoma International"/>
    <n v="120"/>
    <n v="18"/>
    <n v="5.1100000000000003"/>
    <n v="1"/>
    <n v="3.67"/>
    <n v="0"/>
    <n v="8.2200000000000006"/>
    <n v="3"/>
    <n v="0"/>
    <n v="1218"/>
    <n v="182"/>
    <n v="191"/>
    <n v="232"/>
    <n v="0"/>
    <n v="613"/>
    <n v="0.15"/>
    <n v="2.5000000000000001E-2"/>
    <n v="0"/>
  </r>
  <r>
    <n v="2010"/>
    <n v="1"/>
    <x v="17"/>
    <x v="17"/>
    <s v="SEA"/>
    <s v="Seattle, WA: Seattle/Tacoma International"/>
    <n v="274"/>
    <n v="63"/>
    <n v="25.23"/>
    <n v="1.52"/>
    <n v="15.47"/>
    <n v="7.14"/>
    <n v="13.65"/>
    <n v="1"/>
    <n v="0"/>
    <n v="2437"/>
    <n v="813"/>
    <n v="60"/>
    <n v="423"/>
    <n v="420"/>
    <n v="721"/>
    <n v="0.22989999999999999"/>
    <n v="3.5999999999999999E-3"/>
    <n v="0"/>
  </r>
  <r>
    <n v="2010"/>
    <n v="1"/>
    <x v="7"/>
    <x v="7"/>
    <s v="SEA"/>
    <s v="Seattle, WA: Seattle/Tacoma International"/>
    <n v="659"/>
    <n v="74"/>
    <n v="41.9"/>
    <n v="2.5"/>
    <n v="13.19"/>
    <n v="0"/>
    <n v="16.399999999999999"/>
    <n v="4"/>
    <n v="0"/>
    <n v="4068"/>
    <n v="2408"/>
    <n v="231"/>
    <n v="436"/>
    <n v="0"/>
    <n v="993"/>
    <n v="0.1123"/>
    <n v="6.1000000000000004E-3"/>
    <n v="0"/>
  </r>
  <r>
    <n v="2010"/>
    <n v="1"/>
    <x v="8"/>
    <x v="8"/>
    <s v="SEA"/>
    <s v="Seattle, WA: Seattle/Tacoma International"/>
    <n v="63"/>
    <n v="14"/>
    <n v="4.42"/>
    <n v="0"/>
    <n v="2.75"/>
    <n v="0"/>
    <n v="6.83"/>
    <n v="0"/>
    <n v="0"/>
    <n v="656"/>
    <n v="137"/>
    <n v="0"/>
    <n v="99"/>
    <n v="0"/>
    <n v="420"/>
    <n v="0.22220000000000001"/>
    <n v="0"/>
    <n v="0"/>
  </r>
  <r>
    <n v="2010"/>
    <n v="1"/>
    <x v="16"/>
    <x v="16"/>
    <s v="SEA"/>
    <s v="Seattle, WA: Seattle/Tacoma International"/>
    <n v="31"/>
    <n v="8"/>
    <n v="4.13"/>
    <n v="0"/>
    <n v="0.87"/>
    <n v="0"/>
    <n v="3"/>
    <n v="1"/>
    <n v="0"/>
    <n v="270"/>
    <n v="111"/>
    <n v="0"/>
    <n v="36"/>
    <n v="0"/>
    <n v="123"/>
    <n v="0.2581"/>
    <n v="3.2300000000000002E-2"/>
    <n v="0"/>
  </r>
  <r>
    <n v="2010"/>
    <n v="1"/>
    <x v="0"/>
    <x v="0"/>
    <s v="SEA"/>
    <s v="Seattle, WA: Seattle/Tacoma International"/>
    <n v="76"/>
    <n v="6"/>
    <n v="2.39"/>
    <n v="0"/>
    <n v="0"/>
    <n v="0"/>
    <n v="3.61"/>
    <n v="0"/>
    <n v="0"/>
    <n v="442"/>
    <n v="87"/>
    <n v="0"/>
    <n v="0"/>
    <n v="0"/>
    <n v="355"/>
    <n v="7.8899999999999998E-2"/>
    <n v="0"/>
    <n v="0"/>
  </r>
  <r>
    <n v="2010"/>
    <n v="1"/>
    <x v="2"/>
    <x v="2"/>
    <s v="SEA"/>
    <s v="Seattle, WA: Seattle/Tacoma International"/>
    <n v="706"/>
    <n v="102"/>
    <n v="23.42"/>
    <n v="2.65"/>
    <n v="35.880000000000003"/>
    <n v="0.28000000000000003"/>
    <n v="39.770000000000003"/>
    <n v="9"/>
    <n v="2"/>
    <n v="4181"/>
    <n v="1028"/>
    <n v="211"/>
    <n v="999"/>
    <n v="5"/>
    <n v="1938"/>
    <n v="0.14449999999999999"/>
    <n v="1.2699999999999999E-2"/>
    <n v="2.8E-3"/>
  </r>
  <r>
    <n v="2010"/>
    <n v="1"/>
    <x v="9"/>
    <x v="9"/>
    <s v="SEA"/>
    <s v="Seattle, WA: Seattle/Tacoma International"/>
    <n v="557"/>
    <n v="49"/>
    <n v="15.9"/>
    <n v="0.75"/>
    <n v="2.38"/>
    <n v="0"/>
    <n v="29.98"/>
    <n v="4"/>
    <n v="0"/>
    <n v="3696"/>
    <n v="1257"/>
    <n v="48"/>
    <n v="139"/>
    <n v="0"/>
    <n v="2252"/>
    <n v="8.7999999999999995E-2"/>
    <n v="7.1999999999999998E-3"/>
    <n v="0"/>
  </r>
  <r>
    <n v="2010"/>
    <n v="1"/>
    <x v="15"/>
    <x v="15"/>
    <s v="SEA"/>
    <s v="Seattle, WA: Seattle/Tacoma International"/>
    <n v="220"/>
    <n v="21"/>
    <n v="10.82"/>
    <n v="0.7"/>
    <n v="5.4"/>
    <n v="0.38"/>
    <n v="3.71"/>
    <n v="8"/>
    <n v="0"/>
    <n v="1147"/>
    <n v="663"/>
    <n v="32"/>
    <n v="220"/>
    <n v="12"/>
    <n v="220"/>
    <n v="9.5500000000000002E-2"/>
    <n v="3.6400000000000002E-2"/>
    <n v="0"/>
  </r>
  <r>
    <n v="2010"/>
    <n v="1"/>
    <x v="10"/>
    <x v="10"/>
    <s v="SEA"/>
    <s v="Seattle, WA: Seattle/Tacoma International"/>
    <n v="926"/>
    <n v="133"/>
    <n v="54.1"/>
    <n v="2"/>
    <n v="5.98"/>
    <n v="0.7"/>
    <n v="70.22"/>
    <n v="5"/>
    <n v="0"/>
    <n v="6161"/>
    <n v="2449"/>
    <n v="50"/>
    <n v="189"/>
    <n v="21"/>
    <n v="3452"/>
    <n v="0.14360000000000001"/>
    <n v="5.4000000000000003E-3"/>
    <n v="0"/>
  </r>
  <r>
    <n v="2009"/>
    <n v="12"/>
    <x v="4"/>
    <x v="4"/>
    <s v="SEA"/>
    <s v="Seattle, WA: Seattle/Tacoma International"/>
    <n v="390"/>
    <n v="76"/>
    <n v="27.2"/>
    <n v="14.1"/>
    <n v="12.7"/>
    <n v="0"/>
    <n v="22.01"/>
    <n v="1"/>
    <n v="1"/>
    <n v="4723"/>
    <n v="1495"/>
    <n v="905"/>
    <n v="499"/>
    <n v="0"/>
    <n v="1824"/>
    <n v="0.19489999999999999"/>
    <n v="2.5999999999999999E-3"/>
    <n v="2.5999999999999999E-3"/>
  </r>
  <r>
    <n v="2009"/>
    <n v="12"/>
    <x v="5"/>
    <x v="5"/>
    <s v="SEA"/>
    <s v="Seattle, WA: Seattle/Tacoma International"/>
    <n v="3394"/>
    <n v="422"/>
    <n v="94.14"/>
    <n v="10.59"/>
    <n v="155.94999999999999"/>
    <n v="0"/>
    <n v="161.33000000000001"/>
    <n v="10"/>
    <n v="1"/>
    <n v="22981"/>
    <n v="6922"/>
    <n v="1344"/>
    <n v="4674"/>
    <n v="0"/>
    <n v="10041"/>
    <n v="0.12429999999999999"/>
    <n v="2.8999999999999998E-3"/>
    <n v="2.9999999999999997E-4"/>
  </r>
  <r>
    <n v="2009"/>
    <n v="12"/>
    <x v="6"/>
    <x v="6"/>
    <s v="SEA"/>
    <s v="Seattle, WA: Seattle/Tacoma International"/>
    <n v="114"/>
    <n v="24"/>
    <n v="10.56"/>
    <n v="0"/>
    <n v="7.49"/>
    <n v="0"/>
    <n v="5.95"/>
    <n v="1"/>
    <n v="0"/>
    <n v="836"/>
    <n v="393"/>
    <n v="0"/>
    <n v="191"/>
    <n v="0"/>
    <n v="252"/>
    <n v="0.21049999999999999"/>
    <n v="8.8000000000000005E-3"/>
    <n v="0"/>
  </r>
  <r>
    <n v="2009"/>
    <n v="12"/>
    <x v="17"/>
    <x v="17"/>
    <s v="SEA"/>
    <s v="Seattle, WA: Seattle/Tacoma International"/>
    <n v="395"/>
    <n v="137"/>
    <n v="56.15"/>
    <n v="8.4"/>
    <n v="43.79"/>
    <n v="2.56"/>
    <n v="26.09"/>
    <n v="4"/>
    <n v="0"/>
    <n v="7219"/>
    <n v="2706"/>
    <n v="560"/>
    <n v="1589"/>
    <n v="63"/>
    <n v="2301"/>
    <n v="0.3468"/>
    <n v="1.01E-2"/>
    <n v="0"/>
  </r>
  <r>
    <n v="2009"/>
    <n v="12"/>
    <x v="7"/>
    <x v="7"/>
    <s v="SEA"/>
    <s v="Seattle, WA: Seattle/Tacoma International"/>
    <n v="405"/>
    <n v="55"/>
    <n v="18.55"/>
    <n v="7.96"/>
    <n v="15.33"/>
    <n v="0"/>
    <n v="13.16"/>
    <n v="5"/>
    <n v="1"/>
    <n v="2324"/>
    <n v="856"/>
    <n v="260"/>
    <n v="567"/>
    <n v="0"/>
    <n v="641"/>
    <n v="0.1358"/>
    <n v="1.23E-2"/>
    <n v="2.5000000000000001E-3"/>
  </r>
  <r>
    <n v="2009"/>
    <n v="12"/>
    <x v="8"/>
    <x v="8"/>
    <s v="SEA"/>
    <s v="Seattle, WA: Seattle/Tacoma International"/>
    <n v="78"/>
    <n v="30"/>
    <n v="8.18"/>
    <n v="0.36"/>
    <n v="6.55"/>
    <n v="0"/>
    <n v="14.91"/>
    <n v="0"/>
    <n v="0"/>
    <n v="1332"/>
    <n v="250"/>
    <n v="25"/>
    <n v="296"/>
    <n v="0"/>
    <n v="761"/>
    <n v="0.3846"/>
    <n v="0"/>
    <n v="0"/>
  </r>
  <r>
    <n v="2009"/>
    <n v="12"/>
    <x v="16"/>
    <x v="16"/>
    <s v="SEA"/>
    <s v="Seattle, WA: Seattle/Tacoma International"/>
    <n v="31"/>
    <n v="17"/>
    <n v="5.33"/>
    <n v="0.72"/>
    <n v="4.8899999999999997"/>
    <n v="0"/>
    <n v="6.06"/>
    <n v="0"/>
    <n v="0"/>
    <n v="925"/>
    <n v="172"/>
    <n v="63"/>
    <n v="283"/>
    <n v="0"/>
    <n v="407"/>
    <n v="0.5484"/>
    <n v="0"/>
    <n v="0"/>
  </r>
  <r>
    <n v="2009"/>
    <n v="12"/>
    <x v="0"/>
    <x v="0"/>
    <s v="SEA"/>
    <s v="Seattle, WA: Seattle/Tacoma International"/>
    <n v="74"/>
    <n v="12"/>
    <n v="8.8699999999999992"/>
    <n v="0"/>
    <n v="0"/>
    <n v="0"/>
    <n v="3.12"/>
    <n v="0"/>
    <n v="0"/>
    <n v="250"/>
    <n v="176"/>
    <n v="0"/>
    <n v="0"/>
    <n v="0"/>
    <n v="74"/>
    <n v="0.16220000000000001"/>
    <n v="0"/>
    <n v="0"/>
  </r>
  <r>
    <n v="2009"/>
    <n v="12"/>
    <x v="18"/>
    <x v="18"/>
    <s v="SEA"/>
    <s v="Seattle, WA: Seattle/Tacoma International"/>
    <n v="371"/>
    <n v="90"/>
    <n v="47.64"/>
    <n v="0.43"/>
    <n v="29.22"/>
    <n v="0"/>
    <n v="12.72"/>
    <n v="0"/>
    <n v="0"/>
    <n v="3619"/>
    <n v="2101"/>
    <n v="12"/>
    <n v="854"/>
    <n v="0"/>
    <n v="652"/>
    <n v="0.24260000000000001"/>
    <n v="0"/>
    <n v="0"/>
  </r>
  <r>
    <n v="2009"/>
    <n v="12"/>
    <x v="2"/>
    <x v="2"/>
    <s v="SEA"/>
    <s v="Seattle, WA: Seattle/Tacoma International"/>
    <n v="676"/>
    <n v="131"/>
    <n v="34.47"/>
    <n v="2.2000000000000002"/>
    <n v="48.05"/>
    <n v="0"/>
    <n v="46.29"/>
    <n v="8"/>
    <n v="0"/>
    <n v="5497"/>
    <n v="1687"/>
    <n v="89"/>
    <n v="1519"/>
    <n v="0"/>
    <n v="2202"/>
    <n v="0.1938"/>
    <n v="1.18E-2"/>
    <n v="0"/>
  </r>
  <r>
    <n v="2009"/>
    <n v="12"/>
    <x v="9"/>
    <x v="9"/>
    <s v="SEA"/>
    <s v="Seattle, WA: Seattle/Tacoma International"/>
    <n v="568"/>
    <n v="92"/>
    <n v="27.46"/>
    <n v="7.12"/>
    <n v="11.14"/>
    <n v="0"/>
    <n v="46.29"/>
    <n v="6"/>
    <n v="1"/>
    <n v="6120"/>
    <n v="1678"/>
    <n v="398"/>
    <n v="441"/>
    <n v="0"/>
    <n v="3603"/>
    <n v="0.16200000000000001"/>
    <n v="1.06E-2"/>
    <n v="1.8E-3"/>
  </r>
  <r>
    <n v="2009"/>
    <n v="12"/>
    <x v="15"/>
    <x v="15"/>
    <s v="SEA"/>
    <s v="Seattle, WA: Seattle/Tacoma International"/>
    <n v="265"/>
    <n v="48"/>
    <n v="18.989999999999998"/>
    <n v="0.34"/>
    <n v="13.7"/>
    <n v="0.6"/>
    <n v="14.37"/>
    <n v="5"/>
    <n v="0"/>
    <n v="2890"/>
    <n v="1094"/>
    <n v="101"/>
    <n v="483"/>
    <n v="35"/>
    <n v="1177"/>
    <n v="0.18110000000000001"/>
    <n v="1.89E-2"/>
    <n v="0"/>
  </r>
  <r>
    <n v="2009"/>
    <n v="12"/>
    <x v="10"/>
    <x v="10"/>
    <s v="SEA"/>
    <s v="Seattle, WA: Seattle/Tacoma International"/>
    <n v="1067"/>
    <n v="221"/>
    <n v="66.959999999999994"/>
    <n v="1.18"/>
    <n v="11.74"/>
    <n v="1.31"/>
    <n v="139.81"/>
    <n v="5"/>
    <n v="0"/>
    <n v="10855"/>
    <n v="2519"/>
    <n v="52"/>
    <n v="534"/>
    <n v="146"/>
    <n v="7604"/>
    <n v="0.20710000000000001"/>
    <n v="4.7000000000000002E-3"/>
    <n v="0"/>
  </r>
  <r>
    <n v="2009"/>
    <n v="11"/>
    <x v="5"/>
    <x v="5"/>
    <s v="SEA"/>
    <s v="Seattle, WA: Seattle/Tacoma International"/>
    <n v="3350"/>
    <n v="337"/>
    <n v="95.41"/>
    <n v="3.94"/>
    <n v="139.76"/>
    <n v="0.36"/>
    <n v="97.53"/>
    <n v="16"/>
    <n v="2"/>
    <n v="15802"/>
    <n v="5501"/>
    <n v="266"/>
    <n v="3603"/>
    <n v="13"/>
    <n v="6419"/>
    <n v="0.10059999999999999"/>
    <n v="4.7999999999999996E-3"/>
    <n v="5.9999999999999995E-4"/>
  </r>
  <r>
    <n v="2009"/>
    <n v="11"/>
    <x v="6"/>
    <x v="6"/>
    <s v="SEA"/>
    <s v="Seattle, WA: Seattle/Tacoma International"/>
    <n v="107"/>
    <n v="13"/>
    <n v="8.76"/>
    <n v="0"/>
    <n v="1.25"/>
    <n v="0"/>
    <n v="2.99"/>
    <n v="0"/>
    <n v="0"/>
    <n v="560"/>
    <n v="429"/>
    <n v="0"/>
    <n v="33"/>
    <n v="0"/>
    <n v="98"/>
    <n v="0.1215"/>
    <n v="0"/>
    <n v="0"/>
  </r>
  <r>
    <n v="2009"/>
    <n v="11"/>
    <x v="17"/>
    <x v="17"/>
    <s v="SEA"/>
    <s v="Seattle, WA: Seattle/Tacoma International"/>
    <n v="324"/>
    <n v="38"/>
    <n v="18.07"/>
    <n v="0"/>
    <n v="10.34"/>
    <n v="0"/>
    <n v="9.59"/>
    <n v="1"/>
    <n v="0"/>
    <n v="1707"/>
    <n v="1065"/>
    <n v="0"/>
    <n v="279"/>
    <n v="0"/>
    <n v="363"/>
    <n v="0.1173"/>
    <n v="3.0999999999999999E-3"/>
    <n v="0"/>
  </r>
  <r>
    <n v="2009"/>
    <n v="11"/>
    <x v="7"/>
    <x v="7"/>
    <s v="SEA"/>
    <s v="Seattle, WA: Seattle/Tacoma International"/>
    <n v="394"/>
    <n v="19"/>
    <n v="7.87"/>
    <n v="0"/>
    <n v="9.08"/>
    <n v="0"/>
    <n v="2.0499999999999998"/>
    <n v="0"/>
    <n v="1"/>
    <n v="728"/>
    <n v="337"/>
    <n v="0"/>
    <n v="296"/>
    <n v="0"/>
    <n v="95"/>
    <n v="4.82E-2"/>
    <n v="0"/>
    <n v="2.5000000000000001E-3"/>
  </r>
  <r>
    <n v="2009"/>
    <n v="11"/>
    <x v="8"/>
    <x v="8"/>
    <s v="SEA"/>
    <s v="Seattle, WA: Seattle/Tacoma International"/>
    <n v="89"/>
    <n v="12"/>
    <n v="4.7"/>
    <n v="0"/>
    <n v="3.79"/>
    <n v="0"/>
    <n v="3.51"/>
    <n v="0"/>
    <n v="0"/>
    <n v="434"/>
    <n v="196"/>
    <n v="0"/>
    <n v="119"/>
    <n v="0"/>
    <n v="119"/>
    <n v="0.1348"/>
    <n v="0"/>
    <n v="0"/>
  </r>
  <r>
    <n v="2009"/>
    <n v="11"/>
    <x v="16"/>
    <x v="16"/>
    <s v="SEA"/>
    <s v="Seattle, WA: Seattle/Tacoma International"/>
    <n v="33"/>
    <n v="6"/>
    <n v="1.72"/>
    <n v="0"/>
    <n v="0.5"/>
    <n v="0"/>
    <n v="3.78"/>
    <n v="0"/>
    <n v="0"/>
    <n v="177"/>
    <n v="36"/>
    <n v="0"/>
    <n v="17"/>
    <n v="0"/>
    <n v="124"/>
    <n v="0.18179999999999999"/>
    <n v="0"/>
    <n v="0"/>
  </r>
  <r>
    <n v="2009"/>
    <n v="11"/>
    <x v="0"/>
    <x v="0"/>
    <s v="SEA"/>
    <s v="Seattle, WA: Seattle/Tacoma International"/>
    <n v="73"/>
    <n v="13"/>
    <n v="12.78"/>
    <n v="0"/>
    <n v="0"/>
    <n v="0"/>
    <n v="0.22"/>
    <n v="0"/>
    <n v="0"/>
    <n v="505"/>
    <n v="500"/>
    <n v="0"/>
    <n v="0"/>
    <n v="0"/>
    <n v="5"/>
    <n v="0.17810000000000001"/>
    <n v="0"/>
    <n v="0"/>
  </r>
  <r>
    <n v="2009"/>
    <n v="11"/>
    <x v="18"/>
    <x v="18"/>
    <s v="SEA"/>
    <s v="Seattle, WA: Seattle/Tacoma International"/>
    <n v="312"/>
    <n v="19"/>
    <n v="9.57"/>
    <n v="0"/>
    <n v="8.3699999999999992"/>
    <n v="0"/>
    <n v="1.06"/>
    <n v="0"/>
    <n v="1"/>
    <n v="815"/>
    <n v="578"/>
    <n v="0"/>
    <n v="201"/>
    <n v="0"/>
    <n v="36"/>
    <n v="6.0900000000000003E-2"/>
    <n v="0"/>
    <n v="3.2000000000000002E-3"/>
  </r>
  <r>
    <n v="2009"/>
    <n v="11"/>
    <x v="2"/>
    <x v="2"/>
    <s v="SEA"/>
    <s v="Seattle, WA: Seattle/Tacoma International"/>
    <n v="644"/>
    <n v="34"/>
    <n v="13.9"/>
    <n v="1.74"/>
    <n v="7.44"/>
    <n v="0"/>
    <n v="10.93"/>
    <n v="6"/>
    <n v="1"/>
    <n v="984"/>
    <n v="355"/>
    <n v="54"/>
    <n v="171"/>
    <n v="0"/>
    <n v="404"/>
    <n v="5.28E-2"/>
    <n v="9.2999999999999992E-3"/>
    <n v="1.6000000000000001E-3"/>
  </r>
  <r>
    <n v="2009"/>
    <n v="11"/>
    <x v="9"/>
    <x v="9"/>
    <s v="SEA"/>
    <s v="Seattle, WA: Seattle/Tacoma International"/>
    <n v="524"/>
    <n v="31"/>
    <n v="12.27"/>
    <n v="0"/>
    <n v="4.08"/>
    <n v="0"/>
    <n v="14.65"/>
    <n v="0"/>
    <n v="0"/>
    <n v="1411"/>
    <n v="483"/>
    <n v="0"/>
    <n v="111"/>
    <n v="0"/>
    <n v="817"/>
    <n v="5.9200000000000003E-2"/>
    <n v="0"/>
    <n v="0"/>
  </r>
  <r>
    <n v="2009"/>
    <n v="11"/>
    <x v="15"/>
    <x v="15"/>
    <s v="SEA"/>
    <s v="Seattle, WA: Seattle/Tacoma International"/>
    <n v="297"/>
    <n v="21"/>
    <n v="11.07"/>
    <n v="0"/>
    <n v="6.68"/>
    <n v="0"/>
    <n v="3.25"/>
    <n v="1"/>
    <n v="0"/>
    <n v="890"/>
    <n v="526"/>
    <n v="0"/>
    <n v="189"/>
    <n v="0"/>
    <n v="175"/>
    <n v="7.0699999999999999E-2"/>
    <n v="3.3999999999999998E-3"/>
    <n v="0"/>
  </r>
  <r>
    <n v="2009"/>
    <n v="11"/>
    <x v="10"/>
    <x v="10"/>
    <s v="SEA"/>
    <s v="Seattle, WA: Seattle/Tacoma International"/>
    <n v="1036"/>
    <n v="58"/>
    <n v="26.09"/>
    <n v="0"/>
    <n v="5.0999999999999996"/>
    <n v="0"/>
    <n v="26.81"/>
    <n v="4"/>
    <n v="1"/>
    <n v="2537"/>
    <n v="1059"/>
    <n v="0"/>
    <n v="127"/>
    <n v="0"/>
    <n v="1351"/>
    <n v="5.6000000000000001E-2"/>
    <n v="3.8999999999999998E-3"/>
    <n v="1E-3"/>
  </r>
  <r>
    <n v="2009"/>
    <n v="11"/>
    <x v="4"/>
    <x v="4"/>
    <s v="SEA"/>
    <s v="Seattle, WA: Seattle/Tacoma International"/>
    <n v="408"/>
    <n v="42"/>
    <n v="23.95"/>
    <n v="1.67"/>
    <n v="9.2899999999999991"/>
    <n v="0"/>
    <n v="7.09"/>
    <n v="0"/>
    <n v="0"/>
    <n v="1884"/>
    <n v="1201"/>
    <n v="34"/>
    <n v="303"/>
    <n v="0"/>
    <n v="346"/>
    <n v="0.10290000000000001"/>
    <n v="0"/>
    <n v="0"/>
  </r>
  <r>
    <n v="2009"/>
    <n v="10"/>
    <x v="4"/>
    <x v="4"/>
    <s v="SEA"/>
    <s v="Seattle, WA: Seattle/Tacoma International"/>
    <n v="455"/>
    <n v="108"/>
    <n v="47.99"/>
    <n v="3.97"/>
    <n v="32.340000000000003"/>
    <n v="0"/>
    <n v="23.7"/>
    <n v="2"/>
    <n v="1"/>
    <n v="5073"/>
    <n v="2227"/>
    <n v="230"/>
    <n v="1097"/>
    <n v="0"/>
    <n v="1519"/>
    <n v="0.2374"/>
    <n v="4.4000000000000003E-3"/>
    <n v="2.2000000000000001E-3"/>
  </r>
  <r>
    <n v="2009"/>
    <n v="10"/>
    <x v="5"/>
    <x v="5"/>
    <s v="SEA"/>
    <s v="Seattle, WA: Seattle/Tacoma International"/>
    <n v="3748"/>
    <n v="553"/>
    <n v="89.86"/>
    <n v="3.37"/>
    <n v="302.41000000000003"/>
    <n v="2"/>
    <n v="155.35"/>
    <n v="8"/>
    <n v="3"/>
    <n v="24957"/>
    <n v="4235"/>
    <n v="540"/>
    <n v="8800"/>
    <n v="114"/>
    <n v="11268"/>
    <n v="0.14749999999999999"/>
    <n v="2.0999999999999999E-3"/>
    <n v="8.0000000000000004E-4"/>
  </r>
  <r>
    <n v="2009"/>
    <n v="10"/>
    <x v="6"/>
    <x v="6"/>
    <s v="SEA"/>
    <s v="Seattle, WA: Seattle/Tacoma International"/>
    <n v="119"/>
    <n v="19"/>
    <n v="5"/>
    <n v="0"/>
    <n v="9.9600000000000009"/>
    <n v="0"/>
    <n v="4.03"/>
    <n v="0"/>
    <n v="0"/>
    <n v="757"/>
    <n v="216"/>
    <n v="0"/>
    <n v="356"/>
    <n v="0"/>
    <n v="185"/>
    <n v="0.15970000000000001"/>
    <n v="0"/>
    <n v="0"/>
  </r>
  <r>
    <n v="2009"/>
    <n v="10"/>
    <x v="17"/>
    <x v="17"/>
    <s v="SEA"/>
    <s v="Seattle, WA: Seattle/Tacoma International"/>
    <n v="342"/>
    <n v="127"/>
    <n v="39.299999999999997"/>
    <n v="2.99"/>
    <n v="64.12"/>
    <n v="2.78"/>
    <n v="17.8"/>
    <n v="1"/>
    <n v="0"/>
    <n v="5038"/>
    <n v="1630"/>
    <n v="248"/>
    <n v="2119"/>
    <n v="72"/>
    <n v="969"/>
    <n v="0.37130000000000002"/>
    <n v="2.8999999999999998E-3"/>
    <n v="0"/>
  </r>
  <r>
    <n v="2009"/>
    <n v="10"/>
    <x v="7"/>
    <x v="7"/>
    <s v="SEA"/>
    <s v="Seattle, WA: Seattle/Tacoma International"/>
    <n v="407"/>
    <n v="55"/>
    <n v="25.02"/>
    <n v="0"/>
    <n v="21.6"/>
    <n v="0"/>
    <n v="8.3800000000000008"/>
    <n v="0"/>
    <n v="2"/>
    <n v="2161"/>
    <n v="1203"/>
    <n v="0"/>
    <n v="691"/>
    <n v="0"/>
    <n v="267"/>
    <n v="0.1351"/>
    <n v="0"/>
    <n v="4.8999999999999998E-3"/>
  </r>
  <r>
    <n v="2009"/>
    <n v="10"/>
    <x v="8"/>
    <x v="8"/>
    <s v="SEA"/>
    <s v="Seattle, WA: Seattle/Tacoma International"/>
    <n v="123"/>
    <n v="37"/>
    <n v="11.42"/>
    <n v="0.64"/>
    <n v="12.04"/>
    <n v="0"/>
    <n v="12.9"/>
    <n v="0"/>
    <n v="0"/>
    <n v="2232"/>
    <n v="589"/>
    <n v="24"/>
    <n v="578"/>
    <n v="0"/>
    <n v="1041"/>
    <n v="0.30080000000000001"/>
    <n v="0"/>
    <n v="0"/>
  </r>
  <r>
    <n v="2009"/>
    <n v="10"/>
    <x v="16"/>
    <x v="16"/>
    <s v="SEA"/>
    <s v="Seattle, WA: Seattle/Tacoma International"/>
    <n v="91"/>
    <n v="18"/>
    <n v="7.54"/>
    <n v="0"/>
    <n v="10.46"/>
    <n v="0"/>
    <n v="0"/>
    <n v="0"/>
    <n v="0"/>
    <n v="491"/>
    <n v="225"/>
    <n v="0"/>
    <n v="266"/>
    <n v="0"/>
    <n v="0"/>
    <n v="0.1978"/>
    <n v="0"/>
    <n v="0"/>
  </r>
  <r>
    <n v="2009"/>
    <n v="10"/>
    <x v="0"/>
    <x v="0"/>
    <s v="SEA"/>
    <s v="Seattle, WA: Seattle/Tacoma International"/>
    <n v="76"/>
    <n v="18"/>
    <n v="15.69"/>
    <n v="0"/>
    <n v="0"/>
    <n v="0"/>
    <n v="2.31"/>
    <n v="0"/>
    <n v="0"/>
    <n v="631"/>
    <n v="519"/>
    <n v="0"/>
    <n v="0"/>
    <n v="0"/>
    <n v="112"/>
    <n v="0.23680000000000001"/>
    <n v="0"/>
    <n v="0"/>
  </r>
  <r>
    <n v="2009"/>
    <n v="10"/>
    <x v="18"/>
    <x v="18"/>
    <s v="SEA"/>
    <s v="Seattle, WA: Seattle/Tacoma International"/>
    <n v="320"/>
    <n v="95"/>
    <n v="36.869999999999997"/>
    <n v="1.73"/>
    <n v="48.35"/>
    <n v="0"/>
    <n v="8.0500000000000007"/>
    <n v="0"/>
    <n v="2"/>
    <n v="3357"/>
    <n v="1590"/>
    <n v="69"/>
    <n v="1329"/>
    <n v="0"/>
    <n v="369"/>
    <n v="0.2969"/>
    <n v="0"/>
    <n v="6.3E-3"/>
  </r>
  <r>
    <n v="2009"/>
    <n v="10"/>
    <x v="2"/>
    <x v="2"/>
    <s v="SEA"/>
    <s v="Seattle, WA: Seattle/Tacoma International"/>
    <n v="663"/>
    <n v="107"/>
    <n v="26.81"/>
    <n v="1.52"/>
    <n v="48.8"/>
    <n v="0"/>
    <n v="29.86"/>
    <n v="6"/>
    <n v="3"/>
    <n v="4567"/>
    <n v="1779"/>
    <n v="120"/>
    <n v="1346"/>
    <n v="0"/>
    <n v="1322"/>
    <n v="0.16139999999999999"/>
    <n v="8.9999999999999993E-3"/>
    <n v="4.4999999999999997E-3"/>
  </r>
  <r>
    <n v="2009"/>
    <n v="10"/>
    <x v="9"/>
    <x v="9"/>
    <s v="SEA"/>
    <s v="Seattle, WA: Seattle/Tacoma International"/>
    <n v="613"/>
    <n v="99"/>
    <n v="28.43"/>
    <n v="0.26"/>
    <n v="31.41"/>
    <n v="0"/>
    <n v="38.89"/>
    <n v="4"/>
    <n v="1"/>
    <n v="4918"/>
    <n v="1920"/>
    <n v="19"/>
    <n v="991"/>
    <n v="0"/>
    <n v="1988"/>
    <n v="0.1615"/>
    <n v="6.4999999999999997E-3"/>
    <n v="1.6000000000000001E-3"/>
  </r>
  <r>
    <n v="2009"/>
    <n v="10"/>
    <x v="15"/>
    <x v="15"/>
    <s v="SEA"/>
    <s v="Seattle, WA: Seattle/Tacoma International"/>
    <n v="306"/>
    <n v="70"/>
    <n v="16.05"/>
    <n v="0"/>
    <n v="38.409999999999997"/>
    <n v="0"/>
    <n v="15.55"/>
    <n v="0"/>
    <n v="0"/>
    <n v="2528"/>
    <n v="700"/>
    <n v="0"/>
    <n v="1012"/>
    <n v="0"/>
    <n v="816"/>
    <n v="0.2288"/>
    <n v="0"/>
    <n v="0"/>
  </r>
  <r>
    <n v="2009"/>
    <n v="10"/>
    <x v="10"/>
    <x v="10"/>
    <s v="SEA"/>
    <s v="Seattle, WA: Seattle/Tacoma International"/>
    <n v="1190"/>
    <n v="299"/>
    <n v="84.57"/>
    <n v="0.21"/>
    <n v="58.21"/>
    <n v="1.2"/>
    <n v="154.81"/>
    <n v="1"/>
    <n v="2"/>
    <n v="10161"/>
    <n v="2765"/>
    <n v="13"/>
    <n v="1701"/>
    <n v="32"/>
    <n v="5650"/>
    <n v="0.25130000000000002"/>
    <n v="8.0000000000000004E-4"/>
    <n v="1.6999999999999999E-3"/>
  </r>
  <r>
    <n v="2009"/>
    <n v="9"/>
    <x v="4"/>
    <x v="4"/>
    <s v="SEA"/>
    <s v="Seattle, WA: Seattle/Tacoma International"/>
    <n v="442"/>
    <n v="32"/>
    <n v="17"/>
    <n v="4.18"/>
    <n v="4.87"/>
    <n v="0"/>
    <n v="5.95"/>
    <n v="1"/>
    <n v="3"/>
    <n v="1929"/>
    <n v="1031"/>
    <n v="262"/>
    <n v="184"/>
    <n v="0"/>
    <n v="452"/>
    <n v="7.2400000000000006E-2"/>
    <n v="2.3E-3"/>
    <n v="6.7999999999999996E-3"/>
  </r>
  <r>
    <n v="2009"/>
    <n v="9"/>
    <x v="5"/>
    <x v="5"/>
    <s v="SEA"/>
    <s v="Seattle, WA: Seattle/Tacoma International"/>
    <n v="3688"/>
    <n v="355"/>
    <n v="90.24"/>
    <n v="3.2"/>
    <n v="164.84"/>
    <n v="1.59"/>
    <n v="95.14"/>
    <n v="3"/>
    <n v="4"/>
    <n v="14551"/>
    <n v="5195"/>
    <n v="144"/>
    <n v="4181"/>
    <n v="33"/>
    <n v="4998"/>
    <n v="9.6299999999999997E-2"/>
    <n v="8.0000000000000004E-4"/>
    <n v="1.1000000000000001E-3"/>
  </r>
  <r>
    <n v="2009"/>
    <n v="9"/>
    <x v="6"/>
    <x v="6"/>
    <s v="SEA"/>
    <s v="Seattle, WA: Seattle/Tacoma International"/>
    <n v="135"/>
    <n v="6"/>
    <n v="3.51"/>
    <n v="0"/>
    <n v="1.53"/>
    <n v="0"/>
    <n v="0.95"/>
    <n v="0"/>
    <n v="0"/>
    <n v="349"/>
    <n v="199"/>
    <n v="0"/>
    <n v="87"/>
    <n v="0"/>
    <n v="63"/>
    <n v="4.4400000000000002E-2"/>
    <n v="0"/>
    <n v="0"/>
  </r>
  <r>
    <n v="2009"/>
    <n v="9"/>
    <x v="17"/>
    <x v="17"/>
    <s v="SEA"/>
    <s v="Seattle, WA: Seattle/Tacoma International"/>
    <n v="384"/>
    <n v="34"/>
    <n v="14.32"/>
    <n v="0"/>
    <n v="12.36"/>
    <n v="0.35"/>
    <n v="6.97"/>
    <n v="0"/>
    <n v="0"/>
    <n v="1712"/>
    <n v="758"/>
    <n v="0"/>
    <n v="312"/>
    <n v="6"/>
    <n v="636"/>
    <n v="8.8499999999999995E-2"/>
    <n v="0"/>
    <n v="0"/>
  </r>
  <r>
    <n v="2009"/>
    <n v="9"/>
    <x v="7"/>
    <x v="7"/>
    <s v="SEA"/>
    <s v="Seattle, WA: Seattle/Tacoma International"/>
    <n v="438"/>
    <n v="54"/>
    <n v="21.45"/>
    <n v="1.63"/>
    <n v="22.08"/>
    <n v="0"/>
    <n v="8.84"/>
    <n v="0"/>
    <n v="1"/>
    <n v="2385"/>
    <n v="1170"/>
    <n v="109"/>
    <n v="702"/>
    <n v="0"/>
    <n v="404"/>
    <n v="0.12330000000000001"/>
    <n v="0"/>
    <n v="2.3E-3"/>
  </r>
  <r>
    <n v="2009"/>
    <n v="9"/>
    <x v="8"/>
    <x v="8"/>
    <s v="SEA"/>
    <s v="Seattle, WA: Seattle/Tacoma International"/>
    <n v="119"/>
    <n v="5"/>
    <n v="2.4"/>
    <n v="0"/>
    <n v="0.35"/>
    <n v="0"/>
    <n v="2.25"/>
    <n v="0"/>
    <n v="0"/>
    <n v="124"/>
    <n v="48"/>
    <n v="0"/>
    <n v="7"/>
    <n v="0"/>
    <n v="69"/>
    <n v="4.2000000000000003E-2"/>
    <n v="0"/>
    <n v="0"/>
  </r>
  <r>
    <n v="2009"/>
    <n v="9"/>
    <x v="16"/>
    <x v="16"/>
    <s v="SEA"/>
    <s v="Seattle, WA: Seattle/Tacoma International"/>
    <n v="113"/>
    <n v="4"/>
    <n v="1"/>
    <n v="0"/>
    <n v="2"/>
    <n v="0"/>
    <n v="1"/>
    <n v="0"/>
    <n v="0"/>
    <n v="180"/>
    <n v="44"/>
    <n v="0"/>
    <n v="32"/>
    <n v="0"/>
    <n v="104"/>
    <n v="3.5400000000000001E-2"/>
    <n v="0"/>
    <n v="0"/>
  </r>
  <r>
    <n v="2009"/>
    <n v="9"/>
    <x v="0"/>
    <x v="0"/>
    <s v="SEA"/>
    <s v="Seattle, WA: Seattle/Tacoma International"/>
    <n v="72"/>
    <n v="8"/>
    <n v="7.38"/>
    <n v="0"/>
    <n v="0"/>
    <n v="0"/>
    <n v="0.62"/>
    <n v="0"/>
    <n v="0"/>
    <n v="206"/>
    <n v="185"/>
    <n v="0"/>
    <n v="0"/>
    <n v="0"/>
    <n v="21"/>
    <n v="0.1111"/>
    <n v="0"/>
    <n v="0"/>
  </r>
  <r>
    <n v="2009"/>
    <n v="9"/>
    <x v="18"/>
    <x v="18"/>
    <s v="SEA"/>
    <s v="Seattle, WA: Seattle/Tacoma International"/>
    <n v="330"/>
    <n v="35"/>
    <n v="18.48"/>
    <n v="0"/>
    <n v="14.38"/>
    <n v="0"/>
    <n v="2.13"/>
    <n v="0"/>
    <n v="1"/>
    <n v="1479"/>
    <n v="1050"/>
    <n v="0"/>
    <n v="312"/>
    <n v="0"/>
    <n v="117"/>
    <n v="0.1061"/>
    <n v="0"/>
    <n v="3.0000000000000001E-3"/>
  </r>
  <r>
    <n v="2009"/>
    <n v="9"/>
    <x v="2"/>
    <x v="2"/>
    <s v="SEA"/>
    <s v="Seattle, WA: Seattle/Tacoma International"/>
    <n v="582"/>
    <n v="54"/>
    <n v="14.67"/>
    <n v="0"/>
    <n v="19.059999999999999"/>
    <n v="0"/>
    <n v="20.27"/>
    <n v="2"/>
    <n v="0"/>
    <n v="2067"/>
    <n v="532"/>
    <n v="0"/>
    <n v="475"/>
    <n v="0"/>
    <n v="1060"/>
    <n v="9.2799999999999994E-2"/>
    <n v="3.3999999999999998E-3"/>
    <n v="0"/>
  </r>
  <r>
    <n v="2009"/>
    <n v="9"/>
    <x v="9"/>
    <x v="9"/>
    <s v="SEA"/>
    <s v="Seattle, WA: Seattle/Tacoma International"/>
    <n v="597"/>
    <n v="55"/>
    <n v="25.02"/>
    <n v="0.27"/>
    <n v="5.91"/>
    <n v="0"/>
    <n v="23.8"/>
    <n v="4"/>
    <n v="0"/>
    <n v="3058"/>
    <n v="1463"/>
    <n v="15"/>
    <n v="167"/>
    <n v="0"/>
    <n v="1413"/>
    <n v="9.2100000000000001E-2"/>
    <n v="6.7000000000000002E-3"/>
    <n v="0"/>
  </r>
  <r>
    <n v="2009"/>
    <n v="9"/>
    <x v="15"/>
    <x v="15"/>
    <s v="SEA"/>
    <s v="Seattle, WA: Seattle/Tacoma International"/>
    <n v="355"/>
    <n v="46"/>
    <n v="19.89"/>
    <n v="0"/>
    <n v="17.21"/>
    <n v="0"/>
    <n v="8.9"/>
    <n v="0"/>
    <n v="2"/>
    <n v="2110"/>
    <n v="1272"/>
    <n v="0"/>
    <n v="511"/>
    <n v="0"/>
    <n v="327"/>
    <n v="0.12959999999999999"/>
    <n v="0"/>
    <n v="5.5999999999999999E-3"/>
  </r>
  <r>
    <n v="2009"/>
    <n v="9"/>
    <x v="10"/>
    <x v="10"/>
    <s v="SEA"/>
    <s v="Seattle, WA: Seattle/Tacoma International"/>
    <n v="1159"/>
    <n v="66"/>
    <n v="29.92"/>
    <n v="0.11"/>
    <n v="3.68"/>
    <n v="0.26"/>
    <n v="32.03"/>
    <n v="1"/>
    <n v="0"/>
    <n v="2412"/>
    <n v="1093"/>
    <n v="7"/>
    <n v="113"/>
    <n v="6"/>
    <n v="1193"/>
    <n v="5.6899999999999999E-2"/>
    <n v="8.9999999999999998E-4"/>
    <n v="0"/>
  </r>
  <r>
    <n v="2009"/>
    <n v="8"/>
    <x v="18"/>
    <x v="18"/>
    <s v="SEA"/>
    <s v="Seattle, WA: Seattle/Tacoma International"/>
    <n v="453"/>
    <n v="102"/>
    <n v="49.57"/>
    <n v="0.32"/>
    <n v="33.21"/>
    <n v="1"/>
    <n v="17.899999999999999"/>
    <n v="0"/>
    <n v="0"/>
    <n v="4487"/>
    <n v="2400"/>
    <n v="7"/>
    <n v="959"/>
    <n v="22"/>
    <n v="1099"/>
    <n v="0.22520000000000001"/>
    <n v="0"/>
    <n v="0"/>
  </r>
  <r>
    <n v="2009"/>
    <n v="8"/>
    <x v="2"/>
    <x v="2"/>
    <s v="SEA"/>
    <s v="Seattle, WA: Seattle/Tacoma International"/>
    <n v="679"/>
    <n v="60"/>
    <n v="20"/>
    <n v="1.3"/>
    <n v="28.14"/>
    <n v="0"/>
    <n v="10.56"/>
    <n v="3"/>
    <n v="0"/>
    <n v="1689"/>
    <n v="568"/>
    <n v="65"/>
    <n v="600"/>
    <n v="0"/>
    <n v="456"/>
    <n v="8.8400000000000006E-2"/>
    <n v="4.4000000000000003E-3"/>
    <n v="0"/>
  </r>
  <r>
    <n v="2009"/>
    <n v="8"/>
    <x v="9"/>
    <x v="9"/>
    <s v="SEA"/>
    <s v="Seattle, WA: Seattle/Tacoma International"/>
    <n v="655"/>
    <n v="112"/>
    <n v="23.19"/>
    <n v="4.59"/>
    <n v="30.38"/>
    <n v="0"/>
    <n v="53.84"/>
    <n v="1"/>
    <n v="0"/>
    <n v="5809"/>
    <n v="1253"/>
    <n v="139"/>
    <n v="1100"/>
    <n v="0"/>
    <n v="3317"/>
    <n v="0.17100000000000001"/>
    <n v="1.5E-3"/>
    <n v="0"/>
  </r>
  <r>
    <n v="2009"/>
    <n v="8"/>
    <x v="15"/>
    <x v="15"/>
    <s v="SEA"/>
    <s v="Seattle, WA: Seattle/Tacoma International"/>
    <n v="372"/>
    <n v="61"/>
    <n v="23.77"/>
    <n v="1.06"/>
    <n v="16.52"/>
    <n v="0"/>
    <n v="19.64"/>
    <n v="0"/>
    <n v="0"/>
    <n v="3460"/>
    <n v="1166"/>
    <n v="42"/>
    <n v="679"/>
    <n v="0"/>
    <n v="1573"/>
    <n v="0.16400000000000001"/>
    <n v="0"/>
    <n v="0"/>
  </r>
  <r>
    <n v="2009"/>
    <n v="8"/>
    <x v="10"/>
    <x v="10"/>
    <s v="SEA"/>
    <s v="Seattle, WA: Seattle/Tacoma International"/>
    <n v="1230"/>
    <n v="165"/>
    <n v="63.17"/>
    <n v="2.82"/>
    <n v="12.46"/>
    <n v="0.25"/>
    <n v="86.29"/>
    <n v="1"/>
    <n v="1"/>
    <n v="7874"/>
    <n v="2996"/>
    <n v="90"/>
    <n v="449"/>
    <n v="12"/>
    <n v="4327"/>
    <n v="0.1341"/>
    <n v="8.0000000000000004E-4"/>
    <n v="8.0000000000000004E-4"/>
  </r>
  <r>
    <n v="2009"/>
    <n v="8"/>
    <x v="4"/>
    <x v="4"/>
    <s v="SEA"/>
    <s v="Seattle, WA: Seattle/Tacoma International"/>
    <n v="487"/>
    <n v="96"/>
    <n v="48.88"/>
    <n v="10.23"/>
    <n v="10.17"/>
    <n v="0"/>
    <n v="26.71"/>
    <n v="4"/>
    <n v="0"/>
    <n v="6014"/>
    <n v="3094"/>
    <n v="504"/>
    <n v="472"/>
    <n v="0"/>
    <n v="1944"/>
    <n v="0.1971"/>
    <n v="8.2000000000000007E-3"/>
    <n v="0"/>
  </r>
  <r>
    <n v="2009"/>
    <n v="8"/>
    <x v="5"/>
    <x v="5"/>
    <s v="SEA"/>
    <s v="Seattle, WA: Seattle/Tacoma International"/>
    <n v="4126"/>
    <n v="539"/>
    <n v="153.82"/>
    <n v="8.94"/>
    <n v="191.56"/>
    <n v="5.89"/>
    <n v="178.8"/>
    <n v="7"/>
    <n v="1"/>
    <n v="22578"/>
    <n v="8087"/>
    <n v="932"/>
    <n v="5149"/>
    <n v="178"/>
    <n v="8232"/>
    <n v="0.13059999999999999"/>
    <n v="1.6999999999999999E-3"/>
    <n v="2.0000000000000001E-4"/>
  </r>
  <r>
    <n v="2009"/>
    <n v="8"/>
    <x v="6"/>
    <x v="6"/>
    <s v="SEA"/>
    <s v="Seattle, WA: Seattle/Tacoma International"/>
    <n v="199"/>
    <n v="43"/>
    <n v="18.75"/>
    <n v="0"/>
    <n v="12.04"/>
    <n v="0.65"/>
    <n v="11.56"/>
    <n v="0"/>
    <n v="0"/>
    <n v="2016"/>
    <n v="788"/>
    <n v="0"/>
    <n v="485"/>
    <n v="11"/>
    <n v="732"/>
    <n v="0.21609999999999999"/>
    <n v="0"/>
    <n v="0"/>
  </r>
  <r>
    <n v="2009"/>
    <n v="8"/>
    <x v="17"/>
    <x v="17"/>
    <s v="SEA"/>
    <s v="Seattle, WA: Seattle/Tacoma International"/>
    <n v="485"/>
    <n v="81"/>
    <n v="31.76"/>
    <n v="4.82"/>
    <n v="29.52"/>
    <n v="0.2"/>
    <n v="14.69"/>
    <n v="0"/>
    <n v="0"/>
    <n v="3678"/>
    <n v="1092"/>
    <n v="172"/>
    <n v="1235"/>
    <n v="10"/>
    <n v="1169"/>
    <n v="0.16700000000000001"/>
    <n v="0"/>
    <n v="0"/>
  </r>
  <r>
    <n v="2009"/>
    <n v="8"/>
    <x v="7"/>
    <x v="7"/>
    <s v="SEA"/>
    <s v="Seattle, WA: Seattle/Tacoma International"/>
    <n v="562"/>
    <n v="80"/>
    <n v="30.62"/>
    <n v="1.89"/>
    <n v="26.48"/>
    <n v="0"/>
    <n v="21.01"/>
    <n v="1"/>
    <n v="0"/>
    <n v="4257"/>
    <n v="1420"/>
    <n v="118"/>
    <n v="1191"/>
    <n v="0"/>
    <n v="1528"/>
    <n v="0.14230000000000001"/>
    <n v="1.8E-3"/>
    <n v="0"/>
  </r>
  <r>
    <n v="2009"/>
    <n v="8"/>
    <x v="8"/>
    <x v="8"/>
    <s v="SEA"/>
    <s v="Seattle, WA: Seattle/Tacoma International"/>
    <n v="124"/>
    <n v="20"/>
    <n v="6.86"/>
    <n v="0.37"/>
    <n v="1.71"/>
    <n v="0"/>
    <n v="11.06"/>
    <n v="0"/>
    <n v="0"/>
    <n v="844"/>
    <n v="189"/>
    <n v="47"/>
    <n v="45"/>
    <n v="0"/>
    <n v="563"/>
    <n v="0.1613"/>
    <n v="0"/>
    <n v="0"/>
  </r>
  <r>
    <n v="2009"/>
    <n v="8"/>
    <x v="16"/>
    <x v="16"/>
    <s v="SEA"/>
    <s v="Seattle, WA: Seattle/Tacoma International"/>
    <n v="200"/>
    <n v="38"/>
    <n v="14.8"/>
    <n v="1.01"/>
    <n v="8.69"/>
    <n v="0"/>
    <n v="13.5"/>
    <n v="0"/>
    <n v="1"/>
    <n v="2037"/>
    <n v="748"/>
    <n v="50"/>
    <n v="317"/>
    <n v="0"/>
    <n v="922"/>
    <n v="0.19"/>
    <n v="0"/>
    <n v="5.0000000000000001E-3"/>
  </r>
  <r>
    <n v="2009"/>
    <n v="8"/>
    <x v="0"/>
    <x v="0"/>
    <s v="SEA"/>
    <s v="Seattle, WA: Seattle/Tacoma International"/>
    <n v="76"/>
    <n v="19"/>
    <n v="18.190000000000001"/>
    <n v="0"/>
    <n v="0"/>
    <n v="0"/>
    <n v="0.81"/>
    <n v="0"/>
    <n v="0"/>
    <n v="645"/>
    <n v="621"/>
    <n v="0"/>
    <n v="0"/>
    <n v="0"/>
    <n v="24"/>
    <n v="0.25"/>
    <n v="0"/>
    <n v="0"/>
  </r>
  <r>
    <n v="2009"/>
    <n v="7"/>
    <x v="4"/>
    <x v="4"/>
    <s v="SEA"/>
    <s v="Seattle, WA: Seattle/Tacoma International"/>
    <n v="492"/>
    <n v="127"/>
    <n v="57.66"/>
    <n v="4.97"/>
    <n v="37.270000000000003"/>
    <n v="0"/>
    <n v="27.1"/>
    <n v="0"/>
    <n v="0"/>
    <n v="6772"/>
    <n v="2927"/>
    <n v="546"/>
    <n v="1300"/>
    <n v="0"/>
    <n v="1999"/>
    <n v="0.2581"/>
    <n v="0"/>
    <n v="0"/>
  </r>
  <r>
    <n v="2009"/>
    <n v="7"/>
    <x v="5"/>
    <x v="5"/>
    <s v="SEA"/>
    <s v="Seattle, WA: Seattle/Tacoma International"/>
    <n v="4158"/>
    <n v="517"/>
    <n v="158.19999999999999"/>
    <n v="4.16"/>
    <n v="176.52"/>
    <n v="0"/>
    <n v="178.12"/>
    <n v="9"/>
    <n v="4"/>
    <n v="25587"/>
    <n v="9912"/>
    <n v="358"/>
    <n v="4996"/>
    <n v="0"/>
    <n v="10321"/>
    <n v="0.12429999999999999"/>
    <n v="2.2000000000000001E-3"/>
    <n v="1E-3"/>
  </r>
  <r>
    <n v="2009"/>
    <n v="7"/>
    <x v="6"/>
    <x v="6"/>
    <s v="SEA"/>
    <s v="Seattle, WA: Seattle/Tacoma International"/>
    <n v="200"/>
    <n v="35"/>
    <n v="14.34"/>
    <n v="1.1299999999999999"/>
    <n v="11.07"/>
    <n v="0.86"/>
    <n v="7.6"/>
    <n v="0"/>
    <n v="0"/>
    <n v="2015"/>
    <n v="824"/>
    <n v="96"/>
    <n v="615"/>
    <n v="28"/>
    <n v="452"/>
    <n v="0.17499999999999999"/>
    <n v="0"/>
    <n v="0"/>
  </r>
  <r>
    <n v="2009"/>
    <n v="7"/>
    <x v="17"/>
    <x v="17"/>
    <s v="SEA"/>
    <s v="Seattle, WA: Seattle/Tacoma International"/>
    <n v="485"/>
    <n v="144"/>
    <n v="55.29"/>
    <n v="6.86"/>
    <n v="58.11"/>
    <n v="1.58"/>
    <n v="22.16"/>
    <n v="2"/>
    <n v="0"/>
    <n v="5703"/>
    <n v="1968"/>
    <n v="265"/>
    <n v="1957"/>
    <n v="45"/>
    <n v="1468"/>
    <n v="0.2969"/>
    <n v="4.1000000000000003E-3"/>
    <n v="0"/>
  </r>
  <r>
    <n v="2009"/>
    <n v="7"/>
    <x v="7"/>
    <x v="7"/>
    <s v="SEA"/>
    <s v="Seattle, WA: Seattle/Tacoma International"/>
    <n v="574"/>
    <n v="148"/>
    <n v="44.83"/>
    <n v="3.76"/>
    <n v="69.75"/>
    <n v="0"/>
    <n v="29.67"/>
    <n v="0"/>
    <n v="1"/>
    <n v="7716"/>
    <n v="2963"/>
    <n v="195"/>
    <n v="2551"/>
    <n v="0"/>
    <n v="2007"/>
    <n v="0.25779999999999997"/>
    <n v="0"/>
    <n v="1.6999999999999999E-3"/>
  </r>
  <r>
    <n v="2009"/>
    <n v="7"/>
    <x v="8"/>
    <x v="8"/>
    <s v="SEA"/>
    <s v="Seattle, WA: Seattle/Tacoma International"/>
    <n v="124"/>
    <n v="54"/>
    <n v="16.47"/>
    <n v="2.5"/>
    <n v="11.32"/>
    <n v="0"/>
    <n v="23.7"/>
    <n v="0"/>
    <n v="1"/>
    <n v="2041"/>
    <n v="520"/>
    <n v="312"/>
    <n v="282"/>
    <n v="0"/>
    <n v="927"/>
    <n v="0.4355"/>
    <n v="0"/>
    <n v="8.0999999999999996E-3"/>
  </r>
  <r>
    <n v="2009"/>
    <n v="7"/>
    <x v="16"/>
    <x v="16"/>
    <s v="SEA"/>
    <s v="Seattle, WA: Seattle/Tacoma International"/>
    <n v="198"/>
    <n v="69"/>
    <n v="20.46"/>
    <n v="0"/>
    <n v="35.36"/>
    <n v="0"/>
    <n v="13.18"/>
    <n v="0"/>
    <n v="1"/>
    <n v="3533"/>
    <n v="1238"/>
    <n v="0"/>
    <n v="1280"/>
    <n v="0"/>
    <n v="1015"/>
    <n v="0.34849999999999998"/>
    <n v="0"/>
    <n v="5.1000000000000004E-3"/>
  </r>
  <r>
    <n v="2009"/>
    <n v="7"/>
    <x v="0"/>
    <x v="0"/>
    <s v="SEA"/>
    <s v="Seattle, WA: Seattle/Tacoma International"/>
    <n v="75"/>
    <n v="14"/>
    <n v="13.82"/>
    <n v="0"/>
    <n v="0"/>
    <n v="0"/>
    <n v="0.18"/>
    <n v="0"/>
    <n v="0"/>
    <n v="576"/>
    <n v="563"/>
    <n v="0"/>
    <n v="0"/>
    <n v="0"/>
    <n v="13"/>
    <n v="0.1867"/>
    <n v="0"/>
    <n v="0"/>
  </r>
  <r>
    <n v="2009"/>
    <n v="7"/>
    <x v="18"/>
    <x v="18"/>
    <s v="SEA"/>
    <s v="Seattle, WA: Seattle/Tacoma International"/>
    <n v="523"/>
    <n v="189"/>
    <n v="75.58"/>
    <n v="2.39"/>
    <n v="86.47"/>
    <n v="0"/>
    <n v="24.56"/>
    <n v="1"/>
    <n v="2"/>
    <n v="8315"/>
    <n v="4356"/>
    <n v="106"/>
    <n v="2371"/>
    <n v="0"/>
    <n v="1482"/>
    <n v="0.3614"/>
    <n v="1.9E-3"/>
    <n v="3.8E-3"/>
  </r>
  <r>
    <n v="2009"/>
    <n v="7"/>
    <x v="2"/>
    <x v="2"/>
    <s v="SEA"/>
    <s v="Seattle, WA: Seattle/Tacoma International"/>
    <n v="656"/>
    <n v="62"/>
    <n v="22.55"/>
    <n v="0"/>
    <n v="19.09"/>
    <n v="1"/>
    <n v="19.36"/>
    <n v="3"/>
    <n v="0"/>
    <n v="2283"/>
    <n v="913"/>
    <n v="0"/>
    <n v="498"/>
    <n v="19"/>
    <n v="853"/>
    <n v="9.4500000000000001E-2"/>
    <n v="4.5999999999999999E-3"/>
    <n v="0"/>
  </r>
  <r>
    <n v="2009"/>
    <n v="7"/>
    <x v="9"/>
    <x v="9"/>
    <s v="SEA"/>
    <s v="Seattle, WA: Seattle/Tacoma International"/>
    <n v="692"/>
    <n v="132"/>
    <n v="31.26"/>
    <n v="4.4400000000000004"/>
    <n v="21.62"/>
    <n v="0"/>
    <n v="74.680000000000007"/>
    <n v="5"/>
    <n v="2"/>
    <n v="7207"/>
    <n v="1450"/>
    <n v="268"/>
    <n v="596"/>
    <n v="0"/>
    <n v="4893"/>
    <n v="0.1908"/>
    <n v="7.1999999999999998E-3"/>
    <n v="2.8999999999999998E-3"/>
  </r>
  <r>
    <n v="2009"/>
    <n v="7"/>
    <x v="15"/>
    <x v="15"/>
    <s v="SEA"/>
    <s v="Seattle, WA: Seattle/Tacoma International"/>
    <n v="372"/>
    <n v="72"/>
    <n v="26.45"/>
    <n v="2.87"/>
    <n v="23.12"/>
    <n v="0.68"/>
    <n v="18.89"/>
    <n v="2"/>
    <n v="0"/>
    <n v="3430"/>
    <n v="1206"/>
    <n v="114"/>
    <n v="1109"/>
    <n v="25"/>
    <n v="976"/>
    <n v="0.19350000000000001"/>
    <n v="5.4000000000000003E-3"/>
    <n v="0"/>
  </r>
  <r>
    <n v="2009"/>
    <n v="7"/>
    <x v="10"/>
    <x v="10"/>
    <s v="SEA"/>
    <s v="Seattle, WA: Seattle/Tacoma International"/>
    <n v="1268"/>
    <n v="235"/>
    <n v="85.72"/>
    <n v="0.89"/>
    <n v="23.5"/>
    <n v="1.1399999999999999"/>
    <n v="123.76"/>
    <n v="1"/>
    <n v="5"/>
    <n v="9664"/>
    <n v="3285"/>
    <n v="95"/>
    <n v="561"/>
    <n v="20"/>
    <n v="5703"/>
    <n v="0.18529999999999999"/>
    <n v="8.0000000000000004E-4"/>
    <n v="3.8999999999999998E-3"/>
  </r>
  <r>
    <n v="2009"/>
    <n v="6"/>
    <x v="4"/>
    <x v="4"/>
    <s v="SEA"/>
    <s v="Seattle, WA: Seattle/Tacoma International"/>
    <n v="469"/>
    <n v="118"/>
    <n v="52.49"/>
    <n v="8.7799999999999994"/>
    <n v="30.63"/>
    <n v="0"/>
    <n v="26.09"/>
    <n v="7"/>
    <n v="0"/>
    <n v="7255"/>
    <n v="2550"/>
    <n v="1224"/>
    <n v="1622"/>
    <n v="0"/>
    <n v="1859"/>
    <n v="0.25159999999999999"/>
    <n v="1.49E-2"/>
    <n v="0"/>
  </r>
  <r>
    <n v="2009"/>
    <n v="6"/>
    <x v="5"/>
    <x v="5"/>
    <s v="SEA"/>
    <s v="Seattle, WA: Seattle/Tacoma International"/>
    <n v="3992"/>
    <n v="609"/>
    <n v="155.25"/>
    <n v="8.42"/>
    <n v="238.55"/>
    <n v="2.4300000000000002"/>
    <n v="204.35"/>
    <n v="14"/>
    <n v="3"/>
    <n v="25865"/>
    <n v="8050"/>
    <n v="530"/>
    <n v="6666"/>
    <n v="101"/>
    <n v="10518"/>
    <n v="0.15260000000000001"/>
    <n v="3.5000000000000001E-3"/>
    <n v="8.0000000000000004E-4"/>
  </r>
  <r>
    <n v="2009"/>
    <n v="6"/>
    <x v="6"/>
    <x v="6"/>
    <s v="SEA"/>
    <s v="Seattle, WA: Seattle/Tacoma International"/>
    <n v="186"/>
    <n v="36"/>
    <n v="8.32"/>
    <n v="0.66"/>
    <n v="17.100000000000001"/>
    <n v="0"/>
    <n v="9.91"/>
    <n v="0"/>
    <n v="1"/>
    <n v="1486"/>
    <n v="333"/>
    <n v="85"/>
    <n v="528"/>
    <n v="0"/>
    <n v="540"/>
    <n v="0.19350000000000001"/>
    <n v="0"/>
    <n v="5.4000000000000003E-3"/>
  </r>
  <r>
    <n v="2009"/>
    <n v="6"/>
    <x v="17"/>
    <x v="17"/>
    <s v="SEA"/>
    <s v="Seattle, WA: Seattle/Tacoma International"/>
    <n v="440"/>
    <n v="97"/>
    <n v="32.81"/>
    <n v="2.09"/>
    <n v="41.38"/>
    <n v="0.38"/>
    <n v="20.350000000000001"/>
    <n v="0"/>
    <n v="0"/>
    <n v="4583"/>
    <n v="1328"/>
    <n v="219"/>
    <n v="1505"/>
    <n v="6"/>
    <n v="1525"/>
    <n v="0.2205"/>
    <n v="0"/>
    <n v="0"/>
  </r>
  <r>
    <n v="2009"/>
    <n v="6"/>
    <x v="7"/>
    <x v="7"/>
    <s v="SEA"/>
    <s v="Seattle, WA: Seattle/Tacoma International"/>
    <n v="528"/>
    <n v="84"/>
    <n v="26.63"/>
    <n v="2.91"/>
    <n v="30.59"/>
    <n v="0"/>
    <n v="23.87"/>
    <n v="0"/>
    <n v="0"/>
    <n v="4373"/>
    <n v="1649"/>
    <n v="132"/>
    <n v="1143"/>
    <n v="0"/>
    <n v="1449"/>
    <n v="0.15909999999999999"/>
    <n v="0"/>
    <n v="0"/>
  </r>
  <r>
    <n v="2009"/>
    <n v="6"/>
    <x v="8"/>
    <x v="8"/>
    <s v="SEA"/>
    <s v="Seattle, WA: Seattle/Tacoma International"/>
    <n v="120"/>
    <n v="47"/>
    <n v="14.48"/>
    <n v="0.45"/>
    <n v="4.9800000000000004"/>
    <n v="0"/>
    <n v="27.09"/>
    <n v="1"/>
    <n v="0"/>
    <n v="2531"/>
    <n v="729"/>
    <n v="40"/>
    <n v="146"/>
    <n v="0"/>
    <n v="1616"/>
    <n v="0.39169999999999999"/>
    <n v="8.3000000000000001E-3"/>
    <n v="0"/>
  </r>
  <r>
    <n v="2009"/>
    <n v="6"/>
    <x v="16"/>
    <x v="16"/>
    <s v="SEA"/>
    <s v="Seattle, WA: Seattle/Tacoma International"/>
    <n v="185"/>
    <n v="32"/>
    <n v="12.04"/>
    <n v="0"/>
    <n v="15.11"/>
    <n v="0"/>
    <n v="4.8499999999999996"/>
    <n v="0"/>
    <n v="0"/>
    <n v="1463"/>
    <n v="369"/>
    <n v="0"/>
    <n v="468"/>
    <n v="0"/>
    <n v="626"/>
    <n v="0.17299999999999999"/>
    <n v="0"/>
    <n v="0"/>
  </r>
  <r>
    <n v="2009"/>
    <n v="6"/>
    <x v="0"/>
    <x v="0"/>
    <s v="SEA"/>
    <s v="Seattle, WA: Seattle/Tacoma International"/>
    <n v="73"/>
    <n v="14"/>
    <n v="13.85"/>
    <n v="0"/>
    <n v="0"/>
    <n v="0"/>
    <n v="0.15"/>
    <n v="0"/>
    <n v="0"/>
    <n v="448"/>
    <n v="444"/>
    <n v="0"/>
    <n v="0"/>
    <n v="0"/>
    <n v="4"/>
    <n v="0.1918"/>
    <n v="0"/>
    <n v="0"/>
  </r>
  <r>
    <n v="2009"/>
    <n v="6"/>
    <x v="18"/>
    <x v="18"/>
    <s v="SEA"/>
    <s v="Seattle, WA: Seattle/Tacoma International"/>
    <n v="492"/>
    <n v="134"/>
    <n v="60.7"/>
    <n v="1.38"/>
    <n v="45.29"/>
    <n v="1"/>
    <n v="25.63"/>
    <n v="0"/>
    <n v="2"/>
    <n v="5772"/>
    <n v="3094"/>
    <n v="72"/>
    <n v="1136"/>
    <n v="31"/>
    <n v="1439"/>
    <n v="0.27239999999999998"/>
    <n v="0"/>
    <n v="4.1000000000000003E-3"/>
  </r>
  <r>
    <n v="2009"/>
    <n v="6"/>
    <x v="2"/>
    <x v="2"/>
    <s v="SEA"/>
    <s v="Seattle, WA: Seattle/Tacoma International"/>
    <n v="632"/>
    <n v="71"/>
    <n v="18.5"/>
    <n v="0.53"/>
    <n v="34.14"/>
    <n v="0.19"/>
    <n v="17.64"/>
    <n v="3"/>
    <n v="0"/>
    <n v="2876"/>
    <n v="1162"/>
    <n v="18"/>
    <n v="884"/>
    <n v="7"/>
    <n v="805"/>
    <n v="0.1123"/>
    <n v="4.7000000000000002E-3"/>
    <n v="0"/>
  </r>
  <r>
    <n v="2009"/>
    <n v="6"/>
    <x v="9"/>
    <x v="9"/>
    <s v="SEA"/>
    <s v="Seattle, WA: Seattle/Tacoma International"/>
    <n v="667"/>
    <n v="182"/>
    <n v="46.76"/>
    <n v="7.24"/>
    <n v="41.84"/>
    <n v="0"/>
    <n v="86.16"/>
    <n v="5"/>
    <n v="1"/>
    <n v="12034"/>
    <n v="2618"/>
    <n v="614"/>
    <n v="1915"/>
    <n v="0"/>
    <n v="6887"/>
    <n v="0.27289999999999998"/>
    <n v="7.4999999999999997E-3"/>
    <n v="1.5E-3"/>
  </r>
  <r>
    <n v="2009"/>
    <n v="6"/>
    <x v="15"/>
    <x v="15"/>
    <s v="SEA"/>
    <s v="Seattle, WA: Seattle/Tacoma International"/>
    <n v="359"/>
    <n v="69"/>
    <n v="19.21"/>
    <n v="1.18"/>
    <n v="25.55"/>
    <n v="2"/>
    <n v="21.07"/>
    <n v="2"/>
    <n v="1"/>
    <n v="4174"/>
    <n v="1149"/>
    <n v="133"/>
    <n v="1293"/>
    <n v="49"/>
    <n v="1550"/>
    <n v="0.19220000000000001"/>
    <n v="5.5999999999999999E-3"/>
    <n v="2.8E-3"/>
  </r>
  <r>
    <n v="2009"/>
    <n v="6"/>
    <x v="10"/>
    <x v="10"/>
    <s v="SEA"/>
    <s v="Seattle, WA: Seattle/Tacoma International"/>
    <n v="1236"/>
    <n v="268"/>
    <n v="92.09"/>
    <n v="3.1"/>
    <n v="21.38"/>
    <n v="0.04"/>
    <n v="151.38"/>
    <n v="0"/>
    <n v="0"/>
    <n v="12198"/>
    <n v="3672"/>
    <n v="175"/>
    <n v="726"/>
    <n v="3"/>
    <n v="7622"/>
    <n v="0.21679999999999999"/>
    <n v="0"/>
    <n v="0"/>
  </r>
  <r>
    <n v="2009"/>
    <n v="5"/>
    <x v="4"/>
    <x v="4"/>
    <s v="SEA"/>
    <s v="Seattle, WA: Seattle/Tacoma International"/>
    <n v="460"/>
    <n v="112"/>
    <n v="41.23"/>
    <n v="4.55"/>
    <n v="48.59"/>
    <n v="0"/>
    <n v="17.63"/>
    <n v="6"/>
    <n v="1"/>
    <n v="5747"/>
    <n v="2244"/>
    <n v="268"/>
    <n v="1847"/>
    <n v="0"/>
    <n v="1388"/>
    <n v="0.24349999999999999"/>
    <n v="1.2999999999999999E-2"/>
    <n v="2.2000000000000001E-3"/>
  </r>
  <r>
    <n v="2009"/>
    <n v="5"/>
    <x v="5"/>
    <x v="5"/>
    <s v="SEA"/>
    <s v="Seattle, WA: Seattle/Tacoma International"/>
    <n v="3877"/>
    <n v="534"/>
    <n v="116.32"/>
    <n v="5.54"/>
    <n v="221.35"/>
    <n v="1.67"/>
    <n v="189.11"/>
    <n v="4"/>
    <n v="8"/>
    <n v="23009"/>
    <n v="6815"/>
    <n v="249"/>
    <n v="5927"/>
    <n v="111"/>
    <n v="9907"/>
    <n v="0.13769999999999999"/>
    <n v="1E-3"/>
    <n v="2.0999999999999999E-3"/>
  </r>
  <r>
    <n v="2009"/>
    <n v="5"/>
    <x v="6"/>
    <x v="6"/>
    <s v="SEA"/>
    <s v="Seattle, WA: Seattle/Tacoma International"/>
    <n v="186"/>
    <n v="35"/>
    <n v="7.02"/>
    <n v="0"/>
    <n v="18.489999999999998"/>
    <n v="0"/>
    <n v="9.48"/>
    <n v="0"/>
    <n v="0"/>
    <n v="1609"/>
    <n v="381"/>
    <n v="0"/>
    <n v="650"/>
    <n v="0"/>
    <n v="578"/>
    <n v="0.18820000000000001"/>
    <n v="0"/>
    <n v="0"/>
  </r>
  <r>
    <n v="2009"/>
    <n v="5"/>
    <x v="17"/>
    <x v="17"/>
    <s v="SEA"/>
    <s v="Seattle, WA: Seattle/Tacoma International"/>
    <n v="392"/>
    <n v="93"/>
    <n v="28.7"/>
    <n v="0.12"/>
    <n v="54.05"/>
    <n v="1.63"/>
    <n v="8.5"/>
    <n v="0"/>
    <n v="0"/>
    <n v="3400"/>
    <n v="1121"/>
    <n v="7"/>
    <n v="1646"/>
    <n v="76"/>
    <n v="550"/>
    <n v="0.23719999999999999"/>
    <n v="0"/>
    <n v="0"/>
  </r>
  <r>
    <n v="2009"/>
    <n v="5"/>
    <x v="7"/>
    <x v="7"/>
    <s v="SEA"/>
    <s v="Seattle, WA: Seattle/Tacoma International"/>
    <n v="442"/>
    <n v="118"/>
    <n v="22.97"/>
    <n v="1.9"/>
    <n v="78.680000000000007"/>
    <n v="0"/>
    <n v="14.45"/>
    <n v="0"/>
    <n v="1"/>
    <n v="4603"/>
    <n v="1373"/>
    <n v="72"/>
    <n v="2526"/>
    <n v="0"/>
    <n v="632"/>
    <n v="0.26700000000000002"/>
    <n v="0"/>
    <n v="2.3E-3"/>
  </r>
  <r>
    <n v="2009"/>
    <n v="5"/>
    <x v="8"/>
    <x v="8"/>
    <s v="SEA"/>
    <s v="Seattle, WA: Seattle/Tacoma International"/>
    <n v="124"/>
    <n v="36"/>
    <n v="13.04"/>
    <n v="1.1100000000000001"/>
    <n v="14.98"/>
    <n v="0"/>
    <n v="6.86"/>
    <n v="0"/>
    <n v="0"/>
    <n v="1203"/>
    <n v="448"/>
    <n v="43"/>
    <n v="358"/>
    <n v="0"/>
    <n v="354"/>
    <n v="0.2903"/>
    <n v="0"/>
    <n v="0"/>
  </r>
  <r>
    <n v="2009"/>
    <n v="5"/>
    <x v="16"/>
    <x v="16"/>
    <s v="SEA"/>
    <s v="Seattle, WA: Seattle/Tacoma International"/>
    <n v="101"/>
    <n v="26"/>
    <n v="7.21"/>
    <n v="0"/>
    <n v="16.03"/>
    <n v="0"/>
    <n v="2.75"/>
    <n v="0"/>
    <n v="0"/>
    <n v="829"/>
    <n v="244"/>
    <n v="0"/>
    <n v="447"/>
    <n v="0"/>
    <n v="138"/>
    <n v="0.25740000000000002"/>
    <n v="0"/>
    <n v="0"/>
  </r>
  <r>
    <n v="2009"/>
    <n v="5"/>
    <x v="0"/>
    <x v="0"/>
    <s v="SEA"/>
    <s v="Seattle, WA: Seattle/Tacoma International"/>
    <n v="76"/>
    <n v="9"/>
    <n v="6.55"/>
    <n v="0"/>
    <n v="0"/>
    <n v="0"/>
    <n v="2.4500000000000002"/>
    <n v="0"/>
    <n v="0"/>
    <n v="514"/>
    <n v="439"/>
    <n v="0"/>
    <n v="0"/>
    <n v="0"/>
    <n v="75"/>
    <n v="0.11840000000000001"/>
    <n v="0"/>
    <n v="0"/>
  </r>
  <r>
    <n v="2009"/>
    <n v="5"/>
    <x v="18"/>
    <x v="18"/>
    <s v="SEA"/>
    <s v="Seattle, WA: Seattle/Tacoma International"/>
    <n v="374"/>
    <n v="93"/>
    <n v="27.53"/>
    <n v="0.52"/>
    <n v="60.07"/>
    <n v="0"/>
    <n v="4.88"/>
    <n v="0"/>
    <n v="0"/>
    <n v="2900"/>
    <n v="1249"/>
    <n v="13"/>
    <n v="1435"/>
    <n v="0"/>
    <n v="203"/>
    <n v="0.2487"/>
    <n v="0"/>
    <n v="0"/>
  </r>
  <r>
    <n v="2009"/>
    <n v="5"/>
    <x v="2"/>
    <x v="2"/>
    <s v="SEA"/>
    <s v="Seattle, WA: Seattle/Tacoma International"/>
    <n v="487"/>
    <n v="42"/>
    <n v="5.78"/>
    <n v="0"/>
    <n v="17.38"/>
    <n v="0"/>
    <n v="18.84"/>
    <n v="1"/>
    <n v="0"/>
    <n v="1572"/>
    <n v="177"/>
    <n v="0"/>
    <n v="415"/>
    <n v="0"/>
    <n v="980"/>
    <n v="8.6199999999999999E-2"/>
    <n v="2.0999999999999999E-3"/>
    <n v="0"/>
  </r>
  <r>
    <n v="2009"/>
    <n v="5"/>
    <x v="9"/>
    <x v="9"/>
    <s v="SEA"/>
    <s v="Seattle, WA: Seattle/Tacoma International"/>
    <n v="602"/>
    <n v="178"/>
    <n v="41.89"/>
    <n v="5.71"/>
    <n v="69.27"/>
    <n v="0.82"/>
    <n v="60.31"/>
    <n v="2"/>
    <n v="1"/>
    <n v="9035"/>
    <n v="2306"/>
    <n v="374"/>
    <n v="2205"/>
    <n v="32"/>
    <n v="4118"/>
    <n v="0.29570000000000002"/>
    <n v="3.3E-3"/>
    <n v="1.6999999999999999E-3"/>
  </r>
  <r>
    <n v="2009"/>
    <n v="5"/>
    <x v="15"/>
    <x v="15"/>
    <s v="SEA"/>
    <s v="Seattle, WA: Seattle/Tacoma International"/>
    <n v="333"/>
    <n v="89"/>
    <n v="20.57"/>
    <n v="2.13"/>
    <n v="50.02"/>
    <n v="0.38"/>
    <n v="15.9"/>
    <n v="1"/>
    <n v="1"/>
    <n v="4129"/>
    <n v="1089"/>
    <n v="121"/>
    <n v="2001"/>
    <n v="20"/>
    <n v="898"/>
    <n v="0.26729999999999998"/>
    <n v="3.0000000000000001E-3"/>
    <n v="3.0000000000000001E-3"/>
  </r>
  <r>
    <n v="2009"/>
    <n v="5"/>
    <x v="10"/>
    <x v="10"/>
    <s v="SEA"/>
    <s v="Seattle, WA: Seattle/Tacoma International"/>
    <n v="1243"/>
    <n v="174"/>
    <n v="52.78"/>
    <n v="0.34"/>
    <n v="32.51"/>
    <n v="1.2"/>
    <n v="87.16"/>
    <n v="0"/>
    <n v="0"/>
    <n v="6761"/>
    <n v="2043"/>
    <n v="62"/>
    <n v="833"/>
    <n v="26"/>
    <n v="3797"/>
    <n v="0.14000000000000001"/>
    <n v="0"/>
    <n v="0"/>
  </r>
  <r>
    <n v="2009"/>
    <n v="4"/>
    <x v="4"/>
    <x v="4"/>
    <s v="SEA"/>
    <s v="Seattle, WA: Seattle/Tacoma International"/>
    <n v="434"/>
    <n v="108"/>
    <n v="41.29"/>
    <n v="9.59"/>
    <n v="32.94"/>
    <n v="0"/>
    <n v="24.18"/>
    <n v="3"/>
    <n v="1"/>
    <n v="7329"/>
    <n v="2934"/>
    <n v="675"/>
    <n v="1390"/>
    <n v="0"/>
    <n v="2330"/>
    <n v="0.24879999999999999"/>
    <n v="6.8999999999999999E-3"/>
    <n v="2.3E-3"/>
  </r>
  <r>
    <n v="2009"/>
    <n v="4"/>
    <x v="5"/>
    <x v="5"/>
    <s v="SEA"/>
    <s v="Seattle, WA: Seattle/Tacoma International"/>
    <n v="3541"/>
    <n v="591"/>
    <n v="141.37"/>
    <n v="5.9"/>
    <n v="269.45"/>
    <n v="1"/>
    <n v="173.29"/>
    <n v="9"/>
    <n v="5"/>
    <n v="24636"/>
    <n v="6915"/>
    <n v="408"/>
    <n v="7942"/>
    <n v="29"/>
    <n v="9342"/>
    <n v="0.16689999999999999"/>
    <n v="2.5000000000000001E-3"/>
    <n v="1.4E-3"/>
  </r>
  <r>
    <n v="2009"/>
    <n v="4"/>
    <x v="6"/>
    <x v="6"/>
    <s v="SEA"/>
    <s v="Seattle, WA: Seattle/Tacoma International"/>
    <n v="150"/>
    <n v="26"/>
    <n v="6.33"/>
    <n v="0.17"/>
    <n v="12.06"/>
    <n v="0"/>
    <n v="7.44"/>
    <n v="0"/>
    <n v="0"/>
    <n v="1312"/>
    <n v="361"/>
    <n v="31"/>
    <n v="439"/>
    <n v="0"/>
    <n v="481"/>
    <n v="0.17330000000000001"/>
    <n v="0"/>
    <n v="0"/>
  </r>
  <r>
    <n v="2009"/>
    <n v="4"/>
    <x v="17"/>
    <x v="17"/>
    <s v="SEA"/>
    <s v="Seattle, WA: Seattle/Tacoma International"/>
    <n v="329"/>
    <n v="111"/>
    <n v="43.9"/>
    <n v="4.54"/>
    <n v="40.840000000000003"/>
    <n v="1.83"/>
    <n v="19.899999999999999"/>
    <n v="3"/>
    <n v="0"/>
    <n v="6089"/>
    <n v="1901"/>
    <n v="735"/>
    <n v="1540"/>
    <n v="46"/>
    <n v="1867"/>
    <n v="0.33739999999999998"/>
    <n v="9.1000000000000004E-3"/>
    <n v="0"/>
  </r>
  <r>
    <n v="2009"/>
    <n v="4"/>
    <x v="7"/>
    <x v="7"/>
    <s v="SEA"/>
    <s v="Seattle, WA: Seattle/Tacoma International"/>
    <n v="429"/>
    <n v="93"/>
    <n v="26.78"/>
    <n v="2.13"/>
    <n v="50.81"/>
    <n v="0"/>
    <n v="13.28"/>
    <n v="2"/>
    <n v="0"/>
    <n v="4373"/>
    <n v="1824"/>
    <n v="259"/>
    <n v="1534"/>
    <n v="0"/>
    <n v="756"/>
    <n v="0.21679999999999999"/>
    <n v="4.7000000000000002E-3"/>
    <n v="0"/>
  </r>
  <r>
    <n v="2009"/>
    <n v="4"/>
    <x v="8"/>
    <x v="8"/>
    <s v="SEA"/>
    <s v="Seattle, WA: Seattle/Tacoma International"/>
    <n v="120"/>
    <n v="31"/>
    <n v="12.13"/>
    <n v="0.74"/>
    <n v="7.86"/>
    <n v="0"/>
    <n v="10.27"/>
    <n v="0"/>
    <n v="0"/>
    <n v="1511"/>
    <n v="377"/>
    <n v="77"/>
    <n v="422"/>
    <n v="0"/>
    <n v="635"/>
    <n v="0.25829999999999997"/>
    <n v="0"/>
    <n v="0"/>
  </r>
  <r>
    <n v="2009"/>
    <n v="4"/>
    <x v="0"/>
    <x v="0"/>
    <s v="SEA"/>
    <s v="Seattle, WA: Seattle/Tacoma International"/>
    <n v="72"/>
    <n v="21"/>
    <n v="17.82"/>
    <n v="0"/>
    <n v="0"/>
    <n v="0"/>
    <n v="3.18"/>
    <n v="0"/>
    <n v="0"/>
    <n v="717"/>
    <n v="621"/>
    <n v="0"/>
    <n v="0"/>
    <n v="0"/>
    <n v="96"/>
    <n v="0.29170000000000001"/>
    <n v="0"/>
    <n v="0"/>
  </r>
  <r>
    <n v="2009"/>
    <n v="4"/>
    <x v="18"/>
    <x v="18"/>
    <s v="SEA"/>
    <s v="Seattle, WA: Seattle/Tacoma International"/>
    <n v="347"/>
    <n v="70"/>
    <n v="24.67"/>
    <n v="0"/>
    <n v="35.979999999999997"/>
    <n v="0"/>
    <n v="9.34"/>
    <n v="0"/>
    <n v="0"/>
    <n v="2690"/>
    <n v="1217"/>
    <n v="0"/>
    <n v="910"/>
    <n v="0"/>
    <n v="563"/>
    <n v="0.20169999999999999"/>
    <n v="0"/>
    <n v="0"/>
  </r>
  <r>
    <n v="2009"/>
    <n v="4"/>
    <x v="2"/>
    <x v="2"/>
    <s v="SEA"/>
    <s v="Seattle, WA: Seattle/Tacoma International"/>
    <n v="472"/>
    <n v="47"/>
    <n v="9.92"/>
    <n v="0"/>
    <n v="21.19"/>
    <n v="0"/>
    <n v="15.89"/>
    <n v="2"/>
    <n v="0"/>
    <n v="1680"/>
    <n v="410"/>
    <n v="0"/>
    <n v="700"/>
    <n v="0"/>
    <n v="570"/>
    <n v="9.9599999999999994E-2"/>
    <n v="4.1999999999999997E-3"/>
    <n v="0"/>
  </r>
  <r>
    <n v="2009"/>
    <n v="4"/>
    <x v="9"/>
    <x v="9"/>
    <s v="SEA"/>
    <s v="Seattle, WA: Seattle/Tacoma International"/>
    <n v="588"/>
    <n v="123"/>
    <n v="31.97"/>
    <n v="4.1399999999999997"/>
    <n v="38.909999999999997"/>
    <n v="0"/>
    <n v="47.98"/>
    <n v="2"/>
    <n v="1"/>
    <n v="7309"/>
    <n v="2450"/>
    <n v="365"/>
    <n v="1465"/>
    <n v="0"/>
    <n v="3029"/>
    <n v="0.2092"/>
    <n v="3.3999999999999998E-3"/>
    <n v="1.6999999999999999E-3"/>
  </r>
  <r>
    <n v="2009"/>
    <n v="4"/>
    <x v="15"/>
    <x v="15"/>
    <s v="SEA"/>
    <s v="Seattle, WA: Seattle/Tacoma International"/>
    <n v="291"/>
    <n v="76"/>
    <n v="20.51"/>
    <n v="0.1"/>
    <n v="40.04"/>
    <n v="0.09"/>
    <n v="15.28"/>
    <n v="1"/>
    <n v="0"/>
    <n v="2690"/>
    <n v="828"/>
    <n v="4"/>
    <n v="1200"/>
    <n v="4"/>
    <n v="654"/>
    <n v="0.26119999999999999"/>
    <n v="3.3999999999999998E-3"/>
    <n v="0"/>
  </r>
  <r>
    <n v="2009"/>
    <n v="4"/>
    <x v="10"/>
    <x v="10"/>
    <s v="SEA"/>
    <s v="Seattle, WA: Seattle/Tacoma International"/>
    <n v="1156"/>
    <n v="168"/>
    <n v="38.130000000000003"/>
    <n v="1.19"/>
    <n v="28.7"/>
    <n v="0.96"/>
    <n v="99.01"/>
    <n v="4"/>
    <n v="2"/>
    <n v="8032"/>
    <n v="1505"/>
    <n v="161"/>
    <n v="1000"/>
    <n v="25"/>
    <n v="5341"/>
    <n v="0.14530000000000001"/>
    <n v="3.5000000000000001E-3"/>
    <n v="1.6999999999999999E-3"/>
  </r>
  <r>
    <n v="2009"/>
    <n v="3"/>
    <x v="4"/>
    <x v="4"/>
    <s v="SEA"/>
    <s v="Seattle, WA: Seattle/Tacoma International"/>
    <n v="399"/>
    <n v="81"/>
    <n v="37.880000000000003"/>
    <n v="4.6399999999999997"/>
    <n v="21.81"/>
    <n v="0"/>
    <n v="16.66"/>
    <n v="2"/>
    <n v="1"/>
    <n v="4785"/>
    <n v="2455"/>
    <n v="294"/>
    <n v="748"/>
    <n v="0"/>
    <n v="1288"/>
    <n v="0.20300000000000001"/>
    <n v="5.0000000000000001E-3"/>
    <n v="2.5000000000000001E-3"/>
  </r>
  <r>
    <n v="2009"/>
    <n v="3"/>
    <x v="5"/>
    <x v="5"/>
    <s v="SEA"/>
    <s v="Seattle, WA: Seattle/Tacoma International"/>
    <n v="3653"/>
    <n v="923"/>
    <n v="152.1"/>
    <n v="14.93"/>
    <n v="417.21"/>
    <n v="4.3899999999999997"/>
    <n v="334.38"/>
    <n v="54"/>
    <n v="3"/>
    <n v="43023"/>
    <n v="10442"/>
    <n v="1677"/>
    <n v="11683"/>
    <n v="131"/>
    <n v="19090"/>
    <n v="0.25269999999999998"/>
    <n v="1.4800000000000001E-2"/>
    <n v="8.0000000000000004E-4"/>
  </r>
  <r>
    <n v="2009"/>
    <n v="3"/>
    <x v="6"/>
    <x v="6"/>
    <s v="SEA"/>
    <s v="Seattle, WA: Seattle/Tacoma International"/>
    <n v="155"/>
    <n v="21"/>
    <n v="2.79"/>
    <n v="0"/>
    <n v="12.97"/>
    <n v="0"/>
    <n v="5.23"/>
    <n v="1"/>
    <n v="0"/>
    <n v="905"/>
    <n v="151"/>
    <n v="0"/>
    <n v="421"/>
    <n v="0"/>
    <n v="333"/>
    <n v="0.13550000000000001"/>
    <n v="6.4999999999999997E-3"/>
    <n v="0"/>
  </r>
  <r>
    <n v="2009"/>
    <n v="3"/>
    <x v="17"/>
    <x v="17"/>
    <s v="SEA"/>
    <s v="Seattle, WA: Seattle/Tacoma International"/>
    <n v="350"/>
    <n v="119"/>
    <n v="41.1"/>
    <n v="6.89"/>
    <n v="48.66"/>
    <n v="0.71"/>
    <n v="21.64"/>
    <n v="10"/>
    <n v="0"/>
    <n v="5651"/>
    <n v="1788"/>
    <n v="922"/>
    <n v="1767"/>
    <n v="37"/>
    <n v="1137"/>
    <n v="0.34"/>
    <n v="2.86E-2"/>
    <n v="0"/>
  </r>
  <r>
    <n v="2009"/>
    <n v="3"/>
    <x v="7"/>
    <x v="7"/>
    <s v="SEA"/>
    <s v="Seattle, WA: Seattle/Tacoma International"/>
    <n v="384"/>
    <n v="67"/>
    <n v="19.09"/>
    <n v="4.4000000000000004"/>
    <n v="26.63"/>
    <n v="0"/>
    <n v="16.87"/>
    <n v="3"/>
    <n v="0"/>
    <n v="3719"/>
    <n v="1320"/>
    <n v="392"/>
    <n v="1158"/>
    <n v="0"/>
    <n v="849"/>
    <n v="0.17449999999999999"/>
    <n v="7.7999999999999996E-3"/>
    <n v="0"/>
  </r>
  <r>
    <n v="2009"/>
    <n v="3"/>
    <x v="8"/>
    <x v="8"/>
    <s v="SEA"/>
    <s v="Seattle, WA: Seattle/Tacoma International"/>
    <n v="124"/>
    <n v="27"/>
    <n v="6.51"/>
    <n v="0.22"/>
    <n v="11.24"/>
    <n v="0"/>
    <n v="9.0299999999999994"/>
    <n v="1"/>
    <n v="0"/>
    <n v="1304"/>
    <n v="162"/>
    <n v="30"/>
    <n v="450"/>
    <n v="0"/>
    <n v="662"/>
    <n v="0.2177"/>
    <n v="8.0999999999999996E-3"/>
    <n v="0"/>
  </r>
  <r>
    <n v="2009"/>
    <n v="3"/>
    <x v="0"/>
    <x v="0"/>
    <s v="SEA"/>
    <s v="Seattle, WA: Seattle/Tacoma International"/>
    <n v="75"/>
    <n v="30"/>
    <n v="29.15"/>
    <n v="0"/>
    <n v="0"/>
    <n v="0"/>
    <n v="0.85"/>
    <n v="0"/>
    <n v="0"/>
    <n v="869"/>
    <n v="851"/>
    <n v="0"/>
    <n v="0"/>
    <n v="0"/>
    <n v="18"/>
    <n v="0.4"/>
    <n v="0"/>
    <n v="0"/>
  </r>
  <r>
    <n v="2009"/>
    <n v="3"/>
    <x v="18"/>
    <x v="18"/>
    <s v="SEA"/>
    <s v="Seattle, WA: Seattle/Tacoma International"/>
    <n v="363"/>
    <n v="108"/>
    <n v="34.159999999999997"/>
    <n v="0.86"/>
    <n v="65.459999999999994"/>
    <n v="0"/>
    <n v="7.52"/>
    <n v="0"/>
    <n v="1"/>
    <n v="5186"/>
    <n v="2997"/>
    <n v="39"/>
    <n v="1801"/>
    <n v="0"/>
    <n v="349"/>
    <n v="0.29749999999999999"/>
    <n v="0"/>
    <n v="2.8E-3"/>
  </r>
  <r>
    <n v="2009"/>
    <n v="3"/>
    <x v="2"/>
    <x v="2"/>
    <s v="SEA"/>
    <s v="Seattle, WA: Seattle/Tacoma International"/>
    <n v="481"/>
    <n v="41"/>
    <n v="10.96"/>
    <n v="0"/>
    <n v="18.53"/>
    <n v="0.46"/>
    <n v="11.05"/>
    <n v="2"/>
    <n v="0"/>
    <n v="1257"/>
    <n v="416"/>
    <n v="0"/>
    <n v="431"/>
    <n v="12"/>
    <n v="398"/>
    <n v="8.5199999999999998E-2"/>
    <n v="4.1999999999999997E-3"/>
    <n v="0"/>
  </r>
  <r>
    <n v="2009"/>
    <n v="3"/>
    <x v="9"/>
    <x v="9"/>
    <s v="SEA"/>
    <s v="Seattle, WA: Seattle/Tacoma International"/>
    <n v="620"/>
    <n v="96"/>
    <n v="30.62"/>
    <n v="0.85"/>
    <n v="29.91"/>
    <n v="0"/>
    <n v="34.619999999999997"/>
    <n v="9"/>
    <n v="1"/>
    <n v="4035"/>
    <n v="1553"/>
    <n v="67"/>
    <n v="821"/>
    <n v="0"/>
    <n v="1594"/>
    <n v="0.15479999999999999"/>
    <n v="1.4500000000000001E-2"/>
    <n v="1.6000000000000001E-3"/>
  </r>
  <r>
    <n v="2009"/>
    <n v="3"/>
    <x v="15"/>
    <x v="15"/>
    <s v="SEA"/>
    <s v="Seattle, WA: Seattle/Tacoma International"/>
    <n v="304"/>
    <n v="74"/>
    <n v="23.88"/>
    <n v="0"/>
    <n v="35.53"/>
    <n v="0.13"/>
    <n v="14.46"/>
    <n v="0"/>
    <n v="0"/>
    <n v="3193"/>
    <n v="1277"/>
    <n v="0"/>
    <n v="1216"/>
    <n v="3"/>
    <n v="697"/>
    <n v="0.24340000000000001"/>
    <n v="0"/>
    <n v="0"/>
  </r>
  <r>
    <n v="2009"/>
    <n v="3"/>
    <x v="10"/>
    <x v="10"/>
    <s v="SEA"/>
    <s v="Seattle, WA: Seattle/Tacoma International"/>
    <n v="1194"/>
    <n v="183"/>
    <n v="46.45"/>
    <n v="2.2000000000000002"/>
    <n v="45.36"/>
    <n v="0.99"/>
    <n v="88"/>
    <n v="3"/>
    <n v="0"/>
    <n v="7709"/>
    <n v="1772"/>
    <n v="128"/>
    <n v="1232"/>
    <n v="60"/>
    <n v="4517"/>
    <n v="0.15329999999999999"/>
    <n v="2.5000000000000001E-3"/>
    <n v="0"/>
  </r>
  <r>
    <n v="2009"/>
    <n v="2"/>
    <x v="4"/>
    <x v="4"/>
    <s v="SEA"/>
    <s v="Seattle, WA: Seattle/Tacoma International"/>
    <n v="360"/>
    <n v="62"/>
    <n v="33.46"/>
    <n v="2.37"/>
    <n v="11.63"/>
    <n v="0"/>
    <n v="14.55"/>
    <n v="4"/>
    <n v="2"/>
    <n v="3305"/>
    <n v="2152"/>
    <n v="112"/>
    <n v="334"/>
    <n v="0"/>
    <n v="707"/>
    <n v="0.17219999999999999"/>
    <n v="1.11E-2"/>
    <n v="5.5999999999999999E-3"/>
  </r>
  <r>
    <n v="2009"/>
    <n v="2"/>
    <x v="5"/>
    <x v="5"/>
    <s v="SEA"/>
    <s v="Seattle, WA: Seattle/Tacoma International"/>
    <n v="3287"/>
    <n v="617"/>
    <n v="130.86000000000001"/>
    <n v="8.77"/>
    <n v="223.49"/>
    <n v="5.09"/>
    <n v="248.79"/>
    <n v="19"/>
    <n v="5"/>
    <n v="30029"/>
    <n v="9039"/>
    <n v="420"/>
    <n v="6504"/>
    <n v="221"/>
    <n v="13845"/>
    <n v="0.18770000000000001"/>
    <n v="5.7999999999999996E-3"/>
    <n v="1.5E-3"/>
  </r>
  <r>
    <n v="2009"/>
    <n v="2"/>
    <x v="6"/>
    <x v="6"/>
    <s v="SEA"/>
    <s v="Seattle, WA: Seattle/Tacoma International"/>
    <n v="140"/>
    <n v="14"/>
    <n v="1.75"/>
    <n v="0"/>
    <n v="2.46"/>
    <n v="0"/>
    <n v="9.7899999999999991"/>
    <n v="0"/>
    <n v="0"/>
    <n v="500"/>
    <n v="48"/>
    <n v="0"/>
    <n v="87"/>
    <n v="0"/>
    <n v="365"/>
    <n v="0.1"/>
    <n v="0"/>
    <n v="0"/>
  </r>
  <r>
    <n v="2009"/>
    <n v="2"/>
    <x v="17"/>
    <x v="17"/>
    <s v="SEA"/>
    <s v="Seattle, WA: Seattle/Tacoma International"/>
    <n v="274"/>
    <n v="65"/>
    <n v="23.1"/>
    <n v="1.22"/>
    <n v="31.39"/>
    <n v="0.44"/>
    <n v="8.84"/>
    <n v="4"/>
    <n v="0"/>
    <n v="2457"/>
    <n v="903"/>
    <n v="60"/>
    <n v="1046"/>
    <n v="8"/>
    <n v="440"/>
    <n v="0.23719999999999999"/>
    <n v="1.46E-2"/>
    <n v="0"/>
  </r>
  <r>
    <n v="2009"/>
    <n v="2"/>
    <x v="7"/>
    <x v="7"/>
    <s v="SEA"/>
    <s v="Seattle, WA: Seattle/Tacoma International"/>
    <n v="354"/>
    <n v="41"/>
    <n v="8.94"/>
    <n v="0.95"/>
    <n v="22.62"/>
    <n v="0"/>
    <n v="8.49"/>
    <n v="0"/>
    <n v="2"/>
    <n v="1603"/>
    <n v="255"/>
    <n v="310"/>
    <n v="690"/>
    <n v="0"/>
    <n v="348"/>
    <n v="0.1158"/>
    <n v="0"/>
    <n v="5.5999999999999999E-3"/>
  </r>
  <r>
    <n v="2009"/>
    <n v="2"/>
    <x v="8"/>
    <x v="8"/>
    <s v="SEA"/>
    <s v="Seattle, WA: Seattle/Tacoma International"/>
    <n v="108"/>
    <n v="16"/>
    <n v="7.84"/>
    <n v="0"/>
    <n v="6.76"/>
    <n v="0"/>
    <n v="1.4"/>
    <n v="0"/>
    <n v="0"/>
    <n v="725"/>
    <n v="336"/>
    <n v="0"/>
    <n v="210"/>
    <n v="0"/>
    <n v="179"/>
    <n v="0.14810000000000001"/>
    <n v="0"/>
    <n v="0"/>
  </r>
  <r>
    <n v="2009"/>
    <n v="2"/>
    <x v="0"/>
    <x v="0"/>
    <s v="SEA"/>
    <s v="Seattle, WA: Seattle/Tacoma International"/>
    <n v="81"/>
    <n v="37"/>
    <n v="31.77"/>
    <n v="0"/>
    <n v="0"/>
    <n v="0"/>
    <n v="5.23"/>
    <n v="0"/>
    <n v="0"/>
    <n v="1994"/>
    <n v="1555"/>
    <n v="0"/>
    <n v="0"/>
    <n v="0"/>
    <n v="439"/>
    <n v="0.45679999999999998"/>
    <n v="0"/>
    <n v="0"/>
  </r>
  <r>
    <n v="2009"/>
    <n v="2"/>
    <x v="18"/>
    <x v="18"/>
    <s v="SEA"/>
    <s v="Seattle, WA: Seattle/Tacoma International"/>
    <n v="321"/>
    <n v="78"/>
    <n v="24.43"/>
    <n v="0.7"/>
    <n v="48.09"/>
    <n v="0"/>
    <n v="4.78"/>
    <n v="1"/>
    <n v="1"/>
    <n v="3613"/>
    <n v="1923"/>
    <n v="111"/>
    <n v="1313"/>
    <n v="0"/>
    <n v="266"/>
    <n v="0.24299999999999999"/>
    <n v="3.0999999999999999E-3"/>
    <n v="3.0999999999999999E-3"/>
  </r>
  <r>
    <n v="2009"/>
    <n v="2"/>
    <x v="2"/>
    <x v="2"/>
    <s v="SEA"/>
    <s v="Seattle, WA: Seattle/Tacoma International"/>
    <n v="407"/>
    <n v="17"/>
    <n v="6.84"/>
    <n v="0.89"/>
    <n v="2.7"/>
    <n v="0"/>
    <n v="6.57"/>
    <n v="7"/>
    <n v="0"/>
    <n v="601"/>
    <n v="246"/>
    <n v="32"/>
    <n v="70"/>
    <n v="0"/>
    <n v="253"/>
    <n v="4.1799999999999997E-2"/>
    <n v="1.72E-2"/>
    <n v="0"/>
  </r>
  <r>
    <n v="2009"/>
    <n v="2"/>
    <x v="9"/>
    <x v="9"/>
    <s v="SEA"/>
    <s v="Seattle, WA: Seattle/Tacoma International"/>
    <n v="540"/>
    <n v="73"/>
    <n v="30.59"/>
    <n v="2"/>
    <n v="6.86"/>
    <n v="0"/>
    <n v="33.549999999999997"/>
    <n v="3"/>
    <n v="1"/>
    <n v="4536"/>
    <n v="1950"/>
    <n v="85"/>
    <n v="170"/>
    <n v="0"/>
    <n v="2331"/>
    <n v="0.13519999999999999"/>
    <n v="5.5999999999999999E-3"/>
    <n v="1.9E-3"/>
  </r>
  <r>
    <n v="2009"/>
    <n v="2"/>
    <x v="15"/>
    <x v="15"/>
    <s v="SEA"/>
    <s v="Seattle, WA: Seattle/Tacoma International"/>
    <n v="252"/>
    <n v="37"/>
    <n v="11.32"/>
    <n v="0"/>
    <n v="13.78"/>
    <n v="0"/>
    <n v="11.89"/>
    <n v="0"/>
    <n v="0"/>
    <n v="1482"/>
    <n v="474"/>
    <n v="0"/>
    <n v="431"/>
    <n v="0"/>
    <n v="577"/>
    <n v="0.14680000000000001"/>
    <n v="0"/>
    <n v="0"/>
  </r>
  <r>
    <n v="2009"/>
    <n v="2"/>
    <x v="10"/>
    <x v="10"/>
    <s v="SEA"/>
    <s v="Seattle, WA: Seattle/Tacoma International"/>
    <n v="1076"/>
    <n v="87"/>
    <n v="26.97"/>
    <n v="0.96"/>
    <n v="8.31"/>
    <n v="0.38"/>
    <n v="50.38"/>
    <n v="2"/>
    <n v="0"/>
    <n v="3582"/>
    <n v="1398"/>
    <n v="36"/>
    <n v="191"/>
    <n v="12"/>
    <n v="1945"/>
    <n v="8.09E-2"/>
    <n v="1.9E-3"/>
    <n v="0"/>
  </r>
  <r>
    <n v="2009"/>
    <n v="1"/>
    <x v="4"/>
    <x v="4"/>
    <s v="SEA"/>
    <s v="Seattle, WA: Seattle/Tacoma International"/>
    <n v="394"/>
    <n v="129"/>
    <n v="35.1"/>
    <n v="13.62"/>
    <n v="63"/>
    <n v="0"/>
    <n v="17.27"/>
    <n v="12"/>
    <n v="4"/>
    <n v="6345"/>
    <n v="1940"/>
    <n v="836"/>
    <n v="2476"/>
    <n v="0"/>
    <n v="1093"/>
    <n v="0.32740000000000002"/>
    <n v="3.0499999999999999E-2"/>
    <n v="1.0200000000000001E-2"/>
  </r>
  <r>
    <n v="2009"/>
    <n v="1"/>
    <x v="5"/>
    <x v="5"/>
    <s v="SEA"/>
    <s v="Seattle, WA: Seattle/Tacoma International"/>
    <n v="3593"/>
    <n v="936"/>
    <n v="174.92"/>
    <n v="21.34"/>
    <n v="405.18"/>
    <n v="4.3"/>
    <n v="330.26"/>
    <n v="52"/>
    <n v="31"/>
    <n v="47573"/>
    <n v="13128"/>
    <n v="1648"/>
    <n v="14081"/>
    <n v="114"/>
    <n v="18602"/>
    <n v="0.26050000000000001"/>
    <n v="1.4500000000000001E-2"/>
    <n v="8.6E-3"/>
  </r>
  <r>
    <n v="2009"/>
    <n v="1"/>
    <x v="6"/>
    <x v="6"/>
    <s v="SEA"/>
    <s v="Seattle, WA: Seattle/Tacoma International"/>
    <n v="155"/>
    <n v="29"/>
    <n v="8.16"/>
    <n v="0.97"/>
    <n v="15.17"/>
    <n v="0"/>
    <n v="4.6900000000000004"/>
    <n v="1"/>
    <n v="3"/>
    <n v="1151"/>
    <n v="254"/>
    <n v="141"/>
    <n v="497"/>
    <n v="0"/>
    <n v="259"/>
    <n v="0.18709999999999999"/>
    <n v="6.4999999999999997E-3"/>
    <n v="1.9400000000000001E-2"/>
  </r>
  <r>
    <n v="2009"/>
    <n v="1"/>
    <x v="17"/>
    <x v="17"/>
    <s v="SEA"/>
    <s v="Seattle, WA: Seattle/Tacoma International"/>
    <n v="282"/>
    <n v="109"/>
    <n v="43.17"/>
    <n v="2.9"/>
    <n v="44.7"/>
    <n v="1.67"/>
    <n v="16.559999999999999"/>
    <n v="1"/>
    <n v="2"/>
    <n v="5636"/>
    <n v="2209"/>
    <n v="266"/>
    <n v="1777"/>
    <n v="63"/>
    <n v="1321"/>
    <n v="0.38650000000000001"/>
    <n v="3.5000000000000001E-3"/>
    <n v="7.1000000000000004E-3"/>
  </r>
  <r>
    <n v="2009"/>
    <n v="1"/>
    <x v="7"/>
    <x v="7"/>
    <s v="SEA"/>
    <s v="Seattle, WA: Seattle/Tacoma International"/>
    <n v="371"/>
    <n v="100"/>
    <n v="20.86"/>
    <n v="4.07"/>
    <n v="60.27"/>
    <n v="0"/>
    <n v="14.8"/>
    <n v="2"/>
    <n v="9"/>
    <n v="4532"/>
    <n v="1119"/>
    <n v="265"/>
    <n v="2438"/>
    <n v="0"/>
    <n v="710"/>
    <n v="0.26950000000000002"/>
    <n v="5.4000000000000003E-3"/>
    <n v="2.4299999999999999E-2"/>
  </r>
  <r>
    <n v="2009"/>
    <n v="1"/>
    <x v="8"/>
    <x v="8"/>
    <s v="SEA"/>
    <s v="Seattle, WA: Seattle/Tacoma International"/>
    <n v="120"/>
    <n v="49"/>
    <n v="15.23"/>
    <n v="0.46"/>
    <n v="26.92"/>
    <n v="0"/>
    <n v="6.39"/>
    <n v="0"/>
    <n v="0"/>
    <n v="2121"/>
    <n v="659"/>
    <n v="10"/>
    <n v="1113"/>
    <n v="0"/>
    <n v="339"/>
    <n v="0.4083"/>
    <n v="0"/>
    <n v="0"/>
  </r>
  <r>
    <n v="2009"/>
    <n v="1"/>
    <x v="0"/>
    <x v="0"/>
    <s v="SEA"/>
    <s v="Seattle, WA: Seattle/Tacoma International"/>
    <n v="92"/>
    <n v="36"/>
    <n v="32.979999999999997"/>
    <n v="0"/>
    <n v="0.99"/>
    <n v="0"/>
    <n v="2.0299999999999998"/>
    <n v="1"/>
    <n v="0"/>
    <n v="1390"/>
    <n v="1210"/>
    <n v="0"/>
    <n v="111"/>
    <n v="0"/>
    <n v="69"/>
    <n v="0.39129999999999998"/>
    <n v="1.09E-2"/>
    <n v="0"/>
  </r>
  <r>
    <n v="2009"/>
    <n v="1"/>
    <x v="18"/>
    <x v="18"/>
    <s v="SEA"/>
    <s v="Seattle, WA: Seattle/Tacoma International"/>
    <n v="359"/>
    <n v="164"/>
    <n v="50.51"/>
    <n v="3.34"/>
    <n v="93.17"/>
    <n v="0"/>
    <n v="16.98"/>
    <n v="2"/>
    <n v="1"/>
    <n v="8068"/>
    <n v="3026"/>
    <n v="342"/>
    <n v="3474"/>
    <n v="0"/>
    <n v="1226"/>
    <n v="0.45679999999999998"/>
    <n v="5.5999999999999999E-3"/>
    <n v="2.8E-3"/>
  </r>
  <r>
    <n v="2009"/>
    <n v="1"/>
    <x v="2"/>
    <x v="2"/>
    <s v="SEA"/>
    <s v="Seattle, WA: Seattle/Tacoma International"/>
    <n v="439"/>
    <n v="66"/>
    <n v="13.08"/>
    <n v="6.97"/>
    <n v="32.69"/>
    <n v="0"/>
    <n v="13.27"/>
    <n v="28"/>
    <n v="9"/>
    <n v="2784"/>
    <n v="390"/>
    <n v="442"/>
    <n v="1045"/>
    <n v="0"/>
    <n v="907"/>
    <n v="0.15029999999999999"/>
    <n v="6.3799999999999996E-2"/>
    <n v="2.0500000000000001E-2"/>
  </r>
  <r>
    <n v="2009"/>
    <n v="1"/>
    <x v="9"/>
    <x v="9"/>
    <s v="SEA"/>
    <s v="Seattle, WA: Seattle/Tacoma International"/>
    <n v="580"/>
    <n v="149"/>
    <n v="35.67"/>
    <n v="2.97"/>
    <n v="57.13"/>
    <n v="0.7"/>
    <n v="52.53"/>
    <n v="4"/>
    <n v="2"/>
    <n v="7971"/>
    <n v="2646"/>
    <n v="198"/>
    <n v="1691"/>
    <n v="19"/>
    <n v="3417"/>
    <n v="0.25690000000000002"/>
    <n v="6.8999999999999999E-3"/>
    <n v="3.3999999999999998E-3"/>
  </r>
  <r>
    <n v="2009"/>
    <n v="1"/>
    <x v="15"/>
    <x v="15"/>
    <s v="SEA"/>
    <s v="Seattle, WA: Seattle/Tacoma International"/>
    <n v="289"/>
    <n v="78"/>
    <n v="18.100000000000001"/>
    <n v="0"/>
    <n v="37.94"/>
    <n v="0"/>
    <n v="21.96"/>
    <n v="1"/>
    <n v="2"/>
    <n v="4015"/>
    <n v="957"/>
    <n v="0"/>
    <n v="1429"/>
    <n v="0"/>
    <n v="1629"/>
    <n v="0.26989999999999997"/>
    <n v="3.5000000000000001E-3"/>
    <n v="6.8999999999999999E-3"/>
  </r>
  <r>
    <n v="2009"/>
    <n v="1"/>
    <x v="10"/>
    <x v="10"/>
    <s v="SEA"/>
    <s v="Seattle, WA: Seattle/Tacoma International"/>
    <n v="1229"/>
    <n v="211"/>
    <n v="49.54"/>
    <n v="18.48"/>
    <n v="52.64"/>
    <n v="0.26"/>
    <n v="90.08"/>
    <n v="13"/>
    <n v="18"/>
    <n v="9914"/>
    <n v="1892"/>
    <n v="1588"/>
    <n v="2114"/>
    <n v="7"/>
    <n v="4313"/>
    <n v="0.17169999999999999"/>
    <n v="1.06E-2"/>
    <n v="1.46E-2"/>
  </r>
  <r>
    <n v="2008"/>
    <n v="12"/>
    <x v="4"/>
    <x v="4"/>
    <s v="SEA"/>
    <s v="Seattle, WA: Seattle/Tacoma International"/>
    <n v="394"/>
    <n v="169"/>
    <n v="46.44"/>
    <n v="21.52"/>
    <n v="80.2"/>
    <n v="0"/>
    <n v="20.84"/>
    <n v="8"/>
    <n v="1"/>
    <n v="10004"/>
    <n v="2742"/>
    <n v="1702"/>
    <n v="3604"/>
    <n v="0"/>
    <n v="1956"/>
    <n v="0.4289"/>
    <n v="2.0299999999999999E-2"/>
    <n v="2.5000000000000001E-3"/>
  </r>
  <r>
    <n v="2008"/>
    <n v="12"/>
    <x v="5"/>
    <x v="5"/>
    <s v="SEA"/>
    <s v="Seattle, WA: Seattle/Tacoma International"/>
    <n v="3675"/>
    <n v="1339"/>
    <n v="273.95999999999998"/>
    <n v="43.96"/>
    <n v="442.09"/>
    <n v="5.19"/>
    <n v="573.79"/>
    <n v="225"/>
    <n v="12"/>
    <n v="84366"/>
    <n v="19785"/>
    <n v="4833"/>
    <n v="18022"/>
    <n v="166"/>
    <n v="41560"/>
    <n v="0.3644"/>
    <n v="6.1199999999999997E-2"/>
    <n v="3.3E-3"/>
  </r>
  <r>
    <n v="2008"/>
    <n v="12"/>
    <x v="6"/>
    <x v="6"/>
    <s v="SEA"/>
    <s v="Seattle, WA: Seattle/Tacoma International"/>
    <n v="149"/>
    <n v="56"/>
    <n v="17.899999999999999"/>
    <n v="0.06"/>
    <n v="20.239999999999998"/>
    <n v="0"/>
    <n v="17.809999999999999"/>
    <n v="9"/>
    <n v="1"/>
    <n v="3876"/>
    <n v="1498"/>
    <n v="8"/>
    <n v="964"/>
    <n v="0"/>
    <n v="1406"/>
    <n v="0.37580000000000002"/>
    <n v="6.0400000000000002E-2"/>
    <n v="6.7000000000000002E-3"/>
  </r>
  <r>
    <n v="2008"/>
    <n v="12"/>
    <x v="17"/>
    <x v="17"/>
    <s v="SEA"/>
    <s v="Seattle, WA: Seattle/Tacoma International"/>
    <n v="393"/>
    <n v="176"/>
    <n v="63.74"/>
    <n v="13.51"/>
    <n v="64.599999999999994"/>
    <n v="2.5299999999999998"/>
    <n v="31.63"/>
    <n v="16"/>
    <n v="0"/>
    <n v="10456"/>
    <n v="3175"/>
    <n v="953"/>
    <n v="3316"/>
    <n v="125"/>
    <n v="2887"/>
    <n v="0.44779999999999998"/>
    <n v="4.07E-2"/>
    <n v="0"/>
  </r>
  <r>
    <n v="2008"/>
    <n v="12"/>
    <x v="7"/>
    <x v="7"/>
    <s v="SEA"/>
    <s v="Seattle, WA: Seattle/Tacoma International"/>
    <n v="438"/>
    <n v="192"/>
    <n v="44.51"/>
    <n v="7.61"/>
    <n v="104.08"/>
    <n v="0"/>
    <n v="35.799999999999997"/>
    <n v="9"/>
    <n v="10"/>
    <n v="10373"/>
    <n v="2276"/>
    <n v="766"/>
    <n v="4739"/>
    <n v="0"/>
    <n v="2592"/>
    <n v="0.43840000000000001"/>
    <n v="2.0500000000000001E-2"/>
    <n v="2.2800000000000001E-2"/>
  </r>
  <r>
    <n v="2008"/>
    <n v="12"/>
    <x v="8"/>
    <x v="8"/>
    <s v="SEA"/>
    <s v="Seattle, WA: Seattle/Tacoma International"/>
    <n v="119"/>
    <n v="66"/>
    <n v="29.41"/>
    <n v="0.62"/>
    <n v="28.89"/>
    <n v="0"/>
    <n v="7.08"/>
    <n v="8"/>
    <n v="0"/>
    <n v="2551"/>
    <n v="1010"/>
    <n v="17"/>
    <n v="1077"/>
    <n v="0"/>
    <n v="447"/>
    <n v="0.55459999999999998"/>
    <n v="6.7199999999999996E-2"/>
    <n v="0"/>
  </r>
  <r>
    <n v="2008"/>
    <n v="12"/>
    <x v="0"/>
    <x v="0"/>
    <s v="SEA"/>
    <s v="Seattle, WA: Seattle/Tacoma International"/>
    <n v="93"/>
    <n v="48"/>
    <n v="35.82"/>
    <n v="1.44"/>
    <n v="0.4"/>
    <n v="0"/>
    <n v="10.35"/>
    <n v="6"/>
    <n v="1"/>
    <n v="2854"/>
    <n v="1666"/>
    <n v="145"/>
    <n v="42"/>
    <n v="0"/>
    <n v="1001"/>
    <n v="0.5161"/>
    <n v="6.4500000000000002E-2"/>
    <n v="1.0800000000000001E-2"/>
  </r>
  <r>
    <n v="2008"/>
    <n v="12"/>
    <x v="18"/>
    <x v="18"/>
    <s v="SEA"/>
    <s v="Seattle, WA: Seattle/Tacoma International"/>
    <n v="412"/>
    <n v="228"/>
    <n v="67.34"/>
    <n v="5.99"/>
    <n v="135.56"/>
    <n v="0.42"/>
    <n v="18.690000000000001"/>
    <n v="19"/>
    <n v="0"/>
    <n v="11837"/>
    <n v="4030"/>
    <n v="429"/>
    <n v="5706"/>
    <n v="13"/>
    <n v="1659"/>
    <n v="0.5534"/>
    <n v="4.6100000000000002E-2"/>
    <n v="0"/>
  </r>
  <r>
    <n v="2008"/>
    <n v="12"/>
    <x v="2"/>
    <x v="2"/>
    <s v="SEA"/>
    <s v="Seattle, WA: Seattle/Tacoma International"/>
    <n v="428"/>
    <n v="129"/>
    <n v="25.41"/>
    <n v="7.02"/>
    <n v="49.48"/>
    <n v="0"/>
    <n v="47.1"/>
    <n v="30"/>
    <n v="2"/>
    <n v="6242"/>
    <n v="1166"/>
    <n v="635"/>
    <n v="2227"/>
    <n v="0"/>
    <n v="2214"/>
    <n v="0.3014"/>
    <n v="7.0099999999999996E-2"/>
    <n v="4.7000000000000002E-3"/>
  </r>
  <r>
    <n v="2008"/>
    <n v="12"/>
    <x v="9"/>
    <x v="9"/>
    <s v="SEA"/>
    <s v="Seattle, WA: Seattle/Tacoma International"/>
    <n v="606"/>
    <n v="201"/>
    <n v="57.09"/>
    <n v="11.84"/>
    <n v="59.47"/>
    <n v="0"/>
    <n v="72.599999999999994"/>
    <n v="28"/>
    <n v="0"/>
    <n v="11562"/>
    <n v="3390"/>
    <n v="647"/>
    <n v="2343"/>
    <n v="0"/>
    <n v="5182"/>
    <n v="0.33169999999999999"/>
    <n v="4.6199999999999998E-2"/>
    <n v="0"/>
  </r>
  <r>
    <n v="2008"/>
    <n v="12"/>
    <x v="15"/>
    <x v="15"/>
    <s v="SEA"/>
    <s v="Seattle, WA: Seattle/Tacoma International"/>
    <n v="330"/>
    <n v="113"/>
    <n v="29.71"/>
    <n v="0.03"/>
    <n v="41.92"/>
    <n v="0.91"/>
    <n v="40.43"/>
    <n v="10"/>
    <n v="5"/>
    <n v="5864"/>
    <n v="1336"/>
    <n v="7"/>
    <n v="1870"/>
    <n v="31"/>
    <n v="2620"/>
    <n v="0.34239999999999998"/>
    <n v="3.0300000000000001E-2"/>
    <n v="1.52E-2"/>
  </r>
  <r>
    <n v="2008"/>
    <n v="12"/>
    <x v="10"/>
    <x v="10"/>
    <s v="SEA"/>
    <s v="Seattle, WA: Seattle/Tacoma International"/>
    <n v="1311"/>
    <n v="414"/>
    <n v="93.3"/>
    <n v="23.7"/>
    <n v="69.06"/>
    <n v="2.1"/>
    <n v="225.84"/>
    <n v="47"/>
    <n v="9"/>
    <n v="26574"/>
    <n v="4841"/>
    <n v="2855"/>
    <n v="3499"/>
    <n v="54"/>
    <n v="15325"/>
    <n v="0.31580000000000003"/>
    <n v="3.5900000000000001E-2"/>
    <n v="6.8999999999999999E-3"/>
  </r>
  <r>
    <n v="2008"/>
    <n v="11"/>
    <x v="4"/>
    <x v="4"/>
    <s v="SEA"/>
    <s v="Seattle, WA: Seattle/Tacoma International"/>
    <n v="375"/>
    <n v="87"/>
    <n v="35.08"/>
    <n v="2.09"/>
    <n v="42.12"/>
    <n v="0"/>
    <n v="7.71"/>
    <n v="2"/>
    <n v="2"/>
    <n v="4996"/>
    <n v="2226"/>
    <n v="829"/>
    <n v="1289"/>
    <n v="0"/>
    <n v="652"/>
    <n v="0.23200000000000001"/>
    <n v="5.3E-3"/>
    <n v="5.3E-3"/>
  </r>
  <r>
    <n v="2008"/>
    <n v="11"/>
    <x v="5"/>
    <x v="5"/>
    <s v="SEA"/>
    <s v="Seattle, WA: Seattle/Tacoma International"/>
    <n v="3591"/>
    <n v="678"/>
    <n v="135.24"/>
    <n v="8.6199999999999992"/>
    <n v="319.17"/>
    <n v="3.13"/>
    <n v="211.85"/>
    <n v="12"/>
    <n v="3"/>
    <n v="30046"/>
    <n v="8942"/>
    <n v="375"/>
    <n v="9303"/>
    <n v="82"/>
    <n v="11344"/>
    <n v="0.1888"/>
    <n v="3.3E-3"/>
    <n v="8.0000000000000004E-4"/>
  </r>
  <r>
    <n v="2008"/>
    <n v="11"/>
    <x v="6"/>
    <x v="6"/>
    <s v="SEA"/>
    <s v="Seattle, WA: Seattle/Tacoma International"/>
    <n v="145"/>
    <n v="18"/>
    <n v="7.84"/>
    <n v="0.43"/>
    <n v="2.82"/>
    <n v="0"/>
    <n v="6.91"/>
    <n v="0"/>
    <n v="0"/>
    <n v="1011"/>
    <n v="364"/>
    <n v="52"/>
    <n v="166"/>
    <n v="0"/>
    <n v="429"/>
    <n v="0.1241"/>
    <n v="0"/>
    <n v="0"/>
  </r>
  <r>
    <n v="2008"/>
    <n v="11"/>
    <x v="17"/>
    <x v="17"/>
    <s v="SEA"/>
    <s v="Seattle, WA: Seattle/Tacoma International"/>
    <n v="320"/>
    <n v="88"/>
    <n v="33.11"/>
    <n v="1.7"/>
    <n v="37.04"/>
    <n v="1.92"/>
    <n v="14.23"/>
    <n v="1"/>
    <n v="0"/>
    <n v="4477"/>
    <n v="1767"/>
    <n v="178"/>
    <n v="1503"/>
    <n v="53"/>
    <n v="976"/>
    <n v="0.27500000000000002"/>
    <n v="3.0999999999999999E-3"/>
    <n v="0"/>
  </r>
  <r>
    <n v="2008"/>
    <n v="11"/>
    <x v="7"/>
    <x v="7"/>
    <s v="SEA"/>
    <s v="Seattle, WA: Seattle/Tacoma International"/>
    <n v="416"/>
    <n v="69"/>
    <n v="15.06"/>
    <n v="1.5"/>
    <n v="37.340000000000003"/>
    <n v="0"/>
    <n v="15.09"/>
    <n v="0"/>
    <n v="2"/>
    <n v="3320"/>
    <n v="968"/>
    <n v="101"/>
    <n v="1192"/>
    <n v="0"/>
    <n v="1059"/>
    <n v="0.16589999999999999"/>
    <n v="0"/>
    <n v="4.7999999999999996E-3"/>
  </r>
  <r>
    <n v="2008"/>
    <n v="11"/>
    <x v="8"/>
    <x v="8"/>
    <s v="SEA"/>
    <s v="Seattle, WA: Seattle/Tacoma International"/>
    <n v="115"/>
    <n v="38"/>
    <n v="8.57"/>
    <n v="0.44"/>
    <n v="24.29"/>
    <n v="0"/>
    <n v="4.7"/>
    <n v="0"/>
    <n v="1"/>
    <n v="1328"/>
    <n v="281"/>
    <n v="19"/>
    <n v="818"/>
    <n v="0"/>
    <n v="210"/>
    <n v="0.33040000000000003"/>
    <n v="0"/>
    <n v="8.6999999999999994E-3"/>
  </r>
  <r>
    <n v="2008"/>
    <n v="11"/>
    <x v="16"/>
    <x v="16"/>
    <s v="SEA"/>
    <s v="Seattle, WA: Seattle/Tacoma International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08"/>
    <n v="11"/>
    <x v="0"/>
    <x v="0"/>
    <s v="SEA"/>
    <s v="Seattle, WA: Seattle/Tacoma International"/>
    <n v="90"/>
    <n v="25"/>
    <n v="21.91"/>
    <n v="0"/>
    <n v="0"/>
    <n v="0"/>
    <n v="3.09"/>
    <n v="2"/>
    <n v="1"/>
    <n v="1080"/>
    <n v="838"/>
    <n v="0"/>
    <n v="0"/>
    <n v="0"/>
    <n v="242"/>
    <n v="0.27779999999999999"/>
    <n v="2.2200000000000001E-2"/>
    <n v="1.11E-2"/>
  </r>
  <r>
    <n v="2008"/>
    <n v="11"/>
    <x v="18"/>
    <x v="18"/>
    <s v="SEA"/>
    <s v="Seattle, WA: Seattle/Tacoma International"/>
    <n v="357"/>
    <n v="59"/>
    <n v="20.14"/>
    <n v="0"/>
    <n v="36.08"/>
    <n v="0"/>
    <n v="2.78"/>
    <n v="0"/>
    <n v="0"/>
    <n v="1959"/>
    <n v="930"/>
    <n v="0"/>
    <n v="932"/>
    <n v="0"/>
    <n v="97"/>
    <n v="0.1653"/>
    <n v="0"/>
    <n v="0"/>
  </r>
  <r>
    <n v="2008"/>
    <n v="11"/>
    <x v="2"/>
    <x v="2"/>
    <s v="SEA"/>
    <s v="Seattle, WA: Seattle/Tacoma International"/>
    <n v="413"/>
    <n v="68"/>
    <n v="17.489999999999998"/>
    <n v="1"/>
    <n v="29.99"/>
    <n v="0.27"/>
    <n v="19.25"/>
    <n v="15"/>
    <n v="0"/>
    <n v="2505"/>
    <n v="601"/>
    <n v="27"/>
    <n v="855"/>
    <n v="4"/>
    <n v="1018"/>
    <n v="0.1646"/>
    <n v="3.6299999999999999E-2"/>
    <n v="0"/>
  </r>
  <r>
    <n v="2008"/>
    <n v="11"/>
    <x v="9"/>
    <x v="9"/>
    <s v="SEA"/>
    <s v="Seattle, WA: Seattle/Tacoma International"/>
    <n v="579"/>
    <n v="84"/>
    <n v="24.44"/>
    <n v="0.61"/>
    <n v="22.95"/>
    <n v="0"/>
    <n v="36.01"/>
    <n v="4"/>
    <n v="0"/>
    <n v="4910"/>
    <n v="1906"/>
    <n v="30"/>
    <n v="794"/>
    <n v="0"/>
    <n v="2180"/>
    <n v="0.14510000000000001"/>
    <n v="6.8999999999999999E-3"/>
    <n v="0"/>
  </r>
  <r>
    <n v="2008"/>
    <n v="11"/>
    <x v="15"/>
    <x v="15"/>
    <s v="SEA"/>
    <s v="Seattle, WA: Seattle/Tacoma International"/>
    <n v="296"/>
    <n v="50"/>
    <n v="15.12"/>
    <n v="0.14000000000000001"/>
    <n v="23.74"/>
    <n v="0.41"/>
    <n v="10.58"/>
    <n v="0"/>
    <n v="2"/>
    <n v="1800"/>
    <n v="645"/>
    <n v="6"/>
    <n v="666"/>
    <n v="12"/>
    <n v="471"/>
    <n v="0.16889999999999999"/>
    <n v="0"/>
    <n v="6.7999999999999996E-3"/>
  </r>
  <r>
    <n v="2008"/>
    <n v="11"/>
    <x v="10"/>
    <x v="10"/>
    <s v="SEA"/>
    <s v="Seattle, WA: Seattle/Tacoma International"/>
    <n v="1247"/>
    <n v="141"/>
    <n v="34.5"/>
    <n v="3.44"/>
    <n v="23.33"/>
    <n v="0"/>
    <n v="79.73"/>
    <n v="10"/>
    <n v="1"/>
    <n v="6310"/>
    <n v="1263"/>
    <n v="98"/>
    <n v="673"/>
    <n v="0"/>
    <n v="4276"/>
    <n v="0.11310000000000001"/>
    <n v="8.0000000000000002E-3"/>
    <n v="8.0000000000000004E-4"/>
  </r>
  <r>
    <n v="2008"/>
    <n v="10"/>
    <x v="4"/>
    <x v="4"/>
    <s v="SEA"/>
    <s v="Seattle, WA: Seattle/Tacoma International"/>
    <n v="449"/>
    <n v="111"/>
    <n v="42.77"/>
    <n v="1.47"/>
    <n v="47.42"/>
    <n v="0"/>
    <n v="19.34"/>
    <n v="1"/>
    <n v="2"/>
    <n v="4614"/>
    <n v="2077"/>
    <n v="83"/>
    <n v="1259"/>
    <n v="0"/>
    <n v="1195"/>
    <n v="0.2472"/>
    <n v="2.2000000000000001E-3"/>
    <n v="4.4999999999999997E-3"/>
  </r>
  <r>
    <n v="2008"/>
    <n v="10"/>
    <x v="5"/>
    <x v="5"/>
    <s v="SEA"/>
    <s v="Seattle, WA: Seattle/Tacoma International"/>
    <n v="4070"/>
    <n v="611"/>
    <n v="149.01"/>
    <n v="0"/>
    <n v="282.41000000000003"/>
    <n v="0"/>
    <n v="179.59"/>
    <n v="28"/>
    <n v="7"/>
    <n v="25642"/>
    <n v="9222"/>
    <n v="0"/>
    <n v="7557"/>
    <n v="0"/>
    <n v="8863"/>
    <n v="0.15010000000000001"/>
    <n v="6.8999999999999999E-3"/>
    <n v="1.6999999999999999E-3"/>
  </r>
  <r>
    <n v="2008"/>
    <n v="10"/>
    <x v="6"/>
    <x v="6"/>
    <s v="SEA"/>
    <s v="Seattle, WA: Seattle/Tacoma International"/>
    <n v="156"/>
    <n v="26"/>
    <n v="5.33"/>
    <n v="0"/>
    <n v="15.08"/>
    <n v="0"/>
    <n v="5.59"/>
    <n v="0"/>
    <n v="1"/>
    <n v="848"/>
    <n v="172"/>
    <n v="0"/>
    <n v="425"/>
    <n v="0"/>
    <n v="251"/>
    <n v="0.16669999999999999"/>
    <n v="0"/>
    <n v="6.4000000000000003E-3"/>
  </r>
  <r>
    <n v="2008"/>
    <n v="10"/>
    <x v="17"/>
    <x v="17"/>
    <s v="SEA"/>
    <s v="Seattle, WA: Seattle/Tacoma International"/>
    <n v="343"/>
    <n v="88"/>
    <n v="28.12"/>
    <n v="3.65"/>
    <n v="44.58"/>
    <n v="0"/>
    <n v="11.65"/>
    <n v="0"/>
    <n v="0"/>
    <n v="4479"/>
    <n v="1561"/>
    <n v="338"/>
    <n v="1390"/>
    <n v="0"/>
    <n v="1190"/>
    <n v="0.25659999999999999"/>
    <n v="0"/>
    <n v="0"/>
  </r>
  <r>
    <n v="2008"/>
    <n v="10"/>
    <x v="7"/>
    <x v="7"/>
    <s v="SEA"/>
    <s v="Seattle, WA: Seattle/Tacoma International"/>
    <n v="435"/>
    <n v="66"/>
    <n v="21"/>
    <n v="2.4900000000000002"/>
    <n v="34.58"/>
    <n v="0"/>
    <n v="7.93"/>
    <n v="1"/>
    <n v="0"/>
    <n v="2380"/>
    <n v="963"/>
    <n v="120"/>
    <n v="884"/>
    <n v="0"/>
    <n v="413"/>
    <n v="0.1517"/>
    <n v="2.3E-3"/>
    <n v="0"/>
  </r>
  <r>
    <n v="2008"/>
    <n v="10"/>
    <x v="8"/>
    <x v="8"/>
    <s v="SEA"/>
    <s v="Seattle, WA: Seattle/Tacoma International"/>
    <n v="120"/>
    <n v="25"/>
    <n v="6.76"/>
    <n v="0.92"/>
    <n v="17.32"/>
    <n v="0"/>
    <n v="0"/>
    <n v="0"/>
    <n v="0"/>
    <n v="707"/>
    <n v="225"/>
    <n v="34"/>
    <n v="448"/>
    <n v="0"/>
    <n v="0"/>
    <n v="0.20830000000000001"/>
    <n v="0"/>
    <n v="0"/>
  </r>
  <r>
    <n v="2008"/>
    <n v="10"/>
    <x v="16"/>
    <x v="16"/>
    <s v="SEA"/>
    <s v="Seattle, WA: Seattle/Tacoma International"/>
    <n v="38"/>
    <n v="16"/>
    <n v="2.16"/>
    <n v="0"/>
    <n v="11.13"/>
    <n v="0"/>
    <n v="2.7"/>
    <n v="0"/>
    <n v="0"/>
    <n v="550"/>
    <n v="56"/>
    <n v="0"/>
    <n v="339"/>
    <n v="0"/>
    <n v="155"/>
    <n v="0.42109999999999997"/>
    <n v="0"/>
    <n v="0"/>
  </r>
  <r>
    <n v="2008"/>
    <n v="10"/>
    <x v="0"/>
    <x v="0"/>
    <s v="SEA"/>
    <s v="Seattle, WA: Seattle/Tacoma International"/>
    <n v="67"/>
    <n v="16"/>
    <n v="14.32"/>
    <n v="0"/>
    <n v="0"/>
    <n v="0"/>
    <n v="1.68"/>
    <n v="1"/>
    <n v="0"/>
    <n v="838"/>
    <n v="771"/>
    <n v="0"/>
    <n v="0"/>
    <n v="0"/>
    <n v="67"/>
    <n v="0.23880000000000001"/>
    <n v="1.49E-2"/>
    <n v="0"/>
  </r>
  <r>
    <n v="2008"/>
    <n v="10"/>
    <x v="18"/>
    <x v="18"/>
    <s v="SEA"/>
    <s v="Seattle, WA: Seattle/Tacoma International"/>
    <n v="371"/>
    <n v="59"/>
    <n v="24.88"/>
    <n v="0"/>
    <n v="27.6"/>
    <n v="0"/>
    <n v="6.53"/>
    <n v="0"/>
    <n v="1"/>
    <n v="2494"/>
    <n v="1299"/>
    <n v="0"/>
    <n v="749"/>
    <n v="0"/>
    <n v="446"/>
    <n v="0.159"/>
    <n v="0"/>
    <n v="2.7000000000000001E-3"/>
  </r>
  <r>
    <n v="2008"/>
    <n v="10"/>
    <x v="2"/>
    <x v="2"/>
    <s v="SEA"/>
    <s v="Seattle, WA: Seattle/Tacoma International"/>
    <n v="386"/>
    <n v="48"/>
    <n v="8.3800000000000008"/>
    <n v="0.88"/>
    <n v="28"/>
    <n v="0"/>
    <n v="10.74"/>
    <n v="5"/>
    <n v="2"/>
    <n v="1545"/>
    <n v="324"/>
    <n v="35"/>
    <n v="839"/>
    <n v="0"/>
    <n v="347"/>
    <n v="0.1244"/>
    <n v="1.2999999999999999E-2"/>
    <n v="5.1999999999999998E-3"/>
  </r>
  <r>
    <n v="2008"/>
    <n v="10"/>
    <x v="9"/>
    <x v="9"/>
    <s v="SEA"/>
    <s v="Seattle, WA: Seattle/Tacoma International"/>
    <n v="763"/>
    <n v="110"/>
    <n v="30.32"/>
    <n v="2.69"/>
    <n v="37.46"/>
    <n v="0"/>
    <n v="39.53"/>
    <n v="3"/>
    <n v="0"/>
    <n v="5036"/>
    <n v="1612"/>
    <n v="182"/>
    <n v="959"/>
    <n v="0"/>
    <n v="2283"/>
    <n v="0.14419999999999999"/>
    <n v="3.8999999999999998E-3"/>
    <n v="0"/>
  </r>
  <r>
    <n v="2008"/>
    <n v="10"/>
    <x v="15"/>
    <x v="15"/>
    <s v="SEA"/>
    <s v="Seattle, WA: Seattle/Tacoma International"/>
    <n v="325"/>
    <n v="49"/>
    <n v="16.079999999999998"/>
    <n v="0"/>
    <n v="24.5"/>
    <n v="1.36"/>
    <n v="7.06"/>
    <n v="0"/>
    <n v="3"/>
    <n v="1652"/>
    <n v="584"/>
    <n v="0"/>
    <n v="745"/>
    <n v="32"/>
    <n v="291"/>
    <n v="0.15079999999999999"/>
    <n v="0"/>
    <n v="9.1999999999999998E-3"/>
  </r>
  <r>
    <n v="2008"/>
    <n v="10"/>
    <x v="10"/>
    <x v="10"/>
    <s v="SEA"/>
    <s v="Seattle, WA: Seattle/Tacoma International"/>
    <n v="1428"/>
    <n v="170"/>
    <n v="36.770000000000003"/>
    <n v="0.64"/>
    <n v="70.17"/>
    <n v="0"/>
    <n v="62.42"/>
    <n v="3"/>
    <n v="2"/>
    <n v="5905"/>
    <n v="1386"/>
    <n v="14"/>
    <n v="1867"/>
    <n v="0"/>
    <n v="2638"/>
    <n v="0.11899999999999999"/>
    <n v="2.0999999999999999E-3"/>
    <n v="1.4E-3"/>
  </r>
  <r>
    <n v="2008"/>
    <n v="9"/>
    <x v="7"/>
    <x v="7"/>
    <s v="SEA"/>
    <s v="Seattle, WA: Seattle/Tacoma International"/>
    <n v="482"/>
    <n v="66"/>
    <n v="21.75"/>
    <n v="0.24"/>
    <n v="35.11"/>
    <n v="0"/>
    <n v="8.9"/>
    <n v="1"/>
    <n v="0"/>
    <n v="2484"/>
    <n v="931"/>
    <n v="26"/>
    <n v="1014"/>
    <n v="0"/>
    <n v="513"/>
    <n v="0.13689999999999999"/>
    <n v="2.0999999999999999E-3"/>
    <n v="0"/>
  </r>
  <r>
    <n v="2008"/>
    <n v="9"/>
    <x v="8"/>
    <x v="8"/>
    <s v="SEA"/>
    <s v="Seattle, WA: Seattle/Tacoma International"/>
    <n v="118"/>
    <n v="18"/>
    <n v="4.8499999999999996"/>
    <n v="0.17"/>
    <n v="12.28"/>
    <n v="0"/>
    <n v="0.7"/>
    <n v="0"/>
    <n v="0"/>
    <n v="423"/>
    <n v="103"/>
    <n v="5"/>
    <n v="294"/>
    <n v="0"/>
    <n v="21"/>
    <n v="0.1525"/>
    <n v="0"/>
    <n v="0"/>
  </r>
  <r>
    <n v="2008"/>
    <n v="9"/>
    <x v="16"/>
    <x v="16"/>
    <s v="SEA"/>
    <s v="Seattle, WA: Seattle/Tacoma International"/>
    <n v="65"/>
    <n v="15"/>
    <n v="3.06"/>
    <n v="0"/>
    <n v="10.220000000000001"/>
    <n v="0"/>
    <n v="1.72"/>
    <n v="0"/>
    <n v="0"/>
    <n v="423"/>
    <n v="90"/>
    <n v="0"/>
    <n v="298"/>
    <n v="0"/>
    <n v="35"/>
    <n v="0.23080000000000001"/>
    <n v="0"/>
    <n v="0"/>
  </r>
  <r>
    <n v="2008"/>
    <n v="9"/>
    <x v="0"/>
    <x v="0"/>
    <s v="SEA"/>
    <s v="Seattle, WA: Seattle/Tacoma International"/>
    <n v="63"/>
    <n v="6"/>
    <n v="5"/>
    <n v="0"/>
    <n v="0"/>
    <n v="0"/>
    <n v="1"/>
    <n v="0"/>
    <n v="1"/>
    <n v="637"/>
    <n v="622"/>
    <n v="0"/>
    <n v="0"/>
    <n v="0"/>
    <n v="15"/>
    <n v="9.5200000000000007E-2"/>
    <n v="0"/>
    <n v="1.5900000000000001E-2"/>
  </r>
  <r>
    <n v="2008"/>
    <n v="9"/>
    <x v="18"/>
    <x v="18"/>
    <s v="SEA"/>
    <s v="Seattle, WA: Seattle/Tacoma International"/>
    <n v="362"/>
    <n v="41"/>
    <n v="24.48"/>
    <n v="0.45"/>
    <n v="9.8699999999999992"/>
    <n v="1"/>
    <n v="5.2"/>
    <n v="0"/>
    <n v="0"/>
    <n v="1688"/>
    <n v="1119"/>
    <n v="27"/>
    <n v="240"/>
    <n v="33"/>
    <n v="269"/>
    <n v="0.1133"/>
    <n v="0"/>
    <n v="0"/>
  </r>
  <r>
    <n v="2008"/>
    <n v="9"/>
    <x v="2"/>
    <x v="2"/>
    <s v="SEA"/>
    <s v="Seattle, WA: Seattle/Tacoma International"/>
    <n v="375"/>
    <n v="32"/>
    <n v="11.27"/>
    <n v="0"/>
    <n v="15.14"/>
    <n v="0"/>
    <n v="5.59"/>
    <n v="1"/>
    <n v="0"/>
    <n v="1062"/>
    <n v="416"/>
    <n v="0"/>
    <n v="402"/>
    <n v="0"/>
    <n v="244"/>
    <n v="8.5300000000000001E-2"/>
    <n v="2.7000000000000001E-3"/>
    <n v="0"/>
  </r>
  <r>
    <n v="2008"/>
    <n v="9"/>
    <x v="9"/>
    <x v="9"/>
    <s v="SEA"/>
    <s v="Seattle, WA: Seattle/Tacoma International"/>
    <n v="742"/>
    <n v="102"/>
    <n v="34.020000000000003"/>
    <n v="2.2599999999999998"/>
    <n v="27.68"/>
    <n v="0"/>
    <n v="38.03"/>
    <n v="0"/>
    <n v="1"/>
    <n v="4759"/>
    <n v="1862"/>
    <n v="72"/>
    <n v="793"/>
    <n v="0"/>
    <n v="2032"/>
    <n v="0.13750000000000001"/>
    <n v="0"/>
    <n v="1.2999999999999999E-3"/>
  </r>
  <r>
    <n v="2008"/>
    <n v="9"/>
    <x v="15"/>
    <x v="15"/>
    <s v="SEA"/>
    <s v="Seattle, WA: Seattle/Tacoma International"/>
    <n v="356"/>
    <n v="67"/>
    <n v="25.66"/>
    <n v="1.9"/>
    <n v="29.11"/>
    <n v="0"/>
    <n v="10.34"/>
    <n v="1"/>
    <n v="0"/>
    <n v="3285"/>
    <n v="1588"/>
    <n v="205"/>
    <n v="793"/>
    <n v="0"/>
    <n v="699"/>
    <n v="0.18820000000000001"/>
    <n v="2.8E-3"/>
    <n v="0"/>
  </r>
  <r>
    <n v="2008"/>
    <n v="9"/>
    <x v="10"/>
    <x v="10"/>
    <s v="SEA"/>
    <s v="Seattle, WA: Seattle/Tacoma International"/>
    <n v="1382"/>
    <n v="88"/>
    <n v="33.130000000000003"/>
    <n v="0.38"/>
    <n v="13.53"/>
    <n v="0"/>
    <n v="40.97"/>
    <n v="2"/>
    <n v="2"/>
    <n v="3423"/>
    <n v="1357"/>
    <n v="6"/>
    <n v="301"/>
    <n v="0"/>
    <n v="1759"/>
    <n v="6.3700000000000007E-2"/>
    <n v="1.4E-3"/>
    <n v="1.4E-3"/>
  </r>
  <r>
    <n v="2008"/>
    <n v="9"/>
    <x v="19"/>
    <x v="19"/>
    <s v="SEA"/>
    <s v="Seattle, WA: Seattle/Tacoma International"/>
    <n v="3"/>
    <n v="1"/>
    <n v="0"/>
    <n v="0"/>
    <n v="1"/>
    <n v="0"/>
    <n v="0"/>
    <n v="0"/>
    <n v="0"/>
    <n v="21"/>
    <n v="0"/>
    <n v="0"/>
    <n v="21"/>
    <n v="0"/>
    <n v="0"/>
    <n v="0.33329999999999999"/>
    <n v="0"/>
    <n v="0"/>
  </r>
  <r>
    <n v="2008"/>
    <n v="9"/>
    <x v="4"/>
    <x v="4"/>
    <s v="SEA"/>
    <s v="Seattle, WA: Seattle/Tacoma International"/>
    <n v="466"/>
    <n v="79"/>
    <n v="36.92"/>
    <n v="0.71"/>
    <n v="24.45"/>
    <n v="0"/>
    <n v="16.920000000000002"/>
    <n v="1"/>
    <n v="1"/>
    <n v="3801"/>
    <n v="2062"/>
    <n v="34"/>
    <n v="707"/>
    <n v="0"/>
    <n v="998"/>
    <n v="0.16950000000000001"/>
    <n v="2.0999999999999999E-3"/>
    <n v="2.0999999999999999E-3"/>
  </r>
  <r>
    <n v="2008"/>
    <n v="9"/>
    <x v="5"/>
    <x v="5"/>
    <s v="SEA"/>
    <s v="Seattle, WA: Seattle/Tacoma International"/>
    <n v="3986"/>
    <n v="370"/>
    <n v="125.88"/>
    <n v="5.4"/>
    <n v="96.33"/>
    <n v="1.63"/>
    <n v="140.77000000000001"/>
    <n v="25"/>
    <n v="3"/>
    <n v="19202"/>
    <n v="8067"/>
    <n v="291"/>
    <n v="2858"/>
    <n v="36"/>
    <n v="7950"/>
    <n v="9.2799999999999994E-2"/>
    <n v="6.3E-3"/>
    <n v="8.0000000000000004E-4"/>
  </r>
  <r>
    <n v="2008"/>
    <n v="9"/>
    <x v="6"/>
    <x v="6"/>
    <s v="SEA"/>
    <s v="Seattle, WA: Seattle/Tacoma International"/>
    <n v="153"/>
    <n v="22"/>
    <n v="8"/>
    <n v="0.26"/>
    <n v="8.68"/>
    <n v="0"/>
    <n v="5.0599999999999996"/>
    <n v="0"/>
    <n v="0"/>
    <n v="1017"/>
    <n v="311"/>
    <n v="24"/>
    <n v="338"/>
    <n v="0"/>
    <n v="344"/>
    <n v="0.14380000000000001"/>
    <n v="0"/>
    <n v="0"/>
  </r>
  <r>
    <n v="2008"/>
    <n v="9"/>
    <x v="17"/>
    <x v="17"/>
    <s v="SEA"/>
    <s v="Seattle, WA: Seattle/Tacoma International"/>
    <n v="387"/>
    <n v="62"/>
    <n v="23.81"/>
    <n v="0.66"/>
    <n v="25.8"/>
    <n v="0"/>
    <n v="11.73"/>
    <n v="18"/>
    <n v="0"/>
    <n v="3637"/>
    <n v="1612"/>
    <n v="33"/>
    <n v="995"/>
    <n v="0"/>
    <n v="997"/>
    <n v="0.16020000000000001"/>
    <n v="4.65E-2"/>
    <n v="0"/>
  </r>
  <r>
    <n v="2008"/>
    <n v="8"/>
    <x v="4"/>
    <x v="4"/>
    <s v="SEA"/>
    <s v="Seattle, WA: Seattle/Tacoma International"/>
    <n v="522"/>
    <n v="164"/>
    <n v="54.86"/>
    <n v="9.64"/>
    <n v="67.900000000000006"/>
    <n v="0"/>
    <n v="31.6"/>
    <n v="3"/>
    <n v="0"/>
    <n v="8234"/>
    <n v="2666"/>
    <n v="975"/>
    <n v="2422"/>
    <n v="0"/>
    <n v="2171"/>
    <n v="0.31419999999999998"/>
    <n v="5.7000000000000002E-3"/>
    <n v="0"/>
  </r>
  <r>
    <n v="2008"/>
    <n v="8"/>
    <x v="5"/>
    <x v="5"/>
    <s v="SEA"/>
    <s v="Seattle, WA: Seattle/Tacoma International"/>
    <n v="4482"/>
    <n v="838"/>
    <n v="201.99"/>
    <n v="8.9499999999999993"/>
    <n v="294.54000000000002"/>
    <n v="8.7799999999999994"/>
    <n v="323.73"/>
    <n v="36"/>
    <n v="5"/>
    <n v="40460"/>
    <n v="10595"/>
    <n v="1102"/>
    <n v="10173"/>
    <n v="351"/>
    <n v="18239"/>
    <n v="0.187"/>
    <n v="8.0000000000000002E-3"/>
    <n v="1.1000000000000001E-3"/>
  </r>
  <r>
    <n v="2008"/>
    <n v="8"/>
    <x v="6"/>
    <x v="6"/>
    <s v="SEA"/>
    <s v="Seattle, WA: Seattle/Tacoma International"/>
    <n v="186"/>
    <n v="53"/>
    <n v="15.4"/>
    <n v="0"/>
    <n v="21.23"/>
    <n v="0.14000000000000001"/>
    <n v="16.239999999999998"/>
    <n v="5"/>
    <n v="1"/>
    <n v="3261"/>
    <n v="859"/>
    <n v="0"/>
    <n v="842"/>
    <n v="9"/>
    <n v="1551"/>
    <n v="0.28489999999999999"/>
    <n v="2.69E-2"/>
    <n v="5.4000000000000003E-3"/>
  </r>
  <r>
    <n v="2008"/>
    <n v="8"/>
    <x v="17"/>
    <x v="17"/>
    <s v="SEA"/>
    <s v="Seattle, WA: Seattle/Tacoma International"/>
    <n v="492"/>
    <n v="147"/>
    <n v="45.44"/>
    <n v="7.94"/>
    <n v="63.66"/>
    <n v="1.41"/>
    <n v="28.55"/>
    <n v="1"/>
    <n v="1"/>
    <n v="8170"/>
    <n v="2468"/>
    <n v="523"/>
    <n v="2580"/>
    <n v="24"/>
    <n v="2575"/>
    <n v="0.29880000000000001"/>
    <n v="2E-3"/>
    <n v="2E-3"/>
  </r>
  <r>
    <n v="2008"/>
    <n v="8"/>
    <x v="7"/>
    <x v="7"/>
    <s v="SEA"/>
    <s v="Seattle, WA: Seattle/Tacoma International"/>
    <n v="560"/>
    <n v="105"/>
    <n v="35.299999999999997"/>
    <n v="1.51"/>
    <n v="50.05"/>
    <n v="0"/>
    <n v="18.14"/>
    <n v="0"/>
    <n v="1"/>
    <n v="4582"/>
    <n v="1442"/>
    <n v="127"/>
    <n v="2003"/>
    <n v="0"/>
    <n v="1010"/>
    <n v="0.1875"/>
    <n v="0"/>
    <n v="1.8E-3"/>
  </r>
  <r>
    <n v="2008"/>
    <n v="8"/>
    <x v="8"/>
    <x v="8"/>
    <s v="SEA"/>
    <s v="Seattle, WA: Seattle/Tacoma International"/>
    <n v="156"/>
    <n v="35"/>
    <n v="15.61"/>
    <n v="0.3"/>
    <n v="13.92"/>
    <n v="0"/>
    <n v="5.18"/>
    <n v="1"/>
    <n v="0"/>
    <n v="1226"/>
    <n v="568"/>
    <n v="33"/>
    <n v="409"/>
    <n v="0"/>
    <n v="216"/>
    <n v="0.22439999999999999"/>
    <n v="6.4000000000000003E-3"/>
    <n v="0"/>
  </r>
  <r>
    <n v="2008"/>
    <n v="8"/>
    <x v="16"/>
    <x v="16"/>
    <s v="SEA"/>
    <s v="Seattle, WA: Seattle/Tacoma International"/>
    <n v="217"/>
    <n v="56"/>
    <n v="13.23"/>
    <n v="1.4"/>
    <n v="30.3"/>
    <n v="0"/>
    <n v="11.08"/>
    <n v="0"/>
    <n v="0"/>
    <n v="2152"/>
    <n v="580"/>
    <n v="95"/>
    <n v="890"/>
    <n v="0"/>
    <n v="587"/>
    <n v="0.2581"/>
    <n v="0"/>
    <n v="0"/>
  </r>
  <r>
    <n v="2008"/>
    <n v="8"/>
    <x v="0"/>
    <x v="0"/>
    <s v="SEA"/>
    <s v="Seattle, WA: Seattle/Tacoma International"/>
    <n v="62"/>
    <n v="8"/>
    <n v="7.73"/>
    <n v="0"/>
    <n v="0"/>
    <n v="0"/>
    <n v="0.27"/>
    <n v="0"/>
    <n v="1"/>
    <n v="1335"/>
    <n v="1331"/>
    <n v="0"/>
    <n v="0"/>
    <n v="0"/>
    <n v="4"/>
    <n v="0.129"/>
    <n v="0"/>
    <n v="1.61E-2"/>
  </r>
  <r>
    <n v="2008"/>
    <n v="8"/>
    <x v="18"/>
    <x v="18"/>
    <s v="SEA"/>
    <s v="Seattle, WA: Seattle/Tacoma International"/>
    <n v="509"/>
    <n v="111"/>
    <n v="40.18"/>
    <n v="3.35"/>
    <n v="55.15"/>
    <n v="0"/>
    <n v="12.32"/>
    <n v="0"/>
    <n v="3"/>
    <n v="4260"/>
    <n v="2138"/>
    <n v="186"/>
    <n v="1394"/>
    <n v="0"/>
    <n v="542"/>
    <n v="0.21809999999999999"/>
    <n v="0"/>
    <n v="5.8999999999999999E-3"/>
  </r>
  <r>
    <n v="2008"/>
    <n v="8"/>
    <x v="2"/>
    <x v="2"/>
    <s v="SEA"/>
    <s v="Seattle, WA: Seattle/Tacoma International"/>
    <n v="411"/>
    <n v="37"/>
    <n v="10.18"/>
    <n v="0"/>
    <n v="19.48"/>
    <n v="0"/>
    <n v="7.35"/>
    <n v="0"/>
    <n v="0"/>
    <n v="1057"/>
    <n v="225"/>
    <n v="0"/>
    <n v="597"/>
    <n v="0"/>
    <n v="235"/>
    <n v="0.09"/>
    <n v="0"/>
    <n v="0"/>
  </r>
  <r>
    <n v="2008"/>
    <n v="8"/>
    <x v="9"/>
    <x v="9"/>
    <s v="SEA"/>
    <s v="Seattle, WA: Seattle/Tacoma International"/>
    <n v="857"/>
    <n v="243"/>
    <n v="67.5"/>
    <n v="6.41"/>
    <n v="64.58"/>
    <n v="0"/>
    <n v="104.51"/>
    <n v="7"/>
    <n v="0"/>
    <n v="15098"/>
    <n v="4497"/>
    <n v="431"/>
    <n v="2201"/>
    <n v="0"/>
    <n v="7969"/>
    <n v="0.28349999999999997"/>
    <n v="8.2000000000000007E-3"/>
    <n v="0"/>
  </r>
  <r>
    <n v="2008"/>
    <n v="8"/>
    <x v="15"/>
    <x v="15"/>
    <s v="SEA"/>
    <s v="Seattle, WA: Seattle/Tacoma International"/>
    <n v="400"/>
    <n v="101"/>
    <n v="41.68"/>
    <n v="4.09"/>
    <n v="40.86"/>
    <n v="0"/>
    <n v="14.37"/>
    <n v="1"/>
    <n v="2"/>
    <n v="6122"/>
    <n v="2849"/>
    <n v="514"/>
    <n v="1778"/>
    <n v="0"/>
    <n v="981"/>
    <n v="0.2525"/>
    <n v="2.5000000000000001E-3"/>
    <n v="5.0000000000000001E-3"/>
  </r>
  <r>
    <n v="2008"/>
    <n v="8"/>
    <x v="10"/>
    <x v="10"/>
    <s v="SEA"/>
    <s v="Seattle, WA: Seattle/Tacoma International"/>
    <n v="1468"/>
    <n v="240"/>
    <n v="51.55"/>
    <n v="5.18"/>
    <n v="62.61"/>
    <n v="7.0000000000000007E-2"/>
    <n v="120.58"/>
    <n v="1"/>
    <n v="1"/>
    <n v="10736"/>
    <n v="2233"/>
    <n v="389"/>
    <n v="2133"/>
    <n v="9"/>
    <n v="5972"/>
    <n v="0.16350000000000001"/>
    <n v="6.9999999999999999E-4"/>
    <n v="6.9999999999999999E-4"/>
  </r>
  <r>
    <n v="2008"/>
    <n v="8"/>
    <x v="19"/>
    <x v="19"/>
    <s v="SEA"/>
    <s v="Seattle, WA: Seattle/Tacoma International"/>
    <n v="119"/>
    <n v="27"/>
    <n v="12.79"/>
    <n v="0"/>
    <n v="13.26"/>
    <n v="0"/>
    <n v="0.94"/>
    <n v="1"/>
    <n v="0"/>
    <n v="1525"/>
    <n v="1035"/>
    <n v="0"/>
    <n v="457"/>
    <n v="0"/>
    <n v="33"/>
    <n v="0.22689999999999999"/>
    <n v="8.3999999999999995E-3"/>
    <n v="0"/>
  </r>
  <r>
    <n v="2008"/>
    <n v="7"/>
    <x v="4"/>
    <x v="4"/>
    <s v="SEA"/>
    <s v="Seattle, WA: Seattle/Tacoma International"/>
    <n v="520"/>
    <n v="191"/>
    <n v="76.61"/>
    <n v="4.7"/>
    <n v="68.38"/>
    <n v="0"/>
    <n v="41.3"/>
    <n v="1"/>
    <n v="0"/>
    <n v="10204"/>
    <n v="4041"/>
    <n v="318"/>
    <n v="2622"/>
    <n v="0"/>
    <n v="3223"/>
    <n v="0.36730000000000002"/>
    <n v="1.9E-3"/>
    <n v="0"/>
  </r>
  <r>
    <n v="2008"/>
    <n v="7"/>
    <x v="5"/>
    <x v="5"/>
    <s v="SEA"/>
    <s v="Seattle, WA: Seattle/Tacoma International"/>
    <n v="4611"/>
    <n v="904"/>
    <n v="187.75"/>
    <n v="12.71"/>
    <n v="387.18"/>
    <n v="3.97"/>
    <n v="312.39"/>
    <n v="33"/>
    <n v="2"/>
    <n v="40657"/>
    <n v="12379"/>
    <n v="1003"/>
    <n v="11985"/>
    <n v="139"/>
    <n v="15151"/>
    <n v="0.1961"/>
    <n v="7.1999999999999998E-3"/>
    <n v="4.0000000000000002E-4"/>
  </r>
  <r>
    <n v="2008"/>
    <n v="7"/>
    <x v="6"/>
    <x v="6"/>
    <s v="SEA"/>
    <s v="Seattle, WA: Seattle/Tacoma International"/>
    <n v="185"/>
    <n v="58"/>
    <n v="11.42"/>
    <n v="0.04"/>
    <n v="38.03"/>
    <n v="0"/>
    <n v="8.51"/>
    <n v="5"/>
    <n v="0"/>
    <n v="3842"/>
    <n v="868"/>
    <n v="5"/>
    <n v="2350"/>
    <n v="0"/>
    <n v="619"/>
    <n v="0.3135"/>
    <n v="2.7E-2"/>
    <n v="0"/>
  </r>
  <r>
    <n v="2008"/>
    <n v="7"/>
    <x v="17"/>
    <x v="17"/>
    <s v="SEA"/>
    <s v="Seattle, WA: Seattle/Tacoma International"/>
    <n v="490"/>
    <n v="133"/>
    <n v="56.55"/>
    <n v="3.27"/>
    <n v="47.86"/>
    <n v="0.14000000000000001"/>
    <n v="25.19"/>
    <n v="2"/>
    <n v="0"/>
    <n v="7176"/>
    <n v="2782"/>
    <n v="157"/>
    <n v="2480"/>
    <n v="3"/>
    <n v="1754"/>
    <n v="0.27139999999999997"/>
    <n v="4.1000000000000003E-3"/>
    <n v="0"/>
  </r>
  <r>
    <n v="2008"/>
    <n v="7"/>
    <x v="7"/>
    <x v="7"/>
    <s v="SEA"/>
    <s v="Seattle, WA: Seattle/Tacoma International"/>
    <n v="563"/>
    <n v="168"/>
    <n v="45.63"/>
    <n v="6.72"/>
    <n v="72.95"/>
    <n v="0"/>
    <n v="42.7"/>
    <n v="0"/>
    <n v="2"/>
    <n v="8887"/>
    <n v="2572"/>
    <n v="517"/>
    <n v="2728"/>
    <n v="0"/>
    <n v="3070"/>
    <n v="0.2984"/>
    <n v="0"/>
    <n v="3.5999999999999999E-3"/>
  </r>
  <r>
    <n v="2008"/>
    <n v="7"/>
    <x v="8"/>
    <x v="8"/>
    <s v="SEA"/>
    <s v="Seattle, WA: Seattle/Tacoma International"/>
    <n v="155"/>
    <n v="49"/>
    <n v="19.2"/>
    <n v="0"/>
    <n v="23.2"/>
    <n v="0"/>
    <n v="6.6"/>
    <n v="0"/>
    <n v="0"/>
    <n v="1638"/>
    <n v="625"/>
    <n v="0"/>
    <n v="722"/>
    <n v="0"/>
    <n v="291"/>
    <n v="0.31609999999999999"/>
    <n v="0"/>
    <n v="0"/>
  </r>
  <r>
    <n v="2008"/>
    <n v="7"/>
    <x v="16"/>
    <x v="16"/>
    <s v="SEA"/>
    <s v="Seattle, WA: Seattle/Tacoma International"/>
    <n v="218"/>
    <n v="94"/>
    <n v="24.24"/>
    <n v="0.24"/>
    <n v="53.14"/>
    <n v="0"/>
    <n v="16.38"/>
    <n v="0"/>
    <n v="1"/>
    <n v="4506"/>
    <n v="1253"/>
    <n v="55"/>
    <n v="1896"/>
    <n v="0"/>
    <n v="1302"/>
    <n v="0.43120000000000003"/>
    <n v="0"/>
    <n v="4.5999999999999999E-3"/>
  </r>
  <r>
    <n v="2008"/>
    <n v="7"/>
    <x v="0"/>
    <x v="0"/>
    <s v="SEA"/>
    <s v="Seattle, WA: Seattle/Tacoma International"/>
    <n v="62"/>
    <n v="13"/>
    <n v="9.98"/>
    <n v="0"/>
    <n v="0"/>
    <n v="0"/>
    <n v="3.02"/>
    <n v="0"/>
    <n v="0"/>
    <n v="487"/>
    <n v="344"/>
    <n v="0"/>
    <n v="0"/>
    <n v="0"/>
    <n v="143"/>
    <n v="0.2097"/>
    <n v="0"/>
    <n v="0"/>
  </r>
  <r>
    <n v="2008"/>
    <n v="7"/>
    <x v="18"/>
    <x v="18"/>
    <s v="SEA"/>
    <s v="Seattle, WA: Seattle/Tacoma International"/>
    <n v="589"/>
    <n v="196"/>
    <n v="65.7"/>
    <n v="7.51"/>
    <n v="106.91"/>
    <n v="1.48"/>
    <n v="14.39"/>
    <n v="1"/>
    <n v="2"/>
    <n v="7104"/>
    <n v="2874"/>
    <n v="562"/>
    <n v="2920"/>
    <n v="86"/>
    <n v="662"/>
    <n v="0.33279999999999998"/>
    <n v="1.6999999999999999E-3"/>
    <n v="3.3999999999999998E-3"/>
  </r>
  <r>
    <n v="2008"/>
    <n v="7"/>
    <x v="2"/>
    <x v="2"/>
    <s v="SEA"/>
    <s v="Seattle, WA: Seattle/Tacoma International"/>
    <n v="408"/>
    <n v="40"/>
    <n v="11.2"/>
    <n v="0"/>
    <n v="21.71"/>
    <n v="0.64"/>
    <n v="6.45"/>
    <n v="3"/>
    <n v="0"/>
    <n v="1370"/>
    <n v="256"/>
    <n v="0"/>
    <n v="816"/>
    <n v="16"/>
    <n v="282"/>
    <n v="9.8000000000000004E-2"/>
    <n v="7.4000000000000003E-3"/>
    <n v="0"/>
  </r>
  <r>
    <n v="2008"/>
    <n v="7"/>
    <x v="9"/>
    <x v="9"/>
    <s v="SEA"/>
    <s v="Seattle, WA: Seattle/Tacoma International"/>
    <n v="863"/>
    <n v="307"/>
    <n v="80.67"/>
    <n v="7.42"/>
    <n v="81.599999999999994"/>
    <n v="0"/>
    <n v="137.31"/>
    <n v="17"/>
    <n v="0"/>
    <n v="18038"/>
    <n v="4382"/>
    <n v="584"/>
    <n v="3247"/>
    <n v="0"/>
    <n v="9825"/>
    <n v="0.35570000000000002"/>
    <n v="1.9699999999999999E-2"/>
    <n v="0"/>
  </r>
  <r>
    <n v="2008"/>
    <n v="7"/>
    <x v="15"/>
    <x v="15"/>
    <s v="SEA"/>
    <s v="Seattle, WA: Seattle/Tacoma International"/>
    <n v="401"/>
    <n v="118"/>
    <n v="49.41"/>
    <n v="2.39"/>
    <n v="38.07"/>
    <n v="0.41"/>
    <n v="27.72"/>
    <n v="4"/>
    <n v="0"/>
    <n v="7850"/>
    <n v="3083"/>
    <n v="319"/>
    <n v="2122"/>
    <n v="29"/>
    <n v="2297"/>
    <n v="0.29430000000000001"/>
    <n v="0.01"/>
    <n v="0"/>
  </r>
  <r>
    <n v="2008"/>
    <n v="7"/>
    <x v="10"/>
    <x v="10"/>
    <s v="SEA"/>
    <s v="Seattle, WA: Seattle/Tacoma International"/>
    <n v="1514"/>
    <n v="256"/>
    <n v="58.16"/>
    <n v="11.27"/>
    <n v="70.45"/>
    <n v="0"/>
    <n v="116.12"/>
    <n v="1"/>
    <n v="0"/>
    <n v="11468"/>
    <n v="2574"/>
    <n v="480"/>
    <n v="2191"/>
    <n v="0"/>
    <n v="6223"/>
    <n v="0.1691"/>
    <n v="6.9999999999999999E-4"/>
    <n v="0"/>
  </r>
  <r>
    <n v="2008"/>
    <n v="7"/>
    <x v="19"/>
    <x v="19"/>
    <s v="SEA"/>
    <s v="Seattle, WA: Seattle/Tacoma International"/>
    <n v="149"/>
    <n v="40"/>
    <n v="9.9600000000000009"/>
    <n v="0"/>
    <n v="23.06"/>
    <n v="0"/>
    <n v="6.99"/>
    <n v="1"/>
    <n v="0"/>
    <n v="1573"/>
    <n v="431"/>
    <n v="0"/>
    <n v="774"/>
    <n v="0"/>
    <n v="368"/>
    <n v="0.26850000000000002"/>
    <n v="6.7000000000000002E-3"/>
    <n v="0"/>
  </r>
  <r>
    <n v="2008"/>
    <n v="6"/>
    <x v="4"/>
    <x v="4"/>
    <s v="SEA"/>
    <s v="Seattle, WA: Seattle/Tacoma International"/>
    <n v="492"/>
    <n v="263"/>
    <n v="68.22"/>
    <n v="8.18"/>
    <n v="137.88"/>
    <n v="0"/>
    <n v="48.71"/>
    <n v="1"/>
    <n v="2"/>
    <n v="13782"/>
    <n v="4043"/>
    <n v="713"/>
    <n v="5243"/>
    <n v="0"/>
    <n v="3783"/>
    <n v="0.53459999999999996"/>
    <n v="2E-3"/>
    <n v="4.1000000000000003E-3"/>
  </r>
  <r>
    <n v="2008"/>
    <n v="6"/>
    <x v="5"/>
    <x v="5"/>
    <s v="SEA"/>
    <s v="Seattle, WA: Seattle/Tacoma International"/>
    <n v="4344"/>
    <n v="1106"/>
    <n v="216.32"/>
    <n v="6.31"/>
    <n v="555"/>
    <n v="3.57"/>
    <n v="324.81"/>
    <n v="29"/>
    <n v="5"/>
    <n v="49183"/>
    <n v="12984"/>
    <n v="391"/>
    <n v="17447"/>
    <n v="113"/>
    <n v="18248"/>
    <n v="0.25459999999999999"/>
    <n v="6.7000000000000002E-3"/>
    <n v="1.1999999999999999E-3"/>
  </r>
  <r>
    <n v="2008"/>
    <n v="6"/>
    <x v="6"/>
    <x v="6"/>
    <s v="SEA"/>
    <s v="Seattle, WA: Seattle/Tacoma International"/>
    <n v="180"/>
    <n v="50"/>
    <n v="6.55"/>
    <n v="1.92"/>
    <n v="27.52"/>
    <n v="0"/>
    <n v="14.01"/>
    <n v="5"/>
    <n v="0"/>
    <n v="3464"/>
    <n v="443"/>
    <n v="333"/>
    <n v="1727"/>
    <n v="0"/>
    <n v="961"/>
    <n v="0.27779999999999999"/>
    <n v="2.7799999999999998E-2"/>
    <n v="0"/>
  </r>
  <r>
    <n v="2008"/>
    <n v="6"/>
    <x v="17"/>
    <x v="17"/>
    <s v="SEA"/>
    <s v="Seattle, WA: Seattle/Tacoma International"/>
    <n v="448"/>
    <n v="186"/>
    <n v="56.79"/>
    <n v="12.99"/>
    <n v="84.73"/>
    <n v="0.96"/>
    <n v="30.52"/>
    <n v="1"/>
    <n v="1"/>
    <n v="9476"/>
    <n v="2574"/>
    <n v="739"/>
    <n v="3965"/>
    <n v="41"/>
    <n v="2157"/>
    <n v="0.41520000000000001"/>
    <n v="2.2000000000000001E-3"/>
    <n v="2.2000000000000001E-3"/>
  </r>
  <r>
    <n v="2008"/>
    <n v="6"/>
    <x v="7"/>
    <x v="7"/>
    <s v="SEA"/>
    <s v="Seattle, WA: Seattle/Tacoma International"/>
    <n v="519"/>
    <n v="212"/>
    <n v="51.28"/>
    <n v="4.3"/>
    <n v="116.61"/>
    <n v="0.75"/>
    <n v="39.049999999999997"/>
    <n v="1"/>
    <n v="2"/>
    <n v="9469"/>
    <n v="3037"/>
    <n v="322"/>
    <n v="4270"/>
    <n v="30"/>
    <n v="1810"/>
    <n v="0.40849999999999997"/>
    <n v="1.9E-3"/>
    <n v="3.8999999999999998E-3"/>
  </r>
  <r>
    <n v="2008"/>
    <n v="6"/>
    <x v="8"/>
    <x v="8"/>
    <s v="SEA"/>
    <s v="Seattle, WA: Seattle/Tacoma International"/>
    <n v="150"/>
    <n v="44"/>
    <n v="12.96"/>
    <n v="0"/>
    <n v="20.98"/>
    <n v="0"/>
    <n v="10.07"/>
    <n v="0"/>
    <n v="0"/>
    <n v="1348"/>
    <n v="382"/>
    <n v="0"/>
    <n v="701"/>
    <n v="0"/>
    <n v="265"/>
    <n v="0.29330000000000001"/>
    <n v="0"/>
    <n v="0"/>
  </r>
  <r>
    <n v="2008"/>
    <n v="6"/>
    <x v="16"/>
    <x v="16"/>
    <s v="SEA"/>
    <s v="Seattle, WA: Seattle/Tacoma International"/>
    <n v="200"/>
    <n v="72"/>
    <n v="18.25"/>
    <n v="0.87"/>
    <n v="37.35"/>
    <n v="0"/>
    <n v="15.53"/>
    <n v="0"/>
    <n v="0"/>
    <n v="2931"/>
    <n v="695"/>
    <n v="136"/>
    <n v="1203"/>
    <n v="0"/>
    <n v="897"/>
    <n v="0.36"/>
    <n v="0"/>
    <n v="0"/>
  </r>
  <r>
    <n v="2008"/>
    <n v="6"/>
    <x v="0"/>
    <x v="0"/>
    <s v="SEA"/>
    <s v="Seattle, WA: Seattle/Tacoma International"/>
    <n v="60"/>
    <n v="9"/>
    <n v="7.46"/>
    <n v="0"/>
    <n v="0"/>
    <n v="0"/>
    <n v="1.54"/>
    <n v="0"/>
    <n v="0"/>
    <n v="425"/>
    <n v="388"/>
    <n v="0"/>
    <n v="0"/>
    <n v="0"/>
    <n v="37"/>
    <n v="0.15"/>
    <n v="0"/>
    <n v="0"/>
  </r>
  <r>
    <n v="2008"/>
    <n v="6"/>
    <x v="18"/>
    <x v="18"/>
    <s v="SEA"/>
    <s v="Seattle, WA: Seattle/Tacoma International"/>
    <n v="546"/>
    <n v="206"/>
    <n v="72.040000000000006"/>
    <n v="4.83"/>
    <n v="101.04"/>
    <n v="0"/>
    <n v="28.09"/>
    <n v="1"/>
    <n v="0"/>
    <n v="9007"/>
    <n v="3487"/>
    <n v="406"/>
    <n v="3283"/>
    <n v="0"/>
    <n v="1831"/>
    <n v="0.37730000000000002"/>
    <n v="1.8E-3"/>
    <n v="0"/>
  </r>
  <r>
    <n v="2008"/>
    <n v="6"/>
    <x v="2"/>
    <x v="2"/>
    <s v="SEA"/>
    <s v="Seattle, WA: Seattle/Tacoma International"/>
    <n v="414"/>
    <n v="38"/>
    <n v="15.58"/>
    <n v="1"/>
    <n v="18.28"/>
    <n v="0"/>
    <n v="3.14"/>
    <n v="2"/>
    <n v="0"/>
    <n v="1296"/>
    <n v="639"/>
    <n v="44"/>
    <n v="469"/>
    <n v="0"/>
    <n v="144"/>
    <n v="9.1800000000000007E-2"/>
    <n v="4.7999999999999996E-3"/>
    <n v="0"/>
  </r>
  <r>
    <n v="2008"/>
    <n v="6"/>
    <x v="9"/>
    <x v="9"/>
    <s v="SEA"/>
    <s v="Seattle, WA: Seattle/Tacoma International"/>
    <n v="831"/>
    <n v="369"/>
    <n v="97.62"/>
    <n v="7.54"/>
    <n v="113.87"/>
    <n v="0"/>
    <n v="149.97"/>
    <n v="15"/>
    <n v="0"/>
    <n v="22669"/>
    <n v="6591"/>
    <n v="502"/>
    <n v="4228"/>
    <n v="0"/>
    <n v="11348"/>
    <n v="0.44400000000000001"/>
    <n v="1.8100000000000002E-2"/>
    <n v="0"/>
  </r>
  <r>
    <n v="2008"/>
    <n v="6"/>
    <x v="15"/>
    <x v="15"/>
    <s v="SEA"/>
    <s v="Seattle, WA: Seattle/Tacoma International"/>
    <n v="384"/>
    <n v="117"/>
    <n v="37.49"/>
    <n v="0.53"/>
    <n v="58.61"/>
    <n v="1"/>
    <n v="19.38"/>
    <n v="0"/>
    <n v="1"/>
    <n v="5921"/>
    <n v="1793"/>
    <n v="55"/>
    <n v="2326"/>
    <n v="25"/>
    <n v="1722"/>
    <n v="0.30470000000000003"/>
    <n v="0"/>
    <n v="2.5999999999999999E-3"/>
  </r>
  <r>
    <n v="2008"/>
    <n v="6"/>
    <x v="10"/>
    <x v="10"/>
    <s v="SEA"/>
    <s v="Seattle, WA: Seattle/Tacoma International"/>
    <n v="1469"/>
    <n v="419"/>
    <n v="72.66"/>
    <n v="5.69"/>
    <n v="112.48"/>
    <n v="0.69"/>
    <n v="227.48"/>
    <n v="0"/>
    <n v="2"/>
    <n v="19949"/>
    <n v="3221"/>
    <n v="312"/>
    <n v="3583"/>
    <n v="19"/>
    <n v="12814"/>
    <n v="0.28520000000000001"/>
    <n v="0"/>
    <n v="1.4E-3"/>
  </r>
  <r>
    <n v="2008"/>
    <n v="6"/>
    <x v="19"/>
    <x v="19"/>
    <s v="SEA"/>
    <s v="Seattle, WA: Seattle/Tacoma International"/>
    <n v="138"/>
    <n v="46"/>
    <n v="7.92"/>
    <n v="0"/>
    <n v="31.49"/>
    <n v="0"/>
    <n v="6.59"/>
    <n v="0"/>
    <n v="0"/>
    <n v="1471"/>
    <n v="339"/>
    <n v="0"/>
    <n v="903"/>
    <n v="0"/>
    <n v="229"/>
    <n v="0.33329999999999999"/>
    <n v="0"/>
    <n v="0"/>
  </r>
  <r>
    <n v="2008"/>
    <n v="5"/>
    <x v="4"/>
    <x v="4"/>
    <s v="SEA"/>
    <s v="Seattle, WA: Seattle/Tacoma International"/>
    <n v="496"/>
    <n v="208"/>
    <n v="67.69"/>
    <n v="5.73"/>
    <n v="82.6"/>
    <n v="0"/>
    <n v="51.97"/>
    <n v="2"/>
    <n v="1"/>
    <n v="10314"/>
    <n v="3324"/>
    <n v="480"/>
    <n v="2868"/>
    <n v="0"/>
    <n v="3642"/>
    <n v="0.4194"/>
    <n v="4.0000000000000001E-3"/>
    <n v="2E-3"/>
  </r>
  <r>
    <n v="2008"/>
    <n v="5"/>
    <x v="5"/>
    <x v="5"/>
    <s v="SEA"/>
    <s v="Seattle, WA: Seattle/Tacoma International"/>
    <n v="4343"/>
    <n v="868"/>
    <n v="203.18"/>
    <n v="0.74"/>
    <n v="406.35"/>
    <n v="4.75"/>
    <n v="252.98"/>
    <n v="54"/>
    <n v="9"/>
    <n v="41396"/>
    <n v="14178"/>
    <n v="109"/>
    <n v="11639"/>
    <n v="158"/>
    <n v="15312"/>
    <n v="0.19989999999999999"/>
    <n v="1.24E-2"/>
    <n v="2.0999999999999999E-3"/>
  </r>
  <r>
    <n v="2008"/>
    <n v="5"/>
    <x v="6"/>
    <x v="6"/>
    <s v="SEA"/>
    <s v="Seattle, WA: Seattle/Tacoma International"/>
    <n v="123"/>
    <n v="21"/>
    <n v="4.5999999999999996"/>
    <n v="0"/>
    <n v="9.48"/>
    <n v="0"/>
    <n v="6.92"/>
    <n v="0"/>
    <n v="0"/>
    <n v="1162"/>
    <n v="402"/>
    <n v="0"/>
    <n v="338"/>
    <n v="0"/>
    <n v="422"/>
    <n v="0.17069999999999999"/>
    <n v="0"/>
    <n v="0"/>
  </r>
  <r>
    <n v="2008"/>
    <n v="5"/>
    <x v="17"/>
    <x v="17"/>
    <s v="SEA"/>
    <s v="Seattle, WA: Seattle/Tacoma International"/>
    <n v="416"/>
    <n v="134"/>
    <n v="47.6"/>
    <n v="2.17"/>
    <n v="57.54"/>
    <n v="2.2599999999999998"/>
    <n v="24.43"/>
    <n v="1"/>
    <n v="2"/>
    <n v="5801"/>
    <n v="1741"/>
    <n v="80"/>
    <n v="2211"/>
    <n v="73"/>
    <n v="1696"/>
    <n v="0.3221"/>
    <n v="2.3999999999999998E-3"/>
    <n v="4.7999999999999996E-3"/>
  </r>
  <r>
    <n v="2008"/>
    <n v="5"/>
    <x v="7"/>
    <x v="7"/>
    <s v="SEA"/>
    <s v="Seattle, WA: Seattle/Tacoma International"/>
    <n v="441"/>
    <n v="81"/>
    <n v="16.86"/>
    <n v="1.03"/>
    <n v="44.55"/>
    <n v="0"/>
    <n v="18.559999999999999"/>
    <n v="0"/>
    <n v="0"/>
    <n v="3147"/>
    <n v="882"/>
    <n v="32"/>
    <n v="1326"/>
    <n v="0"/>
    <n v="907"/>
    <n v="0.1837"/>
    <n v="0"/>
    <n v="0"/>
  </r>
  <r>
    <n v="2008"/>
    <n v="5"/>
    <x v="8"/>
    <x v="8"/>
    <s v="SEA"/>
    <s v="Seattle, WA: Seattle/Tacoma International"/>
    <n v="155"/>
    <n v="31"/>
    <n v="10.77"/>
    <n v="0"/>
    <n v="11.82"/>
    <n v="0"/>
    <n v="8.42"/>
    <n v="0"/>
    <n v="0"/>
    <n v="1256"/>
    <n v="370"/>
    <n v="0"/>
    <n v="420"/>
    <n v="0"/>
    <n v="466"/>
    <n v="0.2"/>
    <n v="0"/>
    <n v="0"/>
  </r>
  <r>
    <n v="2008"/>
    <n v="5"/>
    <x v="16"/>
    <x v="16"/>
    <s v="SEA"/>
    <s v="Seattle, WA: Seattle/Tacoma International"/>
    <n v="160"/>
    <n v="33"/>
    <n v="5.91"/>
    <n v="0"/>
    <n v="17.239999999999998"/>
    <n v="0"/>
    <n v="9.85"/>
    <n v="0"/>
    <n v="0"/>
    <n v="1240"/>
    <n v="252"/>
    <n v="0"/>
    <n v="503"/>
    <n v="0"/>
    <n v="485"/>
    <n v="0.20630000000000001"/>
    <n v="0"/>
    <n v="0"/>
  </r>
  <r>
    <n v="2008"/>
    <n v="5"/>
    <x v="0"/>
    <x v="0"/>
    <s v="SEA"/>
    <s v="Seattle, WA: Seattle/Tacoma International"/>
    <n v="62"/>
    <n v="25"/>
    <n v="24.35"/>
    <n v="0"/>
    <n v="0"/>
    <n v="0"/>
    <n v="0.65"/>
    <n v="0"/>
    <n v="0"/>
    <n v="2168"/>
    <n v="2140"/>
    <n v="0"/>
    <n v="0"/>
    <n v="0"/>
    <n v="28"/>
    <n v="0.4032"/>
    <n v="0"/>
    <n v="0"/>
  </r>
  <r>
    <n v="2008"/>
    <n v="5"/>
    <x v="18"/>
    <x v="18"/>
    <s v="SEA"/>
    <s v="Seattle, WA: Seattle/Tacoma International"/>
    <n v="402"/>
    <n v="108"/>
    <n v="35.08"/>
    <n v="0.32"/>
    <n v="59.21"/>
    <n v="0"/>
    <n v="13.39"/>
    <n v="1"/>
    <n v="0"/>
    <n v="4476"/>
    <n v="1976"/>
    <n v="12"/>
    <n v="1761"/>
    <n v="0"/>
    <n v="727"/>
    <n v="0.26869999999999999"/>
    <n v="2.5000000000000001E-3"/>
    <n v="0"/>
  </r>
  <r>
    <n v="2008"/>
    <n v="5"/>
    <x v="2"/>
    <x v="2"/>
    <s v="SEA"/>
    <s v="Seattle, WA: Seattle/Tacoma International"/>
    <n v="438"/>
    <n v="19"/>
    <n v="4.3099999999999996"/>
    <n v="0.12"/>
    <n v="11.69"/>
    <n v="0"/>
    <n v="2.88"/>
    <n v="3"/>
    <n v="0"/>
    <n v="497"/>
    <n v="145"/>
    <n v="2"/>
    <n v="297"/>
    <n v="0"/>
    <n v="53"/>
    <n v="4.3400000000000001E-2"/>
    <n v="6.7999999999999996E-3"/>
    <n v="0"/>
  </r>
  <r>
    <n v="2008"/>
    <n v="5"/>
    <x v="9"/>
    <x v="9"/>
    <s v="SEA"/>
    <s v="Seattle, WA: Seattle/Tacoma International"/>
    <n v="754"/>
    <n v="261"/>
    <n v="61.81"/>
    <n v="3.57"/>
    <n v="96.79"/>
    <n v="0"/>
    <n v="98.84"/>
    <n v="1"/>
    <n v="0"/>
    <n v="12659"/>
    <n v="3460"/>
    <n v="239"/>
    <n v="2940"/>
    <n v="0"/>
    <n v="6020"/>
    <n v="0.34620000000000001"/>
    <n v="1.2999999999999999E-3"/>
    <n v="0"/>
  </r>
  <r>
    <n v="2008"/>
    <n v="5"/>
    <x v="15"/>
    <x v="15"/>
    <s v="SEA"/>
    <s v="Seattle, WA: Seattle/Tacoma International"/>
    <n v="297"/>
    <n v="38"/>
    <n v="12.77"/>
    <n v="0.13"/>
    <n v="13.23"/>
    <n v="0"/>
    <n v="11.86"/>
    <n v="0"/>
    <n v="1"/>
    <n v="1745"/>
    <n v="437"/>
    <n v="7"/>
    <n v="430"/>
    <n v="0"/>
    <n v="871"/>
    <n v="0.12790000000000001"/>
    <n v="0"/>
    <n v="3.3999999999999998E-3"/>
  </r>
  <r>
    <n v="2008"/>
    <n v="5"/>
    <x v="10"/>
    <x v="10"/>
    <s v="SEA"/>
    <s v="Seattle, WA: Seattle/Tacoma International"/>
    <n v="1473"/>
    <n v="279"/>
    <n v="52.33"/>
    <n v="0.52"/>
    <n v="68.23"/>
    <n v="0.53"/>
    <n v="157.38999999999999"/>
    <n v="1"/>
    <n v="0"/>
    <n v="10305"/>
    <n v="2075"/>
    <n v="15"/>
    <n v="1900"/>
    <n v="11"/>
    <n v="6304"/>
    <n v="0.18940000000000001"/>
    <n v="6.9999999999999999E-4"/>
    <n v="0"/>
  </r>
  <r>
    <n v="2008"/>
    <n v="5"/>
    <x v="19"/>
    <x v="19"/>
    <s v="SEA"/>
    <s v="Seattle, WA: Seattle/Tacoma International"/>
    <n v="91"/>
    <n v="18"/>
    <n v="5"/>
    <n v="0"/>
    <n v="12.3"/>
    <n v="0"/>
    <n v="0.69"/>
    <n v="0"/>
    <n v="0"/>
    <n v="646"/>
    <n v="294"/>
    <n v="0"/>
    <n v="334"/>
    <n v="0"/>
    <n v="18"/>
    <n v="0.1978"/>
    <n v="0"/>
    <n v="0"/>
  </r>
  <r>
    <n v="2008"/>
    <n v="4"/>
    <x v="4"/>
    <x v="4"/>
    <s v="SEA"/>
    <s v="Seattle, WA: Seattle/Tacoma International"/>
    <n v="467"/>
    <n v="186"/>
    <n v="71.760000000000005"/>
    <n v="1.48"/>
    <n v="80.430000000000007"/>
    <n v="0"/>
    <n v="32.33"/>
    <n v="19"/>
    <n v="0"/>
    <n v="9148"/>
    <n v="3698"/>
    <n v="103"/>
    <n v="3100"/>
    <n v="0"/>
    <n v="2247"/>
    <n v="0.39829999999999999"/>
    <n v="4.07E-2"/>
    <n v="0"/>
  </r>
  <r>
    <n v="2008"/>
    <n v="4"/>
    <x v="5"/>
    <x v="5"/>
    <s v="SEA"/>
    <s v="Seattle, WA: Seattle/Tacoma International"/>
    <n v="3869"/>
    <n v="683"/>
    <n v="173.73"/>
    <n v="4.1900000000000004"/>
    <n v="295.14999999999998"/>
    <n v="2.61"/>
    <n v="207.32"/>
    <n v="45"/>
    <n v="2"/>
    <n v="37294"/>
    <n v="12944"/>
    <n v="502"/>
    <n v="8495"/>
    <n v="59"/>
    <n v="15294"/>
    <n v="0.17649999999999999"/>
    <n v="1.1599999999999999E-2"/>
    <n v="5.0000000000000001E-4"/>
  </r>
  <r>
    <n v="2008"/>
    <n v="4"/>
    <x v="6"/>
    <x v="6"/>
    <s v="SEA"/>
    <s v="Seattle, WA: Seattle/Tacoma International"/>
    <n v="60"/>
    <n v="6"/>
    <n v="2.1"/>
    <n v="0"/>
    <n v="1.83"/>
    <n v="0"/>
    <n v="2.0699999999999998"/>
    <n v="0"/>
    <n v="0"/>
    <n v="312"/>
    <n v="154"/>
    <n v="0"/>
    <n v="64"/>
    <n v="0"/>
    <n v="94"/>
    <n v="0.1"/>
    <n v="0"/>
    <n v="0"/>
  </r>
  <r>
    <n v="2008"/>
    <n v="4"/>
    <x v="17"/>
    <x v="17"/>
    <s v="SEA"/>
    <s v="Seattle, WA: Seattle/Tacoma International"/>
    <n v="366"/>
    <n v="127"/>
    <n v="45.1"/>
    <n v="2.52"/>
    <n v="50.11"/>
    <n v="1.87"/>
    <n v="27.4"/>
    <n v="0"/>
    <n v="0"/>
    <n v="5272"/>
    <n v="1836"/>
    <n v="112"/>
    <n v="1766"/>
    <n v="44"/>
    <n v="1514"/>
    <n v="0.34699999999999998"/>
    <n v="0"/>
    <n v="0"/>
  </r>
  <r>
    <n v="2008"/>
    <n v="4"/>
    <x v="7"/>
    <x v="7"/>
    <s v="SEA"/>
    <s v="Seattle, WA: Seattle/Tacoma International"/>
    <n v="393"/>
    <n v="77"/>
    <n v="19.36"/>
    <n v="1.5"/>
    <n v="37.82"/>
    <n v="0"/>
    <n v="18.32"/>
    <n v="0"/>
    <n v="0"/>
    <n v="3669"/>
    <n v="1319"/>
    <n v="145"/>
    <n v="1111"/>
    <n v="0"/>
    <n v="1094"/>
    <n v="0.19589999999999999"/>
    <n v="0"/>
    <n v="0"/>
  </r>
  <r>
    <n v="2008"/>
    <n v="4"/>
    <x v="8"/>
    <x v="8"/>
    <s v="SEA"/>
    <s v="Seattle, WA: Seattle/Tacoma International"/>
    <n v="106"/>
    <n v="20"/>
    <n v="10.6"/>
    <n v="0"/>
    <n v="7.8"/>
    <n v="0"/>
    <n v="1.61"/>
    <n v="0"/>
    <n v="0"/>
    <n v="709"/>
    <n v="372"/>
    <n v="0"/>
    <n v="265"/>
    <n v="0"/>
    <n v="72"/>
    <n v="0.18870000000000001"/>
    <n v="0"/>
    <n v="0"/>
  </r>
  <r>
    <n v="2008"/>
    <n v="4"/>
    <x v="0"/>
    <x v="0"/>
    <s v="SEA"/>
    <s v="Seattle, WA: Seattle/Tacoma International"/>
    <n v="90"/>
    <n v="27"/>
    <n v="25.67"/>
    <n v="0"/>
    <n v="0"/>
    <n v="0"/>
    <n v="1.33"/>
    <n v="0"/>
    <n v="2"/>
    <n v="1279"/>
    <n v="1254"/>
    <n v="0"/>
    <n v="0"/>
    <n v="0"/>
    <n v="25"/>
    <n v="0.3"/>
    <n v="0"/>
    <n v="2.2200000000000001E-2"/>
  </r>
  <r>
    <n v="2008"/>
    <n v="4"/>
    <x v="18"/>
    <x v="18"/>
    <s v="SEA"/>
    <s v="Seattle, WA: Seattle/Tacoma International"/>
    <n v="359"/>
    <n v="102"/>
    <n v="39.86"/>
    <n v="1"/>
    <n v="49.8"/>
    <n v="0"/>
    <n v="11.34"/>
    <n v="0"/>
    <n v="0"/>
    <n v="4401"/>
    <n v="2305"/>
    <n v="87"/>
    <n v="1441"/>
    <n v="0"/>
    <n v="568"/>
    <n v="0.28410000000000002"/>
    <n v="0"/>
    <n v="0"/>
  </r>
  <r>
    <n v="2008"/>
    <n v="4"/>
    <x v="2"/>
    <x v="2"/>
    <s v="SEA"/>
    <s v="Seattle, WA: Seattle/Tacoma International"/>
    <n v="459"/>
    <n v="38"/>
    <n v="19.02"/>
    <n v="2.79"/>
    <n v="11.01"/>
    <n v="0"/>
    <n v="5.17"/>
    <n v="3"/>
    <n v="1"/>
    <n v="1403"/>
    <n v="585"/>
    <n v="347"/>
    <n v="271"/>
    <n v="0"/>
    <n v="200"/>
    <n v="8.2799999999999999E-2"/>
    <n v="6.4999999999999997E-3"/>
    <n v="2.2000000000000001E-3"/>
  </r>
  <r>
    <n v="2008"/>
    <n v="4"/>
    <x v="9"/>
    <x v="9"/>
    <s v="SEA"/>
    <s v="Seattle, WA: Seattle/Tacoma International"/>
    <n v="738"/>
    <n v="218"/>
    <n v="66.599999999999994"/>
    <n v="3.18"/>
    <n v="76.95"/>
    <n v="0"/>
    <n v="71.27"/>
    <n v="6"/>
    <n v="1"/>
    <n v="10280"/>
    <n v="3454"/>
    <n v="350"/>
    <n v="2406"/>
    <n v="0"/>
    <n v="4070"/>
    <n v="0.2954"/>
    <n v="8.0999999999999996E-3"/>
    <n v="1.4E-3"/>
  </r>
  <r>
    <n v="2008"/>
    <n v="4"/>
    <x v="15"/>
    <x v="15"/>
    <s v="SEA"/>
    <s v="Seattle, WA: Seattle/Tacoma International"/>
    <n v="278"/>
    <n v="66"/>
    <n v="25.16"/>
    <n v="0"/>
    <n v="28.21"/>
    <n v="0"/>
    <n v="12.62"/>
    <n v="0"/>
    <n v="1"/>
    <n v="3279"/>
    <n v="1016"/>
    <n v="0"/>
    <n v="997"/>
    <n v="0"/>
    <n v="1266"/>
    <n v="0.2374"/>
    <n v="0"/>
    <n v="3.5999999999999999E-3"/>
  </r>
  <r>
    <n v="2008"/>
    <n v="4"/>
    <x v="10"/>
    <x v="10"/>
    <s v="SEA"/>
    <s v="Seattle, WA: Seattle/Tacoma International"/>
    <n v="1376"/>
    <n v="233"/>
    <n v="61.68"/>
    <n v="0.92"/>
    <n v="42.04"/>
    <n v="1.1599999999999999"/>
    <n v="127.2"/>
    <n v="1"/>
    <n v="0"/>
    <n v="9767"/>
    <n v="2524"/>
    <n v="281"/>
    <n v="1121"/>
    <n v="33"/>
    <n v="5808"/>
    <n v="0.16930000000000001"/>
    <n v="6.9999999999999999E-4"/>
    <n v="0"/>
  </r>
  <r>
    <n v="2008"/>
    <n v="4"/>
    <x v="19"/>
    <x v="19"/>
    <s v="SEA"/>
    <s v="Seattle, WA: Seattle/Tacoma International"/>
    <n v="90"/>
    <n v="29"/>
    <n v="11.73"/>
    <n v="0"/>
    <n v="16.93"/>
    <n v="0"/>
    <n v="0.34"/>
    <n v="0"/>
    <n v="0"/>
    <n v="870"/>
    <n v="432"/>
    <n v="0"/>
    <n v="420"/>
    <n v="0"/>
    <n v="18"/>
    <n v="0.32219999999999999"/>
    <n v="0"/>
    <n v="0"/>
  </r>
  <r>
    <n v="2008"/>
    <n v="3"/>
    <x v="4"/>
    <x v="4"/>
    <s v="SEA"/>
    <s v="Seattle, WA: Seattle/Tacoma International"/>
    <n v="429"/>
    <n v="151"/>
    <n v="44.97"/>
    <n v="4.37"/>
    <n v="66.86"/>
    <n v="0"/>
    <n v="34.799999999999997"/>
    <n v="23"/>
    <n v="1"/>
    <n v="8742"/>
    <n v="2684"/>
    <n v="647"/>
    <n v="2770"/>
    <n v="0"/>
    <n v="2641"/>
    <n v="0.35199999999999998"/>
    <n v="5.3600000000000002E-2"/>
    <n v="2.3E-3"/>
  </r>
  <r>
    <n v="2008"/>
    <n v="3"/>
    <x v="5"/>
    <x v="5"/>
    <s v="SEA"/>
    <s v="Seattle, WA: Seattle/Tacoma International"/>
    <n v="3878"/>
    <n v="949"/>
    <n v="196.39"/>
    <n v="7.51"/>
    <n v="437.96"/>
    <n v="6.29"/>
    <n v="300.85000000000002"/>
    <n v="23"/>
    <n v="7"/>
    <n v="46427"/>
    <n v="12862"/>
    <n v="993"/>
    <n v="12624"/>
    <n v="267"/>
    <n v="19681"/>
    <n v="0.2447"/>
    <n v="5.8999999999999999E-3"/>
    <n v="1.8E-3"/>
  </r>
  <r>
    <n v="2008"/>
    <n v="3"/>
    <x v="6"/>
    <x v="6"/>
    <s v="SEA"/>
    <s v="Seattle, WA: Seattle/Tacoma International"/>
    <n v="62"/>
    <n v="8"/>
    <n v="3.65"/>
    <n v="0"/>
    <n v="2.68"/>
    <n v="0"/>
    <n v="1.68"/>
    <n v="0"/>
    <n v="0"/>
    <n v="237"/>
    <n v="117"/>
    <n v="0"/>
    <n v="58"/>
    <n v="0"/>
    <n v="62"/>
    <n v="0.129"/>
    <n v="0"/>
    <n v="0"/>
  </r>
  <r>
    <n v="2008"/>
    <n v="3"/>
    <x v="17"/>
    <x v="17"/>
    <s v="SEA"/>
    <s v="Seattle, WA: Seattle/Tacoma International"/>
    <n v="380"/>
    <n v="140"/>
    <n v="56.87"/>
    <n v="3.46"/>
    <n v="43.8"/>
    <n v="0.9"/>
    <n v="34.96"/>
    <n v="1"/>
    <n v="0"/>
    <n v="6644"/>
    <n v="2752"/>
    <n v="199"/>
    <n v="1549"/>
    <n v="30"/>
    <n v="2114"/>
    <n v="0.36840000000000001"/>
    <n v="2.5999999999999999E-3"/>
    <n v="0"/>
  </r>
  <r>
    <n v="2008"/>
    <n v="3"/>
    <x v="7"/>
    <x v="7"/>
    <s v="SEA"/>
    <s v="Seattle, WA: Seattle/Tacoma International"/>
    <n v="384"/>
    <n v="107"/>
    <n v="27.17"/>
    <n v="5.05"/>
    <n v="48"/>
    <n v="0"/>
    <n v="26.77"/>
    <n v="2"/>
    <n v="2"/>
    <n v="4360"/>
    <n v="1170"/>
    <n v="261"/>
    <n v="1373"/>
    <n v="0"/>
    <n v="1556"/>
    <n v="0.27860000000000001"/>
    <n v="5.1999999999999998E-3"/>
    <n v="5.1999999999999998E-3"/>
  </r>
  <r>
    <n v="2008"/>
    <n v="3"/>
    <x v="8"/>
    <x v="8"/>
    <s v="SEA"/>
    <s v="Seattle, WA: Seattle/Tacoma International"/>
    <n v="95"/>
    <n v="47"/>
    <n v="16.079999999999998"/>
    <n v="0.33"/>
    <n v="21.79"/>
    <n v="0"/>
    <n v="8.8000000000000007"/>
    <n v="0"/>
    <n v="0"/>
    <n v="1525"/>
    <n v="504"/>
    <n v="16"/>
    <n v="680"/>
    <n v="0"/>
    <n v="325"/>
    <n v="0.49469999999999997"/>
    <n v="0"/>
    <n v="0"/>
  </r>
  <r>
    <n v="2008"/>
    <n v="3"/>
    <x v="0"/>
    <x v="0"/>
    <s v="SEA"/>
    <s v="Seattle, WA: Seattle/Tacoma International"/>
    <n v="93"/>
    <n v="12"/>
    <n v="11.03"/>
    <n v="0"/>
    <n v="0"/>
    <n v="0"/>
    <n v="0.97"/>
    <n v="0"/>
    <n v="0"/>
    <n v="836"/>
    <n v="642"/>
    <n v="0"/>
    <n v="0"/>
    <n v="0"/>
    <n v="194"/>
    <n v="0.129"/>
    <n v="0"/>
    <n v="0"/>
  </r>
  <r>
    <n v="2008"/>
    <n v="3"/>
    <x v="18"/>
    <x v="18"/>
    <s v="SEA"/>
    <s v="Seattle, WA: Seattle/Tacoma International"/>
    <n v="367"/>
    <n v="119"/>
    <n v="44.74"/>
    <n v="1.17"/>
    <n v="58.1"/>
    <n v="0.28999999999999998"/>
    <n v="14.7"/>
    <n v="1"/>
    <n v="0"/>
    <n v="6144"/>
    <n v="3617"/>
    <n v="50"/>
    <n v="1812"/>
    <n v="8"/>
    <n v="657"/>
    <n v="0.32429999999999998"/>
    <n v="2.7000000000000001E-3"/>
    <n v="0"/>
  </r>
  <r>
    <n v="2008"/>
    <n v="3"/>
    <x v="2"/>
    <x v="2"/>
    <s v="SEA"/>
    <s v="Seattle, WA: Seattle/Tacoma International"/>
    <n v="465"/>
    <n v="77"/>
    <n v="47"/>
    <n v="2"/>
    <n v="15"/>
    <n v="0"/>
    <n v="13"/>
    <n v="10"/>
    <n v="0"/>
    <n v="2802"/>
    <n v="1917"/>
    <n v="144"/>
    <n v="358"/>
    <n v="0"/>
    <n v="383"/>
    <n v="0.1656"/>
    <n v="2.1499999999999998E-2"/>
    <n v="0"/>
  </r>
  <r>
    <n v="2008"/>
    <n v="3"/>
    <x v="9"/>
    <x v="9"/>
    <s v="SEA"/>
    <s v="Seattle, WA: Seattle/Tacoma International"/>
    <n v="783"/>
    <n v="250"/>
    <n v="61.59"/>
    <n v="2.82"/>
    <n v="86.36"/>
    <n v="1"/>
    <n v="98.23"/>
    <n v="5"/>
    <n v="0"/>
    <n v="12926"/>
    <n v="3196"/>
    <n v="166"/>
    <n v="2637"/>
    <n v="48"/>
    <n v="6879"/>
    <n v="0.31929999999999997"/>
    <n v="6.4000000000000003E-3"/>
    <n v="0"/>
  </r>
  <r>
    <n v="2008"/>
    <n v="3"/>
    <x v="15"/>
    <x v="15"/>
    <s v="SEA"/>
    <s v="Seattle, WA: Seattle/Tacoma International"/>
    <n v="298"/>
    <n v="81"/>
    <n v="37.630000000000003"/>
    <n v="0"/>
    <n v="27.48"/>
    <n v="3.21"/>
    <n v="12.67"/>
    <n v="1"/>
    <n v="2"/>
    <n v="3450"/>
    <n v="1845"/>
    <n v="0"/>
    <n v="861"/>
    <n v="83"/>
    <n v="661"/>
    <n v="0.27179999999999999"/>
    <n v="3.3999999999999998E-3"/>
    <n v="6.7000000000000002E-3"/>
  </r>
  <r>
    <n v="2008"/>
    <n v="3"/>
    <x v="10"/>
    <x v="10"/>
    <s v="SEA"/>
    <s v="Seattle, WA: Seattle/Tacoma International"/>
    <n v="1403"/>
    <n v="400"/>
    <n v="73"/>
    <n v="0.51"/>
    <n v="95.74"/>
    <n v="1.08"/>
    <n v="229.67"/>
    <n v="3"/>
    <n v="2"/>
    <n v="16247"/>
    <n v="3123"/>
    <n v="17"/>
    <n v="2821"/>
    <n v="24"/>
    <n v="10262"/>
    <n v="0.28510000000000002"/>
    <n v="2.0999999999999999E-3"/>
    <n v="1.4E-3"/>
  </r>
  <r>
    <n v="2008"/>
    <n v="3"/>
    <x v="19"/>
    <x v="19"/>
    <s v="SEA"/>
    <s v="Seattle, WA: Seattle/Tacoma International"/>
    <n v="92"/>
    <n v="16"/>
    <n v="10.039999999999999"/>
    <n v="0"/>
    <n v="3.52"/>
    <n v="0"/>
    <n v="2.4500000000000002"/>
    <n v="0"/>
    <n v="0"/>
    <n v="814"/>
    <n v="522"/>
    <n v="0"/>
    <n v="106"/>
    <n v="0"/>
    <n v="186"/>
    <n v="0.1739"/>
    <n v="0"/>
    <n v="0"/>
  </r>
  <r>
    <n v="2008"/>
    <n v="2"/>
    <x v="4"/>
    <x v="4"/>
    <s v="SEA"/>
    <s v="Seattle, WA: Seattle/Tacoma International"/>
    <n v="402"/>
    <n v="154"/>
    <n v="51.51"/>
    <n v="11.23"/>
    <n v="55.26"/>
    <n v="0"/>
    <n v="35.99"/>
    <n v="14"/>
    <n v="2"/>
    <n v="8554"/>
    <n v="3359"/>
    <n v="805"/>
    <n v="1820"/>
    <n v="0"/>
    <n v="2570"/>
    <n v="0.3831"/>
    <n v="3.4799999999999998E-2"/>
    <n v="5.0000000000000001E-3"/>
  </r>
  <r>
    <n v="2008"/>
    <n v="2"/>
    <x v="5"/>
    <x v="5"/>
    <s v="SEA"/>
    <s v="Seattle, WA: Seattle/Tacoma International"/>
    <n v="3524"/>
    <n v="828"/>
    <n v="177.12"/>
    <n v="8.2100000000000009"/>
    <n v="359.32"/>
    <n v="0.04"/>
    <n v="283.31"/>
    <n v="52"/>
    <n v="9"/>
    <n v="41548"/>
    <n v="11929"/>
    <n v="491"/>
    <n v="11271"/>
    <n v="1"/>
    <n v="17856"/>
    <n v="0.23499999999999999"/>
    <n v="1.4800000000000001E-2"/>
    <n v="2.5999999999999999E-3"/>
  </r>
  <r>
    <n v="2008"/>
    <n v="2"/>
    <x v="6"/>
    <x v="6"/>
    <s v="SEA"/>
    <s v="Seattle, WA: Seattle/Tacoma International"/>
    <n v="58"/>
    <n v="9"/>
    <n v="2.25"/>
    <n v="0.6"/>
    <n v="3.76"/>
    <n v="0"/>
    <n v="2.39"/>
    <n v="0"/>
    <n v="1"/>
    <n v="457"/>
    <n v="105"/>
    <n v="44"/>
    <n v="161"/>
    <n v="0"/>
    <n v="147"/>
    <n v="0.1552"/>
    <n v="0"/>
    <n v="1.72E-2"/>
  </r>
  <r>
    <n v="2008"/>
    <n v="2"/>
    <x v="17"/>
    <x v="17"/>
    <s v="SEA"/>
    <s v="Seattle, WA: Seattle/Tacoma International"/>
    <n v="301"/>
    <n v="77"/>
    <n v="24.36"/>
    <n v="4.88"/>
    <n v="26.88"/>
    <n v="1.28"/>
    <n v="19.600000000000001"/>
    <n v="2"/>
    <n v="0"/>
    <n v="3381"/>
    <n v="1157"/>
    <n v="264"/>
    <n v="852"/>
    <n v="30"/>
    <n v="1078"/>
    <n v="0.25580000000000003"/>
    <n v="6.6E-3"/>
    <n v="0"/>
  </r>
  <r>
    <n v="2008"/>
    <n v="2"/>
    <x v="7"/>
    <x v="7"/>
    <s v="SEA"/>
    <s v="Seattle, WA: Seattle/Tacoma International"/>
    <n v="350"/>
    <n v="80"/>
    <n v="22.95"/>
    <n v="0.36"/>
    <n v="44.16"/>
    <n v="0"/>
    <n v="12.52"/>
    <n v="4"/>
    <n v="1"/>
    <n v="2788"/>
    <n v="810"/>
    <n v="21"/>
    <n v="1220"/>
    <n v="0"/>
    <n v="737"/>
    <n v="0.2286"/>
    <n v="1.14E-2"/>
    <n v="2.8999999999999998E-3"/>
  </r>
  <r>
    <n v="2008"/>
    <n v="2"/>
    <x v="8"/>
    <x v="8"/>
    <s v="SEA"/>
    <s v="Seattle, WA: Seattle/Tacoma International"/>
    <n v="107"/>
    <n v="29"/>
    <n v="8.93"/>
    <n v="0.4"/>
    <n v="16.73"/>
    <n v="0"/>
    <n v="2.93"/>
    <n v="0"/>
    <n v="0"/>
    <n v="764"/>
    <n v="196"/>
    <n v="8"/>
    <n v="465"/>
    <n v="0"/>
    <n v="95"/>
    <n v="0.27100000000000002"/>
    <n v="0"/>
    <n v="0"/>
  </r>
  <r>
    <n v="2008"/>
    <n v="2"/>
    <x v="0"/>
    <x v="0"/>
    <s v="SEA"/>
    <s v="Seattle, WA: Seattle/Tacoma International"/>
    <n v="87"/>
    <n v="15"/>
    <n v="14.52"/>
    <n v="0"/>
    <n v="0"/>
    <n v="0"/>
    <n v="0.48"/>
    <n v="0"/>
    <n v="0"/>
    <n v="472"/>
    <n v="462"/>
    <n v="0"/>
    <n v="0"/>
    <n v="0"/>
    <n v="10"/>
    <n v="0.1724"/>
    <n v="0"/>
    <n v="0"/>
  </r>
  <r>
    <n v="2008"/>
    <n v="2"/>
    <x v="18"/>
    <x v="18"/>
    <s v="SEA"/>
    <s v="Seattle, WA: Seattle/Tacoma International"/>
    <n v="344"/>
    <n v="110"/>
    <n v="37.18"/>
    <n v="0.69"/>
    <n v="56.14"/>
    <n v="0.2"/>
    <n v="15.79"/>
    <n v="1"/>
    <n v="0"/>
    <n v="5566"/>
    <n v="1967"/>
    <n v="375"/>
    <n v="1921"/>
    <n v="8"/>
    <n v="1295"/>
    <n v="0.31979999999999997"/>
    <n v="2.8999999999999998E-3"/>
    <n v="0"/>
  </r>
  <r>
    <n v="2008"/>
    <n v="2"/>
    <x v="2"/>
    <x v="2"/>
    <s v="SEA"/>
    <s v="Seattle, WA: Seattle/Tacoma International"/>
    <n v="432"/>
    <n v="80"/>
    <n v="42"/>
    <n v="3"/>
    <n v="6"/>
    <n v="0"/>
    <n v="29"/>
    <n v="9"/>
    <n v="1"/>
    <n v="3993"/>
    <n v="1448"/>
    <n v="342"/>
    <n v="903"/>
    <n v="0"/>
    <n v="1300"/>
    <n v="0.1852"/>
    <n v="2.0799999999999999E-2"/>
    <n v="2.3E-3"/>
  </r>
  <r>
    <n v="2008"/>
    <n v="2"/>
    <x v="9"/>
    <x v="9"/>
    <s v="SEA"/>
    <s v="Seattle, WA: Seattle/Tacoma International"/>
    <n v="696"/>
    <n v="241"/>
    <n v="59.7"/>
    <n v="9.31"/>
    <n v="69.41"/>
    <n v="0"/>
    <n v="102.59"/>
    <n v="3"/>
    <n v="1"/>
    <n v="14668"/>
    <n v="3991"/>
    <n v="516"/>
    <n v="2133"/>
    <n v="0"/>
    <n v="8028"/>
    <n v="0.3463"/>
    <n v="4.3E-3"/>
    <n v="1.4E-3"/>
  </r>
  <r>
    <n v="2008"/>
    <n v="2"/>
    <x v="15"/>
    <x v="15"/>
    <s v="SEA"/>
    <s v="Seattle, WA: Seattle/Tacoma International"/>
    <n v="291"/>
    <n v="68"/>
    <n v="19.899999999999999"/>
    <n v="0.09"/>
    <n v="26.95"/>
    <n v="0.08"/>
    <n v="20.98"/>
    <n v="2"/>
    <n v="0"/>
    <n v="3226"/>
    <n v="930"/>
    <n v="31"/>
    <n v="801"/>
    <n v="5"/>
    <n v="1459"/>
    <n v="0.23369999999999999"/>
    <n v="6.8999999999999999E-3"/>
    <n v="0"/>
  </r>
  <r>
    <n v="2008"/>
    <n v="2"/>
    <x v="10"/>
    <x v="10"/>
    <s v="SEA"/>
    <s v="Seattle, WA: Seattle/Tacoma International"/>
    <n v="1307"/>
    <n v="315"/>
    <n v="59.6"/>
    <n v="7.1"/>
    <n v="50.35"/>
    <n v="0.86"/>
    <n v="197.09"/>
    <n v="13"/>
    <n v="4"/>
    <n v="15445"/>
    <n v="2684"/>
    <n v="625"/>
    <n v="1593"/>
    <n v="26"/>
    <n v="10517"/>
    <n v="0.24099999999999999"/>
    <n v="9.9000000000000008E-3"/>
    <n v="3.0999999999999999E-3"/>
  </r>
  <r>
    <n v="2008"/>
    <n v="2"/>
    <x v="19"/>
    <x v="19"/>
    <s v="SEA"/>
    <s v="Seattle, WA: Seattle/Tacoma International"/>
    <n v="78"/>
    <n v="22"/>
    <n v="5.61"/>
    <n v="0"/>
    <n v="8.32"/>
    <n v="1"/>
    <n v="7.06"/>
    <n v="0"/>
    <n v="0"/>
    <n v="863"/>
    <n v="283"/>
    <n v="0"/>
    <n v="278"/>
    <n v="16"/>
    <n v="286"/>
    <n v="0.28210000000000002"/>
    <n v="0"/>
    <n v="0"/>
  </r>
  <r>
    <n v="2008"/>
    <n v="1"/>
    <x v="4"/>
    <x v="4"/>
    <s v="SEA"/>
    <s v="Seattle, WA: Seattle/Tacoma International"/>
    <n v="429"/>
    <n v="130"/>
    <n v="50.81"/>
    <n v="10.55"/>
    <n v="37.29"/>
    <n v="0"/>
    <n v="31.35"/>
    <n v="9"/>
    <n v="0"/>
    <n v="6439"/>
    <n v="2470"/>
    <n v="574"/>
    <n v="1193"/>
    <n v="0"/>
    <n v="2202"/>
    <n v="0.30299999999999999"/>
    <n v="2.1000000000000001E-2"/>
    <n v="0"/>
  </r>
  <r>
    <n v="2008"/>
    <n v="1"/>
    <x v="5"/>
    <x v="5"/>
    <s v="SEA"/>
    <s v="Seattle, WA: Seattle/Tacoma International"/>
    <n v="3753"/>
    <n v="873"/>
    <n v="194.2"/>
    <n v="12.55"/>
    <n v="316.47000000000003"/>
    <n v="8.15"/>
    <n v="341.62"/>
    <n v="85"/>
    <n v="5"/>
    <n v="45778"/>
    <n v="11648"/>
    <n v="1152"/>
    <n v="10076"/>
    <n v="238"/>
    <n v="22664"/>
    <n v="0.2326"/>
    <n v="2.2599999999999999E-2"/>
    <n v="1.2999999999999999E-3"/>
  </r>
  <r>
    <n v="2008"/>
    <n v="1"/>
    <x v="6"/>
    <x v="6"/>
    <s v="SEA"/>
    <s v="Seattle, WA: Seattle/Tacoma International"/>
    <n v="62"/>
    <n v="9"/>
    <n v="1.58"/>
    <n v="0"/>
    <n v="3"/>
    <n v="0"/>
    <n v="4.42"/>
    <n v="0"/>
    <n v="0"/>
    <n v="316"/>
    <n v="36"/>
    <n v="0"/>
    <n v="122"/>
    <n v="0"/>
    <n v="158"/>
    <n v="0.1452"/>
    <n v="0"/>
    <n v="0"/>
  </r>
  <r>
    <n v="2008"/>
    <n v="1"/>
    <x v="17"/>
    <x v="17"/>
    <s v="SEA"/>
    <s v="Seattle, WA: Seattle/Tacoma International"/>
    <n v="308"/>
    <n v="90"/>
    <n v="33.19"/>
    <n v="1.87"/>
    <n v="32.19"/>
    <n v="1"/>
    <n v="21.75"/>
    <n v="1"/>
    <n v="0"/>
    <n v="3290"/>
    <n v="1065"/>
    <n v="83"/>
    <n v="892"/>
    <n v="18"/>
    <n v="1232"/>
    <n v="0.29220000000000002"/>
    <n v="3.2000000000000002E-3"/>
    <n v="0"/>
  </r>
  <r>
    <n v="2008"/>
    <n v="1"/>
    <x v="7"/>
    <x v="7"/>
    <s v="SEA"/>
    <s v="Seattle, WA: Seattle/Tacoma International"/>
    <n v="397"/>
    <n v="83"/>
    <n v="30.37"/>
    <n v="3.07"/>
    <n v="27.98"/>
    <n v="0"/>
    <n v="21.58"/>
    <n v="3"/>
    <n v="0"/>
    <n v="3878"/>
    <n v="1411"/>
    <n v="222"/>
    <n v="1238"/>
    <n v="0"/>
    <n v="1007"/>
    <n v="0.20910000000000001"/>
    <n v="7.6E-3"/>
    <n v="0"/>
  </r>
  <r>
    <n v="2008"/>
    <n v="1"/>
    <x v="8"/>
    <x v="8"/>
    <s v="SEA"/>
    <s v="Seattle, WA: Seattle/Tacoma International"/>
    <n v="104"/>
    <n v="28"/>
    <n v="15.44"/>
    <n v="0"/>
    <n v="10.61"/>
    <n v="0"/>
    <n v="1.96"/>
    <n v="0"/>
    <n v="0"/>
    <n v="910"/>
    <n v="540"/>
    <n v="0"/>
    <n v="307"/>
    <n v="0"/>
    <n v="63"/>
    <n v="0.26919999999999999"/>
    <n v="0"/>
    <n v="0"/>
  </r>
  <r>
    <n v="2008"/>
    <n v="1"/>
    <x v="0"/>
    <x v="0"/>
    <s v="SEA"/>
    <s v="Seattle, WA: Seattle/Tacoma International"/>
    <n v="93"/>
    <n v="28"/>
    <n v="25.63"/>
    <n v="0"/>
    <n v="0"/>
    <n v="0"/>
    <n v="2.37"/>
    <n v="0"/>
    <n v="0"/>
    <n v="781"/>
    <n v="721"/>
    <n v="0"/>
    <n v="0"/>
    <n v="0"/>
    <n v="60"/>
    <n v="0.30109999999999998"/>
    <n v="0"/>
    <n v="0"/>
  </r>
  <r>
    <n v="2008"/>
    <n v="1"/>
    <x v="18"/>
    <x v="18"/>
    <s v="SEA"/>
    <s v="Seattle, WA: Seattle/Tacoma International"/>
    <n v="389"/>
    <n v="106"/>
    <n v="38.01"/>
    <n v="0"/>
    <n v="60.48"/>
    <n v="0"/>
    <n v="7.5"/>
    <n v="0"/>
    <n v="0"/>
    <n v="3926"/>
    <n v="1699"/>
    <n v="0"/>
    <n v="1821"/>
    <n v="0"/>
    <n v="406"/>
    <n v="0.27250000000000002"/>
    <n v="0"/>
    <n v="0"/>
  </r>
  <r>
    <n v="2008"/>
    <n v="1"/>
    <x v="2"/>
    <x v="2"/>
    <s v="SEA"/>
    <s v="Seattle, WA: Seattle/Tacoma International"/>
    <n v="455"/>
    <n v="114"/>
    <n v="48"/>
    <n v="12"/>
    <n v="4"/>
    <n v="1"/>
    <n v="49"/>
    <n v="10"/>
    <n v="2"/>
    <n v="4736"/>
    <n v="1957"/>
    <n v="972"/>
    <n v="137"/>
    <n v="40"/>
    <n v="1630"/>
    <n v="0.2505"/>
    <n v="2.1999999999999999E-2"/>
    <n v="4.4000000000000003E-3"/>
  </r>
  <r>
    <n v="2008"/>
    <n v="1"/>
    <x v="9"/>
    <x v="9"/>
    <s v="SEA"/>
    <s v="Seattle, WA: Seattle/Tacoma International"/>
    <n v="732"/>
    <n v="284"/>
    <n v="86.38"/>
    <n v="7.08"/>
    <n v="60.45"/>
    <n v="0"/>
    <n v="130.09"/>
    <n v="13"/>
    <n v="0"/>
    <n v="17705"/>
    <n v="5116"/>
    <n v="533"/>
    <n v="2226"/>
    <n v="0"/>
    <n v="9830"/>
    <n v="0.38800000000000001"/>
    <n v="1.78E-2"/>
    <n v="0"/>
  </r>
  <r>
    <n v="2008"/>
    <n v="1"/>
    <x v="15"/>
    <x v="15"/>
    <s v="SEA"/>
    <s v="Seattle, WA: Seattle/Tacoma International"/>
    <n v="327"/>
    <n v="62"/>
    <n v="27"/>
    <n v="0"/>
    <n v="19.8"/>
    <n v="0"/>
    <n v="15.2"/>
    <n v="0"/>
    <n v="0"/>
    <n v="2870"/>
    <n v="1223"/>
    <n v="0"/>
    <n v="648"/>
    <n v="0"/>
    <n v="999"/>
    <n v="0.18959999999999999"/>
    <n v="0"/>
    <n v="0"/>
  </r>
  <r>
    <n v="2008"/>
    <n v="1"/>
    <x v="10"/>
    <x v="10"/>
    <s v="SEA"/>
    <s v="Seattle, WA: Seattle/Tacoma International"/>
    <n v="1397"/>
    <n v="295"/>
    <n v="64.94"/>
    <n v="2.4300000000000002"/>
    <n v="50.86"/>
    <n v="1.51"/>
    <n v="175.26"/>
    <n v="4"/>
    <n v="1"/>
    <n v="13849"/>
    <n v="2779"/>
    <n v="291"/>
    <n v="1456"/>
    <n v="104"/>
    <n v="9219"/>
    <n v="0.2112"/>
    <n v="2.8999999999999998E-3"/>
    <n v="6.9999999999999999E-4"/>
  </r>
  <r>
    <n v="2008"/>
    <n v="1"/>
    <x v="19"/>
    <x v="19"/>
    <s v="SEA"/>
    <s v="Seattle, WA: Seattle/Tacoma International"/>
    <n v="93"/>
    <n v="38"/>
    <n v="14.72"/>
    <n v="0"/>
    <n v="11.01"/>
    <n v="0"/>
    <n v="12.27"/>
    <n v="1"/>
    <n v="0"/>
    <n v="2062"/>
    <n v="987"/>
    <n v="0"/>
    <n v="350"/>
    <n v="0"/>
    <n v="725"/>
    <n v="0.40860000000000002"/>
    <n v="1.0800000000000001E-2"/>
    <n v="0"/>
  </r>
  <r>
    <n v="2007"/>
    <n v="12"/>
    <x v="8"/>
    <x v="8"/>
    <s v="SEA"/>
    <s v="Seattle, WA: Seattle/Tacoma International"/>
    <n v="119"/>
    <n v="72"/>
    <n v="24.08"/>
    <n v="0.37"/>
    <n v="37.229999999999997"/>
    <n v="0"/>
    <n v="10.32"/>
    <n v="0"/>
    <n v="0"/>
    <n v="3270"/>
    <n v="979"/>
    <n v="33"/>
    <n v="1623"/>
    <n v="0"/>
    <n v="635"/>
    <n v="0.60499999999999998"/>
    <n v="0"/>
    <n v="0"/>
  </r>
  <r>
    <n v="2007"/>
    <n v="12"/>
    <x v="0"/>
    <x v="0"/>
    <s v="SEA"/>
    <s v="Seattle, WA: Seattle/Tacoma International"/>
    <n v="93"/>
    <n v="19"/>
    <n v="17.02"/>
    <n v="0"/>
    <n v="0.5"/>
    <n v="0"/>
    <n v="1.48"/>
    <n v="0"/>
    <n v="0"/>
    <n v="603"/>
    <n v="542"/>
    <n v="0"/>
    <n v="8"/>
    <n v="0"/>
    <n v="53"/>
    <n v="0.20430000000000001"/>
    <n v="0"/>
    <n v="0"/>
  </r>
  <r>
    <n v="2007"/>
    <n v="12"/>
    <x v="18"/>
    <x v="18"/>
    <s v="SEA"/>
    <s v="Seattle, WA: Seattle/Tacoma International"/>
    <n v="414"/>
    <n v="218"/>
    <n v="80.95"/>
    <n v="4.74"/>
    <n v="113.37"/>
    <n v="0"/>
    <n v="18.940000000000001"/>
    <n v="2"/>
    <n v="0"/>
    <n v="11772"/>
    <n v="4260"/>
    <n v="392"/>
    <n v="4651"/>
    <n v="0"/>
    <n v="2469"/>
    <n v="0.52659999999999996"/>
    <n v="4.7999999999999996E-3"/>
    <n v="0"/>
  </r>
  <r>
    <n v="2007"/>
    <n v="12"/>
    <x v="2"/>
    <x v="2"/>
    <s v="SEA"/>
    <s v="Seattle, WA: Seattle/Tacoma International"/>
    <n v="382"/>
    <n v="102"/>
    <n v="59"/>
    <n v="4"/>
    <n v="15"/>
    <n v="0"/>
    <n v="24"/>
    <n v="8"/>
    <n v="0"/>
    <n v="3808"/>
    <n v="2043"/>
    <n v="185"/>
    <n v="577"/>
    <n v="0"/>
    <n v="1003"/>
    <n v="0.26700000000000002"/>
    <n v="2.0899999999999998E-2"/>
    <n v="0"/>
  </r>
  <r>
    <n v="2007"/>
    <n v="12"/>
    <x v="9"/>
    <x v="9"/>
    <s v="SEA"/>
    <s v="Seattle, WA: Seattle/Tacoma International"/>
    <n v="842"/>
    <n v="356"/>
    <n v="100.46"/>
    <n v="9.25"/>
    <n v="99.83"/>
    <n v="0"/>
    <n v="146.44999999999999"/>
    <n v="38"/>
    <n v="1"/>
    <n v="23639"/>
    <n v="6619"/>
    <n v="757"/>
    <n v="4267"/>
    <n v="0"/>
    <n v="11996"/>
    <n v="0.42280000000000001"/>
    <n v="4.5100000000000001E-2"/>
    <n v="1.1999999999999999E-3"/>
  </r>
  <r>
    <n v="2007"/>
    <n v="12"/>
    <x v="15"/>
    <x v="15"/>
    <s v="SEA"/>
    <s v="Seattle, WA: Seattle/Tacoma International"/>
    <n v="339"/>
    <n v="112"/>
    <n v="49.52"/>
    <n v="0"/>
    <n v="37.04"/>
    <n v="0.89"/>
    <n v="24.55"/>
    <n v="3"/>
    <n v="1"/>
    <n v="5174"/>
    <n v="2139"/>
    <n v="0"/>
    <n v="1353"/>
    <n v="17"/>
    <n v="1665"/>
    <n v="0.33040000000000003"/>
    <n v="8.8000000000000005E-3"/>
    <n v="2.8999999999999998E-3"/>
  </r>
  <r>
    <n v="2007"/>
    <n v="12"/>
    <x v="10"/>
    <x v="10"/>
    <s v="SEA"/>
    <s v="Seattle, WA: Seattle/Tacoma International"/>
    <n v="1374"/>
    <n v="430"/>
    <n v="108.2"/>
    <n v="6.37"/>
    <n v="105.76"/>
    <n v="2.09"/>
    <n v="207.58"/>
    <n v="10"/>
    <n v="1"/>
    <n v="19247"/>
    <n v="4550"/>
    <n v="354"/>
    <n v="3587"/>
    <n v="64"/>
    <n v="10692"/>
    <n v="0.313"/>
    <n v="7.3000000000000001E-3"/>
    <n v="6.9999999999999999E-4"/>
  </r>
  <r>
    <n v="2007"/>
    <n v="12"/>
    <x v="19"/>
    <x v="19"/>
    <s v="SEA"/>
    <s v="Seattle, WA: Seattle/Tacoma International"/>
    <n v="88"/>
    <n v="51"/>
    <n v="14.64"/>
    <n v="0"/>
    <n v="16.98"/>
    <n v="0"/>
    <n v="19.38"/>
    <n v="0"/>
    <n v="0"/>
    <n v="2417"/>
    <n v="768"/>
    <n v="0"/>
    <n v="693"/>
    <n v="0"/>
    <n v="956"/>
    <n v="0.57950000000000002"/>
    <n v="0"/>
    <n v="0"/>
  </r>
  <r>
    <n v="2007"/>
    <n v="12"/>
    <x v="4"/>
    <x v="4"/>
    <s v="SEA"/>
    <s v="Seattle, WA: Seattle/Tacoma International"/>
    <n v="457"/>
    <n v="221"/>
    <n v="63.35"/>
    <n v="23.78"/>
    <n v="79.13"/>
    <n v="0"/>
    <n v="54.74"/>
    <n v="6"/>
    <n v="0"/>
    <n v="12865"/>
    <n v="4163"/>
    <n v="1518"/>
    <n v="2910"/>
    <n v="0"/>
    <n v="4274"/>
    <n v="0.48359999999999997"/>
    <n v="1.3100000000000001E-2"/>
    <n v="0"/>
  </r>
  <r>
    <n v="2007"/>
    <n v="12"/>
    <x v="5"/>
    <x v="5"/>
    <s v="SEA"/>
    <s v="Seattle, WA: Seattle/Tacoma International"/>
    <n v="3834"/>
    <n v="1196"/>
    <n v="243.03"/>
    <n v="14.23"/>
    <n v="545.29999999999995"/>
    <n v="14.38"/>
    <n v="379.07"/>
    <n v="56"/>
    <n v="7"/>
    <n v="59426"/>
    <n v="15640"/>
    <n v="913"/>
    <n v="17152"/>
    <n v="533"/>
    <n v="25188"/>
    <n v="0.31190000000000001"/>
    <n v="1.46E-2"/>
    <n v="1.8E-3"/>
  </r>
  <r>
    <n v="2007"/>
    <n v="12"/>
    <x v="6"/>
    <x v="6"/>
    <s v="SEA"/>
    <s v="Seattle, WA: Seattle/Tacoma International"/>
    <n v="62"/>
    <n v="19"/>
    <n v="7.21"/>
    <n v="0.56999999999999995"/>
    <n v="6.54"/>
    <n v="0"/>
    <n v="4.68"/>
    <n v="2"/>
    <n v="0"/>
    <n v="1368"/>
    <n v="339"/>
    <n v="202"/>
    <n v="458"/>
    <n v="0"/>
    <n v="369"/>
    <n v="0.30649999999999999"/>
    <n v="3.2300000000000002E-2"/>
    <n v="0"/>
  </r>
  <r>
    <n v="2007"/>
    <n v="12"/>
    <x v="17"/>
    <x v="17"/>
    <s v="SEA"/>
    <s v="Seattle, WA: Seattle/Tacoma International"/>
    <n v="433"/>
    <n v="159"/>
    <n v="42.73"/>
    <n v="5"/>
    <n v="76.05"/>
    <n v="1.39"/>
    <n v="33.83"/>
    <n v="5"/>
    <n v="1"/>
    <n v="7078"/>
    <n v="1871"/>
    <n v="528"/>
    <n v="2475"/>
    <n v="45"/>
    <n v="2159"/>
    <n v="0.36720000000000003"/>
    <n v="1.15E-2"/>
    <n v="2.3E-3"/>
  </r>
  <r>
    <n v="2007"/>
    <n v="12"/>
    <x v="7"/>
    <x v="7"/>
    <s v="SEA"/>
    <s v="Seattle, WA: Seattle/Tacoma International"/>
    <n v="473"/>
    <n v="169"/>
    <n v="38"/>
    <n v="6.42"/>
    <n v="91.82"/>
    <n v="0"/>
    <n v="32.76"/>
    <n v="5"/>
    <n v="1"/>
    <n v="7054"/>
    <n v="1866"/>
    <n v="343"/>
    <n v="3127"/>
    <n v="0"/>
    <n v="1718"/>
    <n v="0.35730000000000001"/>
    <n v="1.06E-2"/>
    <n v="2.0999999999999999E-3"/>
  </r>
  <r>
    <n v="2007"/>
    <n v="11"/>
    <x v="4"/>
    <x v="4"/>
    <s v="SEA"/>
    <s v="Seattle, WA: Seattle/Tacoma International"/>
    <n v="491"/>
    <n v="143"/>
    <n v="45.14"/>
    <n v="7.83"/>
    <n v="65.599999999999994"/>
    <n v="0"/>
    <n v="24.43"/>
    <n v="1"/>
    <n v="0"/>
    <n v="6829"/>
    <n v="3156"/>
    <n v="329"/>
    <n v="1914"/>
    <n v="0"/>
    <n v="1430"/>
    <n v="0.29120000000000001"/>
    <n v="2E-3"/>
    <n v="0"/>
  </r>
  <r>
    <n v="2007"/>
    <n v="11"/>
    <x v="5"/>
    <x v="5"/>
    <s v="SEA"/>
    <s v="Seattle, WA: Seattle/Tacoma International"/>
    <n v="3698"/>
    <n v="838"/>
    <n v="192.24"/>
    <n v="4.5199999999999996"/>
    <n v="334.55"/>
    <n v="4.93"/>
    <n v="301.75"/>
    <n v="41"/>
    <n v="4"/>
    <n v="42245"/>
    <n v="12047"/>
    <n v="362"/>
    <n v="10595"/>
    <n v="196"/>
    <n v="19045"/>
    <n v="0.2266"/>
    <n v="1.11E-2"/>
    <n v="1.1000000000000001E-3"/>
  </r>
  <r>
    <n v="2007"/>
    <n v="11"/>
    <x v="6"/>
    <x v="6"/>
    <s v="SEA"/>
    <s v="Seattle, WA: Seattle/Tacoma International"/>
    <n v="59"/>
    <n v="13"/>
    <n v="3.34"/>
    <n v="0"/>
    <n v="9.06"/>
    <n v="0"/>
    <n v="0.6"/>
    <n v="1"/>
    <n v="0"/>
    <n v="462"/>
    <n v="177"/>
    <n v="0"/>
    <n v="276"/>
    <n v="0"/>
    <n v="9"/>
    <n v="0.2203"/>
    <n v="1.6899999999999998E-2"/>
    <n v="0"/>
  </r>
  <r>
    <n v="2007"/>
    <n v="11"/>
    <x v="17"/>
    <x v="17"/>
    <s v="SEA"/>
    <s v="Seattle, WA: Seattle/Tacoma International"/>
    <n v="358"/>
    <n v="101"/>
    <n v="28.58"/>
    <n v="1.0900000000000001"/>
    <n v="59.24"/>
    <n v="0.39"/>
    <n v="11.7"/>
    <n v="0"/>
    <n v="0"/>
    <n v="3950"/>
    <n v="1360"/>
    <n v="47"/>
    <n v="1787"/>
    <n v="9"/>
    <n v="747"/>
    <n v="0.28210000000000002"/>
    <n v="0"/>
    <n v="0"/>
  </r>
  <r>
    <n v="2007"/>
    <n v="11"/>
    <x v="7"/>
    <x v="7"/>
    <s v="SEA"/>
    <s v="Seattle, WA: Seattle/Tacoma International"/>
    <n v="449"/>
    <n v="120"/>
    <n v="25.01"/>
    <n v="0.1"/>
    <n v="80.989999999999995"/>
    <n v="0"/>
    <n v="13.9"/>
    <n v="2"/>
    <n v="0"/>
    <n v="3966"/>
    <n v="1023"/>
    <n v="4"/>
    <n v="2258"/>
    <n v="0"/>
    <n v="681"/>
    <n v="0.26729999999999998"/>
    <n v="4.4999999999999997E-3"/>
    <n v="0"/>
  </r>
  <r>
    <n v="2007"/>
    <n v="11"/>
    <x v="8"/>
    <x v="8"/>
    <s v="SEA"/>
    <s v="Seattle, WA: Seattle/Tacoma International"/>
    <n v="116"/>
    <n v="48"/>
    <n v="21"/>
    <n v="0"/>
    <n v="26.46"/>
    <n v="0"/>
    <n v="0.55000000000000004"/>
    <n v="0"/>
    <n v="0"/>
    <n v="1288"/>
    <n v="596"/>
    <n v="0"/>
    <n v="683"/>
    <n v="0"/>
    <n v="9"/>
    <n v="0.4138"/>
    <n v="0"/>
    <n v="0"/>
  </r>
  <r>
    <n v="2007"/>
    <n v="11"/>
    <x v="16"/>
    <x v="16"/>
    <s v="SEA"/>
    <s v="Seattle, WA: Seattle/Tacoma International"/>
    <n v="16"/>
    <n v="9"/>
    <n v="0.48"/>
    <n v="0"/>
    <n v="8.16"/>
    <n v="0"/>
    <n v="0.36"/>
    <n v="0"/>
    <n v="0"/>
    <n v="211"/>
    <n v="13"/>
    <n v="0"/>
    <n v="189"/>
    <n v="0"/>
    <n v="9"/>
    <n v="0.5625"/>
    <n v="0"/>
    <n v="0"/>
  </r>
  <r>
    <n v="2007"/>
    <n v="11"/>
    <x v="0"/>
    <x v="0"/>
    <s v="SEA"/>
    <s v="Seattle, WA: Seattle/Tacoma International"/>
    <n v="90"/>
    <n v="11"/>
    <n v="9.98"/>
    <n v="0"/>
    <n v="0"/>
    <n v="0"/>
    <n v="1.02"/>
    <n v="0"/>
    <n v="0"/>
    <n v="919"/>
    <n v="866"/>
    <n v="0"/>
    <n v="0"/>
    <n v="0"/>
    <n v="53"/>
    <n v="0.1222"/>
    <n v="0"/>
    <n v="0"/>
  </r>
  <r>
    <n v="2007"/>
    <n v="11"/>
    <x v="18"/>
    <x v="18"/>
    <s v="SEA"/>
    <s v="Seattle, WA: Seattle/Tacoma International"/>
    <n v="360"/>
    <n v="170"/>
    <n v="32.520000000000003"/>
    <n v="0.39"/>
    <n v="127.19"/>
    <n v="0"/>
    <n v="9.9"/>
    <n v="0"/>
    <n v="1"/>
    <n v="6657"/>
    <n v="1912"/>
    <n v="7"/>
    <n v="3894"/>
    <n v="0"/>
    <n v="844"/>
    <n v="0.47220000000000001"/>
    <n v="0"/>
    <n v="2.8E-3"/>
  </r>
  <r>
    <n v="2007"/>
    <n v="11"/>
    <x v="2"/>
    <x v="2"/>
    <s v="SEA"/>
    <s v="Seattle, WA: Seattle/Tacoma International"/>
    <n v="443"/>
    <n v="80"/>
    <n v="49"/>
    <n v="3"/>
    <n v="10"/>
    <n v="0"/>
    <n v="18"/>
    <n v="5"/>
    <n v="1"/>
    <n v="3107"/>
    <n v="1573"/>
    <n v="101"/>
    <n v="604"/>
    <n v="0"/>
    <n v="829"/>
    <n v="0.18060000000000001"/>
    <n v="1.1299999999999999E-2"/>
    <n v="2.3E-3"/>
  </r>
  <r>
    <n v="2007"/>
    <n v="11"/>
    <x v="9"/>
    <x v="9"/>
    <s v="SEA"/>
    <s v="Seattle, WA: Seattle/Tacoma International"/>
    <n v="825"/>
    <n v="231"/>
    <n v="50.35"/>
    <n v="4.9800000000000004"/>
    <n v="82.22"/>
    <n v="0"/>
    <n v="93.45"/>
    <n v="7"/>
    <n v="0"/>
    <n v="13059"/>
    <n v="3018"/>
    <n v="394"/>
    <n v="2606"/>
    <n v="0"/>
    <n v="7041"/>
    <n v="0.28000000000000003"/>
    <n v="8.5000000000000006E-3"/>
    <n v="0"/>
  </r>
  <r>
    <n v="2007"/>
    <n v="11"/>
    <x v="15"/>
    <x v="15"/>
    <s v="SEA"/>
    <s v="Seattle, WA: Seattle/Tacoma International"/>
    <n v="321"/>
    <n v="60"/>
    <n v="19.07"/>
    <n v="0"/>
    <n v="26.57"/>
    <n v="1.99"/>
    <n v="12.37"/>
    <n v="5"/>
    <n v="1"/>
    <n v="2642"/>
    <n v="1066"/>
    <n v="0"/>
    <n v="926"/>
    <n v="78"/>
    <n v="572"/>
    <n v="0.18690000000000001"/>
    <n v="1.5599999999999999E-2"/>
    <n v="3.0999999999999999E-3"/>
  </r>
  <r>
    <n v="2007"/>
    <n v="11"/>
    <x v="10"/>
    <x v="10"/>
    <s v="SEA"/>
    <s v="Seattle, WA: Seattle/Tacoma International"/>
    <n v="1331"/>
    <n v="195"/>
    <n v="45.79"/>
    <n v="4.2699999999999996"/>
    <n v="51.08"/>
    <n v="0.86"/>
    <n v="92.99"/>
    <n v="6"/>
    <n v="2"/>
    <n v="8384"/>
    <n v="1684"/>
    <n v="323"/>
    <n v="2107"/>
    <n v="22"/>
    <n v="4248"/>
    <n v="0.14649999999999999"/>
    <n v="4.4999999999999997E-3"/>
    <n v="1.5E-3"/>
  </r>
  <r>
    <n v="2007"/>
    <n v="11"/>
    <x v="19"/>
    <x v="19"/>
    <s v="SEA"/>
    <s v="Seattle, WA: Seattle/Tacoma International"/>
    <n v="108"/>
    <n v="45"/>
    <n v="9.27"/>
    <n v="0"/>
    <n v="24.35"/>
    <n v="0"/>
    <n v="11.38"/>
    <n v="0"/>
    <n v="0"/>
    <n v="1700"/>
    <n v="522"/>
    <n v="0"/>
    <n v="807"/>
    <n v="0"/>
    <n v="371"/>
    <n v="0.41670000000000001"/>
    <n v="0"/>
    <n v="0"/>
  </r>
  <r>
    <n v="2007"/>
    <n v="10"/>
    <x v="4"/>
    <x v="4"/>
    <s v="SEA"/>
    <s v="Seattle, WA: Seattle/Tacoma International"/>
    <n v="514"/>
    <n v="169"/>
    <n v="41.98"/>
    <n v="6.94"/>
    <n v="85.6"/>
    <n v="0"/>
    <n v="34.479999999999997"/>
    <n v="2"/>
    <n v="1"/>
    <n v="7841"/>
    <n v="1990"/>
    <n v="467"/>
    <n v="3049"/>
    <n v="0"/>
    <n v="2335"/>
    <n v="0.32879999999999998"/>
    <n v="3.8999999999999998E-3"/>
    <n v="1.9E-3"/>
  </r>
  <r>
    <n v="2007"/>
    <n v="10"/>
    <x v="5"/>
    <x v="5"/>
    <s v="SEA"/>
    <s v="Seattle, WA: Seattle/Tacoma International"/>
    <n v="4178"/>
    <n v="1285"/>
    <n v="222.42"/>
    <n v="6.18"/>
    <n v="560.07000000000005"/>
    <n v="3.32"/>
    <n v="493.02"/>
    <n v="79"/>
    <n v="23"/>
    <n v="62263"/>
    <n v="14961"/>
    <n v="367"/>
    <n v="17597"/>
    <n v="122"/>
    <n v="29216"/>
    <n v="0.30759999999999998"/>
    <n v="1.89E-2"/>
    <n v="5.4999999999999997E-3"/>
  </r>
  <r>
    <n v="2007"/>
    <n v="10"/>
    <x v="6"/>
    <x v="6"/>
    <s v="SEA"/>
    <s v="Seattle, WA: Seattle/Tacoma International"/>
    <n v="93"/>
    <n v="29"/>
    <n v="3.15"/>
    <n v="0"/>
    <n v="20.69"/>
    <n v="0"/>
    <n v="5.16"/>
    <n v="0"/>
    <n v="0"/>
    <n v="1587"/>
    <n v="323"/>
    <n v="0"/>
    <n v="1002"/>
    <n v="0"/>
    <n v="262"/>
    <n v="0.31180000000000002"/>
    <n v="0"/>
    <n v="0"/>
  </r>
  <r>
    <n v="2007"/>
    <n v="10"/>
    <x v="17"/>
    <x v="17"/>
    <s v="SEA"/>
    <s v="Seattle, WA: Seattle/Tacoma International"/>
    <n v="381"/>
    <n v="112"/>
    <n v="22.41"/>
    <n v="3.02"/>
    <n v="61.42"/>
    <n v="0.24"/>
    <n v="24.91"/>
    <n v="0"/>
    <n v="0"/>
    <n v="4688"/>
    <n v="738"/>
    <n v="407"/>
    <n v="1971"/>
    <n v="5"/>
    <n v="1567"/>
    <n v="0.29399999999999998"/>
    <n v="0"/>
    <n v="0"/>
  </r>
  <r>
    <n v="2007"/>
    <n v="10"/>
    <x v="7"/>
    <x v="7"/>
    <s v="SEA"/>
    <s v="Seattle, WA: Seattle/Tacoma International"/>
    <n v="449"/>
    <n v="110"/>
    <n v="26.83"/>
    <n v="0"/>
    <n v="66.12"/>
    <n v="0"/>
    <n v="17.05"/>
    <n v="0"/>
    <n v="2"/>
    <n v="4740"/>
    <n v="1181"/>
    <n v="0"/>
    <n v="2686"/>
    <n v="0"/>
    <n v="873"/>
    <n v="0.245"/>
    <n v="0"/>
    <n v="4.4999999999999997E-3"/>
  </r>
  <r>
    <n v="2007"/>
    <n v="10"/>
    <x v="8"/>
    <x v="8"/>
    <s v="SEA"/>
    <s v="Seattle, WA: Seattle/Tacoma International"/>
    <n v="135"/>
    <n v="51"/>
    <n v="17.93"/>
    <n v="1"/>
    <n v="30.19"/>
    <n v="0"/>
    <n v="1.87"/>
    <n v="0"/>
    <n v="0"/>
    <n v="1687"/>
    <n v="636"/>
    <n v="34"/>
    <n v="964"/>
    <n v="0"/>
    <n v="53"/>
    <n v="0.37780000000000002"/>
    <n v="0"/>
    <n v="0"/>
  </r>
  <r>
    <n v="2007"/>
    <n v="10"/>
    <x v="16"/>
    <x v="16"/>
    <s v="SEA"/>
    <s v="Seattle, WA: Seattle/Tacoma International"/>
    <n v="82"/>
    <n v="35"/>
    <n v="5.4"/>
    <n v="0"/>
    <n v="15.54"/>
    <n v="0"/>
    <n v="14.06"/>
    <n v="0"/>
    <n v="0"/>
    <n v="1507"/>
    <n v="230"/>
    <n v="0"/>
    <n v="506"/>
    <n v="0"/>
    <n v="771"/>
    <n v="0.42680000000000001"/>
    <n v="0"/>
    <n v="0"/>
  </r>
  <r>
    <n v="2007"/>
    <n v="10"/>
    <x v="0"/>
    <x v="0"/>
    <s v="SEA"/>
    <s v="Seattle, WA: Seattle/Tacoma International"/>
    <n v="93"/>
    <n v="21"/>
    <n v="15.16"/>
    <n v="0"/>
    <n v="0"/>
    <n v="0"/>
    <n v="5.84"/>
    <n v="0"/>
    <n v="0"/>
    <n v="1150"/>
    <n v="660"/>
    <n v="0"/>
    <n v="0"/>
    <n v="0"/>
    <n v="490"/>
    <n v="0.2258"/>
    <n v="0"/>
    <n v="0"/>
  </r>
  <r>
    <n v="2007"/>
    <n v="10"/>
    <x v="18"/>
    <x v="18"/>
    <s v="SEA"/>
    <s v="Seattle, WA: Seattle/Tacoma International"/>
    <n v="399"/>
    <n v="137"/>
    <n v="38.479999999999997"/>
    <n v="1.2"/>
    <n v="78.88"/>
    <n v="0"/>
    <n v="18.45"/>
    <n v="0"/>
    <n v="1"/>
    <n v="6608"/>
    <n v="3153"/>
    <n v="49"/>
    <n v="2406"/>
    <n v="0"/>
    <n v="1000"/>
    <n v="0.34339999999999998"/>
    <n v="0"/>
    <n v="2.5000000000000001E-3"/>
  </r>
  <r>
    <n v="2007"/>
    <n v="10"/>
    <x v="2"/>
    <x v="2"/>
    <s v="SEA"/>
    <s v="Seattle, WA: Seattle/Tacoma International"/>
    <n v="464"/>
    <n v="87"/>
    <n v="48"/>
    <n v="3"/>
    <n v="17"/>
    <n v="0"/>
    <n v="19"/>
    <n v="11"/>
    <n v="0"/>
    <n v="3822"/>
    <n v="1446"/>
    <n v="146"/>
    <n v="1071"/>
    <n v="0"/>
    <n v="1159"/>
    <n v="0.1875"/>
    <n v="2.3699999999999999E-2"/>
    <n v="0"/>
  </r>
  <r>
    <n v="2007"/>
    <n v="10"/>
    <x v="9"/>
    <x v="9"/>
    <s v="SEA"/>
    <s v="Seattle, WA: Seattle/Tacoma International"/>
    <n v="862"/>
    <n v="280"/>
    <n v="53.77"/>
    <n v="0.98"/>
    <n v="121.38"/>
    <n v="0"/>
    <n v="103.86"/>
    <n v="13"/>
    <n v="2"/>
    <n v="15578"/>
    <n v="3660"/>
    <n v="57"/>
    <n v="4225"/>
    <n v="0"/>
    <n v="7636"/>
    <n v="0.32479999999999998"/>
    <n v="1.5100000000000001E-2"/>
    <n v="2.3E-3"/>
  </r>
  <r>
    <n v="2007"/>
    <n v="10"/>
    <x v="15"/>
    <x v="15"/>
    <s v="SEA"/>
    <s v="Seattle, WA: Seattle/Tacoma International"/>
    <n v="355"/>
    <n v="118"/>
    <n v="33.04"/>
    <n v="0"/>
    <n v="64.36"/>
    <n v="0"/>
    <n v="20.6"/>
    <n v="0"/>
    <n v="2"/>
    <n v="4319"/>
    <n v="1312"/>
    <n v="0"/>
    <n v="2100"/>
    <n v="0"/>
    <n v="907"/>
    <n v="0.33239999999999997"/>
    <n v="0"/>
    <n v="5.5999999999999999E-3"/>
  </r>
  <r>
    <n v="2007"/>
    <n v="10"/>
    <x v="10"/>
    <x v="10"/>
    <s v="SEA"/>
    <s v="Seattle, WA: Seattle/Tacoma International"/>
    <n v="1239"/>
    <n v="261"/>
    <n v="36.369999999999997"/>
    <n v="15.07"/>
    <n v="95.89"/>
    <n v="1.73"/>
    <n v="111.94"/>
    <n v="5"/>
    <n v="4"/>
    <n v="10584"/>
    <n v="1574"/>
    <n v="819"/>
    <n v="3354"/>
    <n v="44"/>
    <n v="4793"/>
    <n v="0.2107"/>
    <n v="4.0000000000000001E-3"/>
    <n v="3.2000000000000002E-3"/>
  </r>
  <r>
    <n v="2007"/>
    <n v="10"/>
    <x v="19"/>
    <x v="19"/>
    <s v="SEA"/>
    <s v="Seattle, WA: Seattle/Tacoma International"/>
    <n v="115"/>
    <n v="37"/>
    <n v="8.19"/>
    <n v="0.93"/>
    <n v="17.600000000000001"/>
    <n v="0"/>
    <n v="10.28"/>
    <n v="0"/>
    <n v="0"/>
    <n v="1667"/>
    <n v="374"/>
    <n v="65"/>
    <n v="640"/>
    <n v="0"/>
    <n v="588"/>
    <n v="0.32169999999999999"/>
    <n v="0"/>
    <n v="0"/>
  </r>
  <r>
    <n v="2007"/>
    <n v="9"/>
    <x v="4"/>
    <x v="4"/>
    <s v="SEA"/>
    <s v="Seattle, WA: Seattle/Tacoma International"/>
    <n v="497"/>
    <n v="85"/>
    <n v="28.04"/>
    <n v="6.17"/>
    <n v="31.63"/>
    <n v="0"/>
    <n v="19.16"/>
    <n v="3"/>
    <n v="0"/>
    <n v="4630"/>
    <n v="1522"/>
    <n v="512"/>
    <n v="1302"/>
    <n v="0"/>
    <n v="1294"/>
    <n v="0.17100000000000001"/>
    <n v="6.0000000000000001E-3"/>
    <n v="0"/>
  </r>
  <r>
    <n v="2007"/>
    <n v="9"/>
    <x v="5"/>
    <x v="5"/>
    <s v="SEA"/>
    <s v="Seattle, WA: Seattle/Tacoma International"/>
    <n v="4188"/>
    <n v="993"/>
    <n v="239.86"/>
    <n v="10.25"/>
    <n v="295.41000000000003"/>
    <n v="2.4300000000000002"/>
    <n v="445.05"/>
    <n v="53"/>
    <n v="8"/>
    <n v="48320"/>
    <n v="14936"/>
    <n v="528"/>
    <n v="9390"/>
    <n v="92"/>
    <n v="23374"/>
    <n v="0.23710000000000001"/>
    <n v="1.2699999999999999E-2"/>
    <n v="1.9E-3"/>
  </r>
  <r>
    <n v="2007"/>
    <n v="9"/>
    <x v="6"/>
    <x v="6"/>
    <s v="SEA"/>
    <s v="Seattle, WA: Seattle/Tacoma International"/>
    <n v="90"/>
    <n v="22"/>
    <n v="3.43"/>
    <n v="0"/>
    <n v="15.87"/>
    <n v="0"/>
    <n v="2.7"/>
    <n v="0"/>
    <n v="0"/>
    <n v="1057"/>
    <n v="260"/>
    <n v="0"/>
    <n v="520"/>
    <n v="0"/>
    <n v="277"/>
    <n v="0.24440000000000001"/>
    <n v="0"/>
    <n v="0"/>
  </r>
  <r>
    <n v="2007"/>
    <n v="9"/>
    <x v="17"/>
    <x v="17"/>
    <s v="SEA"/>
    <s v="Seattle, WA: Seattle/Tacoma International"/>
    <n v="390"/>
    <n v="46"/>
    <n v="11.28"/>
    <n v="0.54"/>
    <n v="23.24"/>
    <n v="0.86"/>
    <n v="10.08"/>
    <n v="0"/>
    <n v="1"/>
    <n v="2235"/>
    <n v="578"/>
    <n v="15"/>
    <n v="990"/>
    <n v="46"/>
    <n v="606"/>
    <n v="0.1179"/>
    <n v="0"/>
    <n v="2.5999999999999999E-3"/>
  </r>
  <r>
    <n v="2007"/>
    <n v="9"/>
    <x v="7"/>
    <x v="7"/>
    <s v="SEA"/>
    <s v="Seattle, WA: Seattle/Tacoma International"/>
    <n v="545"/>
    <n v="164"/>
    <n v="31.83"/>
    <n v="3.24"/>
    <n v="110.61"/>
    <n v="0"/>
    <n v="18.309999999999999"/>
    <n v="0"/>
    <n v="0"/>
    <n v="5751"/>
    <n v="1478"/>
    <n v="155"/>
    <n v="3343"/>
    <n v="0"/>
    <n v="775"/>
    <n v="0.3009"/>
    <n v="0"/>
    <n v="0"/>
  </r>
  <r>
    <n v="2007"/>
    <n v="9"/>
    <x v="8"/>
    <x v="8"/>
    <s v="SEA"/>
    <s v="Seattle, WA: Seattle/Tacoma International"/>
    <n v="143"/>
    <n v="32"/>
    <n v="10.25"/>
    <n v="0.73"/>
    <n v="18.760000000000002"/>
    <n v="0"/>
    <n v="2.2599999999999998"/>
    <n v="0"/>
    <n v="0"/>
    <n v="779"/>
    <n v="265"/>
    <n v="11"/>
    <n v="457"/>
    <n v="0"/>
    <n v="46"/>
    <n v="0.2238"/>
    <n v="0"/>
    <n v="0"/>
  </r>
  <r>
    <n v="2007"/>
    <n v="9"/>
    <x v="16"/>
    <x v="16"/>
    <s v="SEA"/>
    <s v="Seattle, WA: Seattle/Tacoma International"/>
    <n v="87"/>
    <n v="17"/>
    <n v="3.06"/>
    <n v="0"/>
    <n v="7.29"/>
    <n v="0"/>
    <n v="6.65"/>
    <n v="0"/>
    <n v="1"/>
    <n v="777"/>
    <n v="159"/>
    <n v="0"/>
    <n v="186"/>
    <n v="0"/>
    <n v="432"/>
    <n v="0.19539999999999999"/>
    <n v="0"/>
    <n v="1.15E-2"/>
  </r>
  <r>
    <n v="2007"/>
    <n v="9"/>
    <x v="0"/>
    <x v="0"/>
    <s v="SEA"/>
    <s v="Seattle, WA: Seattle/Tacoma International"/>
    <n v="87"/>
    <n v="21"/>
    <n v="16.68"/>
    <n v="0"/>
    <n v="0"/>
    <n v="0"/>
    <n v="4.32"/>
    <n v="0"/>
    <n v="0"/>
    <n v="1086"/>
    <n v="926"/>
    <n v="0"/>
    <n v="0"/>
    <n v="0"/>
    <n v="160"/>
    <n v="0.2414"/>
    <n v="0"/>
    <n v="0"/>
  </r>
  <r>
    <n v="2007"/>
    <n v="9"/>
    <x v="18"/>
    <x v="18"/>
    <s v="SEA"/>
    <s v="Seattle, WA: Seattle/Tacoma International"/>
    <n v="390"/>
    <n v="97"/>
    <n v="34.71"/>
    <n v="1.1399999999999999"/>
    <n v="51.61"/>
    <n v="0"/>
    <n v="9.5399999999999991"/>
    <n v="0"/>
    <n v="2"/>
    <n v="6258"/>
    <n v="3552"/>
    <n v="124"/>
    <n v="1809"/>
    <n v="0"/>
    <n v="773"/>
    <n v="0.2487"/>
    <n v="0"/>
    <n v="5.1000000000000004E-3"/>
  </r>
  <r>
    <n v="2007"/>
    <n v="9"/>
    <x v="2"/>
    <x v="2"/>
    <s v="SEA"/>
    <s v="Seattle, WA: Seattle/Tacoma International"/>
    <n v="388"/>
    <n v="42"/>
    <n v="26"/>
    <n v="2"/>
    <n v="6"/>
    <n v="0"/>
    <n v="8"/>
    <n v="2"/>
    <n v="1"/>
    <n v="1695"/>
    <n v="830"/>
    <n v="346"/>
    <n v="275"/>
    <n v="0"/>
    <n v="244"/>
    <n v="0.1082"/>
    <n v="5.1999999999999998E-3"/>
    <n v="2.5999999999999999E-3"/>
  </r>
  <r>
    <n v="2007"/>
    <n v="9"/>
    <x v="9"/>
    <x v="9"/>
    <s v="SEA"/>
    <s v="Seattle, WA: Seattle/Tacoma International"/>
    <n v="827"/>
    <n v="222"/>
    <n v="49.68"/>
    <n v="1.68"/>
    <n v="82.8"/>
    <n v="0"/>
    <n v="87.84"/>
    <n v="8"/>
    <n v="1"/>
    <n v="10931"/>
    <n v="2579"/>
    <n v="139"/>
    <n v="2690"/>
    <n v="0"/>
    <n v="5523"/>
    <n v="0.26840000000000003"/>
    <n v="9.7000000000000003E-3"/>
    <n v="1.1999999999999999E-3"/>
  </r>
  <r>
    <n v="2007"/>
    <n v="9"/>
    <x v="15"/>
    <x v="15"/>
    <s v="SEA"/>
    <s v="Seattle, WA: Seattle/Tacoma International"/>
    <n v="346"/>
    <n v="80"/>
    <n v="30.03"/>
    <n v="0"/>
    <n v="28.71"/>
    <n v="0"/>
    <n v="21.26"/>
    <n v="1"/>
    <n v="6"/>
    <n v="3461"/>
    <n v="1703"/>
    <n v="0"/>
    <n v="1056"/>
    <n v="0"/>
    <n v="702"/>
    <n v="0.23119999999999999"/>
    <n v="2.8999999999999998E-3"/>
    <n v="1.7299999999999999E-2"/>
  </r>
  <r>
    <n v="2007"/>
    <n v="9"/>
    <x v="10"/>
    <x v="10"/>
    <s v="SEA"/>
    <s v="Seattle, WA: Seattle/Tacoma International"/>
    <n v="1193"/>
    <n v="207"/>
    <n v="53.03"/>
    <n v="3.4"/>
    <n v="49.02"/>
    <n v="2.42"/>
    <n v="99.13"/>
    <n v="1"/>
    <n v="1"/>
    <n v="7701"/>
    <n v="1797"/>
    <n v="177"/>
    <n v="1526"/>
    <n v="69"/>
    <n v="4132"/>
    <n v="0.17349999999999999"/>
    <n v="8.0000000000000004E-4"/>
    <n v="8.0000000000000004E-4"/>
  </r>
  <r>
    <n v="2007"/>
    <n v="9"/>
    <x v="19"/>
    <x v="19"/>
    <s v="SEA"/>
    <s v="Seattle, WA: Seattle/Tacoma International"/>
    <n v="111"/>
    <n v="36"/>
    <n v="9.07"/>
    <n v="0"/>
    <n v="14.48"/>
    <n v="0.94"/>
    <n v="11.5"/>
    <n v="0"/>
    <n v="2"/>
    <n v="1102"/>
    <n v="232"/>
    <n v="0"/>
    <n v="378"/>
    <n v="33"/>
    <n v="459"/>
    <n v="0.32429999999999998"/>
    <n v="0"/>
    <n v="1.7999999999999999E-2"/>
  </r>
  <r>
    <n v="2007"/>
    <n v="8"/>
    <x v="4"/>
    <x v="4"/>
    <s v="SEA"/>
    <s v="Seattle, WA: Seattle/Tacoma International"/>
    <n v="523"/>
    <n v="165"/>
    <n v="64.39"/>
    <n v="13.71"/>
    <n v="47.49"/>
    <n v="0"/>
    <n v="39.409999999999997"/>
    <n v="5"/>
    <n v="0"/>
    <n v="10674"/>
    <n v="4456"/>
    <n v="890"/>
    <n v="2094"/>
    <n v="0"/>
    <n v="3234"/>
    <n v="0.3155"/>
    <n v="9.5999999999999992E-3"/>
    <n v="0"/>
  </r>
  <r>
    <n v="2007"/>
    <n v="8"/>
    <x v="5"/>
    <x v="5"/>
    <s v="SEA"/>
    <s v="Seattle, WA: Seattle/Tacoma International"/>
    <n v="4524"/>
    <n v="1357"/>
    <n v="351.74"/>
    <n v="7.05"/>
    <n v="299.95"/>
    <n v="7.19"/>
    <n v="691.08"/>
    <n v="74"/>
    <n v="10"/>
    <n v="76092"/>
    <n v="23678"/>
    <n v="522"/>
    <n v="9850"/>
    <n v="390"/>
    <n v="41652"/>
    <n v="0.3"/>
    <n v="1.6400000000000001E-2"/>
    <n v="2.2000000000000001E-3"/>
  </r>
  <r>
    <n v="2007"/>
    <n v="8"/>
    <x v="6"/>
    <x v="6"/>
    <s v="SEA"/>
    <s v="Seattle, WA: Seattle/Tacoma International"/>
    <n v="93"/>
    <n v="51"/>
    <n v="10.53"/>
    <n v="0.84"/>
    <n v="31.62"/>
    <n v="0"/>
    <n v="8.01"/>
    <n v="0"/>
    <n v="0"/>
    <n v="3033"/>
    <n v="655"/>
    <n v="171"/>
    <n v="1582"/>
    <n v="0"/>
    <n v="625"/>
    <n v="0.5484"/>
    <n v="0"/>
    <n v="0"/>
  </r>
  <r>
    <n v="2007"/>
    <n v="8"/>
    <x v="17"/>
    <x v="17"/>
    <s v="SEA"/>
    <s v="Seattle, WA: Seattle/Tacoma International"/>
    <n v="496"/>
    <n v="159"/>
    <n v="40.840000000000003"/>
    <n v="8.9499999999999993"/>
    <n v="70.86"/>
    <n v="2.78"/>
    <n v="35.57"/>
    <n v="1"/>
    <n v="1"/>
    <n v="8506"/>
    <n v="2207"/>
    <n v="659"/>
    <n v="2454"/>
    <n v="58"/>
    <n v="3128"/>
    <n v="0.3206"/>
    <n v="2E-3"/>
    <n v="2E-3"/>
  </r>
  <r>
    <n v="2007"/>
    <n v="8"/>
    <x v="7"/>
    <x v="7"/>
    <s v="SEA"/>
    <s v="Seattle, WA: Seattle/Tacoma International"/>
    <n v="594"/>
    <n v="267"/>
    <n v="74.62"/>
    <n v="2.12"/>
    <n v="132.69999999999999"/>
    <n v="0"/>
    <n v="57.56"/>
    <n v="1"/>
    <n v="3"/>
    <n v="14826"/>
    <n v="4700"/>
    <n v="212"/>
    <n v="5622"/>
    <n v="0"/>
    <n v="4292"/>
    <n v="0.44950000000000001"/>
    <n v="1.6999999999999999E-3"/>
    <n v="5.1000000000000004E-3"/>
  </r>
  <r>
    <n v="2007"/>
    <n v="8"/>
    <x v="8"/>
    <x v="8"/>
    <s v="SEA"/>
    <s v="Seattle, WA: Seattle/Tacoma International"/>
    <n v="139"/>
    <n v="43"/>
    <n v="16.47"/>
    <n v="2.89"/>
    <n v="18.32"/>
    <n v="0"/>
    <n v="5.32"/>
    <n v="0"/>
    <n v="0"/>
    <n v="1243"/>
    <n v="526"/>
    <n v="81"/>
    <n v="489"/>
    <n v="0"/>
    <n v="147"/>
    <n v="0.30940000000000001"/>
    <n v="0"/>
    <n v="0"/>
  </r>
  <r>
    <n v="2007"/>
    <n v="8"/>
    <x v="16"/>
    <x v="16"/>
    <s v="SEA"/>
    <s v="Seattle, WA: Seattle/Tacoma International"/>
    <n v="115"/>
    <n v="57"/>
    <n v="24.72"/>
    <n v="1"/>
    <n v="15.43"/>
    <n v="0"/>
    <n v="15.85"/>
    <n v="4"/>
    <n v="1"/>
    <n v="3280"/>
    <n v="1101"/>
    <n v="17"/>
    <n v="698"/>
    <n v="0"/>
    <n v="1464"/>
    <n v="0.49569999999999997"/>
    <n v="3.4799999999999998E-2"/>
    <n v="8.6999999999999994E-3"/>
  </r>
  <r>
    <n v="2007"/>
    <n v="8"/>
    <x v="0"/>
    <x v="0"/>
    <s v="SEA"/>
    <s v="Seattle, WA: Seattle/Tacoma International"/>
    <n v="93"/>
    <n v="15"/>
    <n v="12.68"/>
    <n v="0"/>
    <n v="0"/>
    <n v="0"/>
    <n v="2.3199999999999998"/>
    <n v="0"/>
    <n v="0"/>
    <n v="889"/>
    <n v="781"/>
    <n v="0"/>
    <n v="0"/>
    <n v="0"/>
    <n v="108"/>
    <n v="0.1613"/>
    <n v="0"/>
    <n v="0"/>
  </r>
  <r>
    <n v="2007"/>
    <n v="8"/>
    <x v="18"/>
    <x v="18"/>
    <s v="SEA"/>
    <s v="Seattle, WA: Seattle/Tacoma International"/>
    <n v="501"/>
    <n v="202"/>
    <n v="63.56"/>
    <n v="3.13"/>
    <n v="106.68"/>
    <n v="0"/>
    <n v="28.63"/>
    <n v="1"/>
    <n v="1"/>
    <n v="8583"/>
    <n v="3329"/>
    <n v="241"/>
    <n v="3266"/>
    <n v="0"/>
    <n v="1747"/>
    <n v="0.4032"/>
    <n v="2E-3"/>
    <n v="2E-3"/>
  </r>
  <r>
    <n v="2007"/>
    <n v="8"/>
    <x v="2"/>
    <x v="2"/>
    <s v="SEA"/>
    <s v="Seattle, WA: Seattle/Tacoma International"/>
    <n v="451"/>
    <n v="51"/>
    <n v="41"/>
    <n v="0"/>
    <n v="2"/>
    <n v="1"/>
    <n v="7"/>
    <n v="1"/>
    <n v="0"/>
    <n v="2080"/>
    <n v="1795"/>
    <n v="0"/>
    <n v="62"/>
    <n v="16"/>
    <n v="207"/>
    <n v="0.11310000000000001"/>
    <n v="2.2000000000000001E-3"/>
    <n v="0"/>
  </r>
  <r>
    <n v="2007"/>
    <n v="8"/>
    <x v="9"/>
    <x v="9"/>
    <s v="SEA"/>
    <s v="Seattle, WA: Seattle/Tacoma International"/>
    <n v="901"/>
    <n v="340"/>
    <n v="77.599999999999994"/>
    <n v="9.8699999999999992"/>
    <n v="103.61"/>
    <n v="0"/>
    <n v="148.91"/>
    <n v="12"/>
    <n v="2"/>
    <n v="21307"/>
    <n v="5644"/>
    <n v="774"/>
    <n v="3929"/>
    <n v="0"/>
    <n v="10960"/>
    <n v="0.37740000000000001"/>
    <n v="1.3299999999999999E-2"/>
    <n v="2.2000000000000001E-3"/>
  </r>
  <r>
    <n v="2007"/>
    <n v="8"/>
    <x v="15"/>
    <x v="15"/>
    <s v="SEA"/>
    <s v="Seattle, WA: Seattle/Tacoma International"/>
    <n v="383"/>
    <n v="139"/>
    <n v="56.44"/>
    <n v="2.7"/>
    <n v="48.47"/>
    <n v="0.2"/>
    <n v="31.19"/>
    <n v="2"/>
    <n v="1"/>
    <n v="6535"/>
    <n v="2386"/>
    <n v="144"/>
    <n v="2020"/>
    <n v="6"/>
    <n v="1979"/>
    <n v="0.3629"/>
    <n v="5.1999999999999998E-3"/>
    <n v="2.5999999999999999E-3"/>
  </r>
  <r>
    <n v="2007"/>
    <n v="8"/>
    <x v="10"/>
    <x v="10"/>
    <s v="SEA"/>
    <s v="Seattle, WA: Seattle/Tacoma International"/>
    <n v="1247"/>
    <n v="236"/>
    <n v="71.42"/>
    <n v="2.87"/>
    <n v="31.8"/>
    <n v="3.06"/>
    <n v="126.86"/>
    <n v="2"/>
    <n v="0"/>
    <n v="10193"/>
    <n v="2623"/>
    <n v="213"/>
    <n v="1027"/>
    <n v="70"/>
    <n v="6260"/>
    <n v="0.1893"/>
    <n v="1.6000000000000001E-3"/>
    <n v="0"/>
  </r>
  <r>
    <n v="2007"/>
    <n v="8"/>
    <x v="19"/>
    <x v="19"/>
    <s v="SEA"/>
    <s v="Seattle, WA: Seattle/Tacoma International"/>
    <n v="53"/>
    <n v="10"/>
    <n v="3.04"/>
    <n v="0"/>
    <n v="2.25"/>
    <n v="0.48"/>
    <n v="4.2300000000000004"/>
    <n v="0"/>
    <n v="0"/>
    <n v="278"/>
    <n v="66"/>
    <n v="0"/>
    <n v="78"/>
    <n v="10"/>
    <n v="124"/>
    <n v="0.18870000000000001"/>
    <n v="0"/>
    <n v="0"/>
  </r>
  <r>
    <n v="2007"/>
    <n v="8"/>
    <x v="20"/>
    <x v="20"/>
    <s v="SEA"/>
    <s v="Seattle, WA: Seattle/Tacoma International"/>
    <n v="17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07"/>
    <n v="7"/>
    <x v="4"/>
    <x v="4"/>
    <s v="SEA"/>
    <s v="Seattle, WA: Seattle/Tacoma International"/>
    <n v="522"/>
    <n v="145"/>
    <n v="58.48"/>
    <n v="22.26"/>
    <n v="24.43"/>
    <n v="0"/>
    <n v="39.83"/>
    <n v="6"/>
    <n v="0"/>
    <n v="10245"/>
    <n v="3946"/>
    <n v="1749"/>
    <n v="1162"/>
    <n v="0"/>
    <n v="3388"/>
    <n v="0.27779999999999999"/>
    <n v="1.15E-2"/>
    <n v="0"/>
  </r>
  <r>
    <n v="2007"/>
    <n v="7"/>
    <x v="5"/>
    <x v="5"/>
    <s v="SEA"/>
    <s v="Seattle, WA: Seattle/Tacoma International"/>
    <n v="4534"/>
    <n v="1361"/>
    <n v="372.05"/>
    <n v="13.11"/>
    <n v="294.68"/>
    <n v="10.96"/>
    <n v="670.2"/>
    <n v="55"/>
    <n v="5"/>
    <n v="71856"/>
    <n v="20528"/>
    <n v="824"/>
    <n v="9756"/>
    <n v="413"/>
    <n v="40335"/>
    <n v="0.30020000000000002"/>
    <n v="1.21E-2"/>
    <n v="1.1000000000000001E-3"/>
  </r>
  <r>
    <n v="2007"/>
    <n v="7"/>
    <x v="6"/>
    <x v="6"/>
    <s v="SEA"/>
    <s v="Seattle, WA: Seattle/Tacoma International"/>
    <n v="93"/>
    <n v="37"/>
    <n v="5.85"/>
    <n v="0.62"/>
    <n v="21.01"/>
    <n v="0.71"/>
    <n v="8.82"/>
    <n v="0"/>
    <n v="0"/>
    <n v="2865"/>
    <n v="593"/>
    <n v="32"/>
    <n v="1124"/>
    <n v="17"/>
    <n v="1099"/>
    <n v="0.39779999999999999"/>
    <n v="0"/>
    <n v="0"/>
  </r>
  <r>
    <n v="2007"/>
    <n v="7"/>
    <x v="17"/>
    <x v="17"/>
    <s v="SEA"/>
    <s v="Seattle, WA: Seattle/Tacoma International"/>
    <n v="493"/>
    <n v="129"/>
    <n v="38.729999999999997"/>
    <n v="5.2"/>
    <n v="37.08"/>
    <n v="1.4"/>
    <n v="46.58"/>
    <n v="1"/>
    <n v="0"/>
    <n v="8110"/>
    <n v="2066"/>
    <n v="249"/>
    <n v="1805"/>
    <n v="33"/>
    <n v="3957"/>
    <n v="0.26169999999999999"/>
    <n v="2E-3"/>
    <n v="0"/>
  </r>
  <r>
    <n v="2007"/>
    <n v="7"/>
    <x v="7"/>
    <x v="7"/>
    <s v="SEA"/>
    <s v="Seattle, WA: Seattle/Tacoma International"/>
    <n v="613"/>
    <n v="245"/>
    <n v="77.010000000000005"/>
    <n v="6.47"/>
    <n v="91.87"/>
    <n v="0.24"/>
    <n v="69.41"/>
    <n v="1"/>
    <n v="2"/>
    <n v="14189"/>
    <n v="5163"/>
    <n v="531"/>
    <n v="3935"/>
    <n v="31"/>
    <n v="4529"/>
    <n v="0.3997"/>
    <n v="1.6000000000000001E-3"/>
    <n v="3.3E-3"/>
  </r>
  <r>
    <n v="2007"/>
    <n v="7"/>
    <x v="8"/>
    <x v="8"/>
    <s v="SEA"/>
    <s v="Seattle, WA: Seattle/Tacoma International"/>
    <n v="154"/>
    <n v="47"/>
    <n v="19.47"/>
    <n v="2.44"/>
    <n v="17.28"/>
    <n v="0"/>
    <n v="7.81"/>
    <n v="0"/>
    <n v="0"/>
    <n v="1998"/>
    <n v="858"/>
    <n v="103"/>
    <n v="745"/>
    <n v="0"/>
    <n v="292"/>
    <n v="0.30520000000000003"/>
    <n v="0"/>
    <n v="0"/>
  </r>
  <r>
    <n v="2007"/>
    <n v="7"/>
    <x v="16"/>
    <x v="16"/>
    <s v="SEA"/>
    <s v="Seattle, WA: Seattle/Tacoma International"/>
    <n v="115"/>
    <n v="46"/>
    <n v="15.54"/>
    <n v="0"/>
    <n v="8.27"/>
    <n v="0"/>
    <n v="22.2"/>
    <n v="0"/>
    <n v="1"/>
    <n v="2828"/>
    <n v="661"/>
    <n v="0"/>
    <n v="341"/>
    <n v="0"/>
    <n v="1826"/>
    <n v="0.4"/>
    <n v="0"/>
    <n v="8.6999999999999994E-3"/>
  </r>
  <r>
    <n v="2007"/>
    <n v="7"/>
    <x v="0"/>
    <x v="0"/>
    <s v="SEA"/>
    <s v="Seattle, WA: Seattle/Tacoma International"/>
    <n v="93"/>
    <n v="22"/>
    <n v="17.95"/>
    <n v="0"/>
    <n v="0"/>
    <n v="0"/>
    <n v="4.05"/>
    <n v="0"/>
    <n v="0"/>
    <n v="1093"/>
    <n v="911"/>
    <n v="0"/>
    <n v="0"/>
    <n v="0"/>
    <n v="182"/>
    <n v="0.2366"/>
    <n v="0"/>
    <n v="0"/>
  </r>
  <r>
    <n v="2007"/>
    <n v="7"/>
    <x v="18"/>
    <x v="18"/>
    <s v="SEA"/>
    <s v="Seattle, WA: Seattle/Tacoma International"/>
    <n v="582"/>
    <n v="144"/>
    <n v="76.34"/>
    <n v="4.0599999999999996"/>
    <n v="39.979999999999997"/>
    <n v="0.88"/>
    <n v="22.74"/>
    <n v="9"/>
    <n v="0"/>
    <n v="8494"/>
    <n v="4738"/>
    <n v="291"/>
    <n v="1332"/>
    <n v="22"/>
    <n v="2111"/>
    <n v="0.24740000000000001"/>
    <n v="1.55E-2"/>
    <n v="0"/>
  </r>
  <r>
    <n v="2007"/>
    <n v="7"/>
    <x v="2"/>
    <x v="2"/>
    <s v="SEA"/>
    <s v="Seattle, WA: Seattle/Tacoma International"/>
    <n v="437"/>
    <n v="43"/>
    <n v="26"/>
    <n v="0"/>
    <n v="5"/>
    <n v="0"/>
    <n v="12"/>
    <n v="0"/>
    <n v="0"/>
    <n v="1326"/>
    <n v="606"/>
    <n v="0"/>
    <n v="131"/>
    <n v="0"/>
    <n v="589"/>
    <n v="9.8400000000000001E-2"/>
    <n v="0"/>
    <n v="0"/>
  </r>
  <r>
    <n v="2007"/>
    <n v="7"/>
    <x v="9"/>
    <x v="9"/>
    <s v="SEA"/>
    <s v="Seattle, WA: Seattle/Tacoma International"/>
    <n v="896"/>
    <n v="255"/>
    <n v="59.6"/>
    <n v="6.91"/>
    <n v="58.14"/>
    <n v="0"/>
    <n v="130.35"/>
    <n v="12"/>
    <n v="0"/>
    <n v="15154"/>
    <n v="3306"/>
    <n v="594"/>
    <n v="2383"/>
    <n v="0"/>
    <n v="8871"/>
    <n v="0.28460000000000002"/>
    <n v="1.34E-2"/>
    <n v="0"/>
  </r>
  <r>
    <n v="2007"/>
    <n v="7"/>
    <x v="15"/>
    <x v="15"/>
    <s v="SEA"/>
    <s v="Seattle, WA: Seattle/Tacoma International"/>
    <n v="408"/>
    <n v="113"/>
    <n v="50.96"/>
    <n v="3.28"/>
    <n v="23.63"/>
    <n v="1.66"/>
    <n v="33.47"/>
    <n v="2"/>
    <n v="0"/>
    <n v="6601"/>
    <n v="3036"/>
    <n v="282"/>
    <n v="962"/>
    <n v="53"/>
    <n v="2268"/>
    <n v="0.27700000000000002"/>
    <n v="4.8999999999999998E-3"/>
    <n v="0"/>
  </r>
  <r>
    <n v="2007"/>
    <n v="7"/>
    <x v="10"/>
    <x v="10"/>
    <s v="SEA"/>
    <s v="Seattle, WA: Seattle/Tacoma International"/>
    <n v="1241"/>
    <n v="212"/>
    <n v="57.07"/>
    <n v="1.71"/>
    <n v="19.059999999999999"/>
    <n v="1.73"/>
    <n v="132.44"/>
    <n v="0"/>
    <n v="2"/>
    <n v="10113"/>
    <n v="2116"/>
    <n v="228"/>
    <n v="690"/>
    <n v="49"/>
    <n v="7030"/>
    <n v="0.17080000000000001"/>
    <n v="0"/>
    <n v="1.6000000000000001E-3"/>
  </r>
  <r>
    <n v="2007"/>
    <n v="7"/>
    <x v="19"/>
    <x v="19"/>
    <s v="SEA"/>
    <s v="Seattle, WA: Seattle/Tacoma International"/>
    <n v="31"/>
    <n v="8"/>
    <n v="5.0199999999999996"/>
    <n v="0"/>
    <n v="0.28000000000000003"/>
    <n v="0"/>
    <n v="2.7"/>
    <n v="0"/>
    <n v="0"/>
    <n v="549"/>
    <n v="294"/>
    <n v="0"/>
    <n v="24"/>
    <n v="0"/>
    <n v="231"/>
    <n v="0.2581"/>
    <n v="0"/>
    <n v="0"/>
  </r>
  <r>
    <n v="2007"/>
    <n v="7"/>
    <x v="20"/>
    <x v="20"/>
    <s v="SEA"/>
    <s v="Seattle, WA: Seattle/Tacoma International"/>
    <n v="24"/>
    <n v="3"/>
    <n v="2"/>
    <n v="0"/>
    <n v="0"/>
    <n v="0"/>
    <n v="1"/>
    <n v="0"/>
    <n v="0"/>
    <n v="77"/>
    <n v="37"/>
    <n v="0"/>
    <n v="0"/>
    <n v="0"/>
    <n v="40"/>
    <n v="0.125"/>
    <n v="0"/>
    <n v="0"/>
  </r>
  <r>
    <n v="2007"/>
    <n v="6"/>
    <x v="4"/>
    <x v="4"/>
    <s v="SEA"/>
    <s v="Seattle, WA: Seattle/Tacoma International"/>
    <n v="504"/>
    <n v="207"/>
    <n v="57.86"/>
    <n v="33.700000000000003"/>
    <n v="52.71"/>
    <n v="0"/>
    <n v="62.73"/>
    <n v="11"/>
    <n v="1"/>
    <n v="13567"/>
    <n v="3612"/>
    <n v="2547"/>
    <n v="2341"/>
    <n v="0"/>
    <n v="5067"/>
    <n v="0.41070000000000001"/>
    <n v="2.18E-2"/>
    <n v="2E-3"/>
  </r>
  <r>
    <n v="2007"/>
    <n v="6"/>
    <x v="5"/>
    <x v="5"/>
    <s v="SEA"/>
    <s v="Seattle, WA: Seattle/Tacoma International"/>
    <n v="4379"/>
    <n v="1393"/>
    <n v="333.13"/>
    <n v="10.51"/>
    <n v="459.82"/>
    <n v="10.81"/>
    <n v="578.72"/>
    <n v="56"/>
    <n v="7"/>
    <n v="74838"/>
    <n v="20331"/>
    <n v="1244"/>
    <n v="15271"/>
    <n v="279"/>
    <n v="37713"/>
    <n v="0.31809999999999999"/>
    <n v="1.2800000000000001E-2"/>
    <n v="1.6000000000000001E-3"/>
  </r>
  <r>
    <n v="2007"/>
    <n v="6"/>
    <x v="6"/>
    <x v="6"/>
    <s v="SEA"/>
    <s v="Seattle, WA: Seattle/Tacoma International"/>
    <n v="90"/>
    <n v="46"/>
    <n v="14.07"/>
    <n v="0"/>
    <n v="19.79"/>
    <n v="0"/>
    <n v="12.13"/>
    <n v="1"/>
    <n v="0"/>
    <n v="3386"/>
    <n v="755"/>
    <n v="0"/>
    <n v="1909"/>
    <n v="0"/>
    <n v="722"/>
    <n v="0.5111"/>
    <n v="1.11E-2"/>
    <n v="0"/>
  </r>
  <r>
    <n v="2007"/>
    <n v="6"/>
    <x v="17"/>
    <x v="17"/>
    <s v="SEA"/>
    <s v="Seattle, WA: Seattle/Tacoma International"/>
    <n v="467"/>
    <n v="145"/>
    <n v="38.909999999999997"/>
    <n v="9.67"/>
    <n v="60.87"/>
    <n v="0"/>
    <n v="35.549999999999997"/>
    <n v="0"/>
    <n v="0"/>
    <n v="9053"/>
    <n v="2040"/>
    <n v="557"/>
    <n v="2970"/>
    <n v="0"/>
    <n v="3486"/>
    <n v="0.3105"/>
    <n v="0"/>
    <n v="0"/>
  </r>
  <r>
    <n v="2007"/>
    <n v="6"/>
    <x v="7"/>
    <x v="7"/>
    <s v="SEA"/>
    <s v="Seattle, WA: Seattle/Tacoma International"/>
    <n v="516"/>
    <n v="219"/>
    <n v="69.5"/>
    <n v="6.61"/>
    <n v="102.65"/>
    <n v="0"/>
    <n v="40.24"/>
    <n v="4"/>
    <n v="0"/>
    <n v="12768"/>
    <n v="4789"/>
    <n v="201"/>
    <n v="5371"/>
    <n v="0"/>
    <n v="2407"/>
    <n v="0.4244"/>
    <n v="7.7999999999999996E-3"/>
    <n v="0"/>
  </r>
  <r>
    <n v="2007"/>
    <n v="6"/>
    <x v="8"/>
    <x v="8"/>
    <s v="SEA"/>
    <s v="Seattle, WA: Seattle/Tacoma International"/>
    <n v="125"/>
    <n v="52"/>
    <n v="17.329999999999998"/>
    <n v="2.98"/>
    <n v="25.42"/>
    <n v="0"/>
    <n v="6.27"/>
    <n v="0"/>
    <n v="0"/>
    <n v="2101"/>
    <n v="536"/>
    <n v="281"/>
    <n v="950"/>
    <n v="0"/>
    <n v="334"/>
    <n v="0.41599999999999998"/>
    <n v="0"/>
    <n v="0"/>
  </r>
  <r>
    <n v="2007"/>
    <n v="6"/>
    <x v="16"/>
    <x v="16"/>
    <s v="SEA"/>
    <s v="Seattle, WA: Seattle/Tacoma International"/>
    <n v="106"/>
    <n v="47"/>
    <n v="10.29"/>
    <n v="1"/>
    <n v="15.38"/>
    <n v="0"/>
    <n v="20.34"/>
    <n v="0"/>
    <n v="0"/>
    <n v="2951"/>
    <n v="270"/>
    <n v="130"/>
    <n v="720"/>
    <n v="0"/>
    <n v="1831"/>
    <n v="0.44340000000000002"/>
    <n v="0"/>
    <n v="0"/>
  </r>
  <r>
    <n v="2007"/>
    <n v="6"/>
    <x v="0"/>
    <x v="0"/>
    <s v="SEA"/>
    <s v="Seattle, WA: Seattle/Tacoma International"/>
    <n v="78"/>
    <n v="10"/>
    <n v="5.86"/>
    <n v="0"/>
    <n v="0"/>
    <n v="0"/>
    <n v="4.1399999999999997"/>
    <n v="0"/>
    <n v="0"/>
    <n v="935"/>
    <n v="619"/>
    <n v="0"/>
    <n v="0"/>
    <n v="0"/>
    <n v="316"/>
    <n v="0.12820000000000001"/>
    <n v="0"/>
    <n v="0"/>
  </r>
  <r>
    <n v="2007"/>
    <n v="6"/>
    <x v="18"/>
    <x v="18"/>
    <s v="SEA"/>
    <s v="Seattle, WA: Seattle/Tacoma International"/>
    <n v="534"/>
    <n v="153"/>
    <n v="69.17"/>
    <n v="0.56000000000000005"/>
    <n v="60.95"/>
    <n v="0"/>
    <n v="22.31"/>
    <n v="9"/>
    <n v="0"/>
    <n v="6897"/>
    <n v="3898"/>
    <n v="71"/>
    <n v="1819"/>
    <n v="0"/>
    <n v="1109"/>
    <n v="0.28649999999999998"/>
    <n v="1.6899999999999998E-2"/>
    <n v="0"/>
  </r>
  <r>
    <n v="2007"/>
    <n v="6"/>
    <x v="2"/>
    <x v="2"/>
    <s v="SEA"/>
    <s v="Seattle, WA: Seattle/Tacoma International"/>
    <n v="441"/>
    <n v="46"/>
    <n v="38"/>
    <n v="0"/>
    <n v="0"/>
    <n v="2"/>
    <n v="6"/>
    <n v="1"/>
    <n v="1"/>
    <n v="1457"/>
    <n v="1130"/>
    <n v="0"/>
    <n v="0"/>
    <n v="54"/>
    <n v="273"/>
    <n v="0.1043"/>
    <n v="2.3E-3"/>
    <n v="2.3E-3"/>
  </r>
  <r>
    <n v="2007"/>
    <n v="6"/>
    <x v="9"/>
    <x v="9"/>
    <s v="SEA"/>
    <s v="Seattle, WA: Seattle/Tacoma International"/>
    <n v="867"/>
    <n v="303"/>
    <n v="67.7"/>
    <n v="5.92"/>
    <n v="97.16"/>
    <n v="0"/>
    <n v="132.22"/>
    <n v="11"/>
    <n v="0"/>
    <n v="19021"/>
    <n v="4713"/>
    <n v="513"/>
    <n v="3342"/>
    <n v="0"/>
    <n v="10453"/>
    <n v="0.34949999999999998"/>
    <n v="1.2699999999999999E-2"/>
    <n v="0"/>
  </r>
  <r>
    <n v="2007"/>
    <n v="6"/>
    <x v="15"/>
    <x v="15"/>
    <s v="SEA"/>
    <s v="Seattle, WA: Seattle/Tacoma International"/>
    <n v="428"/>
    <n v="165"/>
    <n v="78.17"/>
    <n v="2.0499999999999998"/>
    <n v="42.99"/>
    <n v="1.46"/>
    <n v="40.33"/>
    <n v="6"/>
    <n v="1"/>
    <n v="9656"/>
    <n v="4328"/>
    <n v="261"/>
    <n v="2137"/>
    <n v="39"/>
    <n v="2891"/>
    <n v="0.38550000000000001"/>
    <n v="1.4E-2"/>
    <n v="2.3E-3"/>
  </r>
  <r>
    <n v="2007"/>
    <n v="6"/>
    <x v="10"/>
    <x v="10"/>
    <s v="SEA"/>
    <s v="Seattle, WA: Seattle/Tacoma International"/>
    <n v="1199"/>
    <n v="262"/>
    <n v="60.46"/>
    <n v="1.26"/>
    <n v="36.26"/>
    <n v="0.7"/>
    <n v="163.32"/>
    <n v="0"/>
    <n v="0"/>
    <n v="11090"/>
    <n v="1983"/>
    <n v="49"/>
    <n v="1112"/>
    <n v="19"/>
    <n v="7927"/>
    <n v="0.2185"/>
    <n v="0"/>
    <n v="0"/>
  </r>
  <r>
    <n v="2007"/>
    <n v="6"/>
    <x v="19"/>
    <x v="19"/>
    <s v="SEA"/>
    <s v="Seattle, WA: Seattle/Tacoma International"/>
    <n v="24"/>
    <n v="4"/>
    <n v="1.22"/>
    <n v="0"/>
    <n v="0.25"/>
    <n v="0"/>
    <n v="2.5299999999999998"/>
    <n v="0"/>
    <n v="0"/>
    <n v="310"/>
    <n v="169"/>
    <n v="0"/>
    <n v="11"/>
    <n v="0"/>
    <n v="130"/>
    <n v="0.16669999999999999"/>
    <n v="0"/>
    <n v="0"/>
  </r>
  <r>
    <n v="2007"/>
    <n v="6"/>
    <x v="20"/>
    <x v="20"/>
    <s v="SEA"/>
    <s v="Seattle, WA: Seattle/Tacoma International"/>
    <n v="1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07"/>
    <n v="5"/>
    <x v="4"/>
    <x v="4"/>
    <s v="SEA"/>
    <s v="Seattle, WA: Seattle/Tacoma International"/>
    <n v="523"/>
    <n v="125"/>
    <n v="43.95"/>
    <n v="15.09"/>
    <n v="26.89"/>
    <n v="0"/>
    <n v="39.07"/>
    <n v="3"/>
    <n v="0"/>
    <n v="7780"/>
    <n v="2534"/>
    <n v="1156"/>
    <n v="1689"/>
    <n v="0"/>
    <n v="2401"/>
    <n v="0.23899999999999999"/>
    <n v="5.7000000000000002E-3"/>
    <n v="0"/>
  </r>
  <r>
    <n v="2007"/>
    <n v="5"/>
    <x v="5"/>
    <x v="5"/>
    <s v="SEA"/>
    <s v="Seattle, WA: Seattle/Tacoma International"/>
    <n v="4413"/>
    <n v="1141"/>
    <n v="265.83999999999997"/>
    <n v="5.33"/>
    <n v="443.98"/>
    <n v="7.68"/>
    <n v="418.17"/>
    <n v="42"/>
    <n v="6"/>
    <n v="57015"/>
    <n v="17673"/>
    <n v="184"/>
    <n v="13641"/>
    <n v="200"/>
    <n v="25317"/>
    <n v="0.2586"/>
    <n v="9.4999999999999998E-3"/>
    <n v="1.4E-3"/>
  </r>
  <r>
    <n v="2007"/>
    <n v="5"/>
    <x v="6"/>
    <x v="6"/>
    <s v="SEA"/>
    <s v="Seattle, WA: Seattle/Tacoma International"/>
    <n v="93"/>
    <n v="22"/>
    <n v="4.3099999999999996"/>
    <n v="0.18"/>
    <n v="10.97"/>
    <n v="0"/>
    <n v="6.54"/>
    <n v="0"/>
    <n v="0"/>
    <n v="1023"/>
    <n v="152"/>
    <n v="15"/>
    <n v="348"/>
    <n v="0"/>
    <n v="508"/>
    <n v="0.2366"/>
    <n v="0"/>
    <n v="0"/>
  </r>
  <r>
    <n v="2007"/>
    <n v="5"/>
    <x v="17"/>
    <x v="17"/>
    <s v="SEA"/>
    <s v="Seattle, WA: Seattle/Tacoma International"/>
    <n v="425"/>
    <n v="123"/>
    <n v="34.81"/>
    <n v="6.94"/>
    <n v="41.85"/>
    <n v="0.45"/>
    <n v="38.96"/>
    <n v="0"/>
    <n v="0"/>
    <n v="7468"/>
    <n v="2410"/>
    <n v="320"/>
    <n v="1901"/>
    <n v="28"/>
    <n v="2809"/>
    <n v="0.28939999999999999"/>
    <n v="0"/>
    <n v="0"/>
  </r>
  <r>
    <n v="2007"/>
    <n v="5"/>
    <x v="7"/>
    <x v="7"/>
    <s v="SEA"/>
    <s v="Seattle, WA: Seattle/Tacoma International"/>
    <n v="452"/>
    <n v="80"/>
    <n v="31.15"/>
    <n v="1.64"/>
    <n v="33.39"/>
    <n v="0"/>
    <n v="13.83"/>
    <n v="0"/>
    <n v="0"/>
    <n v="3640"/>
    <n v="1789"/>
    <n v="47"/>
    <n v="1170"/>
    <n v="0"/>
    <n v="634"/>
    <n v="0.17699999999999999"/>
    <n v="0"/>
    <n v="0"/>
  </r>
  <r>
    <n v="2007"/>
    <n v="5"/>
    <x v="8"/>
    <x v="8"/>
    <s v="SEA"/>
    <s v="Seattle, WA: Seattle/Tacoma International"/>
    <n v="124"/>
    <n v="42"/>
    <n v="19.399999999999999"/>
    <n v="0.89"/>
    <n v="17.38"/>
    <n v="0"/>
    <n v="4.33"/>
    <n v="0"/>
    <n v="0"/>
    <n v="1790"/>
    <n v="704"/>
    <n v="69"/>
    <n v="623"/>
    <n v="0"/>
    <n v="394"/>
    <n v="0.3387"/>
    <n v="0"/>
    <n v="0"/>
  </r>
  <r>
    <n v="2007"/>
    <n v="5"/>
    <x v="16"/>
    <x v="16"/>
    <s v="SEA"/>
    <s v="Seattle, WA: Seattle/Tacoma International"/>
    <n v="45"/>
    <n v="6"/>
    <n v="2.81"/>
    <n v="0.08"/>
    <n v="2.57"/>
    <n v="0"/>
    <n v="0.55000000000000004"/>
    <n v="0"/>
    <n v="0"/>
    <n v="183"/>
    <n v="92"/>
    <n v="3"/>
    <n v="76"/>
    <n v="0"/>
    <n v="12"/>
    <n v="0.1333"/>
    <n v="0"/>
    <n v="0"/>
  </r>
  <r>
    <n v="2007"/>
    <n v="5"/>
    <x v="0"/>
    <x v="0"/>
    <s v="SEA"/>
    <s v="Seattle, WA: Seattle/Tacoma International"/>
    <n v="76"/>
    <n v="8"/>
    <n v="5.86"/>
    <n v="0"/>
    <n v="0"/>
    <n v="0"/>
    <n v="2.14"/>
    <n v="0"/>
    <n v="0"/>
    <n v="423"/>
    <n v="377"/>
    <n v="0"/>
    <n v="0"/>
    <n v="0"/>
    <n v="46"/>
    <n v="0.1053"/>
    <n v="0"/>
    <n v="0"/>
  </r>
  <r>
    <n v="2007"/>
    <n v="5"/>
    <x v="18"/>
    <x v="18"/>
    <s v="SEA"/>
    <s v="Seattle, WA: Seattle/Tacoma International"/>
    <n v="403"/>
    <n v="95"/>
    <n v="42.71"/>
    <n v="0.74"/>
    <n v="36.369999999999997"/>
    <n v="1"/>
    <n v="14.19"/>
    <n v="1"/>
    <n v="0"/>
    <n v="3714"/>
    <n v="1850"/>
    <n v="70"/>
    <n v="964"/>
    <n v="18"/>
    <n v="812"/>
    <n v="0.23569999999999999"/>
    <n v="2.5000000000000001E-3"/>
    <n v="0"/>
  </r>
  <r>
    <n v="2007"/>
    <n v="5"/>
    <x v="2"/>
    <x v="2"/>
    <s v="SEA"/>
    <s v="Seattle, WA: Seattle/Tacoma International"/>
    <n v="435"/>
    <n v="26"/>
    <n v="17"/>
    <n v="0"/>
    <n v="1"/>
    <n v="0"/>
    <n v="8"/>
    <n v="3"/>
    <n v="0"/>
    <n v="1136"/>
    <n v="772"/>
    <n v="0"/>
    <n v="18"/>
    <n v="0"/>
    <n v="346"/>
    <n v="5.9799999999999999E-2"/>
    <n v="6.8999999999999999E-3"/>
    <n v="0"/>
  </r>
  <r>
    <n v="2007"/>
    <n v="5"/>
    <x v="9"/>
    <x v="9"/>
    <s v="SEA"/>
    <s v="Seattle, WA: Seattle/Tacoma International"/>
    <n v="895"/>
    <n v="249"/>
    <n v="55.3"/>
    <n v="9.52"/>
    <n v="85.16"/>
    <n v="0"/>
    <n v="99.01"/>
    <n v="7"/>
    <n v="1"/>
    <n v="12181"/>
    <n v="2625"/>
    <n v="627"/>
    <n v="2526"/>
    <n v="0"/>
    <n v="6403"/>
    <n v="0.2782"/>
    <n v="7.7999999999999996E-3"/>
    <n v="1.1000000000000001E-3"/>
  </r>
  <r>
    <n v="2007"/>
    <n v="5"/>
    <x v="15"/>
    <x v="15"/>
    <s v="SEA"/>
    <s v="Seattle, WA: Seattle/Tacoma International"/>
    <n v="310"/>
    <n v="93"/>
    <n v="35.25"/>
    <n v="0.68"/>
    <n v="36.21"/>
    <n v="0"/>
    <n v="20.86"/>
    <n v="2"/>
    <n v="0"/>
    <n v="4279"/>
    <n v="1693"/>
    <n v="34"/>
    <n v="1111"/>
    <n v="0"/>
    <n v="1441"/>
    <n v="0.3"/>
    <n v="6.4999999999999997E-3"/>
    <n v="0"/>
  </r>
  <r>
    <n v="2007"/>
    <n v="5"/>
    <x v="10"/>
    <x v="10"/>
    <s v="SEA"/>
    <s v="Seattle, WA: Seattle/Tacoma International"/>
    <n v="1207"/>
    <n v="187"/>
    <n v="47.49"/>
    <n v="0"/>
    <n v="37.71"/>
    <n v="0.02"/>
    <n v="101.78"/>
    <n v="3"/>
    <n v="0"/>
    <n v="6997"/>
    <n v="1601"/>
    <n v="0"/>
    <n v="964"/>
    <n v="1"/>
    <n v="4431"/>
    <n v="0.15490000000000001"/>
    <n v="2.5000000000000001E-3"/>
    <n v="0"/>
  </r>
  <r>
    <n v="2007"/>
    <n v="5"/>
    <x v="20"/>
    <x v="20"/>
    <s v="SEA"/>
    <s v="Seattle, WA: Seattle/Tacoma International"/>
    <n v="31"/>
    <n v="4"/>
    <n v="2"/>
    <n v="0"/>
    <n v="2"/>
    <n v="0"/>
    <n v="0"/>
    <n v="0"/>
    <n v="0"/>
    <n v="97"/>
    <n v="60"/>
    <n v="0"/>
    <n v="37"/>
    <n v="0"/>
    <n v="0"/>
    <n v="0.129"/>
    <n v="0"/>
    <n v="0"/>
  </r>
  <r>
    <n v="2007"/>
    <n v="4"/>
    <x v="4"/>
    <x v="4"/>
    <s v="SEA"/>
    <s v="Seattle, WA: Seattle/Tacoma International"/>
    <n v="490"/>
    <n v="152"/>
    <n v="57.47"/>
    <n v="7.61"/>
    <n v="46.46"/>
    <n v="0"/>
    <n v="40.450000000000003"/>
    <n v="9"/>
    <n v="0"/>
    <n v="9013"/>
    <n v="3117"/>
    <n v="536"/>
    <n v="1830"/>
    <n v="0"/>
    <n v="3530"/>
    <n v="0.31019999999999998"/>
    <n v="1.84E-2"/>
    <n v="0"/>
  </r>
  <r>
    <n v="2007"/>
    <n v="4"/>
    <x v="5"/>
    <x v="5"/>
    <s v="SEA"/>
    <s v="Seattle, WA: Seattle/Tacoma International"/>
    <n v="3897"/>
    <n v="822"/>
    <n v="210.8"/>
    <n v="9.85"/>
    <n v="282.55"/>
    <n v="9.31"/>
    <n v="309.48"/>
    <n v="62"/>
    <n v="9"/>
    <n v="44439"/>
    <n v="14601"/>
    <n v="493"/>
    <n v="8403"/>
    <n v="236"/>
    <n v="20706"/>
    <n v="0.2109"/>
    <n v="1.5900000000000001E-2"/>
    <n v="2.3E-3"/>
  </r>
  <r>
    <n v="2007"/>
    <n v="4"/>
    <x v="6"/>
    <x v="6"/>
    <s v="SEA"/>
    <s v="Seattle, WA: Seattle/Tacoma International"/>
    <n v="60"/>
    <n v="11"/>
    <n v="1.08"/>
    <n v="0"/>
    <n v="5.05"/>
    <n v="0"/>
    <n v="4.87"/>
    <n v="1"/>
    <n v="0"/>
    <n v="394"/>
    <n v="39"/>
    <n v="0"/>
    <n v="133"/>
    <n v="0"/>
    <n v="222"/>
    <n v="0.18329999999999999"/>
    <n v="1.67E-2"/>
    <n v="0"/>
  </r>
  <r>
    <n v="2007"/>
    <n v="4"/>
    <x v="17"/>
    <x v="17"/>
    <s v="SEA"/>
    <s v="Seattle, WA: Seattle/Tacoma International"/>
    <n v="348"/>
    <n v="89"/>
    <n v="25.51"/>
    <n v="2.2999999999999998"/>
    <n v="41.71"/>
    <n v="2.94"/>
    <n v="16.55"/>
    <n v="0"/>
    <n v="0"/>
    <n v="3950"/>
    <n v="1236"/>
    <n v="167"/>
    <n v="1352"/>
    <n v="91"/>
    <n v="1104"/>
    <n v="0.25569999999999998"/>
    <n v="0"/>
    <n v="0"/>
  </r>
  <r>
    <n v="2007"/>
    <n v="4"/>
    <x v="7"/>
    <x v="7"/>
    <s v="SEA"/>
    <s v="Seattle, WA: Seattle/Tacoma International"/>
    <n v="411"/>
    <n v="102"/>
    <n v="32.07"/>
    <n v="1.62"/>
    <n v="47.78"/>
    <n v="0.85"/>
    <n v="19.68"/>
    <n v="1"/>
    <n v="0"/>
    <n v="4835"/>
    <n v="1604"/>
    <n v="45"/>
    <n v="1847"/>
    <n v="119"/>
    <n v="1220"/>
    <n v="0.2482"/>
    <n v="2.3999999999999998E-3"/>
    <n v="0"/>
  </r>
  <r>
    <n v="2007"/>
    <n v="4"/>
    <x v="8"/>
    <x v="8"/>
    <s v="SEA"/>
    <s v="Seattle, WA: Seattle/Tacoma International"/>
    <n v="107"/>
    <n v="21"/>
    <n v="8.2799999999999994"/>
    <n v="0"/>
    <n v="10.199999999999999"/>
    <n v="0"/>
    <n v="2.52"/>
    <n v="0"/>
    <n v="0"/>
    <n v="855"/>
    <n v="311"/>
    <n v="0"/>
    <n v="412"/>
    <n v="0"/>
    <n v="132"/>
    <n v="0.1963"/>
    <n v="0"/>
    <n v="0"/>
  </r>
  <r>
    <n v="2007"/>
    <n v="4"/>
    <x v="0"/>
    <x v="0"/>
    <s v="SEA"/>
    <s v="Seattle, WA: Seattle/Tacoma International"/>
    <n v="72"/>
    <n v="21"/>
    <n v="17.68"/>
    <n v="0"/>
    <n v="0.28000000000000003"/>
    <n v="0"/>
    <n v="3.04"/>
    <n v="0"/>
    <n v="0"/>
    <n v="2294"/>
    <n v="1812"/>
    <n v="0"/>
    <n v="5"/>
    <n v="0"/>
    <n v="477"/>
    <n v="0.29170000000000001"/>
    <n v="0"/>
    <n v="0"/>
  </r>
  <r>
    <n v="2007"/>
    <n v="4"/>
    <x v="18"/>
    <x v="18"/>
    <s v="SEA"/>
    <s v="Seattle, WA: Seattle/Tacoma International"/>
    <n v="374"/>
    <n v="94"/>
    <n v="45.38"/>
    <n v="0.62"/>
    <n v="34.200000000000003"/>
    <n v="0"/>
    <n v="13.81"/>
    <n v="1"/>
    <n v="1"/>
    <n v="4243"/>
    <n v="2539"/>
    <n v="20"/>
    <n v="969"/>
    <n v="0"/>
    <n v="715"/>
    <n v="0.25130000000000002"/>
    <n v="2.7000000000000001E-3"/>
    <n v="2.7000000000000001E-3"/>
  </r>
  <r>
    <n v="2007"/>
    <n v="4"/>
    <x v="2"/>
    <x v="2"/>
    <s v="SEA"/>
    <s v="Seattle, WA: Seattle/Tacoma International"/>
    <n v="431"/>
    <n v="37"/>
    <n v="27"/>
    <n v="0"/>
    <n v="2"/>
    <n v="1"/>
    <n v="7"/>
    <n v="3"/>
    <n v="0"/>
    <n v="1240"/>
    <n v="963"/>
    <n v="0"/>
    <n v="37"/>
    <n v="33"/>
    <n v="207"/>
    <n v="8.5800000000000001E-2"/>
    <n v="7.0000000000000001E-3"/>
    <n v="0"/>
  </r>
  <r>
    <n v="2007"/>
    <n v="4"/>
    <x v="9"/>
    <x v="9"/>
    <s v="SEA"/>
    <s v="Seattle, WA: Seattle/Tacoma International"/>
    <n v="866"/>
    <n v="235"/>
    <n v="60.99"/>
    <n v="4.5199999999999996"/>
    <n v="63.09"/>
    <n v="0"/>
    <n v="106.4"/>
    <n v="14"/>
    <n v="1"/>
    <n v="13103"/>
    <n v="2956"/>
    <n v="388"/>
    <n v="2047"/>
    <n v="0"/>
    <n v="7712"/>
    <n v="0.27139999999999997"/>
    <n v="1.6199999999999999E-2"/>
    <n v="1.1999999999999999E-3"/>
  </r>
  <r>
    <n v="2007"/>
    <n v="4"/>
    <x v="15"/>
    <x v="15"/>
    <s v="SEA"/>
    <s v="Seattle, WA: Seattle/Tacoma International"/>
    <n v="278"/>
    <n v="107"/>
    <n v="51.23"/>
    <n v="0.27"/>
    <n v="31.37"/>
    <n v="0"/>
    <n v="24.13"/>
    <n v="1"/>
    <n v="0"/>
    <n v="4757"/>
    <n v="2420"/>
    <n v="6"/>
    <n v="1022"/>
    <n v="0"/>
    <n v="1309"/>
    <n v="0.38490000000000002"/>
    <n v="3.5999999999999999E-3"/>
    <n v="0"/>
  </r>
  <r>
    <n v="2007"/>
    <n v="4"/>
    <x v="10"/>
    <x v="10"/>
    <s v="SEA"/>
    <s v="Seattle, WA: Seattle/Tacoma International"/>
    <n v="1179"/>
    <n v="170"/>
    <n v="49.74"/>
    <n v="0.13"/>
    <n v="26.18"/>
    <n v="1.36"/>
    <n v="92.59"/>
    <n v="0"/>
    <n v="1"/>
    <n v="7393"/>
    <n v="1703"/>
    <n v="13"/>
    <n v="879"/>
    <n v="36"/>
    <n v="4762"/>
    <n v="0.14419999999999999"/>
    <n v="0"/>
    <n v="8.0000000000000004E-4"/>
  </r>
  <r>
    <n v="2007"/>
    <n v="4"/>
    <x v="20"/>
    <x v="20"/>
    <s v="SEA"/>
    <s v="Seattle, WA: Seattle/Tacoma International"/>
    <n v="46"/>
    <n v="10"/>
    <n v="5"/>
    <n v="0"/>
    <n v="3"/>
    <n v="0"/>
    <n v="2"/>
    <n v="0"/>
    <n v="0"/>
    <n v="609"/>
    <n v="280"/>
    <n v="0"/>
    <n v="65"/>
    <n v="0"/>
    <n v="264"/>
    <n v="0.21740000000000001"/>
    <n v="0"/>
    <n v="0"/>
  </r>
  <r>
    <n v="2007"/>
    <n v="3"/>
    <x v="4"/>
    <x v="4"/>
    <s v="SEA"/>
    <s v="Seattle, WA: Seattle/Tacoma International"/>
    <n v="471"/>
    <n v="126"/>
    <n v="54.86"/>
    <n v="10.14"/>
    <n v="30.51"/>
    <n v="0"/>
    <n v="30.49"/>
    <n v="12"/>
    <n v="1"/>
    <n v="7594"/>
    <n v="3439"/>
    <n v="660"/>
    <n v="1152"/>
    <n v="0"/>
    <n v="2343"/>
    <n v="0.26750000000000002"/>
    <n v="2.5499999999999998E-2"/>
    <n v="2.0999999999999999E-3"/>
  </r>
  <r>
    <n v="2007"/>
    <n v="3"/>
    <x v="5"/>
    <x v="5"/>
    <s v="SEA"/>
    <s v="Seattle, WA: Seattle/Tacoma International"/>
    <n v="3908"/>
    <n v="1016"/>
    <n v="244.1"/>
    <n v="8.81"/>
    <n v="350.17"/>
    <n v="8.18"/>
    <n v="404.74"/>
    <n v="66"/>
    <n v="6"/>
    <n v="59225"/>
    <n v="19930"/>
    <n v="690"/>
    <n v="10856"/>
    <n v="527"/>
    <n v="27222"/>
    <n v="0.26"/>
    <n v="1.6899999999999998E-2"/>
    <n v="1.5E-3"/>
  </r>
  <r>
    <n v="2007"/>
    <n v="3"/>
    <x v="6"/>
    <x v="6"/>
    <s v="SEA"/>
    <s v="Seattle, WA: Seattle/Tacoma International"/>
    <n v="62"/>
    <n v="25"/>
    <n v="3.49"/>
    <n v="0.76"/>
    <n v="9.9600000000000009"/>
    <n v="0.06"/>
    <n v="10.74"/>
    <n v="1"/>
    <n v="0"/>
    <n v="1140"/>
    <n v="109"/>
    <n v="68"/>
    <n v="319"/>
    <n v="5"/>
    <n v="639"/>
    <n v="0.4032"/>
    <n v="1.61E-2"/>
    <n v="0"/>
  </r>
  <r>
    <n v="2007"/>
    <n v="3"/>
    <x v="17"/>
    <x v="17"/>
    <s v="SEA"/>
    <s v="Seattle, WA: Seattle/Tacoma International"/>
    <n v="357"/>
    <n v="111"/>
    <n v="32.5"/>
    <n v="9.07"/>
    <n v="47.62"/>
    <n v="2.3199999999999998"/>
    <n v="19.489999999999998"/>
    <n v="5"/>
    <n v="2"/>
    <n v="5464"/>
    <n v="1368"/>
    <n v="601"/>
    <n v="1752"/>
    <n v="69"/>
    <n v="1674"/>
    <n v="0.31090000000000001"/>
    <n v="1.4E-2"/>
    <n v="5.5999999999999999E-3"/>
  </r>
  <r>
    <n v="2007"/>
    <n v="3"/>
    <x v="7"/>
    <x v="7"/>
    <s v="SEA"/>
    <s v="Seattle, WA: Seattle/Tacoma International"/>
    <n v="403"/>
    <n v="98"/>
    <n v="27.63"/>
    <n v="1.45"/>
    <n v="48.67"/>
    <n v="0.72"/>
    <n v="19.53"/>
    <n v="5"/>
    <n v="0"/>
    <n v="3933"/>
    <n v="1137"/>
    <n v="66"/>
    <n v="1616"/>
    <n v="13"/>
    <n v="1101"/>
    <n v="0.2432"/>
    <n v="1.24E-2"/>
    <n v="0"/>
  </r>
  <r>
    <n v="2007"/>
    <n v="3"/>
    <x v="8"/>
    <x v="8"/>
    <s v="SEA"/>
    <s v="Seattle, WA: Seattle/Tacoma International"/>
    <n v="90"/>
    <n v="22"/>
    <n v="10.039999999999999"/>
    <n v="0"/>
    <n v="9.0500000000000007"/>
    <n v="0"/>
    <n v="2.91"/>
    <n v="0"/>
    <n v="0"/>
    <n v="976"/>
    <n v="608"/>
    <n v="0"/>
    <n v="235"/>
    <n v="0"/>
    <n v="133"/>
    <n v="0.24440000000000001"/>
    <n v="0"/>
    <n v="0"/>
  </r>
  <r>
    <n v="2007"/>
    <n v="3"/>
    <x v="0"/>
    <x v="0"/>
    <s v="SEA"/>
    <s v="Seattle, WA: Seattle/Tacoma International"/>
    <n v="76"/>
    <n v="15"/>
    <n v="11.44"/>
    <n v="0"/>
    <n v="0"/>
    <n v="0"/>
    <n v="3.56"/>
    <n v="0"/>
    <n v="0"/>
    <n v="525"/>
    <n v="366"/>
    <n v="0"/>
    <n v="0"/>
    <n v="0"/>
    <n v="159"/>
    <n v="0.19739999999999999"/>
    <n v="0"/>
    <n v="0"/>
  </r>
  <r>
    <n v="2007"/>
    <n v="3"/>
    <x v="18"/>
    <x v="18"/>
    <s v="SEA"/>
    <s v="Seattle, WA: Seattle/Tacoma International"/>
    <n v="341"/>
    <n v="144"/>
    <n v="57.54"/>
    <n v="0"/>
    <n v="66.33"/>
    <n v="0"/>
    <n v="20.13"/>
    <n v="1"/>
    <n v="1"/>
    <n v="6875"/>
    <n v="3421"/>
    <n v="0"/>
    <n v="2148"/>
    <n v="0"/>
    <n v="1306"/>
    <n v="0.42230000000000001"/>
    <n v="2.8999999999999998E-3"/>
    <n v="2.8999999999999998E-3"/>
  </r>
  <r>
    <n v="2007"/>
    <n v="3"/>
    <x v="2"/>
    <x v="2"/>
    <s v="SEA"/>
    <s v="Seattle, WA: Seattle/Tacoma International"/>
    <n v="467"/>
    <n v="78"/>
    <n v="60"/>
    <n v="1"/>
    <n v="0"/>
    <n v="0"/>
    <n v="17"/>
    <n v="2"/>
    <n v="0"/>
    <n v="3097"/>
    <n v="2175"/>
    <n v="169"/>
    <n v="0"/>
    <n v="0"/>
    <n v="753"/>
    <n v="0.16700000000000001"/>
    <n v="4.3E-3"/>
    <n v="0"/>
  </r>
  <r>
    <n v="2007"/>
    <n v="3"/>
    <x v="9"/>
    <x v="9"/>
    <s v="SEA"/>
    <s v="Seattle, WA: Seattle/Tacoma International"/>
    <n v="892"/>
    <n v="256"/>
    <n v="55.35"/>
    <n v="1.43"/>
    <n v="94.01"/>
    <n v="0"/>
    <n v="105.21"/>
    <n v="7"/>
    <n v="0"/>
    <n v="14598"/>
    <n v="3455"/>
    <n v="355"/>
    <n v="3031"/>
    <n v="0"/>
    <n v="7757"/>
    <n v="0.28699999999999998"/>
    <n v="7.7999999999999996E-3"/>
    <n v="0"/>
  </r>
  <r>
    <n v="2007"/>
    <n v="3"/>
    <x v="15"/>
    <x v="15"/>
    <s v="SEA"/>
    <s v="Seattle, WA: Seattle/Tacoma International"/>
    <n v="274"/>
    <n v="111"/>
    <n v="44.49"/>
    <n v="0.72"/>
    <n v="37.4"/>
    <n v="1.24"/>
    <n v="27.16"/>
    <n v="2"/>
    <n v="1"/>
    <n v="5587"/>
    <n v="2329"/>
    <n v="139"/>
    <n v="1306"/>
    <n v="34"/>
    <n v="1779"/>
    <n v="0.40510000000000002"/>
    <n v="7.3000000000000001E-3"/>
    <n v="3.5999999999999999E-3"/>
  </r>
  <r>
    <n v="2007"/>
    <n v="3"/>
    <x v="10"/>
    <x v="10"/>
    <s v="SEA"/>
    <s v="Seattle, WA: Seattle/Tacoma International"/>
    <n v="1200"/>
    <n v="185"/>
    <n v="47.47"/>
    <n v="1.61"/>
    <n v="45.55"/>
    <n v="1.57"/>
    <n v="88.81"/>
    <n v="2"/>
    <n v="0"/>
    <n v="7575"/>
    <n v="1633"/>
    <n v="82"/>
    <n v="1265"/>
    <n v="33"/>
    <n v="4562"/>
    <n v="0.1542"/>
    <n v="1.6999999999999999E-3"/>
    <n v="0"/>
  </r>
  <r>
    <n v="2007"/>
    <n v="3"/>
    <x v="20"/>
    <x v="20"/>
    <s v="SEA"/>
    <s v="Seattle, WA: Seattle/Tacoma International"/>
    <n v="62"/>
    <n v="16"/>
    <n v="11"/>
    <n v="0"/>
    <n v="5"/>
    <n v="0"/>
    <n v="0"/>
    <n v="0"/>
    <n v="1"/>
    <n v="1073"/>
    <n v="973"/>
    <n v="0"/>
    <n v="100"/>
    <n v="0"/>
    <n v="0"/>
    <n v="0.2581"/>
    <n v="0"/>
    <n v="1.61E-2"/>
  </r>
  <r>
    <n v="2007"/>
    <n v="2"/>
    <x v="4"/>
    <x v="4"/>
    <s v="SEA"/>
    <s v="Seattle, WA: Seattle/Tacoma International"/>
    <n v="428"/>
    <n v="172"/>
    <n v="50.79"/>
    <n v="26.42"/>
    <n v="59.14"/>
    <n v="0.92"/>
    <n v="34.729999999999997"/>
    <n v="24"/>
    <n v="0"/>
    <n v="9694"/>
    <n v="3333"/>
    <n v="1725"/>
    <n v="2375"/>
    <n v="47"/>
    <n v="2214"/>
    <n v="0.40189999999999998"/>
    <n v="5.6099999999999997E-2"/>
    <n v="0"/>
  </r>
  <r>
    <n v="2007"/>
    <n v="2"/>
    <x v="5"/>
    <x v="5"/>
    <s v="SEA"/>
    <s v="Seattle, WA: Seattle/Tacoma International"/>
    <n v="3529"/>
    <n v="915"/>
    <n v="206.24"/>
    <n v="21.9"/>
    <n v="322.76"/>
    <n v="9.2799999999999994"/>
    <n v="354.82"/>
    <n v="77"/>
    <n v="6"/>
    <n v="49579"/>
    <n v="14144"/>
    <n v="940"/>
    <n v="10095"/>
    <n v="311"/>
    <n v="24089"/>
    <n v="0.25929999999999997"/>
    <n v="2.18E-2"/>
    <n v="1.6999999999999999E-3"/>
  </r>
  <r>
    <n v="2007"/>
    <n v="2"/>
    <x v="6"/>
    <x v="6"/>
    <s v="SEA"/>
    <s v="Seattle, WA: Seattle/Tacoma International"/>
    <n v="56"/>
    <n v="20"/>
    <n v="4.08"/>
    <n v="0.48"/>
    <n v="8.5299999999999994"/>
    <n v="0.04"/>
    <n v="6.86"/>
    <n v="1"/>
    <n v="1"/>
    <n v="1587"/>
    <n v="245"/>
    <n v="216"/>
    <n v="589"/>
    <n v="1"/>
    <n v="536"/>
    <n v="0.35709999999999997"/>
    <n v="1.7899999999999999E-2"/>
    <n v="1.7899999999999999E-2"/>
  </r>
  <r>
    <n v="2007"/>
    <n v="2"/>
    <x v="17"/>
    <x v="17"/>
    <s v="SEA"/>
    <s v="Seattle, WA: Seattle/Tacoma International"/>
    <n v="281"/>
    <n v="86"/>
    <n v="21.84"/>
    <n v="3.48"/>
    <n v="46.42"/>
    <n v="0.22"/>
    <n v="14.05"/>
    <n v="1"/>
    <n v="0"/>
    <n v="4178"/>
    <n v="1166"/>
    <n v="437"/>
    <n v="1647"/>
    <n v="8"/>
    <n v="920"/>
    <n v="0.30599999999999999"/>
    <n v="3.5999999999999999E-3"/>
    <n v="0"/>
  </r>
  <r>
    <n v="2007"/>
    <n v="2"/>
    <x v="7"/>
    <x v="7"/>
    <s v="SEA"/>
    <s v="Seattle, WA: Seattle/Tacoma International"/>
    <n v="342"/>
    <n v="99"/>
    <n v="37.53"/>
    <n v="5.23"/>
    <n v="45.6"/>
    <n v="0"/>
    <n v="10.65"/>
    <n v="4"/>
    <n v="1"/>
    <n v="3494"/>
    <n v="1402"/>
    <n v="331"/>
    <n v="1304"/>
    <n v="0"/>
    <n v="457"/>
    <n v="0.28949999999999998"/>
    <n v="1.17E-2"/>
    <n v="2.8999999999999998E-3"/>
  </r>
  <r>
    <n v="2007"/>
    <n v="2"/>
    <x v="8"/>
    <x v="8"/>
    <s v="SEA"/>
    <s v="Seattle, WA: Seattle/Tacoma International"/>
    <n v="108"/>
    <n v="43"/>
    <n v="16.920000000000002"/>
    <n v="0"/>
    <n v="20.28"/>
    <n v="0"/>
    <n v="5.8"/>
    <n v="0"/>
    <n v="0"/>
    <n v="1692"/>
    <n v="647"/>
    <n v="0"/>
    <n v="773"/>
    <n v="0"/>
    <n v="272"/>
    <n v="0.39810000000000001"/>
    <n v="0"/>
    <n v="0"/>
  </r>
  <r>
    <n v="2007"/>
    <n v="2"/>
    <x v="0"/>
    <x v="0"/>
    <s v="SEA"/>
    <s v="Seattle, WA: Seattle/Tacoma International"/>
    <n v="68"/>
    <n v="14"/>
    <n v="9.1199999999999992"/>
    <n v="0.78"/>
    <n v="0.66"/>
    <n v="0"/>
    <n v="3.44"/>
    <n v="0"/>
    <n v="0"/>
    <n v="395"/>
    <n v="264"/>
    <n v="18"/>
    <n v="23"/>
    <n v="0"/>
    <n v="90"/>
    <n v="0.2059"/>
    <n v="0"/>
    <n v="0"/>
  </r>
  <r>
    <n v="2007"/>
    <n v="2"/>
    <x v="18"/>
    <x v="18"/>
    <s v="SEA"/>
    <s v="Seattle, WA: Seattle/Tacoma International"/>
    <n v="308"/>
    <n v="148"/>
    <n v="53.4"/>
    <n v="0.54"/>
    <n v="72.37"/>
    <n v="0"/>
    <n v="21.69"/>
    <n v="2"/>
    <n v="2"/>
    <n v="7709"/>
    <n v="3326"/>
    <n v="41"/>
    <n v="2874"/>
    <n v="0"/>
    <n v="1468"/>
    <n v="0.48049999999999998"/>
    <n v="6.4999999999999997E-3"/>
    <n v="6.4999999999999997E-3"/>
  </r>
  <r>
    <n v="2007"/>
    <n v="2"/>
    <x v="2"/>
    <x v="2"/>
    <s v="SEA"/>
    <s v="Seattle, WA: Seattle/Tacoma International"/>
    <n v="422"/>
    <n v="84"/>
    <n v="55"/>
    <n v="4"/>
    <n v="2"/>
    <n v="1"/>
    <n v="22"/>
    <n v="22"/>
    <n v="2"/>
    <n v="3779"/>
    <n v="2155"/>
    <n v="138"/>
    <n v="39"/>
    <n v="46"/>
    <n v="1401"/>
    <n v="0.1991"/>
    <n v="5.21E-2"/>
    <n v="4.7000000000000002E-3"/>
  </r>
  <r>
    <n v="2007"/>
    <n v="2"/>
    <x v="9"/>
    <x v="9"/>
    <s v="SEA"/>
    <s v="Seattle, WA: Seattle/Tacoma International"/>
    <n v="794"/>
    <n v="305"/>
    <n v="71.37"/>
    <n v="7.28"/>
    <n v="109.62"/>
    <n v="0"/>
    <n v="116.74"/>
    <n v="20"/>
    <n v="0"/>
    <n v="17085"/>
    <n v="4113"/>
    <n v="876"/>
    <n v="3917"/>
    <n v="0"/>
    <n v="8179"/>
    <n v="0.3841"/>
    <n v="2.52E-2"/>
    <n v="0"/>
  </r>
  <r>
    <n v="2007"/>
    <n v="2"/>
    <x v="15"/>
    <x v="15"/>
    <s v="SEA"/>
    <s v="Seattle, WA: Seattle/Tacoma International"/>
    <n v="248"/>
    <n v="98"/>
    <n v="37.630000000000003"/>
    <n v="1.7"/>
    <n v="32.25"/>
    <n v="0.72"/>
    <n v="25.69"/>
    <n v="1"/>
    <n v="4"/>
    <n v="4597"/>
    <n v="1629"/>
    <n v="134"/>
    <n v="1178"/>
    <n v="22"/>
    <n v="1634"/>
    <n v="0.3952"/>
    <n v="4.0000000000000001E-3"/>
    <n v="1.61E-2"/>
  </r>
  <r>
    <n v="2007"/>
    <n v="2"/>
    <x v="10"/>
    <x v="10"/>
    <s v="SEA"/>
    <s v="Seattle, WA: Seattle/Tacoma International"/>
    <n v="1080"/>
    <n v="245"/>
    <n v="57.08"/>
    <n v="4.96"/>
    <n v="43.2"/>
    <n v="1.37"/>
    <n v="138.4"/>
    <n v="3"/>
    <n v="1"/>
    <n v="11131"/>
    <n v="2462"/>
    <n v="410"/>
    <n v="1296"/>
    <n v="38"/>
    <n v="6925"/>
    <n v="0.22689999999999999"/>
    <n v="2.8E-3"/>
    <n v="8.9999999999999998E-4"/>
  </r>
  <r>
    <n v="2007"/>
    <n v="2"/>
    <x v="20"/>
    <x v="20"/>
    <s v="SEA"/>
    <s v="Seattle, WA: Seattle/Tacoma International"/>
    <n v="56"/>
    <n v="15"/>
    <n v="8"/>
    <n v="0"/>
    <n v="7"/>
    <n v="0"/>
    <n v="0"/>
    <n v="1"/>
    <n v="0"/>
    <n v="573"/>
    <n v="397"/>
    <n v="0"/>
    <n v="176"/>
    <n v="0"/>
    <n v="0"/>
    <n v="0.26790000000000003"/>
    <n v="1.7899999999999999E-2"/>
    <n v="0"/>
  </r>
  <r>
    <n v="2007"/>
    <n v="1"/>
    <x v="4"/>
    <x v="4"/>
    <s v="SEA"/>
    <s v="Seattle, WA: Seattle/Tacoma International"/>
    <n v="475"/>
    <n v="159"/>
    <n v="57.53"/>
    <n v="23.98"/>
    <n v="41.86"/>
    <n v="0"/>
    <n v="35.619999999999997"/>
    <n v="17"/>
    <n v="1"/>
    <n v="9572"/>
    <n v="3682"/>
    <n v="1734"/>
    <n v="1741"/>
    <n v="0"/>
    <n v="2415"/>
    <n v="0.3347"/>
    <n v="3.5799999999999998E-2"/>
    <n v="2.0999999999999999E-3"/>
  </r>
  <r>
    <n v="2007"/>
    <n v="1"/>
    <x v="5"/>
    <x v="5"/>
    <s v="SEA"/>
    <s v="Seattle, WA: Seattle/Tacoma International"/>
    <n v="3821"/>
    <n v="994"/>
    <n v="214.88"/>
    <n v="12.96"/>
    <n v="316.23"/>
    <n v="4.3899999999999997"/>
    <n v="445.53"/>
    <n v="103"/>
    <n v="16"/>
    <n v="53412"/>
    <n v="12918"/>
    <n v="559"/>
    <n v="11470"/>
    <n v="129"/>
    <n v="28336"/>
    <n v="0.2601"/>
    <n v="2.7E-2"/>
    <n v="4.1999999999999997E-3"/>
  </r>
  <r>
    <n v="2007"/>
    <n v="1"/>
    <x v="6"/>
    <x v="6"/>
    <s v="SEA"/>
    <s v="Seattle, WA: Seattle/Tacoma International"/>
    <n v="62"/>
    <n v="16"/>
    <n v="5.54"/>
    <n v="0"/>
    <n v="7.56"/>
    <n v="0.16"/>
    <n v="2.74"/>
    <n v="0"/>
    <n v="1"/>
    <n v="681"/>
    <n v="172"/>
    <n v="0"/>
    <n v="375"/>
    <n v="8"/>
    <n v="126"/>
    <n v="0.2581"/>
    <n v="0"/>
    <n v="1.61E-2"/>
  </r>
  <r>
    <n v="2007"/>
    <n v="1"/>
    <x v="17"/>
    <x v="17"/>
    <s v="SEA"/>
    <s v="Seattle, WA: Seattle/Tacoma International"/>
    <n v="317"/>
    <n v="97"/>
    <n v="24.84"/>
    <n v="1.92"/>
    <n v="43.31"/>
    <n v="5.04"/>
    <n v="21.88"/>
    <n v="0"/>
    <n v="0"/>
    <n v="4915"/>
    <n v="1431"/>
    <n v="89"/>
    <n v="1771"/>
    <n v="163"/>
    <n v="1461"/>
    <n v="0.30599999999999999"/>
    <n v="0"/>
    <n v="0"/>
  </r>
  <r>
    <n v="2007"/>
    <n v="1"/>
    <x v="7"/>
    <x v="7"/>
    <s v="SEA"/>
    <s v="Seattle, WA: Seattle/Tacoma International"/>
    <n v="371"/>
    <n v="114"/>
    <n v="33.130000000000003"/>
    <n v="3.07"/>
    <n v="58.2"/>
    <n v="0.66"/>
    <n v="18.95"/>
    <n v="2"/>
    <n v="1"/>
    <n v="4644"/>
    <n v="1373"/>
    <n v="192"/>
    <n v="2060"/>
    <n v="35"/>
    <n v="984"/>
    <n v="0.30730000000000002"/>
    <n v="5.4000000000000003E-3"/>
    <n v="2.7000000000000001E-3"/>
  </r>
  <r>
    <n v="2007"/>
    <n v="1"/>
    <x v="8"/>
    <x v="8"/>
    <s v="SEA"/>
    <s v="Seattle, WA: Seattle/Tacoma International"/>
    <n v="118"/>
    <n v="46"/>
    <n v="13.79"/>
    <n v="1.81"/>
    <n v="22.75"/>
    <n v="0"/>
    <n v="7.65"/>
    <n v="0"/>
    <n v="0"/>
    <n v="2156"/>
    <n v="499"/>
    <n v="111"/>
    <n v="978"/>
    <n v="0"/>
    <n v="568"/>
    <n v="0.38979999999999998"/>
    <n v="0"/>
    <n v="0"/>
  </r>
  <r>
    <n v="2007"/>
    <n v="1"/>
    <x v="0"/>
    <x v="0"/>
    <s v="SEA"/>
    <s v="Seattle, WA: Seattle/Tacoma International"/>
    <n v="74"/>
    <n v="20"/>
    <n v="9.1199999999999992"/>
    <n v="0"/>
    <n v="0"/>
    <n v="0"/>
    <n v="10.88"/>
    <n v="0"/>
    <n v="0"/>
    <n v="1237"/>
    <n v="475"/>
    <n v="0"/>
    <n v="0"/>
    <n v="0"/>
    <n v="762"/>
    <n v="0.27029999999999998"/>
    <n v="0"/>
    <n v="0"/>
  </r>
  <r>
    <n v="2007"/>
    <n v="1"/>
    <x v="18"/>
    <x v="18"/>
    <s v="SEA"/>
    <s v="Seattle, WA: Seattle/Tacoma International"/>
    <n v="350"/>
    <n v="98"/>
    <n v="34.799999999999997"/>
    <n v="0.5"/>
    <n v="53.73"/>
    <n v="1"/>
    <n v="7.96"/>
    <n v="2"/>
    <n v="1"/>
    <n v="3707"/>
    <n v="1554"/>
    <n v="31"/>
    <n v="1646"/>
    <n v="29"/>
    <n v="447"/>
    <n v="0.28000000000000003"/>
    <n v="5.7000000000000002E-3"/>
    <n v="2.8999999999999998E-3"/>
  </r>
  <r>
    <n v="2007"/>
    <n v="1"/>
    <x v="2"/>
    <x v="2"/>
    <s v="SEA"/>
    <s v="Seattle, WA: Seattle/Tacoma International"/>
    <n v="470"/>
    <n v="152"/>
    <n v="83"/>
    <n v="9"/>
    <n v="11"/>
    <n v="2"/>
    <n v="47"/>
    <n v="16"/>
    <n v="3"/>
    <n v="8525"/>
    <n v="3497"/>
    <n v="906"/>
    <n v="742"/>
    <n v="95"/>
    <n v="3285"/>
    <n v="0.32340000000000002"/>
    <n v="3.4000000000000002E-2"/>
    <n v="6.4000000000000003E-3"/>
  </r>
  <r>
    <n v="2007"/>
    <n v="1"/>
    <x v="9"/>
    <x v="9"/>
    <s v="SEA"/>
    <s v="Seattle, WA: Seattle/Tacoma International"/>
    <n v="887"/>
    <n v="247"/>
    <n v="49.19"/>
    <n v="3.13"/>
    <n v="112.68"/>
    <n v="0"/>
    <n v="82"/>
    <n v="13"/>
    <n v="0"/>
    <n v="11225"/>
    <n v="2218"/>
    <n v="360"/>
    <n v="3609"/>
    <n v="0"/>
    <n v="5038"/>
    <n v="0.27850000000000003"/>
    <n v="1.47E-2"/>
    <n v="0"/>
  </r>
  <r>
    <n v="2007"/>
    <n v="1"/>
    <x v="15"/>
    <x v="15"/>
    <s v="SEA"/>
    <s v="Seattle, WA: Seattle/Tacoma International"/>
    <n v="292"/>
    <n v="103"/>
    <n v="40.15"/>
    <n v="0"/>
    <n v="45.58"/>
    <n v="0.56999999999999995"/>
    <n v="16.7"/>
    <n v="2"/>
    <n v="8"/>
    <n v="3808"/>
    <n v="1558"/>
    <n v="0"/>
    <n v="1350"/>
    <n v="13"/>
    <n v="887"/>
    <n v="0.35270000000000001"/>
    <n v="6.7999999999999996E-3"/>
    <n v="2.7400000000000001E-2"/>
  </r>
  <r>
    <n v="2007"/>
    <n v="1"/>
    <x v="10"/>
    <x v="10"/>
    <s v="SEA"/>
    <s v="Seattle, WA: Seattle/Tacoma International"/>
    <n v="1198"/>
    <n v="227"/>
    <n v="51.01"/>
    <n v="5.23"/>
    <n v="57.87"/>
    <n v="1.45"/>
    <n v="111.44"/>
    <n v="6"/>
    <n v="0"/>
    <n v="8333"/>
    <n v="1555"/>
    <n v="291"/>
    <n v="1719"/>
    <n v="54"/>
    <n v="4714"/>
    <n v="0.1895"/>
    <n v="5.0000000000000001E-3"/>
    <n v="0"/>
  </r>
  <r>
    <n v="2007"/>
    <n v="1"/>
    <x v="20"/>
    <x v="20"/>
    <s v="SEA"/>
    <s v="Seattle, WA: Seattle/Tacoma International"/>
    <n v="57"/>
    <n v="17"/>
    <n v="5"/>
    <n v="1"/>
    <n v="10"/>
    <n v="0"/>
    <n v="1"/>
    <n v="0"/>
    <n v="0"/>
    <n v="916"/>
    <n v="316"/>
    <n v="123"/>
    <n v="342"/>
    <n v="0"/>
    <n v="135"/>
    <n v="0.29820000000000002"/>
    <n v="0"/>
    <n v="0"/>
  </r>
  <r>
    <n v="2006"/>
    <n v="12"/>
    <x v="4"/>
    <x v="4"/>
    <s v="SEA"/>
    <s v="Seattle, WA: Seattle/Tacoma International"/>
    <n v="487"/>
    <n v="157"/>
    <n v="48.98"/>
    <n v="6.63"/>
    <n v="60.58"/>
    <n v="0"/>
    <n v="40.82"/>
    <n v="25"/>
    <n v="3"/>
    <n v="9381"/>
    <n v="2987"/>
    <n v="659"/>
    <n v="2598"/>
    <n v="0"/>
    <n v="3137"/>
    <n v="0.32240000000000002"/>
    <n v="5.1299999999999998E-2"/>
    <n v="6.1999999999999998E-3"/>
  </r>
  <r>
    <n v="2006"/>
    <n v="12"/>
    <x v="5"/>
    <x v="5"/>
    <s v="SEA"/>
    <s v="Seattle, WA: Seattle/Tacoma International"/>
    <n v="3902"/>
    <n v="1232"/>
    <n v="247.08"/>
    <n v="13.64"/>
    <n v="398.46"/>
    <n v="6.75"/>
    <n v="566.05999999999995"/>
    <n v="91"/>
    <n v="24"/>
    <n v="73496"/>
    <n v="16647"/>
    <n v="999"/>
    <n v="17313"/>
    <n v="198"/>
    <n v="38339"/>
    <n v="0.31569999999999998"/>
    <n v="2.3300000000000001E-2"/>
    <n v="6.1999999999999998E-3"/>
  </r>
  <r>
    <n v="2006"/>
    <n v="12"/>
    <x v="6"/>
    <x v="6"/>
    <s v="SEA"/>
    <s v="Seattle, WA: Seattle/Tacoma International"/>
    <n v="62"/>
    <n v="26"/>
    <n v="7.69"/>
    <n v="0"/>
    <n v="12.2"/>
    <n v="0"/>
    <n v="6.11"/>
    <n v="0"/>
    <n v="0"/>
    <n v="1231"/>
    <n v="371"/>
    <n v="0"/>
    <n v="579"/>
    <n v="0"/>
    <n v="281"/>
    <n v="0.4194"/>
    <n v="0"/>
    <n v="0"/>
  </r>
  <r>
    <n v="2006"/>
    <n v="12"/>
    <x v="17"/>
    <x v="17"/>
    <s v="SEA"/>
    <s v="Seattle, WA: Seattle/Tacoma International"/>
    <n v="411"/>
    <n v="142"/>
    <n v="28.68"/>
    <n v="0.86"/>
    <n v="76.150000000000006"/>
    <n v="4.3899999999999997"/>
    <n v="31.92"/>
    <n v="0"/>
    <n v="2"/>
    <n v="6871"/>
    <n v="1456"/>
    <n v="69"/>
    <n v="3036"/>
    <n v="142"/>
    <n v="2168"/>
    <n v="0.34549999999999997"/>
    <n v="0"/>
    <n v="4.8999999999999998E-3"/>
  </r>
  <r>
    <n v="2006"/>
    <n v="12"/>
    <x v="7"/>
    <x v="7"/>
    <s v="SEA"/>
    <s v="Seattle, WA: Seattle/Tacoma International"/>
    <n v="391"/>
    <n v="105"/>
    <n v="40.520000000000003"/>
    <n v="2.84"/>
    <n v="50.03"/>
    <n v="0.39"/>
    <n v="11.22"/>
    <n v="0"/>
    <n v="1"/>
    <n v="5898"/>
    <n v="2597"/>
    <n v="277"/>
    <n v="2207"/>
    <n v="30"/>
    <n v="787"/>
    <n v="0.26850000000000002"/>
    <n v="0"/>
    <n v="2.5999999999999999E-3"/>
  </r>
  <r>
    <n v="2006"/>
    <n v="12"/>
    <x v="8"/>
    <x v="8"/>
    <s v="SEA"/>
    <s v="Seattle, WA: Seattle/Tacoma International"/>
    <n v="119"/>
    <n v="40"/>
    <n v="9.9600000000000009"/>
    <n v="4.1399999999999997"/>
    <n v="19.63"/>
    <n v="0"/>
    <n v="6.27"/>
    <n v="12"/>
    <n v="0"/>
    <n v="1853"/>
    <n v="381"/>
    <n v="248"/>
    <n v="870"/>
    <n v="0"/>
    <n v="354"/>
    <n v="0.33610000000000001"/>
    <n v="0.1008"/>
    <n v="0"/>
  </r>
  <r>
    <n v="2006"/>
    <n v="12"/>
    <x v="0"/>
    <x v="0"/>
    <s v="SEA"/>
    <s v="Seattle, WA: Seattle/Tacoma International"/>
    <n v="74"/>
    <n v="28"/>
    <n v="15.47"/>
    <n v="0"/>
    <n v="0"/>
    <n v="0"/>
    <n v="12.53"/>
    <n v="3"/>
    <n v="0"/>
    <n v="2742"/>
    <n v="1890"/>
    <n v="0"/>
    <n v="0"/>
    <n v="0"/>
    <n v="852"/>
    <n v="0.37840000000000001"/>
    <n v="4.0500000000000001E-2"/>
    <n v="0"/>
  </r>
  <r>
    <n v="2006"/>
    <n v="12"/>
    <x v="18"/>
    <x v="18"/>
    <s v="SEA"/>
    <s v="Seattle, WA: Seattle/Tacoma International"/>
    <n v="400"/>
    <n v="154"/>
    <n v="61.25"/>
    <n v="3.33"/>
    <n v="72.11"/>
    <n v="0"/>
    <n v="17.32"/>
    <n v="3"/>
    <n v="0"/>
    <n v="6936"/>
    <n v="3177"/>
    <n v="233"/>
    <n v="2505"/>
    <n v="0"/>
    <n v="1021"/>
    <n v="0.38500000000000001"/>
    <n v="7.4999999999999997E-3"/>
    <n v="0"/>
  </r>
  <r>
    <n v="2006"/>
    <n v="12"/>
    <x v="2"/>
    <x v="2"/>
    <s v="SEA"/>
    <s v="Seattle, WA: Seattle/Tacoma International"/>
    <n v="460"/>
    <n v="161"/>
    <n v="100"/>
    <n v="4"/>
    <n v="9"/>
    <n v="1"/>
    <n v="47"/>
    <n v="25"/>
    <n v="0"/>
    <n v="6909"/>
    <n v="3335"/>
    <n v="194"/>
    <n v="471"/>
    <n v="38"/>
    <n v="2871"/>
    <n v="0.35"/>
    <n v="5.4300000000000001E-2"/>
    <n v="0"/>
  </r>
  <r>
    <n v="2006"/>
    <n v="12"/>
    <x v="9"/>
    <x v="9"/>
    <s v="SEA"/>
    <s v="Seattle, WA: Seattle/Tacoma International"/>
    <n v="890"/>
    <n v="297"/>
    <n v="75.87"/>
    <n v="6"/>
    <n v="107.01"/>
    <n v="0"/>
    <n v="108.11"/>
    <n v="28"/>
    <n v="7"/>
    <n v="15559"/>
    <n v="3917"/>
    <n v="289"/>
    <n v="4425"/>
    <n v="0"/>
    <n v="6928"/>
    <n v="0.3337"/>
    <n v="3.15E-2"/>
    <n v="7.9000000000000008E-3"/>
  </r>
  <r>
    <n v="2006"/>
    <n v="12"/>
    <x v="15"/>
    <x v="15"/>
    <s v="SEA"/>
    <s v="Seattle, WA: Seattle/Tacoma International"/>
    <n v="367"/>
    <n v="132"/>
    <n v="47.05"/>
    <n v="0.38"/>
    <n v="52.44"/>
    <n v="0.65"/>
    <n v="31.48"/>
    <n v="4"/>
    <n v="1"/>
    <n v="5947"/>
    <n v="2098"/>
    <n v="48"/>
    <n v="1773"/>
    <n v="11"/>
    <n v="2017"/>
    <n v="0.35970000000000002"/>
    <n v="1.09E-2"/>
    <n v="2.7000000000000001E-3"/>
  </r>
  <r>
    <n v="2006"/>
    <n v="12"/>
    <x v="10"/>
    <x v="10"/>
    <s v="SEA"/>
    <s v="Seattle, WA: Seattle/Tacoma International"/>
    <n v="1186"/>
    <n v="314"/>
    <n v="81.14"/>
    <n v="11.03"/>
    <n v="57.52"/>
    <n v="6.37"/>
    <n v="157.94"/>
    <n v="12"/>
    <n v="4"/>
    <n v="15776"/>
    <n v="3275"/>
    <n v="948"/>
    <n v="2583"/>
    <n v="176"/>
    <n v="8794"/>
    <n v="0.26479999999999998"/>
    <n v="1.01E-2"/>
    <n v="3.3999999999999998E-3"/>
  </r>
  <r>
    <n v="2006"/>
    <n v="12"/>
    <x v="20"/>
    <x v="20"/>
    <s v="SEA"/>
    <s v="Seattle, WA: Seattle/Tacoma International"/>
    <n v="17"/>
    <n v="8"/>
    <n v="5"/>
    <n v="1"/>
    <n v="2"/>
    <n v="0"/>
    <n v="0"/>
    <n v="0"/>
    <n v="0"/>
    <n v="316"/>
    <n v="230"/>
    <n v="39"/>
    <n v="47"/>
    <n v="0"/>
    <n v="0"/>
    <n v="0.47060000000000002"/>
    <n v="0"/>
    <n v="0"/>
  </r>
  <r>
    <n v="2006"/>
    <n v="11"/>
    <x v="4"/>
    <x v="4"/>
    <s v="SEA"/>
    <s v="Seattle, WA: Seattle/Tacoma International"/>
    <n v="493"/>
    <n v="150"/>
    <n v="41.52"/>
    <n v="7.2"/>
    <n v="69.69"/>
    <n v="0"/>
    <n v="31.59"/>
    <n v="10"/>
    <n v="0"/>
    <n v="8563"/>
    <n v="2625"/>
    <n v="497"/>
    <n v="2995"/>
    <n v="0"/>
    <n v="2446"/>
    <n v="0.30430000000000001"/>
    <n v="2.0299999999999999E-2"/>
    <n v="0"/>
  </r>
  <r>
    <n v="2006"/>
    <n v="11"/>
    <x v="5"/>
    <x v="5"/>
    <s v="SEA"/>
    <s v="Seattle, WA: Seattle/Tacoma International"/>
    <n v="3764"/>
    <n v="1073"/>
    <n v="222.75"/>
    <n v="14.86"/>
    <n v="362.67"/>
    <n v="2.89"/>
    <n v="469.82"/>
    <n v="76"/>
    <n v="14"/>
    <n v="63960"/>
    <n v="15343"/>
    <n v="1311"/>
    <n v="13752"/>
    <n v="94"/>
    <n v="33460"/>
    <n v="0.28510000000000002"/>
    <n v="2.0199999999999999E-2"/>
    <n v="3.7000000000000002E-3"/>
  </r>
  <r>
    <n v="2006"/>
    <n v="11"/>
    <x v="6"/>
    <x v="6"/>
    <s v="SEA"/>
    <s v="Seattle, WA: Seattle/Tacoma International"/>
    <n v="59"/>
    <n v="26"/>
    <n v="2.23"/>
    <n v="0"/>
    <n v="18.149999999999999"/>
    <n v="0"/>
    <n v="5.62"/>
    <n v="0"/>
    <n v="2"/>
    <n v="962"/>
    <n v="49"/>
    <n v="0"/>
    <n v="587"/>
    <n v="0"/>
    <n v="326"/>
    <n v="0.44069999999999998"/>
    <n v="0"/>
    <n v="3.39E-2"/>
  </r>
  <r>
    <n v="2006"/>
    <n v="11"/>
    <x v="17"/>
    <x v="17"/>
    <s v="SEA"/>
    <s v="Seattle, WA: Seattle/Tacoma International"/>
    <n v="321"/>
    <n v="100"/>
    <n v="20.96"/>
    <n v="1.7"/>
    <n v="56.38"/>
    <n v="2.66"/>
    <n v="18.3"/>
    <n v="1"/>
    <n v="5"/>
    <n v="4337"/>
    <n v="821"/>
    <n v="57"/>
    <n v="2299"/>
    <n v="76"/>
    <n v="1084"/>
    <n v="0.3115"/>
    <n v="3.0999999999999999E-3"/>
    <n v="1.5599999999999999E-2"/>
  </r>
  <r>
    <n v="2006"/>
    <n v="11"/>
    <x v="7"/>
    <x v="7"/>
    <s v="SEA"/>
    <s v="Seattle, WA: Seattle/Tacoma International"/>
    <n v="388"/>
    <n v="156"/>
    <n v="36.380000000000003"/>
    <n v="2.3199999999999998"/>
    <n v="101.44"/>
    <n v="0"/>
    <n v="15.86"/>
    <n v="1"/>
    <n v="0"/>
    <n v="6224"/>
    <n v="1899"/>
    <n v="115"/>
    <n v="3502"/>
    <n v="0"/>
    <n v="708"/>
    <n v="0.40210000000000001"/>
    <n v="2.5999999999999999E-3"/>
    <n v="0"/>
  </r>
  <r>
    <n v="2006"/>
    <n v="11"/>
    <x v="8"/>
    <x v="8"/>
    <s v="SEA"/>
    <s v="Seattle, WA: Seattle/Tacoma International"/>
    <n v="117"/>
    <n v="44"/>
    <n v="16.11"/>
    <n v="0.55000000000000004"/>
    <n v="26.17"/>
    <n v="0"/>
    <n v="1.17"/>
    <n v="0"/>
    <n v="0"/>
    <n v="1587"/>
    <n v="763"/>
    <n v="12"/>
    <n v="780"/>
    <n v="0"/>
    <n v="32"/>
    <n v="0.37609999999999999"/>
    <n v="0"/>
    <n v="0"/>
  </r>
  <r>
    <n v="2006"/>
    <n v="11"/>
    <x v="0"/>
    <x v="0"/>
    <s v="SEA"/>
    <s v="Seattle, WA: Seattle/Tacoma International"/>
    <n v="65"/>
    <n v="18"/>
    <n v="9.9499999999999993"/>
    <n v="0.24"/>
    <n v="0"/>
    <n v="0"/>
    <n v="7.82"/>
    <n v="1"/>
    <n v="0"/>
    <n v="1204"/>
    <n v="830"/>
    <n v="11"/>
    <n v="0"/>
    <n v="0"/>
    <n v="363"/>
    <n v="0.27689999999999998"/>
    <n v="1.54E-2"/>
    <n v="0"/>
  </r>
  <r>
    <n v="2006"/>
    <n v="11"/>
    <x v="18"/>
    <x v="18"/>
    <s v="SEA"/>
    <s v="Seattle, WA: Seattle/Tacoma International"/>
    <n v="329"/>
    <n v="135"/>
    <n v="41.38"/>
    <n v="1.81"/>
    <n v="81.58"/>
    <n v="0"/>
    <n v="10.23"/>
    <n v="2"/>
    <n v="1"/>
    <n v="5278"/>
    <n v="1935"/>
    <n v="152"/>
    <n v="2576"/>
    <n v="0"/>
    <n v="615"/>
    <n v="0.4103"/>
    <n v="6.1000000000000004E-3"/>
    <n v="3.0000000000000001E-3"/>
  </r>
  <r>
    <n v="2006"/>
    <n v="11"/>
    <x v="2"/>
    <x v="2"/>
    <s v="SEA"/>
    <s v="Seattle, WA: Seattle/Tacoma International"/>
    <n v="422"/>
    <n v="118"/>
    <n v="60"/>
    <n v="2"/>
    <n v="23"/>
    <n v="1"/>
    <n v="32"/>
    <n v="6"/>
    <n v="4"/>
    <n v="6060"/>
    <n v="2047"/>
    <n v="50"/>
    <n v="1425"/>
    <n v="47"/>
    <n v="2491"/>
    <n v="0.27960000000000002"/>
    <n v="1.4200000000000001E-2"/>
    <n v="9.4999999999999998E-3"/>
  </r>
  <r>
    <n v="2006"/>
    <n v="11"/>
    <x v="9"/>
    <x v="9"/>
    <s v="SEA"/>
    <s v="Seattle, WA: Seattle/Tacoma International"/>
    <n v="824"/>
    <n v="264"/>
    <n v="45.14"/>
    <n v="0.06"/>
    <n v="110.21"/>
    <n v="0"/>
    <n v="108.59"/>
    <n v="5"/>
    <n v="2"/>
    <n v="15822"/>
    <n v="2868"/>
    <n v="8"/>
    <n v="4694"/>
    <n v="0"/>
    <n v="8252"/>
    <n v="0.32040000000000002"/>
    <n v="6.1000000000000004E-3"/>
    <n v="2.3999999999999998E-3"/>
  </r>
  <r>
    <n v="2006"/>
    <n v="11"/>
    <x v="15"/>
    <x v="15"/>
    <s v="SEA"/>
    <s v="Seattle, WA: Seattle/Tacoma International"/>
    <n v="348"/>
    <n v="137"/>
    <n v="36.75"/>
    <n v="1.23"/>
    <n v="72.11"/>
    <n v="1.23"/>
    <n v="25.68"/>
    <n v="1"/>
    <n v="1"/>
    <n v="6201"/>
    <n v="1746"/>
    <n v="137"/>
    <n v="2491"/>
    <n v="22"/>
    <n v="1805"/>
    <n v="0.39369999999999999"/>
    <n v="2.8999999999999998E-3"/>
    <n v="2.8999999999999998E-3"/>
  </r>
  <r>
    <n v="2006"/>
    <n v="11"/>
    <x v="10"/>
    <x v="10"/>
    <s v="SEA"/>
    <s v="Seattle, WA: Seattle/Tacoma International"/>
    <n v="1151"/>
    <n v="245"/>
    <n v="55.25"/>
    <n v="15.42"/>
    <n v="68.72"/>
    <n v="0.3"/>
    <n v="105.31"/>
    <n v="6"/>
    <n v="1"/>
    <n v="10544"/>
    <n v="2030"/>
    <n v="1136"/>
    <n v="2617"/>
    <n v="7"/>
    <n v="4754"/>
    <n v="0.21290000000000001"/>
    <n v="5.1999999999999998E-3"/>
    <n v="8.9999999999999998E-4"/>
  </r>
  <r>
    <n v="2006"/>
    <n v="11"/>
    <x v="20"/>
    <x v="20"/>
    <s v="SEA"/>
    <s v="Seattle, WA: Seattle/Tacoma International"/>
    <n v="2"/>
    <n v="1"/>
    <n v="1"/>
    <n v="0"/>
    <n v="0"/>
    <n v="0"/>
    <n v="0"/>
    <n v="0"/>
    <n v="0"/>
    <n v="66"/>
    <n v="66"/>
    <n v="0"/>
    <n v="0"/>
    <n v="0"/>
    <n v="0"/>
    <n v="0.5"/>
    <n v="0"/>
    <n v="0"/>
  </r>
  <r>
    <n v="2006"/>
    <n v="10"/>
    <x v="4"/>
    <x v="4"/>
    <s v="SEA"/>
    <s v="Seattle, WA: Seattle/Tacoma International"/>
    <n v="515"/>
    <n v="116"/>
    <n v="30.35"/>
    <n v="8.74"/>
    <n v="43.66"/>
    <n v="0"/>
    <n v="33.26"/>
    <n v="4"/>
    <n v="4"/>
    <n v="6781"/>
    <n v="1986"/>
    <n v="667"/>
    <n v="1414"/>
    <n v="0"/>
    <n v="2714"/>
    <n v="0.22520000000000001"/>
    <n v="7.7999999999999996E-3"/>
    <n v="7.7999999999999996E-3"/>
  </r>
  <r>
    <n v="2006"/>
    <n v="10"/>
    <x v="5"/>
    <x v="5"/>
    <s v="SEA"/>
    <s v="Seattle, WA: Seattle/Tacoma International"/>
    <n v="4210"/>
    <n v="814"/>
    <n v="165.41"/>
    <n v="5.31"/>
    <n v="294.45"/>
    <n v="5.36"/>
    <n v="343.47"/>
    <n v="60"/>
    <n v="10"/>
    <n v="40422"/>
    <n v="10068"/>
    <n v="328"/>
    <n v="8986"/>
    <n v="178"/>
    <n v="20862"/>
    <n v="0.1933"/>
    <n v="1.43E-2"/>
    <n v="2.3999999999999998E-3"/>
  </r>
  <r>
    <n v="2006"/>
    <n v="10"/>
    <x v="6"/>
    <x v="6"/>
    <s v="SEA"/>
    <s v="Seattle, WA: Seattle/Tacoma International"/>
    <n v="62"/>
    <n v="27"/>
    <n v="5.85"/>
    <n v="0"/>
    <n v="17.7"/>
    <n v="0"/>
    <n v="3.45"/>
    <n v="0"/>
    <n v="0"/>
    <n v="1151"/>
    <n v="320"/>
    <n v="0"/>
    <n v="636"/>
    <n v="0"/>
    <n v="195"/>
    <n v="0.4355"/>
    <n v="0"/>
    <n v="0"/>
  </r>
  <r>
    <n v="2006"/>
    <n v="10"/>
    <x v="17"/>
    <x v="17"/>
    <s v="SEA"/>
    <s v="Seattle, WA: Seattle/Tacoma International"/>
    <n v="310"/>
    <n v="108"/>
    <n v="31.64"/>
    <n v="7.68"/>
    <n v="46.52"/>
    <n v="0.34"/>
    <n v="21.82"/>
    <n v="1"/>
    <n v="0"/>
    <n v="8591"/>
    <n v="2755"/>
    <n v="1175"/>
    <n v="1942"/>
    <n v="10"/>
    <n v="2709"/>
    <n v="0.34839999999999999"/>
    <n v="3.2000000000000002E-3"/>
    <n v="0"/>
  </r>
  <r>
    <n v="2006"/>
    <n v="10"/>
    <x v="7"/>
    <x v="7"/>
    <s v="SEA"/>
    <s v="Seattle, WA: Seattle/Tacoma International"/>
    <n v="412"/>
    <n v="152"/>
    <n v="37.99"/>
    <n v="2.39"/>
    <n v="87.09"/>
    <n v="0"/>
    <n v="24.52"/>
    <n v="0"/>
    <n v="1"/>
    <n v="6012"/>
    <n v="1857"/>
    <n v="166"/>
    <n v="2674"/>
    <n v="0"/>
    <n v="1315"/>
    <n v="0.36890000000000001"/>
    <n v="0"/>
    <n v="2.3999999999999998E-3"/>
  </r>
  <r>
    <n v="2006"/>
    <n v="10"/>
    <x v="8"/>
    <x v="8"/>
    <s v="SEA"/>
    <s v="Seattle, WA: Seattle/Tacoma International"/>
    <n v="122"/>
    <n v="23"/>
    <n v="11.68"/>
    <n v="0.13"/>
    <n v="8.68"/>
    <n v="0"/>
    <n v="2.52"/>
    <n v="0"/>
    <n v="0"/>
    <n v="1031"/>
    <n v="465"/>
    <n v="15"/>
    <n v="415"/>
    <n v="0"/>
    <n v="136"/>
    <n v="0.1885"/>
    <n v="0"/>
    <n v="0"/>
  </r>
  <r>
    <n v="2006"/>
    <n v="10"/>
    <x v="0"/>
    <x v="0"/>
    <s v="SEA"/>
    <s v="Seattle, WA: Seattle/Tacoma International"/>
    <n v="57"/>
    <n v="17"/>
    <n v="14.61"/>
    <n v="0"/>
    <n v="0"/>
    <n v="0"/>
    <n v="2.39"/>
    <n v="0"/>
    <n v="0"/>
    <n v="1535"/>
    <n v="1470"/>
    <n v="0"/>
    <n v="0"/>
    <n v="0"/>
    <n v="65"/>
    <n v="0.29820000000000002"/>
    <n v="0"/>
    <n v="0"/>
  </r>
  <r>
    <n v="2006"/>
    <n v="10"/>
    <x v="18"/>
    <x v="18"/>
    <s v="SEA"/>
    <s v="Seattle, WA: Seattle/Tacoma International"/>
    <n v="397"/>
    <n v="116"/>
    <n v="39.81"/>
    <n v="1.34"/>
    <n v="66.040000000000006"/>
    <n v="0"/>
    <n v="8.81"/>
    <n v="2"/>
    <n v="1"/>
    <n v="4204"/>
    <n v="1971"/>
    <n v="92"/>
    <n v="1792"/>
    <n v="0"/>
    <n v="349"/>
    <n v="0.29220000000000002"/>
    <n v="5.0000000000000001E-3"/>
    <n v="2.5000000000000001E-3"/>
  </r>
  <r>
    <n v="2006"/>
    <n v="10"/>
    <x v="2"/>
    <x v="2"/>
    <s v="SEA"/>
    <s v="Seattle, WA: Seattle/Tacoma International"/>
    <n v="439"/>
    <n v="65"/>
    <n v="47"/>
    <n v="1"/>
    <n v="2"/>
    <n v="0"/>
    <n v="15"/>
    <n v="11"/>
    <n v="1"/>
    <n v="1970"/>
    <n v="1307"/>
    <n v="32"/>
    <n v="68"/>
    <n v="0"/>
    <n v="563"/>
    <n v="0.14810000000000001"/>
    <n v="2.5100000000000001E-2"/>
    <n v="2.3E-3"/>
  </r>
  <r>
    <n v="2006"/>
    <n v="10"/>
    <x v="9"/>
    <x v="9"/>
    <s v="SEA"/>
    <s v="Seattle, WA: Seattle/Tacoma International"/>
    <n v="914"/>
    <n v="234"/>
    <n v="51.94"/>
    <n v="2.69"/>
    <n v="75.87"/>
    <n v="0"/>
    <n v="103.5"/>
    <n v="14"/>
    <n v="2"/>
    <n v="12090"/>
    <n v="2292"/>
    <n v="116"/>
    <n v="2617"/>
    <n v="0"/>
    <n v="7065"/>
    <n v="0.25600000000000001"/>
    <n v="1.5299999999999999E-2"/>
    <n v="2.2000000000000001E-3"/>
  </r>
  <r>
    <n v="2006"/>
    <n v="10"/>
    <x v="15"/>
    <x v="15"/>
    <s v="SEA"/>
    <s v="Seattle, WA: Seattle/Tacoma International"/>
    <n v="391"/>
    <n v="132"/>
    <n v="38.18"/>
    <n v="0.03"/>
    <n v="67.14"/>
    <n v="0"/>
    <n v="26.64"/>
    <n v="2"/>
    <n v="0"/>
    <n v="5071"/>
    <n v="1309"/>
    <n v="3"/>
    <n v="2109"/>
    <n v="0"/>
    <n v="1650"/>
    <n v="0.33760000000000001"/>
    <n v="5.1000000000000004E-3"/>
    <n v="0"/>
  </r>
  <r>
    <n v="2006"/>
    <n v="10"/>
    <x v="10"/>
    <x v="10"/>
    <s v="SEA"/>
    <s v="Seattle, WA: Seattle/Tacoma International"/>
    <n v="1206"/>
    <n v="235"/>
    <n v="50.45"/>
    <n v="3.23"/>
    <n v="48.3"/>
    <n v="2.31"/>
    <n v="130.69999999999999"/>
    <n v="4"/>
    <n v="1"/>
    <n v="9506"/>
    <n v="1886"/>
    <n v="140"/>
    <n v="1433"/>
    <n v="76"/>
    <n v="5971"/>
    <n v="0.19489999999999999"/>
    <n v="3.3E-3"/>
    <n v="8.0000000000000004E-4"/>
  </r>
  <r>
    <n v="2006"/>
    <n v="10"/>
    <x v="20"/>
    <x v="20"/>
    <s v="SEA"/>
    <s v="Seattle, WA: Seattle/Tacoma International"/>
    <n v="4"/>
    <n v="3"/>
    <n v="1"/>
    <n v="0"/>
    <n v="2"/>
    <n v="0"/>
    <n v="0"/>
    <n v="0"/>
    <n v="0"/>
    <n v="53"/>
    <n v="19"/>
    <n v="0"/>
    <n v="34"/>
    <n v="0"/>
    <n v="0"/>
    <n v="0.75"/>
    <n v="0"/>
    <n v="0"/>
  </r>
  <r>
    <n v="2006"/>
    <n v="9"/>
    <x v="4"/>
    <x v="4"/>
    <s v="SEA"/>
    <s v="Seattle, WA: Seattle/Tacoma International"/>
    <n v="504"/>
    <n v="104"/>
    <n v="32.94"/>
    <n v="9.0500000000000007"/>
    <n v="21.65"/>
    <n v="0"/>
    <n v="40.36"/>
    <n v="1"/>
    <n v="1"/>
    <n v="7317"/>
    <n v="1850"/>
    <n v="800"/>
    <n v="1606"/>
    <n v="0"/>
    <n v="3061"/>
    <n v="0.20630000000000001"/>
    <n v="2E-3"/>
    <n v="2E-3"/>
  </r>
  <r>
    <n v="2006"/>
    <n v="9"/>
    <x v="5"/>
    <x v="5"/>
    <s v="SEA"/>
    <s v="Seattle, WA: Seattle/Tacoma International"/>
    <n v="4226"/>
    <n v="851"/>
    <n v="199.95"/>
    <n v="3.74"/>
    <n v="291.45"/>
    <n v="5.12"/>
    <n v="350.74"/>
    <n v="51"/>
    <n v="6"/>
    <n v="44135"/>
    <n v="13395"/>
    <n v="145"/>
    <n v="8533"/>
    <n v="172"/>
    <n v="21890"/>
    <n v="0.2014"/>
    <n v="1.21E-2"/>
    <n v="1.4E-3"/>
  </r>
  <r>
    <n v="2006"/>
    <n v="9"/>
    <x v="6"/>
    <x v="6"/>
    <s v="SEA"/>
    <s v="Seattle, WA: Seattle/Tacoma International"/>
    <n v="65"/>
    <n v="12"/>
    <n v="5.2"/>
    <n v="0"/>
    <n v="5.88"/>
    <n v="0"/>
    <n v="0.93"/>
    <n v="0"/>
    <n v="0"/>
    <n v="735"/>
    <n v="356"/>
    <n v="0"/>
    <n v="238"/>
    <n v="0"/>
    <n v="141"/>
    <n v="0.18459999999999999"/>
    <n v="0"/>
    <n v="0"/>
  </r>
  <r>
    <n v="2006"/>
    <n v="9"/>
    <x v="17"/>
    <x v="17"/>
    <s v="SEA"/>
    <s v="Seattle, WA: Seattle/Tacoma International"/>
    <n v="363"/>
    <n v="68"/>
    <n v="15.6"/>
    <n v="1.96"/>
    <n v="37.86"/>
    <n v="2.06"/>
    <n v="10.52"/>
    <n v="0"/>
    <n v="0"/>
    <n v="2704"/>
    <n v="622"/>
    <n v="80"/>
    <n v="1248"/>
    <n v="45"/>
    <n v="709"/>
    <n v="0.18729999999999999"/>
    <n v="0"/>
    <n v="0"/>
  </r>
  <r>
    <n v="2006"/>
    <n v="9"/>
    <x v="7"/>
    <x v="7"/>
    <s v="SEA"/>
    <s v="Seattle, WA: Seattle/Tacoma International"/>
    <n v="410"/>
    <n v="134"/>
    <n v="52.82"/>
    <n v="0.64"/>
    <n v="56.98"/>
    <n v="0.37"/>
    <n v="23.19"/>
    <n v="0"/>
    <n v="0"/>
    <n v="6220"/>
    <n v="2754"/>
    <n v="32"/>
    <n v="1959"/>
    <n v="30"/>
    <n v="1445"/>
    <n v="0.32679999999999998"/>
    <n v="0"/>
    <n v="0"/>
  </r>
  <r>
    <n v="2006"/>
    <n v="9"/>
    <x v="8"/>
    <x v="8"/>
    <s v="SEA"/>
    <s v="Seattle, WA: Seattle/Tacoma International"/>
    <n v="117"/>
    <n v="13"/>
    <n v="3.94"/>
    <n v="0.92"/>
    <n v="6.39"/>
    <n v="0"/>
    <n v="1.76"/>
    <n v="0"/>
    <n v="0"/>
    <n v="430"/>
    <n v="133"/>
    <n v="34"/>
    <n v="212"/>
    <n v="0"/>
    <n v="51"/>
    <n v="0.1111"/>
    <n v="0"/>
    <n v="0"/>
  </r>
  <r>
    <n v="2006"/>
    <n v="9"/>
    <x v="16"/>
    <x v="16"/>
    <s v="SEA"/>
    <s v="Seattle, WA: Seattle/Tacoma International"/>
    <n v="14"/>
    <n v="3"/>
    <n v="0.94"/>
    <n v="0"/>
    <n v="0.06"/>
    <n v="0"/>
    <n v="2"/>
    <n v="0"/>
    <n v="0"/>
    <n v="96"/>
    <n v="29"/>
    <n v="0"/>
    <n v="2"/>
    <n v="0"/>
    <n v="65"/>
    <n v="0.21429999999999999"/>
    <n v="0"/>
    <n v="0"/>
  </r>
  <r>
    <n v="2006"/>
    <n v="9"/>
    <x v="0"/>
    <x v="0"/>
    <s v="SEA"/>
    <s v="Seattle, WA: Seattle/Tacoma International"/>
    <n v="47"/>
    <n v="5"/>
    <n v="4.53"/>
    <n v="0"/>
    <n v="0"/>
    <n v="0"/>
    <n v="0.47"/>
    <n v="0"/>
    <n v="0"/>
    <n v="197"/>
    <n v="182"/>
    <n v="0"/>
    <n v="0"/>
    <n v="0"/>
    <n v="15"/>
    <n v="0.10639999999999999"/>
    <n v="0"/>
    <n v="0"/>
  </r>
  <r>
    <n v="2006"/>
    <n v="9"/>
    <x v="18"/>
    <x v="18"/>
    <s v="SEA"/>
    <s v="Seattle, WA: Seattle/Tacoma International"/>
    <n v="390"/>
    <n v="70"/>
    <n v="33.94"/>
    <n v="0.21"/>
    <n v="27.37"/>
    <n v="0"/>
    <n v="8.49"/>
    <n v="1"/>
    <n v="0"/>
    <n v="2706"/>
    <n v="1640"/>
    <n v="21"/>
    <n v="624"/>
    <n v="0"/>
    <n v="421"/>
    <n v="0.17949999999999999"/>
    <n v="2.5999999999999999E-3"/>
    <n v="0"/>
  </r>
  <r>
    <n v="2006"/>
    <n v="9"/>
    <x v="2"/>
    <x v="2"/>
    <s v="SEA"/>
    <s v="Seattle, WA: Seattle/Tacoma International"/>
    <n v="411"/>
    <n v="35"/>
    <n v="25"/>
    <n v="2"/>
    <n v="0"/>
    <n v="0"/>
    <n v="8"/>
    <n v="5"/>
    <n v="0"/>
    <n v="1382"/>
    <n v="610"/>
    <n v="261"/>
    <n v="0"/>
    <n v="0"/>
    <n v="511"/>
    <n v="8.5199999999999998E-2"/>
    <n v="1.2200000000000001E-2"/>
    <n v="0"/>
  </r>
  <r>
    <n v="2006"/>
    <n v="9"/>
    <x v="9"/>
    <x v="9"/>
    <s v="SEA"/>
    <s v="Seattle, WA: Seattle/Tacoma International"/>
    <n v="897"/>
    <n v="171"/>
    <n v="44.34"/>
    <n v="4.7"/>
    <n v="35.6"/>
    <n v="0"/>
    <n v="86.37"/>
    <n v="15"/>
    <n v="0"/>
    <n v="9772"/>
    <n v="2728"/>
    <n v="482"/>
    <n v="1078"/>
    <n v="0"/>
    <n v="5484"/>
    <n v="0.19059999999999999"/>
    <n v="1.67E-2"/>
    <n v="0"/>
  </r>
  <r>
    <n v="2006"/>
    <n v="9"/>
    <x v="15"/>
    <x v="15"/>
    <s v="SEA"/>
    <s v="Seattle, WA: Seattle/Tacoma International"/>
    <n v="392"/>
    <n v="109"/>
    <n v="34.24"/>
    <n v="0.76"/>
    <n v="53.32"/>
    <n v="0.47"/>
    <n v="20.21"/>
    <n v="0"/>
    <n v="1"/>
    <n v="5175"/>
    <n v="1705"/>
    <n v="65"/>
    <n v="1772"/>
    <n v="14"/>
    <n v="1619"/>
    <n v="0.27810000000000001"/>
    <n v="0"/>
    <n v="2.5999999999999999E-3"/>
  </r>
  <r>
    <n v="2006"/>
    <n v="9"/>
    <x v="10"/>
    <x v="10"/>
    <s v="SEA"/>
    <s v="Seattle, WA: Seattle/Tacoma International"/>
    <n v="1156"/>
    <n v="182"/>
    <n v="46.46"/>
    <n v="1.07"/>
    <n v="34.18"/>
    <n v="1.76"/>
    <n v="98.53"/>
    <n v="1"/>
    <n v="0"/>
    <n v="8228"/>
    <n v="2341"/>
    <n v="49"/>
    <n v="1036"/>
    <n v="74"/>
    <n v="4728"/>
    <n v="0.15740000000000001"/>
    <n v="8.9999999999999998E-4"/>
    <n v="0"/>
  </r>
  <r>
    <n v="2006"/>
    <n v="9"/>
    <x v="20"/>
    <x v="20"/>
    <s v="SEA"/>
    <s v="Seattle, WA: Seattle/Tacoma International"/>
    <n v="10"/>
    <n v="3"/>
    <n v="1"/>
    <n v="0"/>
    <n v="2"/>
    <n v="0"/>
    <n v="0"/>
    <n v="0"/>
    <n v="0"/>
    <n v="107"/>
    <n v="24"/>
    <n v="0"/>
    <n v="83"/>
    <n v="0"/>
    <n v="0"/>
    <n v="0.3"/>
    <n v="0"/>
    <n v="0"/>
  </r>
  <r>
    <n v="2006"/>
    <n v="8"/>
    <x v="4"/>
    <x v="4"/>
    <s v="SEA"/>
    <s v="Seattle, WA: Seattle/Tacoma International"/>
    <n v="588"/>
    <n v="181"/>
    <n v="63.37"/>
    <n v="15.19"/>
    <n v="54.18"/>
    <n v="3.06"/>
    <n v="45.2"/>
    <n v="4"/>
    <n v="0"/>
    <n v="9852"/>
    <n v="3529"/>
    <n v="863"/>
    <n v="2185"/>
    <n v="148"/>
    <n v="3127"/>
    <n v="0.30780000000000002"/>
    <n v="6.7999999999999996E-3"/>
    <n v="0"/>
  </r>
  <r>
    <n v="2006"/>
    <n v="8"/>
    <x v="5"/>
    <x v="5"/>
    <s v="SEA"/>
    <s v="Seattle, WA: Seattle/Tacoma International"/>
    <n v="4618"/>
    <n v="1297"/>
    <n v="271.77"/>
    <n v="14.03"/>
    <n v="303.38"/>
    <n v="31.37"/>
    <n v="676.44"/>
    <n v="51"/>
    <n v="6"/>
    <n v="63389"/>
    <n v="14287"/>
    <n v="718"/>
    <n v="9726"/>
    <n v="1318"/>
    <n v="37340"/>
    <n v="0.28089999999999998"/>
    <n v="1.0999999999999999E-2"/>
    <n v="1.2999999999999999E-3"/>
  </r>
  <r>
    <n v="2006"/>
    <n v="8"/>
    <x v="6"/>
    <x v="6"/>
    <s v="SEA"/>
    <s v="Seattle, WA: Seattle/Tacoma International"/>
    <n v="93"/>
    <n v="46"/>
    <n v="8.1300000000000008"/>
    <n v="1.04"/>
    <n v="24.35"/>
    <n v="0.27"/>
    <n v="12.21"/>
    <n v="0"/>
    <n v="2"/>
    <n v="2530"/>
    <n v="439"/>
    <n v="329"/>
    <n v="936"/>
    <n v="6"/>
    <n v="820"/>
    <n v="0.49459999999999998"/>
    <n v="0"/>
    <n v="2.1499999999999998E-2"/>
  </r>
  <r>
    <n v="2006"/>
    <n v="8"/>
    <x v="17"/>
    <x v="17"/>
    <s v="SEA"/>
    <s v="Seattle, WA: Seattle/Tacoma International"/>
    <n v="501"/>
    <n v="154"/>
    <n v="35.92"/>
    <n v="2.75"/>
    <n v="70.17"/>
    <n v="9.4499999999999993"/>
    <n v="35.71"/>
    <n v="0"/>
    <n v="0"/>
    <n v="6500"/>
    <n v="1798"/>
    <n v="91"/>
    <n v="2438"/>
    <n v="424"/>
    <n v="1749"/>
    <n v="0.30740000000000001"/>
    <n v="0"/>
    <n v="0"/>
  </r>
  <r>
    <n v="2006"/>
    <n v="8"/>
    <x v="7"/>
    <x v="7"/>
    <s v="SEA"/>
    <s v="Seattle, WA: Seattle/Tacoma International"/>
    <n v="535"/>
    <n v="164"/>
    <n v="42.74"/>
    <n v="5.33"/>
    <n v="92.27"/>
    <n v="0"/>
    <n v="23.66"/>
    <n v="1"/>
    <n v="0"/>
    <n v="8275"/>
    <n v="2179"/>
    <n v="401"/>
    <n v="4072"/>
    <n v="0"/>
    <n v="1623"/>
    <n v="0.30649999999999999"/>
    <n v="1.9E-3"/>
    <n v="0"/>
  </r>
  <r>
    <n v="2006"/>
    <n v="8"/>
    <x v="8"/>
    <x v="8"/>
    <s v="SEA"/>
    <s v="Seattle, WA: Seattle/Tacoma International"/>
    <n v="139"/>
    <n v="31"/>
    <n v="12.04"/>
    <n v="1.76"/>
    <n v="12.07"/>
    <n v="0"/>
    <n v="5.13"/>
    <n v="0"/>
    <n v="0"/>
    <n v="1138"/>
    <n v="380"/>
    <n v="135"/>
    <n v="419"/>
    <n v="0"/>
    <n v="204"/>
    <n v="0.223"/>
    <n v="0"/>
    <n v="0"/>
  </r>
  <r>
    <n v="2006"/>
    <n v="8"/>
    <x v="16"/>
    <x v="16"/>
    <s v="SEA"/>
    <s v="Seattle, WA: Seattle/Tacoma International"/>
    <n v="87"/>
    <n v="50"/>
    <n v="19.309999999999999"/>
    <n v="1.56"/>
    <n v="18.88"/>
    <n v="0"/>
    <n v="10.24"/>
    <n v="0"/>
    <n v="0"/>
    <n v="2224"/>
    <n v="729"/>
    <n v="203"/>
    <n v="761"/>
    <n v="0"/>
    <n v="531"/>
    <n v="0.57469999999999999"/>
    <n v="0"/>
    <n v="0"/>
  </r>
  <r>
    <n v="2006"/>
    <n v="8"/>
    <x v="0"/>
    <x v="0"/>
    <s v="SEA"/>
    <s v="Seattle, WA: Seattle/Tacoma International"/>
    <n v="49"/>
    <n v="10"/>
    <n v="6"/>
    <n v="0"/>
    <n v="0"/>
    <n v="0"/>
    <n v="4"/>
    <n v="0"/>
    <n v="0"/>
    <n v="769"/>
    <n v="233"/>
    <n v="0"/>
    <n v="0"/>
    <n v="0"/>
    <n v="536"/>
    <n v="0.2041"/>
    <n v="0"/>
    <n v="0"/>
  </r>
  <r>
    <n v="2006"/>
    <n v="8"/>
    <x v="18"/>
    <x v="18"/>
    <s v="SEA"/>
    <s v="Seattle, WA: Seattle/Tacoma International"/>
    <n v="507"/>
    <n v="127"/>
    <n v="63.86"/>
    <n v="3.15"/>
    <n v="48.93"/>
    <n v="0.54"/>
    <n v="10.51"/>
    <n v="0"/>
    <n v="0"/>
    <n v="5177"/>
    <n v="2494"/>
    <n v="211"/>
    <n v="1341"/>
    <n v="14"/>
    <n v="1117"/>
    <n v="0.2505"/>
    <n v="0"/>
    <n v="0"/>
  </r>
  <r>
    <n v="2006"/>
    <n v="8"/>
    <x v="2"/>
    <x v="2"/>
    <s v="SEA"/>
    <s v="Seattle, WA: Seattle/Tacoma International"/>
    <n v="415"/>
    <n v="54"/>
    <n v="33"/>
    <n v="0"/>
    <n v="5"/>
    <n v="0"/>
    <n v="16"/>
    <n v="1"/>
    <n v="1"/>
    <n v="1686"/>
    <n v="953"/>
    <n v="0"/>
    <n v="237"/>
    <n v="0"/>
    <n v="496"/>
    <n v="0.13009999999999999"/>
    <n v="2.3999999999999998E-3"/>
    <n v="2.3999999999999998E-3"/>
  </r>
  <r>
    <n v="2006"/>
    <n v="8"/>
    <x v="9"/>
    <x v="9"/>
    <s v="SEA"/>
    <s v="Seattle, WA: Seattle/Tacoma International"/>
    <n v="1024"/>
    <n v="273"/>
    <n v="71.38"/>
    <n v="9.67"/>
    <n v="77.430000000000007"/>
    <n v="0"/>
    <n v="114.52"/>
    <n v="6"/>
    <n v="0"/>
    <n v="14110"/>
    <n v="3332"/>
    <n v="919"/>
    <n v="2650"/>
    <n v="0"/>
    <n v="7209"/>
    <n v="0.2666"/>
    <n v="5.8999999999999999E-3"/>
    <n v="0"/>
  </r>
  <r>
    <n v="2006"/>
    <n v="8"/>
    <x v="15"/>
    <x v="15"/>
    <s v="SEA"/>
    <s v="Seattle, WA: Seattle/Tacoma International"/>
    <n v="484"/>
    <n v="158"/>
    <n v="64.86"/>
    <n v="2.5"/>
    <n v="53.32"/>
    <n v="1.6"/>
    <n v="35.72"/>
    <n v="0"/>
    <n v="0"/>
    <n v="7938"/>
    <n v="3094"/>
    <n v="281"/>
    <n v="2147"/>
    <n v="35"/>
    <n v="2381"/>
    <n v="0.32640000000000002"/>
    <n v="0"/>
    <n v="0"/>
  </r>
  <r>
    <n v="2006"/>
    <n v="8"/>
    <x v="10"/>
    <x v="10"/>
    <s v="SEA"/>
    <s v="Seattle, WA: Seattle/Tacoma International"/>
    <n v="1212"/>
    <n v="223"/>
    <n v="62.42"/>
    <n v="5.92"/>
    <n v="33.380000000000003"/>
    <n v="3.2"/>
    <n v="118.08"/>
    <n v="0"/>
    <n v="0"/>
    <n v="10208"/>
    <n v="2625"/>
    <n v="508"/>
    <n v="1094"/>
    <n v="88"/>
    <n v="5893"/>
    <n v="0.184"/>
    <n v="0"/>
    <n v="0"/>
  </r>
  <r>
    <n v="2006"/>
    <n v="8"/>
    <x v="20"/>
    <x v="20"/>
    <s v="SEA"/>
    <s v="Seattle, WA: Seattle/Tacoma International"/>
    <n v="35"/>
    <n v="3"/>
    <n v="2"/>
    <n v="0"/>
    <n v="1"/>
    <n v="0"/>
    <n v="0"/>
    <n v="0"/>
    <n v="1"/>
    <n v="218"/>
    <n v="201"/>
    <n v="0"/>
    <n v="17"/>
    <n v="0"/>
    <n v="0"/>
    <n v="8.5699999999999998E-2"/>
    <n v="0"/>
    <n v="2.86E-2"/>
  </r>
  <r>
    <n v="2006"/>
    <n v="7"/>
    <x v="20"/>
    <x v="20"/>
    <s v="SEA"/>
    <s v="Seattle, WA: Seattle/Tacoma International"/>
    <n v="36"/>
    <n v="4"/>
    <n v="2"/>
    <n v="0"/>
    <n v="0"/>
    <n v="0"/>
    <n v="2"/>
    <n v="3"/>
    <n v="0"/>
    <n v="253"/>
    <n v="39"/>
    <n v="0"/>
    <n v="0"/>
    <n v="0"/>
    <n v="214"/>
    <n v="0.1111"/>
    <n v="8.3299999999999999E-2"/>
    <n v="0"/>
  </r>
  <r>
    <n v="2006"/>
    <n v="7"/>
    <x v="4"/>
    <x v="4"/>
    <s v="SEA"/>
    <s v="Seattle, WA: Seattle/Tacoma International"/>
    <n v="586"/>
    <n v="158"/>
    <n v="61.19"/>
    <n v="12.34"/>
    <n v="41.31"/>
    <n v="0"/>
    <n v="43.16"/>
    <n v="1"/>
    <n v="0"/>
    <n v="9121"/>
    <n v="3375"/>
    <n v="748"/>
    <n v="2208"/>
    <n v="0"/>
    <n v="2790"/>
    <n v="0.26960000000000001"/>
    <n v="1.6999999999999999E-3"/>
    <n v="0"/>
  </r>
  <r>
    <n v="2006"/>
    <n v="7"/>
    <x v="5"/>
    <x v="5"/>
    <s v="SEA"/>
    <s v="Seattle, WA: Seattle/Tacoma International"/>
    <n v="4586"/>
    <n v="1314"/>
    <n v="296.20999999999998"/>
    <n v="28.48"/>
    <n v="273.33999999999997"/>
    <n v="5.89"/>
    <n v="710.07"/>
    <n v="57"/>
    <n v="6"/>
    <n v="72701"/>
    <n v="18598"/>
    <n v="2190"/>
    <n v="9959"/>
    <n v="213"/>
    <n v="41741"/>
    <n v="0.28649999999999998"/>
    <n v="1.24E-2"/>
    <n v="1.2999999999999999E-3"/>
  </r>
  <r>
    <n v="2006"/>
    <n v="7"/>
    <x v="6"/>
    <x v="6"/>
    <s v="SEA"/>
    <s v="Seattle, WA: Seattle/Tacoma International"/>
    <n v="93"/>
    <n v="49"/>
    <n v="9.94"/>
    <n v="2.27"/>
    <n v="23.3"/>
    <n v="0"/>
    <n v="13.49"/>
    <n v="0"/>
    <n v="0"/>
    <n v="2750"/>
    <n v="556"/>
    <n v="248"/>
    <n v="1183"/>
    <n v="0"/>
    <n v="763"/>
    <n v="0.52690000000000003"/>
    <n v="0"/>
    <n v="0"/>
  </r>
  <r>
    <n v="2006"/>
    <n v="7"/>
    <x v="17"/>
    <x v="17"/>
    <s v="SEA"/>
    <s v="Seattle, WA: Seattle/Tacoma International"/>
    <n v="487"/>
    <n v="178"/>
    <n v="58.01"/>
    <n v="11.54"/>
    <n v="54.94"/>
    <n v="0.69"/>
    <n v="52.83"/>
    <n v="0"/>
    <n v="0"/>
    <n v="10296"/>
    <n v="2969"/>
    <n v="782"/>
    <n v="2620"/>
    <n v="19"/>
    <n v="3906"/>
    <n v="0.36549999999999999"/>
    <n v="0"/>
    <n v="0"/>
  </r>
  <r>
    <n v="2006"/>
    <n v="7"/>
    <x v="7"/>
    <x v="7"/>
    <s v="SEA"/>
    <s v="Seattle, WA: Seattle/Tacoma International"/>
    <n v="511"/>
    <n v="145"/>
    <n v="61.39"/>
    <n v="5.29"/>
    <n v="44.84"/>
    <n v="0"/>
    <n v="33.49"/>
    <n v="1"/>
    <n v="0"/>
    <n v="7197"/>
    <n v="2995"/>
    <n v="325"/>
    <n v="1869"/>
    <n v="0"/>
    <n v="2008"/>
    <n v="0.2838"/>
    <n v="2E-3"/>
    <n v="0"/>
  </r>
  <r>
    <n v="2006"/>
    <n v="7"/>
    <x v="8"/>
    <x v="8"/>
    <s v="SEA"/>
    <s v="Seattle, WA: Seattle/Tacoma International"/>
    <n v="146"/>
    <n v="29"/>
    <n v="9.34"/>
    <n v="3.17"/>
    <n v="12.07"/>
    <n v="0"/>
    <n v="4.42"/>
    <n v="0"/>
    <n v="0"/>
    <n v="982"/>
    <n v="268"/>
    <n v="102"/>
    <n v="459"/>
    <n v="0"/>
    <n v="153"/>
    <n v="0.1986"/>
    <n v="0"/>
    <n v="0"/>
  </r>
  <r>
    <n v="2006"/>
    <n v="7"/>
    <x v="16"/>
    <x v="16"/>
    <s v="SEA"/>
    <s v="Seattle, WA: Seattle/Tacoma International"/>
    <n v="62"/>
    <n v="25"/>
    <n v="11.02"/>
    <n v="0"/>
    <n v="10.029999999999999"/>
    <n v="0"/>
    <n v="3.95"/>
    <n v="0"/>
    <n v="0"/>
    <n v="841"/>
    <n v="398"/>
    <n v="0"/>
    <n v="289"/>
    <n v="0"/>
    <n v="154"/>
    <n v="0.4032"/>
    <n v="0"/>
    <n v="0"/>
  </r>
  <r>
    <n v="2006"/>
    <n v="7"/>
    <x v="0"/>
    <x v="0"/>
    <s v="SEA"/>
    <s v="Seattle, WA: Seattle/Tacoma International"/>
    <n v="49"/>
    <n v="6"/>
    <n v="5.41"/>
    <n v="0"/>
    <n v="0"/>
    <n v="0"/>
    <n v="0.59"/>
    <n v="0"/>
    <n v="0"/>
    <n v="288"/>
    <n v="278"/>
    <n v="0"/>
    <n v="0"/>
    <n v="0"/>
    <n v="10"/>
    <n v="0.12239999999999999"/>
    <n v="0"/>
    <n v="0"/>
  </r>
  <r>
    <n v="2006"/>
    <n v="7"/>
    <x v="18"/>
    <x v="18"/>
    <s v="SEA"/>
    <s v="Seattle, WA: Seattle/Tacoma International"/>
    <n v="556"/>
    <n v="131"/>
    <n v="62.87"/>
    <n v="3.49"/>
    <n v="49.53"/>
    <n v="0"/>
    <n v="15.1"/>
    <n v="0"/>
    <n v="0"/>
    <n v="6184"/>
    <n v="3730"/>
    <n v="174"/>
    <n v="1349"/>
    <n v="0"/>
    <n v="931"/>
    <n v="0.2356"/>
    <n v="0"/>
    <n v="0"/>
  </r>
  <r>
    <n v="2006"/>
    <n v="7"/>
    <x v="2"/>
    <x v="2"/>
    <s v="SEA"/>
    <s v="Seattle, WA: Seattle/Tacoma International"/>
    <n v="404"/>
    <n v="56"/>
    <n v="34"/>
    <n v="1"/>
    <n v="1"/>
    <n v="1"/>
    <n v="19"/>
    <n v="5"/>
    <n v="0"/>
    <n v="1473"/>
    <n v="843"/>
    <n v="38"/>
    <n v="42"/>
    <n v="17"/>
    <n v="533"/>
    <n v="0.1386"/>
    <n v="1.24E-2"/>
    <n v="0"/>
  </r>
  <r>
    <n v="2006"/>
    <n v="7"/>
    <x v="9"/>
    <x v="9"/>
    <s v="SEA"/>
    <s v="Seattle, WA: Seattle/Tacoma International"/>
    <n v="1019"/>
    <n v="253"/>
    <n v="78.02"/>
    <n v="7.14"/>
    <n v="41.31"/>
    <n v="0"/>
    <n v="126.53"/>
    <n v="14"/>
    <n v="0"/>
    <n v="16954"/>
    <n v="4801"/>
    <n v="637"/>
    <n v="2028"/>
    <n v="0"/>
    <n v="9488"/>
    <n v="0.24829999999999999"/>
    <n v="1.37E-2"/>
    <n v="0"/>
  </r>
  <r>
    <n v="2006"/>
    <n v="7"/>
    <x v="15"/>
    <x v="15"/>
    <s v="SEA"/>
    <s v="Seattle, WA: Seattle/Tacoma International"/>
    <n v="481"/>
    <n v="156"/>
    <n v="75.41"/>
    <n v="4.8899999999999997"/>
    <n v="37.380000000000003"/>
    <n v="0"/>
    <n v="38.32"/>
    <n v="0"/>
    <n v="1"/>
    <n v="9503"/>
    <n v="3792"/>
    <n v="630"/>
    <n v="1817"/>
    <n v="0"/>
    <n v="3264"/>
    <n v="0.32429999999999998"/>
    <n v="0"/>
    <n v="2.0999999999999999E-3"/>
  </r>
  <r>
    <n v="2006"/>
    <n v="7"/>
    <x v="10"/>
    <x v="10"/>
    <s v="SEA"/>
    <s v="Seattle, WA: Seattle/Tacoma International"/>
    <n v="1197"/>
    <n v="208"/>
    <n v="69.44"/>
    <n v="3.41"/>
    <n v="20.04"/>
    <n v="0.4"/>
    <n v="114.72"/>
    <n v="0"/>
    <n v="1"/>
    <n v="9435"/>
    <n v="2402"/>
    <n v="202"/>
    <n v="502"/>
    <n v="10"/>
    <n v="6319"/>
    <n v="0.17380000000000001"/>
    <n v="0"/>
    <n v="8.0000000000000004E-4"/>
  </r>
  <r>
    <n v="2006"/>
    <n v="6"/>
    <x v="4"/>
    <x v="4"/>
    <s v="SEA"/>
    <s v="Seattle, WA: Seattle/Tacoma International"/>
    <n v="570"/>
    <n v="171"/>
    <n v="54.52"/>
    <n v="9.5500000000000007"/>
    <n v="64.97"/>
    <n v="0"/>
    <n v="41.97"/>
    <n v="1"/>
    <n v="1"/>
    <n v="7896"/>
    <n v="2315"/>
    <n v="460"/>
    <n v="2500"/>
    <n v="0"/>
    <n v="2621"/>
    <n v="0.3"/>
    <n v="1.8E-3"/>
    <n v="1.8E-3"/>
  </r>
  <r>
    <n v="2006"/>
    <n v="6"/>
    <x v="5"/>
    <x v="5"/>
    <s v="SEA"/>
    <s v="Seattle, WA: Seattle/Tacoma International"/>
    <n v="4356"/>
    <n v="1135"/>
    <n v="220.6"/>
    <n v="17.48"/>
    <n v="366.71"/>
    <n v="4.68"/>
    <n v="525.53"/>
    <n v="35"/>
    <n v="4"/>
    <n v="51573"/>
    <n v="12522"/>
    <n v="1553"/>
    <n v="10715"/>
    <n v="140"/>
    <n v="26643"/>
    <n v="0.2606"/>
    <n v="8.0000000000000002E-3"/>
    <n v="8.9999999999999998E-4"/>
  </r>
  <r>
    <n v="2006"/>
    <n v="6"/>
    <x v="6"/>
    <x v="6"/>
    <s v="SEA"/>
    <s v="Seattle, WA: Seattle/Tacoma International"/>
    <n v="90"/>
    <n v="35"/>
    <n v="3.05"/>
    <n v="1.74"/>
    <n v="18.100000000000001"/>
    <n v="0"/>
    <n v="12.11"/>
    <n v="0"/>
    <n v="0"/>
    <n v="2105"/>
    <n v="151"/>
    <n v="192"/>
    <n v="760"/>
    <n v="0"/>
    <n v="1002"/>
    <n v="0.38890000000000002"/>
    <n v="0"/>
    <n v="0"/>
  </r>
  <r>
    <n v="2006"/>
    <n v="6"/>
    <x v="17"/>
    <x v="17"/>
    <s v="SEA"/>
    <s v="Seattle, WA: Seattle/Tacoma International"/>
    <n v="459"/>
    <n v="166"/>
    <n v="46.56"/>
    <n v="8.41"/>
    <n v="59.76"/>
    <n v="1.64"/>
    <n v="49.63"/>
    <n v="1"/>
    <n v="1"/>
    <n v="10375"/>
    <n v="2535"/>
    <n v="790"/>
    <n v="2584"/>
    <n v="54"/>
    <n v="4412"/>
    <n v="0.36170000000000002"/>
    <n v="2.2000000000000001E-3"/>
    <n v="2.2000000000000001E-3"/>
  </r>
  <r>
    <n v="2006"/>
    <n v="6"/>
    <x v="7"/>
    <x v="7"/>
    <s v="SEA"/>
    <s v="Seattle, WA: Seattle/Tacoma International"/>
    <n v="497"/>
    <n v="158"/>
    <n v="46.46"/>
    <n v="5.41"/>
    <n v="62.48"/>
    <n v="0"/>
    <n v="43.66"/>
    <n v="3"/>
    <n v="0"/>
    <n v="7733"/>
    <n v="2304"/>
    <n v="307"/>
    <n v="2314"/>
    <n v="0"/>
    <n v="2808"/>
    <n v="0.31790000000000002"/>
    <n v="6.0000000000000001E-3"/>
    <n v="0"/>
  </r>
  <r>
    <n v="2006"/>
    <n v="6"/>
    <x v="8"/>
    <x v="8"/>
    <s v="SEA"/>
    <s v="Seattle, WA: Seattle/Tacoma International"/>
    <n v="137"/>
    <n v="33"/>
    <n v="13.81"/>
    <n v="0.17"/>
    <n v="14.44"/>
    <n v="0"/>
    <n v="4.58"/>
    <n v="0"/>
    <n v="0"/>
    <n v="961"/>
    <n v="326"/>
    <n v="10"/>
    <n v="463"/>
    <n v="0"/>
    <n v="162"/>
    <n v="0.2409"/>
    <n v="0"/>
    <n v="0"/>
  </r>
  <r>
    <n v="2006"/>
    <n v="6"/>
    <x v="16"/>
    <x v="16"/>
    <s v="SEA"/>
    <s v="Seattle, WA: Seattle/Tacoma International"/>
    <n v="60"/>
    <n v="30"/>
    <n v="7.68"/>
    <n v="0.77"/>
    <n v="17.239999999999998"/>
    <n v="0"/>
    <n v="4.3099999999999996"/>
    <n v="0"/>
    <n v="0"/>
    <n v="1007"/>
    <n v="226"/>
    <n v="67"/>
    <n v="496"/>
    <n v="0"/>
    <n v="218"/>
    <n v="0.5"/>
    <n v="0"/>
    <n v="0"/>
  </r>
  <r>
    <n v="2006"/>
    <n v="6"/>
    <x v="0"/>
    <x v="0"/>
    <s v="SEA"/>
    <s v="Seattle, WA: Seattle/Tacoma International"/>
    <n v="47"/>
    <n v="4"/>
    <n v="4"/>
    <n v="0"/>
    <n v="0"/>
    <n v="0"/>
    <n v="0"/>
    <n v="0"/>
    <n v="0"/>
    <n v="149"/>
    <n v="149"/>
    <n v="0"/>
    <n v="0"/>
    <n v="0"/>
    <n v="0"/>
    <n v="8.5099999999999995E-2"/>
    <n v="0"/>
    <n v="0"/>
  </r>
  <r>
    <n v="2006"/>
    <n v="6"/>
    <x v="18"/>
    <x v="18"/>
    <s v="SEA"/>
    <s v="Seattle, WA: Seattle/Tacoma International"/>
    <n v="505"/>
    <n v="113"/>
    <n v="45.18"/>
    <n v="6.64"/>
    <n v="49.46"/>
    <n v="0.26"/>
    <n v="11.46"/>
    <n v="0"/>
    <n v="0"/>
    <n v="5690"/>
    <n v="2521"/>
    <n v="810"/>
    <n v="1545"/>
    <n v="6"/>
    <n v="808"/>
    <n v="0.2238"/>
    <n v="0"/>
    <n v="0"/>
  </r>
  <r>
    <n v="2006"/>
    <n v="6"/>
    <x v="2"/>
    <x v="2"/>
    <s v="SEA"/>
    <s v="Seattle, WA: Seattle/Tacoma International"/>
    <n v="392"/>
    <n v="42"/>
    <n v="31"/>
    <n v="1"/>
    <n v="1"/>
    <n v="1"/>
    <n v="8"/>
    <n v="3"/>
    <n v="0"/>
    <n v="1341"/>
    <n v="974"/>
    <n v="130"/>
    <n v="18"/>
    <n v="43"/>
    <n v="176"/>
    <n v="0.1071"/>
    <n v="7.7000000000000002E-3"/>
    <n v="0"/>
  </r>
  <r>
    <n v="2006"/>
    <n v="6"/>
    <x v="9"/>
    <x v="9"/>
    <s v="SEA"/>
    <s v="Seattle, WA: Seattle/Tacoma International"/>
    <n v="972"/>
    <n v="287"/>
    <n v="73.150000000000006"/>
    <n v="8.7100000000000009"/>
    <n v="81.55"/>
    <n v="0"/>
    <n v="123.58"/>
    <n v="9"/>
    <n v="1"/>
    <n v="15905"/>
    <n v="3698"/>
    <n v="608"/>
    <n v="2849"/>
    <n v="0"/>
    <n v="8750"/>
    <n v="0.29530000000000001"/>
    <n v="9.2999999999999992E-3"/>
    <n v="1E-3"/>
  </r>
  <r>
    <n v="2006"/>
    <n v="6"/>
    <x v="15"/>
    <x v="15"/>
    <s v="SEA"/>
    <s v="Seattle, WA: Seattle/Tacoma International"/>
    <n v="466"/>
    <n v="158"/>
    <n v="65.33"/>
    <n v="4.28"/>
    <n v="61.09"/>
    <n v="1.19"/>
    <n v="26.1"/>
    <n v="1"/>
    <n v="0"/>
    <n v="8353"/>
    <n v="3356"/>
    <n v="312"/>
    <n v="2970"/>
    <n v="28"/>
    <n v="1687"/>
    <n v="0.33910000000000001"/>
    <n v="2.0999999999999999E-3"/>
    <n v="0"/>
  </r>
  <r>
    <n v="2006"/>
    <n v="6"/>
    <x v="10"/>
    <x v="10"/>
    <s v="SEA"/>
    <s v="Seattle, WA: Seattle/Tacoma International"/>
    <n v="1151"/>
    <n v="227"/>
    <n v="65.819999999999993"/>
    <n v="1.49"/>
    <n v="33.409999999999997"/>
    <n v="0.4"/>
    <n v="125.88"/>
    <n v="0"/>
    <n v="0"/>
    <n v="9580"/>
    <n v="2485"/>
    <n v="90"/>
    <n v="853"/>
    <n v="15"/>
    <n v="6137"/>
    <n v="0.19719999999999999"/>
    <n v="0"/>
    <n v="0"/>
  </r>
  <r>
    <n v="2006"/>
    <n v="6"/>
    <x v="20"/>
    <x v="20"/>
    <s v="SEA"/>
    <s v="Seattle, WA: Seattle/Tacoma International"/>
    <n v="34"/>
    <n v="7"/>
    <n v="3"/>
    <n v="0"/>
    <n v="1"/>
    <n v="0"/>
    <n v="3"/>
    <n v="1"/>
    <n v="0"/>
    <n v="396"/>
    <n v="125"/>
    <n v="0"/>
    <n v="33"/>
    <n v="0"/>
    <n v="238"/>
    <n v="0.2059"/>
    <n v="2.9399999999999999E-2"/>
    <n v="0"/>
  </r>
  <r>
    <n v="2006"/>
    <n v="5"/>
    <x v="4"/>
    <x v="4"/>
    <s v="SEA"/>
    <s v="Seattle, WA: Seattle/Tacoma International"/>
    <n v="589"/>
    <n v="143"/>
    <n v="44.68"/>
    <n v="7.39"/>
    <n v="53.53"/>
    <n v="0"/>
    <n v="37.39"/>
    <n v="1"/>
    <n v="1"/>
    <n v="7538"/>
    <n v="2069"/>
    <n v="431"/>
    <n v="1931"/>
    <n v="0"/>
    <n v="3107"/>
    <n v="0.24279999999999999"/>
    <n v="1.6999999999999999E-3"/>
    <n v="1.6999999999999999E-3"/>
  </r>
  <r>
    <n v="2006"/>
    <n v="5"/>
    <x v="5"/>
    <x v="5"/>
    <s v="SEA"/>
    <s v="Seattle, WA: Seattle/Tacoma International"/>
    <n v="4216"/>
    <n v="715"/>
    <n v="218.69"/>
    <n v="5.0599999999999996"/>
    <n v="192.81"/>
    <n v="3.96"/>
    <n v="294.48"/>
    <n v="38"/>
    <n v="5"/>
    <n v="33382"/>
    <n v="11492"/>
    <n v="205"/>
    <n v="5544"/>
    <n v="106"/>
    <n v="16035"/>
    <n v="0.1696"/>
    <n v="8.9999999999999993E-3"/>
    <n v="1.1999999999999999E-3"/>
  </r>
  <r>
    <n v="2006"/>
    <n v="5"/>
    <x v="6"/>
    <x v="6"/>
    <s v="SEA"/>
    <s v="Seattle, WA: Seattle/Tacoma International"/>
    <n v="91"/>
    <n v="18"/>
    <n v="2.06"/>
    <n v="1.1299999999999999"/>
    <n v="6.76"/>
    <n v="0"/>
    <n v="8.0500000000000007"/>
    <n v="0"/>
    <n v="1"/>
    <n v="673"/>
    <n v="60"/>
    <n v="130"/>
    <n v="180"/>
    <n v="0"/>
    <n v="303"/>
    <n v="0.1978"/>
    <n v="0"/>
    <n v="1.0999999999999999E-2"/>
  </r>
  <r>
    <n v="2006"/>
    <n v="5"/>
    <x v="17"/>
    <x v="17"/>
    <s v="SEA"/>
    <s v="Seattle, WA: Seattle/Tacoma International"/>
    <n v="397"/>
    <n v="113"/>
    <n v="27.69"/>
    <n v="9.75"/>
    <n v="51.9"/>
    <n v="0.28000000000000003"/>
    <n v="23.39"/>
    <n v="0"/>
    <n v="0"/>
    <n v="5215"/>
    <n v="1101"/>
    <n v="859"/>
    <n v="1586"/>
    <n v="9"/>
    <n v="1660"/>
    <n v="0.28460000000000002"/>
    <n v="0"/>
    <n v="0"/>
  </r>
  <r>
    <n v="2006"/>
    <n v="5"/>
    <x v="7"/>
    <x v="7"/>
    <s v="SEA"/>
    <s v="Seattle, WA: Seattle/Tacoma International"/>
    <n v="488"/>
    <n v="90"/>
    <n v="34.06"/>
    <n v="4.42"/>
    <n v="31.35"/>
    <n v="0"/>
    <n v="20.170000000000002"/>
    <n v="1"/>
    <n v="0"/>
    <n v="3425"/>
    <n v="1252"/>
    <n v="255"/>
    <n v="967"/>
    <n v="0"/>
    <n v="951"/>
    <n v="0.18440000000000001"/>
    <n v="2E-3"/>
    <n v="0"/>
  </r>
  <r>
    <n v="2006"/>
    <n v="5"/>
    <x v="8"/>
    <x v="8"/>
    <s v="SEA"/>
    <s v="Seattle, WA: Seattle/Tacoma International"/>
    <n v="143"/>
    <n v="26"/>
    <n v="8.82"/>
    <n v="1.4"/>
    <n v="14.24"/>
    <n v="0"/>
    <n v="1.54"/>
    <n v="0"/>
    <n v="0"/>
    <n v="805"/>
    <n v="278"/>
    <n v="73"/>
    <n v="413"/>
    <n v="0"/>
    <n v="41"/>
    <n v="0.18179999999999999"/>
    <n v="0"/>
    <n v="0"/>
  </r>
  <r>
    <n v="2006"/>
    <n v="5"/>
    <x v="16"/>
    <x v="16"/>
    <s v="SEA"/>
    <s v="Seattle, WA: Seattle/Tacoma International"/>
    <n v="14"/>
    <n v="5"/>
    <n v="0.35"/>
    <n v="0"/>
    <n v="3.14"/>
    <n v="0"/>
    <n v="1.5"/>
    <n v="0"/>
    <n v="0"/>
    <n v="155"/>
    <n v="6"/>
    <n v="0"/>
    <n v="85"/>
    <n v="0"/>
    <n v="64"/>
    <n v="0.35709999999999997"/>
    <n v="0"/>
    <n v="0"/>
  </r>
  <r>
    <n v="2006"/>
    <n v="5"/>
    <x v="0"/>
    <x v="0"/>
    <s v="SEA"/>
    <s v="Seattle, WA: Seattle/Tacoma International"/>
    <n v="49"/>
    <n v="15"/>
    <n v="13.55"/>
    <n v="0"/>
    <n v="0.24"/>
    <n v="0"/>
    <n v="1.21"/>
    <n v="0"/>
    <n v="0"/>
    <n v="361"/>
    <n v="328"/>
    <n v="0"/>
    <n v="6"/>
    <n v="0"/>
    <n v="27"/>
    <n v="0.30609999999999998"/>
    <n v="0"/>
    <n v="0"/>
  </r>
  <r>
    <n v="2006"/>
    <n v="5"/>
    <x v="18"/>
    <x v="18"/>
    <s v="SEA"/>
    <s v="Seattle, WA: Seattle/Tacoma International"/>
    <n v="402"/>
    <n v="80"/>
    <n v="34.020000000000003"/>
    <n v="3.07"/>
    <n v="37.619999999999997"/>
    <n v="0"/>
    <n v="5.3"/>
    <n v="0"/>
    <n v="2"/>
    <n v="3653"/>
    <n v="1903"/>
    <n v="583"/>
    <n v="889"/>
    <n v="0"/>
    <n v="278"/>
    <n v="0.19900000000000001"/>
    <n v="0"/>
    <n v="5.0000000000000001E-3"/>
  </r>
  <r>
    <n v="2006"/>
    <n v="5"/>
    <x v="2"/>
    <x v="2"/>
    <s v="SEA"/>
    <s v="Seattle, WA: Seattle/Tacoma International"/>
    <n v="377"/>
    <n v="15"/>
    <n v="14"/>
    <n v="1"/>
    <n v="0"/>
    <n v="0"/>
    <n v="0"/>
    <n v="0"/>
    <n v="0"/>
    <n v="365"/>
    <n v="318"/>
    <n v="47"/>
    <n v="0"/>
    <n v="0"/>
    <n v="0"/>
    <n v="3.9800000000000002E-2"/>
    <n v="0"/>
    <n v="0"/>
  </r>
  <r>
    <n v="2006"/>
    <n v="5"/>
    <x v="9"/>
    <x v="9"/>
    <s v="SEA"/>
    <s v="Seattle, WA: Seattle/Tacoma International"/>
    <n v="942"/>
    <n v="238"/>
    <n v="53.86"/>
    <n v="1.69"/>
    <n v="63.23"/>
    <n v="0"/>
    <n v="119.22"/>
    <n v="5"/>
    <n v="0"/>
    <n v="13920"/>
    <n v="3079"/>
    <n v="109"/>
    <n v="2406"/>
    <n v="0"/>
    <n v="8326"/>
    <n v="0.25269999999999998"/>
    <n v="5.3E-3"/>
    <n v="0"/>
  </r>
  <r>
    <n v="2006"/>
    <n v="5"/>
    <x v="15"/>
    <x v="15"/>
    <s v="SEA"/>
    <s v="Seattle, WA: Seattle/Tacoma International"/>
    <n v="432"/>
    <n v="105"/>
    <n v="38.409999999999997"/>
    <n v="1.74"/>
    <n v="44.77"/>
    <n v="0.78"/>
    <n v="19.29"/>
    <n v="0"/>
    <n v="0"/>
    <n v="4453"/>
    <n v="1644"/>
    <n v="92"/>
    <n v="1626"/>
    <n v="20"/>
    <n v="1071"/>
    <n v="0.24310000000000001"/>
    <n v="0"/>
    <n v="0"/>
  </r>
  <r>
    <n v="2006"/>
    <n v="5"/>
    <x v="10"/>
    <x v="10"/>
    <s v="SEA"/>
    <s v="Seattle, WA: Seattle/Tacoma International"/>
    <n v="1143"/>
    <n v="132"/>
    <n v="37.090000000000003"/>
    <n v="2.61"/>
    <n v="17.95"/>
    <n v="0.28999999999999998"/>
    <n v="74.06"/>
    <n v="2"/>
    <n v="1"/>
    <n v="5595"/>
    <n v="1539"/>
    <n v="159"/>
    <n v="504"/>
    <n v="10"/>
    <n v="3383"/>
    <n v="0.11550000000000001"/>
    <n v="1.6999999999999999E-3"/>
    <n v="8.9999999999999998E-4"/>
  </r>
  <r>
    <n v="2006"/>
    <n v="5"/>
    <x v="20"/>
    <x v="20"/>
    <s v="SEA"/>
    <s v="Seattle, WA: Seattle/Tacoma International"/>
    <n v="37"/>
    <n v="9"/>
    <n v="6"/>
    <n v="0"/>
    <n v="2"/>
    <n v="0"/>
    <n v="1"/>
    <n v="1"/>
    <n v="0"/>
    <n v="486"/>
    <n v="330"/>
    <n v="0"/>
    <n v="39"/>
    <n v="0"/>
    <n v="117"/>
    <n v="0.2432"/>
    <n v="2.7E-2"/>
    <n v="0"/>
  </r>
  <r>
    <n v="2006"/>
    <n v="4"/>
    <x v="4"/>
    <x v="4"/>
    <s v="SEA"/>
    <s v="Seattle, WA: Seattle/Tacoma International"/>
    <n v="559"/>
    <n v="136"/>
    <n v="42.72"/>
    <n v="5.75"/>
    <n v="37.42"/>
    <n v="0"/>
    <n v="50.11"/>
    <n v="0"/>
    <n v="0"/>
    <n v="6599"/>
    <n v="2007"/>
    <n v="369"/>
    <n v="1407"/>
    <n v="0"/>
    <n v="2816"/>
    <n v="0.24329999999999999"/>
    <n v="0"/>
    <n v="0"/>
  </r>
  <r>
    <n v="2006"/>
    <n v="4"/>
    <x v="5"/>
    <x v="5"/>
    <s v="SEA"/>
    <s v="Seattle, WA: Seattle/Tacoma International"/>
    <n v="3893"/>
    <n v="834"/>
    <n v="215.12"/>
    <n v="2.62"/>
    <n v="187.78"/>
    <n v="5.73"/>
    <n v="422.75"/>
    <n v="37"/>
    <n v="2"/>
    <n v="45537"/>
    <n v="11934"/>
    <n v="114"/>
    <n v="5789"/>
    <n v="347"/>
    <n v="27353"/>
    <n v="0.2142"/>
    <n v="9.4999999999999998E-3"/>
    <n v="5.0000000000000001E-4"/>
  </r>
  <r>
    <n v="2006"/>
    <n v="4"/>
    <x v="6"/>
    <x v="6"/>
    <s v="SEA"/>
    <s v="Seattle, WA: Seattle/Tacoma International"/>
    <n v="60"/>
    <n v="13"/>
    <n v="3.17"/>
    <n v="0.13"/>
    <n v="5.08"/>
    <n v="0"/>
    <n v="4.62"/>
    <n v="0"/>
    <n v="0"/>
    <n v="461"/>
    <n v="89"/>
    <n v="14"/>
    <n v="201"/>
    <n v="0"/>
    <n v="157"/>
    <n v="0.2167"/>
    <n v="0"/>
    <n v="0"/>
  </r>
  <r>
    <n v="2006"/>
    <n v="4"/>
    <x v="17"/>
    <x v="17"/>
    <s v="SEA"/>
    <s v="Seattle, WA: Seattle/Tacoma International"/>
    <n v="313"/>
    <n v="118"/>
    <n v="32.659999999999997"/>
    <n v="3.48"/>
    <n v="64.48"/>
    <n v="1.76"/>
    <n v="15.62"/>
    <n v="0"/>
    <n v="0"/>
    <n v="4689"/>
    <n v="1475"/>
    <n v="257"/>
    <n v="2002"/>
    <n v="34"/>
    <n v="921"/>
    <n v="0.377"/>
    <n v="0"/>
    <n v="0"/>
  </r>
  <r>
    <n v="2006"/>
    <n v="4"/>
    <x v="7"/>
    <x v="7"/>
    <s v="SEA"/>
    <s v="Seattle, WA: Seattle/Tacoma International"/>
    <n v="385"/>
    <n v="51"/>
    <n v="14.72"/>
    <n v="0.63"/>
    <n v="18.45"/>
    <n v="0"/>
    <n v="17.2"/>
    <n v="0"/>
    <n v="1"/>
    <n v="2259"/>
    <n v="431"/>
    <n v="77"/>
    <n v="574"/>
    <n v="0"/>
    <n v="1177"/>
    <n v="0.13250000000000001"/>
    <n v="0"/>
    <n v="2.5999999999999999E-3"/>
  </r>
  <r>
    <n v="2006"/>
    <n v="4"/>
    <x v="8"/>
    <x v="8"/>
    <s v="SEA"/>
    <s v="Seattle, WA: Seattle/Tacoma International"/>
    <n v="95"/>
    <n v="21"/>
    <n v="9.7100000000000009"/>
    <n v="0.23"/>
    <n v="7.51"/>
    <n v="0"/>
    <n v="3.56"/>
    <n v="0"/>
    <n v="0"/>
    <n v="579"/>
    <n v="288"/>
    <n v="6"/>
    <n v="189"/>
    <n v="0"/>
    <n v="96"/>
    <n v="0.22109999999999999"/>
    <n v="0"/>
    <n v="0"/>
  </r>
  <r>
    <n v="2006"/>
    <n v="4"/>
    <x v="0"/>
    <x v="0"/>
    <s v="SEA"/>
    <s v="Seattle, WA: Seattle/Tacoma International"/>
    <n v="47"/>
    <n v="16"/>
    <n v="12.43"/>
    <n v="0"/>
    <n v="0"/>
    <n v="0"/>
    <n v="3.57"/>
    <n v="0"/>
    <n v="0"/>
    <n v="511"/>
    <n v="383"/>
    <n v="0"/>
    <n v="0"/>
    <n v="0"/>
    <n v="128"/>
    <n v="0.34039999999999998"/>
    <n v="0"/>
    <n v="0"/>
  </r>
  <r>
    <n v="2006"/>
    <n v="4"/>
    <x v="18"/>
    <x v="18"/>
    <s v="SEA"/>
    <s v="Seattle, WA: Seattle/Tacoma International"/>
    <n v="358"/>
    <n v="66"/>
    <n v="18.86"/>
    <n v="1.06"/>
    <n v="38.03"/>
    <n v="0"/>
    <n v="8.0500000000000007"/>
    <n v="0"/>
    <n v="0"/>
    <n v="3009"/>
    <n v="1131"/>
    <n v="158"/>
    <n v="965"/>
    <n v="0"/>
    <n v="755"/>
    <n v="0.18440000000000001"/>
    <n v="0"/>
    <n v="0"/>
  </r>
  <r>
    <n v="2006"/>
    <n v="4"/>
    <x v="2"/>
    <x v="2"/>
    <s v="SEA"/>
    <s v="Seattle, WA: Seattle/Tacoma International"/>
    <n v="400"/>
    <n v="14"/>
    <n v="11"/>
    <n v="1"/>
    <n v="0"/>
    <n v="0"/>
    <n v="2"/>
    <n v="2"/>
    <n v="0"/>
    <n v="463"/>
    <n v="361"/>
    <n v="26"/>
    <n v="0"/>
    <n v="0"/>
    <n v="76"/>
    <n v="3.5000000000000003E-2"/>
    <n v="5.0000000000000001E-3"/>
    <n v="0"/>
  </r>
  <r>
    <n v="2006"/>
    <n v="4"/>
    <x v="9"/>
    <x v="9"/>
    <s v="SEA"/>
    <s v="Seattle, WA: Seattle/Tacoma International"/>
    <n v="865"/>
    <n v="164"/>
    <n v="53.52"/>
    <n v="1.88"/>
    <n v="35.619999999999997"/>
    <n v="0"/>
    <n v="72.98"/>
    <n v="3"/>
    <n v="1"/>
    <n v="8729"/>
    <n v="2323"/>
    <n v="66"/>
    <n v="1158"/>
    <n v="0"/>
    <n v="5182"/>
    <n v="0.18959999999999999"/>
    <n v="3.5000000000000001E-3"/>
    <n v="1.1999999999999999E-3"/>
  </r>
  <r>
    <n v="2006"/>
    <n v="4"/>
    <x v="15"/>
    <x v="15"/>
    <s v="SEA"/>
    <s v="Seattle, WA: Seattle/Tacoma International"/>
    <n v="437"/>
    <n v="79"/>
    <n v="31.9"/>
    <n v="1.29"/>
    <n v="30.32"/>
    <n v="0"/>
    <n v="15.49"/>
    <n v="2"/>
    <n v="0"/>
    <n v="2878"/>
    <n v="1112"/>
    <n v="56"/>
    <n v="1019"/>
    <n v="0"/>
    <n v="691"/>
    <n v="0.18079999999999999"/>
    <n v="4.5999999999999999E-3"/>
    <n v="0"/>
  </r>
  <r>
    <n v="2006"/>
    <n v="4"/>
    <x v="10"/>
    <x v="10"/>
    <s v="SEA"/>
    <s v="Seattle, WA: Seattle/Tacoma International"/>
    <n v="1107"/>
    <n v="147"/>
    <n v="38.29"/>
    <n v="1.44"/>
    <n v="17.21"/>
    <n v="0.33"/>
    <n v="89.73"/>
    <n v="0"/>
    <n v="1"/>
    <n v="5773"/>
    <n v="1401"/>
    <n v="142"/>
    <n v="471"/>
    <n v="5"/>
    <n v="3754"/>
    <n v="0.1328"/>
    <n v="0"/>
    <n v="8.9999999999999998E-4"/>
  </r>
  <r>
    <n v="2006"/>
    <n v="4"/>
    <x v="20"/>
    <x v="20"/>
    <s v="SEA"/>
    <s v="Seattle, WA: Seattle/Tacoma International"/>
    <n v="5"/>
    <n v="1"/>
    <n v="1"/>
    <n v="0"/>
    <n v="0"/>
    <n v="0"/>
    <n v="0"/>
    <n v="0"/>
    <n v="1"/>
    <n v="61"/>
    <n v="61"/>
    <n v="0"/>
    <n v="0"/>
    <n v="0"/>
    <n v="0"/>
    <n v="0.2"/>
    <n v="0"/>
    <n v="0.2"/>
  </r>
  <r>
    <n v="2006"/>
    <n v="3"/>
    <x v="4"/>
    <x v="4"/>
    <s v="SEA"/>
    <s v="Seattle, WA: Seattle/Tacoma International"/>
    <n v="457"/>
    <n v="111"/>
    <n v="36.700000000000003"/>
    <n v="11.03"/>
    <n v="30.36"/>
    <n v="0"/>
    <n v="32.9"/>
    <n v="1"/>
    <n v="0"/>
    <n v="6668"/>
    <n v="1950"/>
    <n v="1193"/>
    <n v="1150"/>
    <n v="0"/>
    <n v="2375"/>
    <n v="0.2429"/>
    <n v="2.2000000000000001E-3"/>
    <n v="0"/>
  </r>
  <r>
    <n v="2006"/>
    <n v="3"/>
    <x v="5"/>
    <x v="5"/>
    <s v="SEA"/>
    <s v="Seattle, WA: Seattle/Tacoma International"/>
    <n v="3973"/>
    <n v="1045"/>
    <n v="256.64999999999998"/>
    <n v="12.17"/>
    <n v="326.07"/>
    <n v="5.35"/>
    <n v="444.76"/>
    <n v="42"/>
    <n v="3"/>
    <n v="53933"/>
    <n v="14961"/>
    <n v="769"/>
    <n v="9670"/>
    <n v="138"/>
    <n v="28395"/>
    <n v="0.26300000000000001"/>
    <n v="1.06E-2"/>
    <n v="8.0000000000000004E-4"/>
  </r>
  <r>
    <n v="2006"/>
    <n v="3"/>
    <x v="6"/>
    <x v="6"/>
    <s v="SEA"/>
    <s v="Seattle, WA: Seattle/Tacoma International"/>
    <n v="62"/>
    <n v="10"/>
    <n v="3.67"/>
    <n v="0"/>
    <n v="1.89"/>
    <n v="0"/>
    <n v="4.4400000000000004"/>
    <n v="0"/>
    <n v="0"/>
    <n v="465"/>
    <n v="275"/>
    <n v="0"/>
    <n v="67"/>
    <n v="0"/>
    <n v="123"/>
    <n v="0.1613"/>
    <n v="0"/>
    <n v="0"/>
  </r>
  <r>
    <n v="2006"/>
    <n v="3"/>
    <x v="17"/>
    <x v="17"/>
    <s v="SEA"/>
    <s v="Seattle, WA: Seattle/Tacoma International"/>
    <n v="331"/>
    <n v="92"/>
    <n v="23.47"/>
    <n v="2.21"/>
    <n v="53.18"/>
    <n v="0.18"/>
    <n v="12.95"/>
    <n v="0"/>
    <n v="1"/>
    <n v="3546"/>
    <n v="1182"/>
    <n v="96"/>
    <n v="1674"/>
    <n v="7"/>
    <n v="587"/>
    <n v="0.27789999999999998"/>
    <n v="0"/>
    <n v="3.0000000000000001E-3"/>
  </r>
  <r>
    <n v="2006"/>
    <n v="3"/>
    <x v="7"/>
    <x v="7"/>
    <s v="SEA"/>
    <s v="Seattle, WA: Seattle/Tacoma International"/>
    <n v="388"/>
    <n v="75"/>
    <n v="25.17"/>
    <n v="3.29"/>
    <n v="22.8"/>
    <n v="0"/>
    <n v="23.75"/>
    <n v="2"/>
    <n v="0"/>
    <n v="2986"/>
    <n v="1066"/>
    <n v="162"/>
    <n v="575"/>
    <n v="0"/>
    <n v="1183"/>
    <n v="0.1933"/>
    <n v="5.1999999999999998E-3"/>
    <n v="0"/>
  </r>
  <r>
    <n v="2006"/>
    <n v="3"/>
    <x v="8"/>
    <x v="8"/>
    <s v="SEA"/>
    <s v="Seattle, WA: Seattle/Tacoma International"/>
    <n v="96"/>
    <n v="28"/>
    <n v="10.94"/>
    <n v="0.56999999999999995"/>
    <n v="12.75"/>
    <n v="0"/>
    <n v="3.75"/>
    <n v="0"/>
    <n v="1"/>
    <n v="1300"/>
    <n v="439"/>
    <n v="38"/>
    <n v="555"/>
    <n v="0"/>
    <n v="268"/>
    <n v="0.29170000000000001"/>
    <n v="0"/>
    <n v="1.04E-2"/>
  </r>
  <r>
    <n v="2006"/>
    <n v="3"/>
    <x v="0"/>
    <x v="0"/>
    <s v="SEA"/>
    <s v="Seattle, WA: Seattle/Tacoma International"/>
    <n v="50"/>
    <n v="16"/>
    <n v="8.69"/>
    <n v="1.9"/>
    <n v="0.18"/>
    <n v="0"/>
    <n v="5.22"/>
    <n v="0"/>
    <n v="0"/>
    <n v="922"/>
    <n v="298"/>
    <n v="203"/>
    <n v="4"/>
    <n v="0"/>
    <n v="417"/>
    <n v="0.32"/>
    <n v="0"/>
    <n v="0"/>
  </r>
  <r>
    <n v="2006"/>
    <n v="3"/>
    <x v="18"/>
    <x v="18"/>
    <s v="SEA"/>
    <s v="Seattle, WA: Seattle/Tacoma International"/>
    <n v="341"/>
    <n v="43"/>
    <n v="17.600000000000001"/>
    <n v="2.71"/>
    <n v="13.53"/>
    <n v="0"/>
    <n v="9.15"/>
    <n v="0"/>
    <n v="0"/>
    <n v="2764"/>
    <n v="1073"/>
    <n v="234"/>
    <n v="663"/>
    <n v="0"/>
    <n v="794"/>
    <n v="0.12609999999999999"/>
    <n v="0"/>
    <n v="0"/>
  </r>
  <r>
    <n v="2006"/>
    <n v="3"/>
    <x v="2"/>
    <x v="2"/>
    <s v="SEA"/>
    <s v="Seattle, WA: Seattle/Tacoma International"/>
    <n v="306"/>
    <n v="22"/>
    <n v="19"/>
    <n v="1"/>
    <n v="0"/>
    <n v="0"/>
    <n v="2"/>
    <n v="1"/>
    <n v="0"/>
    <n v="832"/>
    <n v="680"/>
    <n v="116"/>
    <n v="0"/>
    <n v="0"/>
    <n v="36"/>
    <n v="7.1900000000000006E-2"/>
    <n v="3.3E-3"/>
    <n v="0"/>
  </r>
  <r>
    <n v="2006"/>
    <n v="3"/>
    <x v="9"/>
    <x v="9"/>
    <s v="SEA"/>
    <s v="Seattle, WA: Seattle/Tacoma International"/>
    <n v="890"/>
    <n v="247"/>
    <n v="62.86"/>
    <n v="2.31"/>
    <n v="50.46"/>
    <n v="0"/>
    <n v="131.37"/>
    <n v="12"/>
    <n v="0"/>
    <n v="14969"/>
    <n v="3280"/>
    <n v="72"/>
    <n v="1724"/>
    <n v="0"/>
    <n v="9893"/>
    <n v="0.27750000000000002"/>
    <n v="1.35E-2"/>
    <n v="0"/>
  </r>
  <r>
    <n v="2006"/>
    <n v="3"/>
    <x v="15"/>
    <x v="15"/>
    <s v="SEA"/>
    <s v="Seattle, WA: Seattle/Tacoma International"/>
    <n v="368"/>
    <n v="57"/>
    <n v="25.15"/>
    <n v="0"/>
    <n v="16.37"/>
    <n v="0"/>
    <n v="15.48"/>
    <n v="1"/>
    <n v="0"/>
    <n v="2394"/>
    <n v="1202"/>
    <n v="0"/>
    <n v="485"/>
    <n v="0"/>
    <n v="707"/>
    <n v="0.15490000000000001"/>
    <n v="2.7000000000000001E-3"/>
    <n v="0"/>
  </r>
  <r>
    <n v="2006"/>
    <n v="3"/>
    <x v="10"/>
    <x v="10"/>
    <s v="SEA"/>
    <s v="Seattle, WA: Seattle/Tacoma International"/>
    <n v="1130"/>
    <n v="186"/>
    <n v="39.5"/>
    <n v="4.2300000000000004"/>
    <n v="25.42"/>
    <n v="0.21"/>
    <n v="116.62"/>
    <n v="0"/>
    <n v="2"/>
    <n v="7037"/>
    <n v="1391"/>
    <n v="256"/>
    <n v="682"/>
    <n v="10"/>
    <n v="4698"/>
    <n v="0.1646"/>
    <n v="0"/>
    <n v="1.8E-3"/>
  </r>
  <r>
    <n v="2006"/>
    <n v="3"/>
    <x v="20"/>
    <x v="20"/>
    <s v="SEA"/>
    <s v="Seattle, WA: Seattle/Tacoma International"/>
    <n v="31"/>
    <n v="4"/>
    <n v="2"/>
    <n v="0"/>
    <n v="0"/>
    <n v="0"/>
    <n v="2"/>
    <n v="2"/>
    <n v="0"/>
    <n v="435"/>
    <n v="150"/>
    <n v="0"/>
    <n v="0"/>
    <n v="0"/>
    <n v="285"/>
    <n v="0.129"/>
    <n v="6.4500000000000002E-2"/>
    <n v="0"/>
  </r>
  <r>
    <n v="2006"/>
    <n v="2"/>
    <x v="5"/>
    <x v="5"/>
    <s v="SEA"/>
    <s v="Seattle, WA: Seattle/Tacoma International"/>
    <n v="3545"/>
    <n v="991"/>
    <n v="257.06"/>
    <n v="10.27"/>
    <n v="351.33"/>
    <n v="8.64"/>
    <n v="363.7"/>
    <n v="53"/>
    <n v="7"/>
    <n v="48912"/>
    <n v="15031"/>
    <n v="565"/>
    <n v="11248"/>
    <n v="329"/>
    <n v="21739"/>
    <n v="0.27950000000000003"/>
    <n v="1.4999999999999999E-2"/>
    <n v="2E-3"/>
  </r>
  <r>
    <n v="2006"/>
    <n v="2"/>
    <x v="6"/>
    <x v="6"/>
    <s v="SEA"/>
    <s v="Seattle, WA: Seattle/Tacoma International"/>
    <n v="56"/>
    <n v="27"/>
    <n v="5.58"/>
    <n v="0.28999999999999998"/>
    <n v="11.62"/>
    <n v="0.03"/>
    <n v="9.49"/>
    <n v="1"/>
    <n v="4"/>
    <n v="1747"/>
    <n v="652"/>
    <n v="55"/>
    <n v="561"/>
    <n v="1"/>
    <n v="478"/>
    <n v="0.48209999999999997"/>
    <n v="1.7899999999999999E-2"/>
    <n v="7.1400000000000005E-2"/>
  </r>
  <r>
    <n v="2006"/>
    <n v="2"/>
    <x v="17"/>
    <x v="17"/>
    <s v="SEA"/>
    <s v="Seattle, WA: Seattle/Tacoma International"/>
    <n v="267"/>
    <n v="113"/>
    <n v="23.37"/>
    <n v="3.12"/>
    <n v="74.650000000000006"/>
    <n v="1.4"/>
    <n v="10.46"/>
    <n v="3"/>
    <n v="0"/>
    <n v="4095"/>
    <n v="900"/>
    <n v="116"/>
    <n v="2436"/>
    <n v="68"/>
    <n v="575"/>
    <n v="0.42320000000000002"/>
    <n v="1.12E-2"/>
    <n v="0"/>
  </r>
  <r>
    <n v="2006"/>
    <n v="2"/>
    <x v="7"/>
    <x v="7"/>
    <s v="SEA"/>
    <s v="Seattle, WA: Seattle/Tacoma International"/>
    <n v="327"/>
    <n v="121"/>
    <n v="26.07"/>
    <n v="2.1"/>
    <n v="77.349999999999994"/>
    <n v="0"/>
    <n v="15.47"/>
    <n v="2"/>
    <n v="0"/>
    <n v="4691"/>
    <n v="1380"/>
    <n v="100"/>
    <n v="2399"/>
    <n v="0"/>
    <n v="812"/>
    <n v="0.37"/>
    <n v="6.1000000000000004E-3"/>
    <n v="0"/>
  </r>
  <r>
    <n v="2006"/>
    <n v="2"/>
    <x v="8"/>
    <x v="8"/>
    <s v="SEA"/>
    <s v="Seattle, WA: Seattle/Tacoma International"/>
    <n v="108"/>
    <n v="55"/>
    <n v="23.37"/>
    <n v="0.55000000000000004"/>
    <n v="24.92"/>
    <n v="0"/>
    <n v="6.16"/>
    <n v="0"/>
    <n v="0"/>
    <n v="2161"/>
    <n v="975"/>
    <n v="18"/>
    <n v="937"/>
    <n v="0"/>
    <n v="231"/>
    <n v="0.50929999999999997"/>
    <n v="0"/>
    <n v="0"/>
  </r>
  <r>
    <n v="2006"/>
    <n v="2"/>
    <x v="0"/>
    <x v="0"/>
    <s v="SEA"/>
    <s v="Seattle, WA: Seattle/Tacoma International"/>
    <n v="46"/>
    <n v="14"/>
    <n v="9.98"/>
    <n v="0"/>
    <n v="0"/>
    <n v="0"/>
    <n v="4.0199999999999996"/>
    <n v="0"/>
    <n v="0"/>
    <n v="593"/>
    <n v="427"/>
    <n v="0"/>
    <n v="0"/>
    <n v="0"/>
    <n v="166"/>
    <n v="0.30430000000000001"/>
    <n v="0"/>
    <n v="0"/>
  </r>
  <r>
    <n v="2006"/>
    <n v="2"/>
    <x v="18"/>
    <x v="18"/>
    <s v="SEA"/>
    <s v="Seattle, WA: Seattle/Tacoma International"/>
    <n v="308"/>
    <n v="110"/>
    <n v="27.38"/>
    <n v="0.41"/>
    <n v="69.06"/>
    <n v="0"/>
    <n v="13.15"/>
    <n v="3"/>
    <n v="2"/>
    <n v="4339"/>
    <n v="1259"/>
    <n v="24"/>
    <n v="2047"/>
    <n v="0"/>
    <n v="1009"/>
    <n v="0.35709999999999997"/>
    <n v="9.7000000000000003E-3"/>
    <n v="6.4999999999999997E-3"/>
  </r>
  <r>
    <n v="2006"/>
    <n v="2"/>
    <x v="2"/>
    <x v="2"/>
    <s v="SEA"/>
    <s v="Seattle, WA: Seattle/Tacoma International"/>
    <n v="278"/>
    <n v="28"/>
    <n v="21"/>
    <n v="1"/>
    <n v="0"/>
    <n v="0"/>
    <n v="6"/>
    <n v="0"/>
    <n v="0"/>
    <n v="759"/>
    <n v="525"/>
    <n v="72"/>
    <n v="0"/>
    <n v="0"/>
    <n v="162"/>
    <n v="0.1007"/>
    <n v="0"/>
    <n v="0"/>
  </r>
  <r>
    <n v="2006"/>
    <n v="2"/>
    <x v="9"/>
    <x v="9"/>
    <s v="SEA"/>
    <s v="Seattle, WA: Seattle/Tacoma International"/>
    <n v="793"/>
    <n v="260"/>
    <n v="70.709999999999994"/>
    <n v="6.06"/>
    <n v="92.74"/>
    <n v="0"/>
    <n v="90.5"/>
    <n v="6"/>
    <n v="0"/>
    <n v="14455"/>
    <n v="3526"/>
    <n v="462"/>
    <n v="3088"/>
    <n v="0"/>
    <n v="7379"/>
    <n v="0.32790000000000002"/>
    <n v="7.6E-3"/>
    <n v="0"/>
  </r>
  <r>
    <n v="2006"/>
    <n v="2"/>
    <x v="15"/>
    <x v="15"/>
    <s v="SEA"/>
    <s v="Seattle, WA: Seattle/Tacoma International"/>
    <n v="326"/>
    <n v="97"/>
    <n v="34.14"/>
    <n v="0.66"/>
    <n v="48.82"/>
    <n v="0"/>
    <n v="13.38"/>
    <n v="2"/>
    <n v="1"/>
    <n v="3787"/>
    <n v="1644"/>
    <n v="27"/>
    <n v="1565"/>
    <n v="0"/>
    <n v="551"/>
    <n v="0.29749999999999999"/>
    <n v="6.1000000000000004E-3"/>
    <n v="3.0999999999999999E-3"/>
  </r>
  <r>
    <n v="2006"/>
    <n v="2"/>
    <x v="10"/>
    <x v="10"/>
    <s v="SEA"/>
    <s v="Seattle, WA: Seattle/Tacoma International"/>
    <n v="1018"/>
    <n v="227"/>
    <n v="45.33"/>
    <n v="4.24"/>
    <n v="56.02"/>
    <n v="0.75"/>
    <n v="120.66"/>
    <n v="1"/>
    <n v="2"/>
    <n v="8489"/>
    <n v="1824"/>
    <n v="93"/>
    <n v="1696"/>
    <n v="27"/>
    <n v="4849"/>
    <n v="0.223"/>
    <n v="1E-3"/>
    <n v="2E-3"/>
  </r>
  <r>
    <n v="2006"/>
    <n v="2"/>
    <x v="20"/>
    <x v="20"/>
    <s v="SEA"/>
    <s v="Seattle, WA: Seattle/Tacoma International"/>
    <n v="28"/>
    <n v="3"/>
    <n v="0"/>
    <n v="0"/>
    <n v="0"/>
    <n v="0"/>
    <n v="3"/>
    <n v="0"/>
    <n v="0"/>
    <n v="251"/>
    <n v="0"/>
    <n v="0"/>
    <n v="0"/>
    <n v="0"/>
    <n v="251"/>
    <n v="0.1071"/>
    <n v="0"/>
    <n v="0"/>
  </r>
  <r>
    <n v="2006"/>
    <n v="2"/>
    <x v="4"/>
    <x v="4"/>
    <s v="SEA"/>
    <s v="Seattle, WA: Seattle/Tacoma International"/>
    <n v="411"/>
    <n v="142"/>
    <n v="34.75"/>
    <n v="12.1"/>
    <n v="78.67"/>
    <n v="0"/>
    <n v="16.47"/>
    <n v="4"/>
    <n v="0"/>
    <n v="6071"/>
    <n v="1727"/>
    <n v="687"/>
    <n v="2426"/>
    <n v="0"/>
    <n v="1231"/>
    <n v="0.34549999999999997"/>
    <n v="9.7000000000000003E-3"/>
    <n v="0"/>
  </r>
  <r>
    <n v="2006"/>
    <n v="1"/>
    <x v="4"/>
    <x v="4"/>
    <s v="SEA"/>
    <s v="Seattle, WA: Seattle/Tacoma International"/>
    <n v="457"/>
    <n v="129"/>
    <n v="35.64"/>
    <n v="10.050000000000001"/>
    <n v="59.28"/>
    <n v="0"/>
    <n v="24.03"/>
    <n v="1"/>
    <n v="1"/>
    <n v="5893"/>
    <n v="1959"/>
    <n v="688"/>
    <n v="1789"/>
    <n v="0"/>
    <n v="1457"/>
    <n v="0.2823"/>
    <n v="2.2000000000000001E-3"/>
    <n v="2.2000000000000001E-3"/>
  </r>
  <r>
    <n v="2006"/>
    <n v="1"/>
    <x v="5"/>
    <x v="5"/>
    <s v="SEA"/>
    <s v="Seattle, WA: Seattle/Tacoma International"/>
    <n v="3919"/>
    <n v="1112"/>
    <n v="269.83999999999997"/>
    <n v="13.36"/>
    <n v="378.52"/>
    <n v="7.89"/>
    <n v="442.4"/>
    <n v="107"/>
    <n v="8"/>
    <n v="56037"/>
    <n v="15634"/>
    <n v="702"/>
    <n v="11952"/>
    <n v="217"/>
    <n v="27532"/>
    <n v="0.28370000000000001"/>
    <n v="2.7300000000000001E-2"/>
    <n v="2E-3"/>
  </r>
  <r>
    <n v="2006"/>
    <n v="1"/>
    <x v="6"/>
    <x v="6"/>
    <s v="SEA"/>
    <s v="Seattle, WA: Seattle/Tacoma International"/>
    <n v="62"/>
    <n v="22"/>
    <n v="6.51"/>
    <n v="0"/>
    <n v="11.39"/>
    <n v="0"/>
    <n v="4.1100000000000003"/>
    <n v="0"/>
    <n v="1"/>
    <n v="997"/>
    <n v="363"/>
    <n v="0"/>
    <n v="388"/>
    <n v="0"/>
    <n v="246"/>
    <n v="0.3548"/>
    <n v="0"/>
    <n v="1.61E-2"/>
  </r>
  <r>
    <n v="2006"/>
    <n v="1"/>
    <x v="17"/>
    <x v="17"/>
    <s v="SEA"/>
    <s v="Seattle, WA: Seattle/Tacoma International"/>
    <n v="310"/>
    <n v="90"/>
    <n v="24.14"/>
    <n v="2.79"/>
    <n v="49.65"/>
    <n v="2.31"/>
    <n v="11.11"/>
    <n v="3"/>
    <n v="1"/>
    <n v="3116"/>
    <n v="815"/>
    <n v="193"/>
    <n v="1498"/>
    <n v="63"/>
    <n v="547"/>
    <n v="0.2903"/>
    <n v="9.7000000000000003E-3"/>
    <n v="3.2000000000000002E-3"/>
  </r>
  <r>
    <n v="2006"/>
    <n v="1"/>
    <x v="7"/>
    <x v="7"/>
    <s v="SEA"/>
    <s v="Seattle, WA: Seattle/Tacoma International"/>
    <n v="363"/>
    <n v="106"/>
    <n v="29.78"/>
    <n v="4.38"/>
    <n v="52.71"/>
    <n v="0"/>
    <n v="19.13"/>
    <n v="0"/>
    <n v="0"/>
    <n v="4077"/>
    <n v="1381"/>
    <n v="359"/>
    <n v="1334"/>
    <n v="0"/>
    <n v="1003"/>
    <n v="0.29199999999999998"/>
    <n v="0"/>
    <n v="0"/>
  </r>
  <r>
    <n v="2006"/>
    <n v="1"/>
    <x v="8"/>
    <x v="8"/>
    <s v="SEA"/>
    <s v="Seattle, WA: Seattle/Tacoma International"/>
    <n v="119"/>
    <n v="41"/>
    <n v="15.44"/>
    <n v="0.11"/>
    <n v="22.09"/>
    <n v="0"/>
    <n v="3.36"/>
    <n v="0"/>
    <n v="0"/>
    <n v="1613"/>
    <n v="761"/>
    <n v="4"/>
    <n v="763"/>
    <n v="0"/>
    <n v="85"/>
    <n v="0.34449999999999997"/>
    <n v="0"/>
    <n v="0"/>
  </r>
  <r>
    <n v="2006"/>
    <n v="1"/>
    <x v="0"/>
    <x v="0"/>
    <s v="SEA"/>
    <s v="Seattle, WA: Seattle/Tacoma International"/>
    <n v="51"/>
    <n v="8"/>
    <n v="6.08"/>
    <n v="0"/>
    <n v="0"/>
    <n v="0"/>
    <n v="1.92"/>
    <n v="0"/>
    <n v="0"/>
    <n v="276"/>
    <n v="205"/>
    <n v="0"/>
    <n v="0"/>
    <n v="0"/>
    <n v="71"/>
    <n v="0.15690000000000001"/>
    <n v="0"/>
    <n v="0"/>
  </r>
  <r>
    <n v="2006"/>
    <n v="1"/>
    <x v="18"/>
    <x v="18"/>
    <s v="SEA"/>
    <s v="Seattle, WA: Seattle/Tacoma International"/>
    <n v="356"/>
    <n v="95"/>
    <n v="39.18"/>
    <n v="1.37"/>
    <n v="45.44"/>
    <n v="0"/>
    <n v="9.01"/>
    <n v="1"/>
    <n v="1"/>
    <n v="3791"/>
    <n v="1702"/>
    <n v="65"/>
    <n v="1410"/>
    <n v="0"/>
    <n v="614"/>
    <n v="0.26690000000000003"/>
    <n v="2.8E-3"/>
    <n v="2.8E-3"/>
  </r>
  <r>
    <n v="2006"/>
    <n v="1"/>
    <x v="2"/>
    <x v="2"/>
    <s v="SEA"/>
    <s v="Seattle, WA: Seattle/Tacoma International"/>
    <n v="326"/>
    <n v="61"/>
    <n v="37"/>
    <n v="3"/>
    <n v="3"/>
    <n v="0"/>
    <n v="18"/>
    <n v="8"/>
    <n v="0"/>
    <n v="2228"/>
    <n v="1367"/>
    <n v="97"/>
    <n v="79"/>
    <n v="0"/>
    <n v="685"/>
    <n v="0.18709999999999999"/>
    <n v="2.4500000000000001E-2"/>
    <n v="0"/>
  </r>
  <r>
    <n v="2006"/>
    <n v="1"/>
    <x v="9"/>
    <x v="9"/>
    <s v="SEA"/>
    <s v="Seattle, WA: Seattle/Tacoma International"/>
    <n v="901"/>
    <n v="266"/>
    <n v="104.06"/>
    <n v="1.52"/>
    <n v="92.99"/>
    <n v="0"/>
    <n v="67.44"/>
    <n v="19"/>
    <n v="0"/>
    <n v="13715"/>
    <n v="5034"/>
    <n v="115"/>
    <n v="2861"/>
    <n v="0"/>
    <n v="5705"/>
    <n v="0.29520000000000002"/>
    <n v="2.1100000000000001E-2"/>
    <n v="0"/>
  </r>
  <r>
    <n v="2006"/>
    <n v="1"/>
    <x v="15"/>
    <x v="15"/>
    <s v="SEA"/>
    <s v="Seattle, WA: Seattle/Tacoma International"/>
    <n v="376"/>
    <n v="101"/>
    <n v="36.130000000000003"/>
    <n v="0.04"/>
    <n v="46.63"/>
    <n v="0.36"/>
    <n v="17.84"/>
    <n v="0"/>
    <n v="3"/>
    <n v="3936"/>
    <n v="1577"/>
    <n v="7"/>
    <n v="1195"/>
    <n v="27"/>
    <n v="1130"/>
    <n v="0.26860000000000001"/>
    <n v="0"/>
    <n v="8.0000000000000002E-3"/>
  </r>
  <r>
    <n v="2006"/>
    <n v="1"/>
    <x v="10"/>
    <x v="10"/>
    <s v="SEA"/>
    <s v="Seattle, WA: Seattle/Tacoma International"/>
    <n v="1152"/>
    <n v="190"/>
    <n v="47.91"/>
    <n v="1.96"/>
    <n v="30.86"/>
    <n v="0.26"/>
    <n v="109.02"/>
    <n v="2"/>
    <n v="0"/>
    <n v="7577"/>
    <n v="2104"/>
    <n v="112"/>
    <n v="867"/>
    <n v="8"/>
    <n v="4486"/>
    <n v="0.16489999999999999"/>
    <n v="1.6999999999999999E-3"/>
    <n v="0"/>
  </r>
  <r>
    <n v="2006"/>
    <n v="1"/>
    <x v="20"/>
    <x v="20"/>
    <s v="SEA"/>
    <s v="Seattle, WA: Seattle/Tacoma International"/>
    <n v="31"/>
    <n v="5"/>
    <n v="1.6"/>
    <n v="0"/>
    <n v="1.88"/>
    <n v="0"/>
    <n v="1.52"/>
    <n v="1"/>
    <n v="1"/>
    <n v="225"/>
    <n v="38"/>
    <n v="0"/>
    <n v="85"/>
    <n v="0"/>
    <n v="102"/>
    <n v="0.1613"/>
    <n v="3.2300000000000002E-2"/>
    <n v="3.2300000000000002E-2"/>
  </r>
  <r>
    <n v="2005"/>
    <n v="12"/>
    <x v="4"/>
    <x v="4"/>
    <s v="SEA"/>
    <s v="Seattle, WA: Seattle/Tacoma International"/>
    <n v="466"/>
    <n v="185"/>
    <n v="57.44"/>
    <n v="19.3"/>
    <n v="74.63"/>
    <n v="0"/>
    <n v="33.630000000000003"/>
    <n v="4"/>
    <n v="2"/>
    <n v="8137"/>
    <n v="2698"/>
    <n v="1085"/>
    <n v="2254"/>
    <n v="0"/>
    <n v="2100"/>
    <n v="0.39700000000000002"/>
    <n v="8.6E-3"/>
    <n v="4.3E-3"/>
  </r>
  <r>
    <n v="2005"/>
    <n v="12"/>
    <x v="5"/>
    <x v="5"/>
    <s v="SEA"/>
    <s v="Seattle, WA: Seattle/Tacoma International"/>
    <n v="3924"/>
    <n v="1299"/>
    <n v="390.3"/>
    <n v="17.899999999999999"/>
    <n v="402.42"/>
    <n v="13.49"/>
    <n v="474.89"/>
    <n v="55"/>
    <n v="9"/>
    <n v="65612"/>
    <n v="21421"/>
    <n v="1510"/>
    <n v="12903"/>
    <n v="390"/>
    <n v="29388"/>
    <n v="0.33100000000000002"/>
    <n v="1.4E-2"/>
    <n v="2.3E-3"/>
  </r>
  <r>
    <n v="2005"/>
    <n v="12"/>
    <x v="6"/>
    <x v="6"/>
    <s v="SEA"/>
    <s v="Seattle, WA: Seattle/Tacoma International"/>
    <n v="62"/>
    <n v="22"/>
    <n v="6.57"/>
    <n v="0"/>
    <n v="11.72"/>
    <n v="0"/>
    <n v="3.72"/>
    <n v="1"/>
    <n v="0"/>
    <n v="908"/>
    <n v="281"/>
    <n v="0"/>
    <n v="433"/>
    <n v="0"/>
    <n v="194"/>
    <n v="0.3548"/>
    <n v="1.61E-2"/>
    <n v="0"/>
  </r>
  <r>
    <n v="2005"/>
    <n v="12"/>
    <x v="17"/>
    <x v="17"/>
    <s v="SEA"/>
    <s v="Seattle, WA: Seattle/Tacoma International"/>
    <n v="396"/>
    <n v="151"/>
    <n v="41.34"/>
    <n v="3.72"/>
    <n v="68.819999999999993"/>
    <n v="3.29"/>
    <n v="33.83"/>
    <n v="1"/>
    <n v="0"/>
    <n v="6461"/>
    <n v="1948"/>
    <n v="454"/>
    <n v="2139"/>
    <n v="107"/>
    <n v="1813"/>
    <n v="0.38129999999999997"/>
    <n v="2.5000000000000001E-3"/>
    <n v="0"/>
  </r>
  <r>
    <n v="2005"/>
    <n v="12"/>
    <x v="7"/>
    <x v="7"/>
    <s v="SEA"/>
    <s v="Seattle, WA: Seattle/Tacoma International"/>
    <n v="387"/>
    <n v="105"/>
    <n v="40.11"/>
    <n v="1.82"/>
    <n v="45.13"/>
    <n v="0"/>
    <n v="17.93"/>
    <n v="3"/>
    <n v="2"/>
    <n v="4002"/>
    <n v="1695"/>
    <n v="77"/>
    <n v="1399"/>
    <n v="0"/>
    <n v="831"/>
    <n v="0.27129999999999999"/>
    <n v="7.7999999999999996E-3"/>
    <n v="5.1999999999999998E-3"/>
  </r>
  <r>
    <n v="2005"/>
    <n v="12"/>
    <x v="8"/>
    <x v="8"/>
    <s v="SEA"/>
    <s v="Seattle, WA: Seattle/Tacoma International"/>
    <n v="121"/>
    <n v="63"/>
    <n v="23.76"/>
    <n v="0.97"/>
    <n v="31.22"/>
    <n v="0"/>
    <n v="7.05"/>
    <n v="0"/>
    <n v="0"/>
    <n v="2477"/>
    <n v="947"/>
    <n v="87"/>
    <n v="1202"/>
    <n v="0"/>
    <n v="241"/>
    <n v="0.52070000000000005"/>
    <n v="0"/>
    <n v="0"/>
  </r>
  <r>
    <n v="2005"/>
    <n v="12"/>
    <x v="0"/>
    <x v="0"/>
    <s v="SEA"/>
    <s v="Seattle, WA: Seattle/Tacoma International"/>
    <n v="57"/>
    <n v="13"/>
    <n v="10.6"/>
    <n v="0"/>
    <n v="0"/>
    <n v="0"/>
    <n v="2.4"/>
    <n v="0"/>
    <n v="0"/>
    <n v="382"/>
    <n v="313"/>
    <n v="0"/>
    <n v="0"/>
    <n v="0"/>
    <n v="69"/>
    <n v="0.2281"/>
    <n v="0"/>
    <n v="0"/>
  </r>
  <r>
    <n v="2005"/>
    <n v="12"/>
    <x v="21"/>
    <x v="21"/>
    <s v="SEA"/>
    <s v="Seattle, WA: Seattle/Tacoma International"/>
    <n v="308"/>
    <n v="78"/>
    <n v="32.090000000000003"/>
    <n v="1"/>
    <n v="28.12"/>
    <n v="0"/>
    <n v="16.79"/>
    <n v="1"/>
    <n v="1"/>
    <n v="3187"/>
    <n v="1604"/>
    <n v="31"/>
    <n v="627"/>
    <n v="0"/>
    <n v="925"/>
    <n v="0.25319999999999998"/>
    <n v="3.2000000000000002E-3"/>
    <n v="3.2000000000000002E-3"/>
  </r>
  <r>
    <n v="2005"/>
    <n v="12"/>
    <x v="18"/>
    <x v="18"/>
    <s v="SEA"/>
    <s v="Seattle, WA: Seattle/Tacoma International"/>
    <n v="435"/>
    <n v="176"/>
    <n v="78.790000000000006"/>
    <n v="2.46"/>
    <n v="66.03"/>
    <n v="0"/>
    <n v="28.71"/>
    <n v="2"/>
    <n v="2"/>
    <n v="8872"/>
    <n v="4425"/>
    <n v="147"/>
    <n v="2031"/>
    <n v="0"/>
    <n v="2269"/>
    <n v="0.40460000000000002"/>
    <n v="4.5999999999999999E-3"/>
    <n v="4.5999999999999999E-3"/>
  </r>
  <r>
    <n v="2005"/>
    <n v="12"/>
    <x v="2"/>
    <x v="2"/>
    <s v="SEA"/>
    <s v="Seattle, WA: Seattle/Tacoma International"/>
    <n v="331"/>
    <n v="101"/>
    <n v="79"/>
    <n v="5"/>
    <n v="7"/>
    <n v="0"/>
    <n v="10"/>
    <n v="15"/>
    <n v="0"/>
    <n v="4096"/>
    <n v="2963"/>
    <n v="393"/>
    <n v="317"/>
    <n v="0"/>
    <n v="423"/>
    <n v="0.30509999999999998"/>
    <n v="4.53E-2"/>
    <n v="0"/>
  </r>
  <r>
    <n v="2005"/>
    <n v="12"/>
    <x v="9"/>
    <x v="9"/>
    <s v="SEA"/>
    <s v="Seattle, WA: Seattle/Tacoma International"/>
    <n v="986"/>
    <n v="329"/>
    <n v="125.9"/>
    <n v="6.63"/>
    <n v="65.47"/>
    <n v="0"/>
    <n v="131"/>
    <n v="14"/>
    <n v="0"/>
    <n v="20410"/>
    <n v="6349"/>
    <n v="623"/>
    <n v="2593"/>
    <n v="0"/>
    <n v="10845"/>
    <n v="0.3337"/>
    <n v="1.4200000000000001E-2"/>
    <n v="0"/>
  </r>
  <r>
    <n v="2005"/>
    <n v="12"/>
    <x v="15"/>
    <x v="15"/>
    <s v="SEA"/>
    <s v="Seattle, WA: Seattle/Tacoma International"/>
    <n v="120"/>
    <n v="28"/>
    <n v="7.76"/>
    <n v="0.65"/>
    <n v="17.62"/>
    <n v="0"/>
    <n v="1.97"/>
    <n v="0"/>
    <n v="0"/>
    <n v="942"/>
    <n v="222"/>
    <n v="39"/>
    <n v="601"/>
    <n v="0"/>
    <n v="80"/>
    <n v="0.23330000000000001"/>
    <n v="0"/>
    <n v="0"/>
  </r>
  <r>
    <n v="2005"/>
    <n v="12"/>
    <x v="10"/>
    <x v="10"/>
    <s v="SEA"/>
    <s v="Seattle, WA: Seattle/Tacoma International"/>
    <n v="1150"/>
    <n v="284"/>
    <n v="75.28"/>
    <n v="4.03"/>
    <n v="38.729999999999997"/>
    <n v="1.23"/>
    <n v="164.72"/>
    <n v="8"/>
    <n v="3"/>
    <n v="11978"/>
    <n v="3073"/>
    <n v="159"/>
    <n v="1129"/>
    <n v="50"/>
    <n v="7567"/>
    <n v="0.247"/>
    <n v="7.0000000000000001E-3"/>
    <n v="2.5999999999999999E-3"/>
  </r>
  <r>
    <n v="2005"/>
    <n v="11"/>
    <x v="4"/>
    <x v="4"/>
    <s v="SEA"/>
    <s v="Seattle, WA: Seattle/Tacoma International"/>
    <n v="465"/>
    <n v="151"/>
    <n v="41.28"/>
    <n v="5.76"/>
    <n v="80.88"/>
    <n v="0"/>
    <n v="23.08"/>
    <n v="1"/>
    <n v="1"/>
    <n v="7060"/>
    <n v="2462"/>
    <n v="346"/>
    <n v="2664"/>
    <n v="0"/>
    <n v="1588"/>
    <n v="0.32469999999999999"/>
    <n v="2.2000000000000001E-3"/>
    <n v="2.2000000000000001E-3"/>
  </r>
  <r>
    <n v="2005"/>
    <n v="11"/>
    <x v="5"/>
    <x v="5"/>
    <s v="SEA"/>
    <s v="Seattle, WA: Seattle/Tacoma International"/>
    <n v="3767"/>
    <n v="953"/>
    <n v="265.52999999999997"/>
    <n v="11.78"/>
    <n v="346.41"/>
    <n v="5.71"/>
    <n v="323.57"/>
    <n v="43"/>
    <n v="11"/>
    <n v="45216"/>
    <n v="14461"/>
    <n v="1113"/>
    <n v="10633"/>
    <n v="166"/>
    <n v="18843"/>
    <n v="0.253"/>
    <n v="1.14E-2"/>
    <n v="2.8999999999999998E-3"/>
  </r>
  <r>
    <n v="2005"/>
    <n v="11"/>
    <x v="6"/>
    <x v="6"/>
    <s v="SEA"/>
    <s v="Seattle, WA: Seattle/Tacoma International"/>
    <n v="58"/>
    <n v="23"/>
    <n v="1.29"/>
    <n v="0"/>
    <n v="17.8"/>
    <n v="0.27"/>
    <n v="3.64"/>
    <n v="0"/>
    <n v="0"/>
    <n v="1087"/>
    <n v="50"/>
    <n v="0"/>
    <n v="871"/>
    <n v="8"/>
    <n v="158"/>
    <n v="0.39660000000000001"/>
    <n v="0"/>
    <n v="0"/>
  </r>
  <r>
    <n v="2005"/>
    <n v="11"/>
    <x v="17"/>
    <x v="17"/>
    <s v="SEA"/>
    <s v="Seattle, WA: Seattle/Tacoma International"/>
    <n v="316"/>
    <n v="72"/>
    <n v="15.39"/>
    <n v="0.41"/>
    <n v="42.9"/>
    <n v="0.19"/>
    <n v="13.11"/>
    <n v="0"/>
    <n v="0"/>
    <n v="2958"/>
    <n v="772"/>
    <n v="40"/>
    <n v="1487"/>
    <n v="6"/>
    <n v="653"/>
    <n v="0.2278"/>
    <n v="0"/>
    <n v="0"/>
  </r>
  <r>
    <n v="2005"/>
    <n v="11"/>
    <x v="22"/>
    <x v="22"/>
    <s v="SEA"/>
    <s v="Seattle, WA: Seattle/Tacoma International"/>
    <n v="20"/>
    <n v="5"/>
    <n v="1.65"/>
    <n v="0"/>
    <n v="1.1599999999999999"/>
    <n v="0"/>
    <n v="2.19"/>
    <n v="2"/>
    <n v="1"/>
    <n v="204"/>
    <n v="60"/>
    <n v="0"/>
    <n v="51"/>
    <n v="0"/>
    <n v="93"/>
    <n v="0.25"/>
    <n v="0.1"/>
    <n v="0.05"/>
  </r>
  <r>
    <n v="2005"/>
    <n v="11"/>
    <x v="7"/>
    <x v="7"/>
    <s v="SEA"/>
    <s v="Seattle, WA: Seattle/Tacoma International"/>
    <n v="450"/>
    <n v="134"/>
    <n v="29.71"/>
    <n v="0.21"/>
    <n v="89.84"/>
    <n v="0"/>
    <n v="14.24"/>
    <n v="3"/>
    <n v="1"/>
    <n v="4389"/>
    <n v="1480"/>
    <n v="7"/>
    <n v="2344"/>
    <n v="0"/>
    <n v="558"/>
    <n v="0.29780000000000001"/>
    <n v="6.7000000000000002E-3"/>
    <n v="2.2000000000000001E-3"/>
  </r>
  <r>
    <n v="2005"/>
    <n v="11"/>
    <x v="8"/>
    <x v="8"/>
    <s v="SEA"/>
    <s v="Seattle, WA: Seattle/Tacoma International"/>
    <n v="115"/>
    <n v="42"/>
    <n v="12.29"/>
    <n v="0.54"/>
    <n v="21.38"/>
    <n v="0"/>
    <n v="7.78"/>
    <n v="0"/>
    <n v="0"/>
    <n v="1160"/>
    <n v="393"/>
    <n v="15"/>
    <n v="551"/>
    <n v="0"/>
    <n v="201"/>
    <n v="0.36520000000000002"/>
    <n v="0"/>
    <n v="0"/>
  </r>
  <r>
    <n v="2005"/>
    <n v="11"/>
    <x v="0"/>
    <x v="0"/>
    <s v="SEA"/>
    <s v="Seattle, WA: Seattle/Tacoma International"/>
    <n v="52"/>
    <n v="5"/>
    <n v="3.56"/>
    <n v="0"/>
    <n v="0"/>
    <n v="0"/>
    <n v="1.44"/>
    <n v="0"/>
    <n v="0"/>
    <n v="166"/>
    <n v="135"/>
    <n v="0"/>
    <n v="0"/>
    <n v="0"/>
    <n v="31"/>
    <n v="9.6199999999999994E-2"/>
    <n v="0"/>
    <n v="0"/>
  </r>
  <r>
    <n v="2005"/>
    <n v="11"/>
    <x v="21"/>
    <x v="21"/>
    <s v="SEA"/>
    <s v="Seattle, WA: Seattle/Tacoma International"/>
    <n v="291"/>
    <n v="68"/>
    <n v="24.73"/>
    <n v="0"/>
    <n v="35.270000000000003"/>
    <n v="0"/>
    <n v="8"/>
    <n v="6"/>
    <n v="0"/>
    <n v="2318"/>
    <n v="1066"/>
    <n v="0"/>
    <n v="920"/>
    <n v="0"/>
    <n v="332"/>
    <n v="0.23369999999999999"/>
    <n v="2.06E-2"/>
    <n v="0"/>
  </r>
  <r>
    <n v="2005"/>
    <n v="11"/>
    <x v="18"/>
    <x v="18"/>
    <s v="SEA"/>
    <s v="Seattle, WA: Seattle/Tacoma International"/>
    <n v="328"/>
    <n v="108"/>
    <n v="36.979999999999997"/>
    <n v="1.68"/>
    <n v="59.47"/>
    <n v="0"/>
    <n v="9.86"/>
    <n v="1"/>
    <n v="2"/>
    <n v="4419"/>
    <n v="1906"/>
    <n v="231"/>
    <n v="1731"/>
    <n v="0"/>
    <n v="551"/>
    <n v="0.32929999999999998"/>
    <n v="3.0000000000000001E-3"/>
    <n v="6.1000000000000004E-3"/>
  </r>
  <r>
    <n v="2005"/>
    <n v="11"/>
    <x v="2"/>
    <x v="2"/>
    <s v="SEA"/>
    <s v="Seattle, WA: Seattle/Tacoma International"/>
    <n v="365"/>
    <n v="87"/>
    <n v="61"/>
    <n v="9"/>
    <n v="8"/>
    <n v="0"/>
    <n v="9"/>
    <n v="18"/>
    <n v="1"/>
    <n v="3969"/>
    <n v="2258"/>
    <n v="1018"/>
    <n v="326"/>
    <n v="0"/>
    <n v="367"/>
    <n v="0.2384"/>
    <n v="4.9299999999999997E-2"/>
    <n v="2.7000000000000001E-3"/>
  </r>
  <r>
    <n v="2005"/>
    <n v="11"/>
    <x v="9"/>
    <x v="9"/>
    <s v="SEA"/>
    <s v="Seattle, WA: Seattle/Tacoma International"/>
    <n v="937"/>
    <n v="191"/>
    <n v="50.52"/>
    <n v="3.47"/>
    <n v="77.930000000000007"/>
    <n v="0"/>
    <n v="59.08"/>
    <n v="7"/>
    <n v="1"/>
    <n v="8523"/>
    <n v="2014"/>
    <n v="187"/>
    <n v="2278"/>
    <n v="0"/>
    <n v="4044"/>
    <n v="0.20380000000000001"/>
    <n v="7.4999999999999997E-3"/>
    <n v="1.1000000000000001E-3"/>
  </r>
  <r>
    <n v="2005"/>
    <n v="11"/>
    <x v="15"/>
    <x v="15"/>
    <s v="SEA"/>
    <s v="Seattle, WA: Seattle/Tacoma International"/>
    <n v="125"/>
    <n v="39"/>
    <n v="7.91"/>
    <n v="0"/>
    <n v="26.81"/>
    <n v="0"/>
    <n v="4.28"/>
    <n v="0"/>
    <n v="1"/>
    <n v="1377"/>
    <n v="375"/>
    <n v="0"/>
    <n v="806"/>
    <n v="0"/>
    <n v="196"/>
    <n v="0.312"/>
    <n v="0"/>
    <n v="8.0000000000000002E-3"/>
  </r>
  <r>
    <n v="2005"/>
    <n v="11"/>
    <x v="10"/>
    <x v="10"/>
    <s v="SEA"/>
    <s v="Seattle, WA: Seattle/Tacoma International"/>
    <n v="1101"/>
    <n v="183"/>
    <n v="45.93"/>
    <n v="2.52"/>
    <n v="43.96"/>
    <n v="0"/>
    <n v="90.59"/>
    <n v="2"/>
    <n v="0"/>
    <n v="6786"/>
    <n v="1774"/>
    <n v="59"/>
    <n v="1190"/>
    <n v="0"/>
    <n v="3763"/>
    <n v="0.16619999999999999"/>
    <n v="1.8E-3"/>
    <n v="0"/>
  </r>
  <r>
    <n v="2005"/>
    <n v="10"/>
    <x v="4"/>
    <x v="4"/>
    <s v="SEA"/>
    <s v="Seattle, WA: Seattle/Tacoma International"/>
    <n v="534"/>
    <n v="80"/>
    <n v="26.38"/>
    <n v="5.2"/>
    <n v="32.67"/>
    <n v="0"/>
    <n v="15.76"/>
    <n v="4"/>
    <n v="0"/>
    <n v="3931"/>
    <n v="1425"/>
    <n v="344"/>
    <n v="1080"/>
    <n v="0"/>
    <n v="1082"/>
    <n v="0.14979999999999999"/>
    <n v="7.4999999999999997E-3"/>
    <n v="0"/>
  </r>
  <r>
    <n v="2005"/>
    <n v="10"/>
    <x v="5"/>
    <x v="5"/>
    <s v="SEA"/>
    <s v="Seattle, WA: Seattle/Tacoma International"/>
    <n v="4139"/>
    <n v="836"/>
    <n v="249.23"/>
    <n v="2.86"/>
    <n v="264.61"/>
    <n v="4.45"/>
    <n v="314.85000000000002"/>
    <n v="65"/>
    <n v="4"/>
    <n v="40019"/>
    <n v="13841"/>
    <n v="243"/>
    <n v="7612"/>
    <n v="164"/>
    <n v="18159"/>
    <n v="0.20200000000000001"/>
    <n v="1.5699999999999999E-2"/>
    <n v="1E-3"/>
  </r>
  <r>
    <n v="2005"/>
    <n v="10"/>
    <x v="6"/>
    <x v="6"/>
    <s v="SEA"/>
    <s v="Seattle, WA: Seattle/Tacoma International"/>
    <n v="62"/>
    <n v="18"/>
    <n v="1.95"/>
    <n v="0"/>
    <n v="15.52"/>
    <n v="0"/>
    <n v="0.53"/>
    <n v="0"/>
    <n v="0"/>
    <n v="622"/>
    <n v="71"/>
    <n v="0"/>
    <n v="531"/>
    <n v="0"/>
    <n v="20"/>
    <n v="0.2903"/>
    <n v="0"/>
    <n v="0"/>
  </r>
  <r>
    <n v="2005"/>
    <n v="10"/>
    <x v="17"/>
    <x v="17"/>
    <s v="SEA"/>
    <s v="Seattle, WA: Seattle/Tacoma International"/>
    <n v="327"/>
    <n v="57"/>
    <n v="12.7"/>
    <n v="2.06"/>
    <n v="30.7"/>
    <n v="0"/>
    <n v="11.54"/>
    <n v="0"/>
    <n v="2"/>
    <n v="2274"/>
    <n v="592"/>
    <n v="188"/>
    <n v="938"/>
    <n v="0"/>
    <n v="556"/>
    <n v="0.17430000000000001"/>
    <n v="0"/>
    <n v="6.1000000000000004E-3"/>
  </r>
  <r>
    <n v="2005"/>
    <n v="10"/>
    <x v="22"/>
    <x v="22"/>
    <s v="SEA"/>
    <s v="Seattle, WA: Seattle/Tacoma International"/>
    <n v="26"/>
    <n v="4"/>
    <n v="3"/>
    <n v="0"/>
    <n v="0"/>
    <n v="0"/>
    <n v="1"/>
    <n v="0"/>
    <n v="0"/>
    <n v="140"/>
    <n v="74"/>
    <n v="0"/>
    <n v="0"/>
    <n v="0"/>
    <n v="66"/>
    <n v="0.15379999999999999"/>
    <n v="0"/>
    <n v="0"/>
  </r>
  <r>
    <n v="2005"/>
    <n v="10"/>
    <x v="7"/>
    <x v="7"/>
    <s v="SEA"/>
    <s v="Seattle, WA: Seattle/Tacoma International"/>
    <n v="521"/>
    <n v="94"/>
    <n v="35.549999999999997"/>
    <n v="0.04"/>
    <n v="41.52"/>
    <n v="0"/>
    <n v="16.899999999999999"/>
    <n v="4"/>
    <n v="0"/>
    <n v="3913"/>
    <n v="2026"/>
    <n v="2"/>
    <n v="1182"/>
    <n v="0"/>
    <n v="703"/>
    <n v="0.1804"/>
    <n v="7.7000000000000002E-3"/>
    <n v="0"/>
  </r>
  <r>
    <n v="2005"/>
    <n v="10"/>
    <x v="8"/>
    <x v="8"/>
    <s v="SEA"/>
    <s v="Seattle, WA: Seattle/Tacoma International"/>
    <n v="121"/>
    <n v="18"/>
    <n v="4.82"/>
    <n v="1.36"/>
    <n v="4.79"/>
    <n v="0"/>
    <n v="7.03"/>
    <n v="0"/>
    <n v="0"/>
    <n v="913"/>
    <n v="128"/>
    <n v="215"/>
    <n v="287"/>
    <n v="0"/>
    <n v="283"/>
    <n v="0.14879999999999999"/>
    <n v="0"/>
    <n v="0"/>
  </r>
  <r>
    <n v="2005"/>
    <n v="10"/>
    <x v="0"/>
    <x v="0"/>
    <s v="SEA"/>
    <s v="Seattle, WA: Seattle/Tacoma International"/>
    <n v="49"/>
    <n v="3"/>
    <n v="1.91"/>
    <n v="0"/>
    <n v="0"/>
    <n v="0"/>
    <n v="1.0900000000000001"/>
    <n v="0"/>
    <n v="0"/>
    <n v="102"/>
    <n v="59"/>
    <n v="0"/>
    <n v="0"/>
    <n v="0"/>
    <n v="43"/>
    <n v="6.1199999999999997E-2"/>
    <n v="0"/>
    <n v="0"/>
  </r>
  <r>
    <n v="2005"/>
    <n v="10"/>
    <x v="21"/>
    <x v="21"/>
    <s v="SEA"/>
    <s v="Seattle, WA: Seattle/Tacoma International"/>
    <n v="305"/>
    <n v="46"/>
    <n v="14.95"/>
    <n v="0"/>
    <n v="21.15"/>
    <n v="0.46"/>
    <n v="9.4499999999999993"/>
    <n v="4"/>
    <n v="0"/>
    <n v="1710"/>
    <n v="533"/>
    <n v="0"/>
    <n v="575"/>
    <n v="11"/>
    <n v="591"/>
    <n v="0.15079999999999999"/>
    <n v="1.3100000000000001E-2"/>
    <n v="0"/>
  </r>
  <r>
    <n v="2005"/>
    <n v="10"/>
    <x v="18"/>
    <x v="18"/>
    <s v="SEA"/>
    <s v="Seattle, WA: Seattle/Tacoma International"/>
    <n v="370"/>
    <n v="60"/>
    <n v="26.85"/>
    <n v="0.13"/>
    <n v="22.12"/>
    <n v="0"/>
    <n v="10.89"/>
    <n v="0"/>
    <n v="0"/>
    <n v="3500"/>
    <n v="1960"/>
    <n v="11"/>
    <n v="776"/>
    <n v="0"/>
    <n v="753"/>
    <n v="0.16220000000000001"/>
    <n v="0"/>
    <n v="0"/>
  </r>
  <r>
    <n v="2005"/>
    <n v="10"/>
    <x v="2"/>
    <x v="2"/>
    <s v="SEA"/>
    <s v="Seattle, WA: Seattle/Tacoma International"/>
    <n v="507"/>
    <n v="25"/>
    <n v="17"/>
    <n v="0"/>
    <n v="5"/>
    <n v="0"/>
    <n v="3"/>
    <n v="1"/>
    <n v="0"/>
    <n v="1004"/>
    <n v="711"/>
    <n v="0"/>
    <n v="181"/>
    <n v="0"/>
    <n v="112"/>
    <n v="4.9299999999999997E-2"/>
    <n v="2E-3"/>
    <n v="0"/>
  </r>
  <r>
    <n v="2005"/>
    <n v="10"/>
    <x v="9"/>
    <x v="9"/>
    <s v="SEA"/>
    <s v="Seattle, WA: Seattle/Tacoma International"/>
    <n v="979"/>
    <n v="146"/>
    <n v="43.99"/>
    <n v="1.23"/>
    <n v="47.85"/>
    <n v="0"/>
    <n v="52.93"/>
    <n v="7"/>
    <n v="0"/>
    <n v="7797"/>
    <n v="2117"/>
    <n v="159"/>
    <n v="1906"/>
    <n v="0"/>
    <n v="3615"/>
    <n v="0.14910000000000001"/>
    <n v="7.1999999999999998E-3"/>
    <n v="0"/>
  </r>
  <r>
    <n v="2005"/>
    <n v="10"/>
    <x v="15"/>
    <x v="15"/>
    <s v="SEA"/>
    <s v="Seattle, WA: Seattle/Tacoma International"/>
    <n v="150"/>
    <n v="30"/>
    <n v="10.42"/>
    <n v="0"/>
    <n v="11.68"/>
    <n v="0"/>
    <n v="7.9"/>
    <n v="0"/>
    <n v="0"/>
    <n v="1229"/>
    <n v="437"/>
    <n v="0"/>
    <n v="378"/>
    <n v="0"/>
    <n v="414"/>
    <n v="0.2"/>
    <n v="0"/>
    <n v="0"/>
  </r>
  <r>
    <n v="2005"/>
    <n v="10"/>
    <x v="10"/>
    <x v="10"/>
    <s v="SEA"/>
    <s v="Seattle, WA: Seattle/Tacoma International"/>
    <n v="1130"/>
    <n v="173"/>
    <n v="41.96"/>
    <n v="0.41"/>
    <n v="27.27"/>
    <n v="0.14000000000000001"/>
    <n v="103.21"/>
    <n v="2"/>
    <n v="0"/>
    <n v="6526"/>
    <n v="1331"/>
    <n v="11"/>
    <n v="737"/>
    <n v="6"/>
    <n v="4441"/>
    <n v="0.15310000000000001"/>
    <n v="1.8E-3"/>
    <n v="0"/>
  </r>
  <r>
    <n v="2005"/>
    <n v="9"/>
    <x v="4"/>
    <x v="4"/>
    <s v="SEA"/>
    <s v="Seattle, WA: Seattle/Tacoma International"/>
    <n v="523"/>
    <n v="99"/>
    <n v="26.46"/>
    <n v="5.12"/>
    <n v="34.659999999999997"/>
    <n v="0"/>
    <n v="32.76"/>
    <n v="0"/>
    <n v="1"/>
    <n v="5021"/>
    <n v="1415"/>
    <n v="432"/>
    <n v="1321"/>
    <n v="0"/>
    <n v="1853"/>
    <n v="0.1893"/>
    <n v="0"/>
    <n v="1.9E-3"/>
  </r>
  <r>
    <n v="2005"/>
    <n v="9"/>
    <x v="5"/>
    <x v="5"/>
    <s v="SEA"/>
    <s v="Seattle, WA: Seattle/Tacoma International"/>
    <n v="4077"/>
    <n v="791"/>
    <n v="262.39999999999998"/>
    <n v="3.88"/>
    <n v="151.31"/>
    <n v="3.11"/>
    <n v="370.31"/>
    <n v="39"/>
    <n v="4"/>
    <n v="39551"/>
    <n v="15310"/>
    <n v="244"/>
    <n v="4650"/>
    <n v="67"/>
    <n v="19280"/>
    <n v="0.19400000000000001"/>
    <n v="9.5999999999999992E-3"/>
    <n v="1E-3"/>
  </r>
  <r>
    <n v="2005"/>
    <n v="9"/>
    <x v="6"/>
    <x v="6"/>
    <s v="SEA"/>
    <s v="Seattle, WA: Seattle/Tacoma International"/>
    <n v="60"/>
    <n v="26"/>
    <n v="2.2799999999999998"/>
    <n v="0"/>
    <n v="22.6"/>
    <n v="0"/>
    <n v="1.1299999999999999"/>
    <n v="0"/>
    <n v="0"/>
    <n v="945"/>
    <n v="71"/>
    <n v="0"/>
    <n v="796"/>
    <n v="0"/>
    <n v="78"/>
    <n v="0.43330000000000002"/>
    <n v="0"/>
    <n v="0"/>
  </r>
  <r>
    <n v="2005"/>
    <n v="9"/>
    <x v="17"/>
    <x v="17"/>
    <s v="SEA"/>
    <s v="Seattle, WA: Seattle/Tacoma International"/>
    <n v="378"/>
    <n v="81"/>
    <n v="19.89"/>
    <n v="4.7699999999999996"/>
    <n v="41.07"/>
    <n v="0"/>
    <n v="15.27"/>
    <n v="11"/>
    <n v="1"/>
    <n v="3241"/>
    <n v="922"/>
    <n v="262"/>
    <n v="1117"/>
    <n v="0"/>
    <n v="940"/>
    <n v="0.21429999999999999"/>
    <n v="2.9100000000000001E-2"/>
    <n v="2.5999999999999999E-3"/>
  </r>
  <r>
    <n v="2005"/>
    <n v="9"/>
    <x v="22"/>
    <x v="22"/>
    <s v="SEA"/>
    <s v="Seattle, WA: Seattle/Tacoma International"/>
    <n v="30"/>
    <n v="4"/>
    <n v="0.76"/>
    <n v="0"/>
    <n v="0.59"/>
    <n v="0"/>
    <n v="2.65"/>
    <n v="0"/>
    <n v="0"/>
    <n v="212"/>
    <n v="27"/>
    <n v="0"/>
    <n v="31"/>
    <n v="0"/>
    <n v="154"/>
    <n v="0.1333"/>
    <n v="0"/>
    <n v="0"/>
  </r>
  <r>
    <n v="2005"/>
    <n v="9"/>
    <x v="7"/>
    <x v="7"/>
    <s v="SEA"/>
    <s v="Seattle, WA: Seattle/Tacoma International"/>
    <n v="503"/>
    <n v="121"/>
    <n v="36.76"/>
    <n v="0"/>
    <n v="70.27"/>
    <n v="0"/>
    <n v="13.97"/>
    <n v="6"/>
    <n v="0"/>
    <n v="4511"/>
    <n v="1470"/>
    <n v="0"/>
    <n v="2330"/>
    <n v="0"/>
    <n v="711"/>
    <n v="0.24060000000000001"/>
    <n v="1.1900000000000001E-2"/>
    <n v="0"/>
  </r>
  <r>
    <n v="2005"/>
    <n v="9"/>
    <x v="8"/>
    <x v="8"/>
    <s v="SEA"/>
    <s v="Seattle, WA: Seattle/Tacoma International"/>
    <n v="119"/>
    <n v="9"/>
    <n v="4.91"/>
    <n v="0"/>
    <n v="0.86"/>
    <n v="0"/>
    <n v="3.22"/>
    <n v="0"/>
    <n v="0"/>
    <n v="271"/>
    <n v="181"/>
    <n v="0"/>
    <n v="16"/>
    <n v="0"/>
    <n v="74"/>
    <n v="7.5600000000000001E-2"/>
    <n v="0"/>
    <n v="0"/>
  </r>
  <r>
    <n v="2005"/>
    <n v="9"/>
    <x v="0"/>
    <x v="0"/>
    <s v="SEA"/>
    <s v="Seattle, WA: Seattle/Tacoma International"/>
    <n v="59"/>
    <n v="17"/>
    <n v="15"/>
    <n v="0"/>
    <n v="0"/>
    <n v="0"/>
    <n v="2"/>
    <n v="0"/>
    <n v="0"/>
    <n v="665"/>
    <n v="604"/>
    <n v="0"/>
    <n v="0"/>
    <n v="0"/>
    <n v="61"/>
    <n v="0.28810000000000002"/>
    <n v="0"/>
    <n v="0"/>
  </r>
  <r>
    <n v="2005"/>
    <n v="9"/>
    <x v="21"/>
    <x v="21"/>
    <s v="SEA"/>
    <s v="Seattle, WA: Seattle/Tacoma International"/>
    <n v="300"/>
    <n v="21"/>
    <n v="11.43"/>
    <n v="1"/>
    <n v="3.91"/>
    <n v="1"/>
    <n v="3.66"/>
    <n v="0"/>
    <n v="0"/>
    <n v="1059"/>
    <n v="780"/>
    <n v="17"/>
    <n v="72"/>
    <n v="19"/>
    <n v="171"/>
    <n v="7.0000000000000007E-2"/>
    <n v="0"/>
    <n v="0"/>
  </r>
  <r>
    <n v="2005"/>
    <n v="9"/>
    <x v="18"/>
    <x v="18"/>
    <s v="SEA"/>
    <s v="Seattle, WA: Seattle/Tacoma International"/>
    <n v="390"/>
    <n v="129"/>
    <n v="50.03"/>
    <n v="4.76"/>
    <n v="61.57"/>
    <n v="0"/>
    <n v="12.65"/>
    <n v="0"/>
    <n v="0"/>
    <n v="4931"/>
    <n v="2195"/>
    <n v="240"/>
    <n v="1695"/>
    <n v="0"/>
    <n v="801"/>
    <n v="0.33079999999999998"/>
    <n v="0"/>
    <n v="0"/>
  </r>
  <r>
    <n v="2005"/>
    <n v="9"/>
    <x v="2"/>
    <x v="2"/>
    <s v="SEA"/>
    <s v="Seattle, WA: Seattle/Tacoma International"/>
    <n v="497"/>
    <n v="28"/>
    <n v="18"/>
    <n v="2"/>
    <n v="5"/>
    <n v="0"/>
    <n v="3"/>
    <n v="4"/>
    <n v="0"/>
    <n v="902"/>
    <n v="544"/>
    <n v="82"/>
    <n v="155"/>
    <n v="0"/>
    <n v="121"/>
    <n v="5.6300000000000003E-2"/>
    <n v="8.0000000000000002E-3"/>
    <n v="0"/>
  </r>
  <r>
    <n v="2005"/>
    <n v="9"/>
    <x v="9"/>
    <x v="9"/>
    <s v="SEA"/>
    <s v="Seattle, WA: Seattle/Tacoma International"/>
    <n v="959"/>
    <n v="152"/>
    <n v="49.62"/>
    <n v="1.05"/>
    <n v="44.21"/>
    <n v="0"/>
    <n v="57.12"/>
    <n v="3"/>
    <n v="0"/>
    <n v="8147"/>
    <n v="2880"/>
    <n v="70"/>
    <n v="1483"/>
    <n v="0"/>
    <n v="3714"/>
    <n v="0.1585"/>
    <n v="3.0999999999999999E-3"/>
    <n v="0"/>
  </r>
  <r>
    <n v="2005"/>
    <n v="9"/>
    <x v="15"/>
    <x v="15"/>
    <s v="SEA"/>
    <s v="Seattle, WA: Seattle/Tacoma International"/>
    <n v="145"/>
    <n v="31"/>
    <n v="11.66"/>
    <n v="0"/>
    <n v="15.68"/>
    <n v="0"/>
    <n v="3.66"/>
    <n v="0"/>
    <n v="0"/>
    <n v="951"/>
    <n v="367"/>
    <n v="0"/>
    <n v="401"/>
    <n v="0"/>
    <n v="183"/>
    <n v="0.21379999999999999"/>
    <n v="0"/>
    <n v="0"/>
  </r>
  <r>
    <n v="2005"/>
    <n v="9"/>
    <x v="10"/>
    <x v="10"/>
    <s v="SEA"/>
    <s v="Seattle, WA: Seattle/Tacoma International"/>
    <n v="1107"/>
    <n v="150"/>
    <n v="39.81"/>
    <n v="0.69"/>
    <n v="20.63"/>
    <n v="1.43"/>
    <n v="87.44"/>
    <n v="3"/>
    <n v="0"/>
    <n v="5193"/>
    <n v="1328"/>
    <n v="28"/>
    <n v="568"/>
    <n v="37"/>
    <n v="3232"/>
    <n v="0.13550000000000001"/>
    <n v="2.7000000000000001E-3"/>
    <n v="0"/>
  </r>
  <r>
    <n v="2005"/>
    <n v="8"/>
    <x v="4"/>
    <x v="4"/>
    <s v="SEA"/>
    <s v="Seattle, WA: Seattle/Tacoma International"/>
    <n v="622"/>
    <n v="172"/>
    <n v="49.99"/>
    <n v="16.170000000000002"/>
    <n v="45.43"/>
    <n v="0"/>
    <n v="60.41"/>
    <n v="3"/>
    <n v="0"/>
    <n v="9447"/>
    <n v="2679"/>
    <n v="1190"/>
    <n v="1803"/>
    <n v="0"/>
    <n v="3775"/>
    <n v="0.27650000000000002"/>
    <n v="4.7999999999999996E-3"/>
    <n v="0"/>
  </r>
  <r>
    <n v="2005"/>
    <n v="8"/>
    <x v="5"/>
    <x v="5"/>
    <s v="SEA"/>
    <s v="Seattle, WA: Seattle/Tacoma International"/>
    <n v="4388"/>
    <n v="1268"/>
    <n v="432.69"/>
    <n v="13.02"/>
    <n v="221.52"/>
    <n v="3.41"/>
    <n v="597.36"/>
    <n v="35"/>
    <n v="18"/>
    <n v="73084"/>
    <n v="25260"/>
    <n v="901"/>
    <n v="7355"/>
    <n v="106"/>
    <n v="39462"/>
    <n v="0.28899999999999998"/>
    <n v="8.0000000000000002E-3"/>
    <n v="4.1000000000000003E-3"/>
  </r>
  <r>
    <n v="2005"/>
    <n v="8"/>
    <x v="6"/>
    <x v="6"/>
    <s v="SEA"/>
    <s v="Seattle, WA: Seattle/Tacoma International"/>
    <n v="62"/>
    <n v="31"/>
    <n v="8.57"/>
    <n v="0"/>
    <n v="15.98"/>
    <n v="0"/>
    <n v="6.45"/>
    <n v="0"/>
    <n v="0"/>
    <n v="1462"/>
    <n v="323"/>
    <n v="0"/>
    <n v="553"/>
    <n v="0"/>
    <n v="586"/>
    <n v="0.5"/>
    <n v="0"/>
    <n v="0"/>
  </r>
  <r>
    <n v="2005"/>
    <n v="8"/>
    <x v="17"/>
    <x v="17"/>
    <s v="SEA"/>
    <s v="Seattle, WA: Seattle/Tacoma International"/>
    <n v="421"/>
    <n v="126"/>
    <n v="34.35"/>
    <n v="4.46"/>
    <n v="53.95"/>
    <n v="1.9"/>
    <n v="31.35"/>
    <n v="3"/>
    <n v="0"/>
    <n v="5999"/>
    <n v="1492"/>
    <n v="229"/>
    <n v="2007"/>
    <n v="132"/>
    <n v="2139"/>
    <n v="0.29930000000000001"/>
    <n v="7.1000000000000004E-3"/>
    <n v="0"/>
  </r>
  <r>
    <n v="2005"/>
    <n v="8"/>
    <x v="22"/>
    <x v="22"/>
    <s v="SEA"/>
    <s v="Seattle, WA: Seattle/Tacoma International"/>
    <n v="31"/>
    <n v="8"/>
    <n v="1.97"/>
    <n v="0"/>
    <n v="1.03"/>
    <n v="0"/>
    <n v="5"/>
    <n v="0"/>
    <n v="1"/>
    <n v="815"/>
    <n v="77"/>
    <n v="0"/>
    <n v="29"/>
    <n v="0"/>
    <n v="709"/>
    <n v="0.2581"/>
    <n v="0"/>
    <n v="3.2300000000000002E-2"/>
  </r>
  <r>
    <n v="2005"/>
    <n v="8"/>
    <x v="7"/>
    <x v="7"/>
    <s v="SEA"/>
    <s v="Seattle, WA: Seattle/Tacoma International"/>
    <n v="556"/>
    <n v="148"/>
    <n v="47.11"/>
    <n v="5.4"/>
    <n v="42.43"/>
    <n v="0"/>
    <n v="53.06"/>
    <n v="1"/>
    <n v="0"/>
    <n v="6906"/>
    <n v="2127"/>
    <n v="250"/>
    <n v="1493"/>
    <n v="0"/>
    <n v="3036"/>
    <n v="0.26619999999999999"/>
    <n v="1.8E-3"/>
    <n v="0"/>
  </r>
  <r>
    <n v="2005"/>
    <n v="8"/>
    <x v="23"/>
    <x v="23"/>
    <s v="SEA"/>
    <s v="Seattle, WA: Seattle/Tacoma International"/>
    <n v="62"/>
    <n v="22"/>
    <n v="14.04"/>
    <n v="0"/>
    <n v="6.05"/>
    <n v="0"/>
    <n v="1.91"/>
    <n v="1"/>
    <n v="0"/>
    <n v="1007"/>
    <n v="674"/>
    <n v="0"/>
    <n v="240"/>
    <n v="0"/>
    <n v="93"/>
    <n v="0.3548"/>
    <n v="1.61E-2"/>
    <n v="0"/>
  </r>
  <r>
    <n v="2005"/>
    <n v="8"/>
    <x v="8"/>
    <x v="8"/>
    <s v="SEA"/>
    <s v="Seattle, WA: Seattle/Tacoma International"/>
    <n v="134"/>
    <n v="11"/>
    <n v="5.31"/>
    <n v="1"/>
    <n v="2.2200000000000002"/>
    <n v="0"/>
    <n v="2.4700000000000002"/>
    <n v="0"/>
    <n v="0"/>
    <n v="607"/>
    <n v="147"/>
    <n v="56"/>
    <n v="105"/>
    <n v="0"/>
    <n v="299"/>
    <n v="8.2100000000000006E-2"/>
    <n v="0"/>
    <n v="0"/>
  </r>
  <r>
    <n v="2005"/>
    <n v="8"/>
    <x v="0"/>
    <x v="0"/>
    <s v="SEA"/>
    <s v="Seattle, WA: Seattle/Tacoma International"/>
    <n v="62"/>
    <n v="8"/>
    <n v="5.29"/>
    <n v="0"/>
    <n v="0"/>
    <n v="0.78"/>
    <n v="1.93"/>
    <n v="0"/>
    <n v="0"/>
    <n v="371"/>
    <n v="139"/>
    <n v="0"/>
    <n v="0"/>
    <n v="18"/>
    <n v="214"/>
    <n v="0.129"/>
    <n v="0"/>
    <n v="0"/>
  </r>
  <r>
    <n v="2005"/>
    <n v="8"/>
    <x v="21"/>
    <x v="21"/>
    <s v="SEA"/>
    <s v="Seattle, WA: Seattle/Tacoma International"/>
    <n v="310"/>
    <n v="56"/>
    <n v="24.47"/>
    <n v="0"/>
    <n v="17.61"/>
    <n v="0.48"/>
    <n v="13.45"/>
    <n v="0"/>
    <n v="0"/>
    <n v="2211"/>
    <n v="979"/>
    <n v="0"/>
    <n v="444"/>
    <n v="11"/>
    <n v="777"/>
    <n v="0.18060000000000001"/>
    <n v="0"/>
    <n v="0"/>
  </r>
  <r>
    <n v="2005"/>
    <n v="8"/>
    <x v="18"/>
    <x v="18"/>
    <s v="SEA"/>
    <s v="Seattle, WA: Seattle/Tacoma International"/>
    <n v="493"/>
    <n v="203"/>
    <n v="122.9"/>
    <n v="7.32"/>
    <n v="51.51"/>
    <n v="0"/>
    <n v="21.26"/>
    <n v="5"/>
    <n v="3"/>
    <n v="10545"/>
    <n v="7217"/>
    <n v="625"/>
    <n v="1385"/>
    <n v="0"/>
    <n v="1318"/>
    <n v="0.4118"/>
    <n v="1.01E-2"/>
    <n v="6.1000000000000004E-3"/>
  </r>
  <r>
    <n v="2005"/>
    <n v="8"/>
    <x v="2"/>
    <x v="2"/>
    <s v="SEA"/>
    <s v="Seattle, WA: Seattle/Tacoma International"/>
    <n v="457"/>
    <n v="32"/>
    <n v="22"/>
    <n v="1"/>
    <n v="3"/>
    <n v="1"/>
    <n v="5"/>
    <n v="3"/>
    <n v="0"/>
    <n v="1297"/>
    <n v="706"/>
    <n v="195"/>
    <n v="164"/>
    <n v="64"/>
    <n v="168"/>
    <n v="7.0000000000000007E-2"/>
    <n v="6.6E-3"/>
    <n v="0"/>
  </r>
  <r>
    <n v="2005"/>
    <n v="8"/>
    <x v="9"/>
    <x v="9"/>
    <s v="SEA"/>
    <s v="Seattle, WA: Seattle/Tacoma International"/>
    <n v="1028"/>
    <n v="174"/>
    <n v="67.98"/>
    <n v="0.49"/>
    <n v="35.25"/>
    <n v="0.08"/>
    <n v="70.209999999999994"/>
    <n v="3"/>
    <n v="2"/>
    <n v="9116"/>
    <n v="2767"/>
    <n v="41"/>
    <n v="1286"/>
    <n v="8"/>
    <n v="5014"/>
    <n v="0.16930000000000001"/>
    <n v="2.8999999999999998E-3"/>
    <n v="1.9E-3"/>
  </r>
  <r>
    <n v="2005"/>
    <n v="8"/>
    <x v="15"/>
    <x v="15"/>
    <s v="SEA"/>
    <s v="Seattle, WA: Seattle/Tacoma International"/>
    <n v="171"/>
    <n v="48"/>
    <n v="14.26"/>
    <n v="2.4"/>
    <n v="16.16"/>
    <n v="0"/>
    <n v="15.18"/>
    <n v="0"/>
    <n v="0"/>
    <n v="2717"/>
    <n v="608"/>
    <n v="323"/>
    <n v="636"/>
    <n v="0"/>
    <n v="1150"/>
    <n v="0.28070000000000001"/>
    <n v="0"/>
    <n v="0"/>
  </r>
  <r>
    <n v="2005"/>
    <n v="8"/>
    <x v="10"/>
    <x v="10"/>
    <s v="SEA"/>
    <s v="Seattle, WA: Seattle/Tacoma International"/>
    <n v="1158"/>
    <n v="205"/>
    <n v="70.150000000000006"/>
    <n v="5.13"/>
    <n v="28.58"/>
    <n v="0.65"/>
    <n v="100.49"/>
    <n v="0"/>
    <n v="0"/>
    <n v="8137"/>
    <n v="2422"/>
    <n v="279"/>
    <n v="1052"/>
    <n v="17"/>
    <n v="4367"/>
    <n v="0.17699999999999999"/>
    <n v="0"/>
    <n v="0"/>
  </r>
  <r>
    <n v="2005"/>
    <n v="7"/>
    <x v="4"/>
    <x v="4"/>
    <s v="SEA"/>
    <s v="Seattle, WA: Seattle/Tacoma International"/>
    <n v="656"/>
    <n v="257"/>
    <n v="77.319999999999993"/>
    <n v="31.27"/>
    <n v="68.239999999999995"/>
    <n v="0"/>
    <n v="80.17"/>
    <n v="1"/>
    <n v="2"/>
    <n v="16149"/>
    <n v="4145"/>
    <n v="2187"/>
    <n v="2808"/>
    <n v="0"/>
    <n v="7009"/>
    <n v="0.39179999999999998"/>
    <n v="1.5E-3"/>
    <n v="3.0000000000000001E-3"/>
  </r>
  <r>
    <n v="2005"/>
    <n v="7"/>
    <x v="5"/>
    <x v="5"/>
    <s v="SEA"/>
    <s v="Seattle, WA: Seattle/Tacoma International"/>
    <n v="4351"/>
    <n v="1515"/>
    <n v="570.23"/>
    <n v="15.37"/>
    <n v="234.01"/>
    <n v="9.64"/>
    <n v="685.76"/>
    <n v="32"/>
    <n v="9"/>
    <n v="80723"/>
    <n v="32077"/>
    <n v="853"/>
    <n v="7998"/>
    <n v="241"/>
    <n v="39554"/>
    <n v="0.34820000000000001"/>
    <n v="7.4000000000000003E-3"/>
    <n v="2.0999999999999999E-3"/>
  </r>
  <r>
    <n v="2005"/>
    <n v="7"/>
    <x v="6"/>
    <x v="6"/>
    <s v="SEA"/>
    <s v="Seattle, WA: Seattle/Tacoma International"/>
    <n v="62"/>
    <n v="35"/>
    <n v="11.37"/>
    <n v="0"/>
    <n v="16.920000000000002"/>
    <n v="0"/>
    <n v="6.71"/>
    <n v="1"/>
    <n v="0"/>
    <n v="2080"/>
    <n v="695"/>
    <n v="0"/>
    <n v="966"/>
    <n v="0"/>
    <n v="419"/>
    <n v="0.5645"/>
    <n v="1.61E-2"/>
    <n v="0"/>
  </r>
  <r>
    <n v="2005"/>
    <n v="7"/>
    <x v="17"/>
    <x v="17"/>
    <s v="SEA"/>
    <s v="Seattle, WA: Seattle/Tacoma International"/>
    <n v="423"/>
    <n v="150"/>
    <n v="35.479999999999997"/>
    <n v="7.09"/>
    <n v="65.209999999999994"/>
    <n v="1.07"/>
    <n v="41.15"/>
    <n v="0"/>
    <n v="0"/>
    <n v="7784"/>
    <n v="1602"/>
    <n v="607"/>
    <n v="2591"/>
    <n v="27"/>
    <n v="2957"/>
    <n v="0.35460000000000003"/>
    <n v="0"/>
    <n v="0"/>
  </r>
  <r>
    <n v="2005"/>
    <n v="7"/>
    <x v="22"/>
    <x v="22"/>
    <s v="SEA"/>
    <s v="Seattle, WA: Seattle/Tacoma International"/>
    <n v="31"/>
    <n v="13"/>
    <n v="4.22"/>
    <n v="0.66"/>
    <n v="4.07"/>
    <n v="0"/>
    <n v="4.05"/>
    <n v="0"/>
    <n v="1"/>
    <n v="758"/>
    <n v="229"/>
    <n v="39"/>
    <n v="151"/>
    <n v="0"/>
    <n v="339"/>
    <n v="0.4194"/>
    <n v="0"/>
    <n v="3.2300000000000002E-2"/>
  </r>
  <r>
    <n v="2005"/>
    <n v="7"/>
    <x v="7"/>
    <x v="7"/>
    <s v="SEA"/>
    <s v="Seattle, WA: Seattle/Tacoma International"/>
    <n v="554"/>
    <n v="188"/>
    <n v="60.65"/>
    <n v="2.61"/>
    <n v="58.67"/>
    <n v="0"/>
    <n v="66.069999999999993"/>
    <n v="1"/>
    <n v="0"/>
    <n v="11260"/>
    <n v="3525"/>
    <n v="290"/>
    <n v="2756"/>
    <n v="0"/>
    <n v="4689"/>
    <n v="0.33939999999999998"/>
    <n v="1.8E-3"/>
    <n v="0"/>
  </r>
  <r>
    <n v="2005"/>
    <n v="7"/>
    <x v="23"/>
    <x v="23"/>
    <s v="SEA"/>
    <s v="Seattle, WA: Seattle/Tacoma International"/>
    <n v="62"/>
    <n v="17"/>
    <n v="9.76"/>
    <n v="0"/>
    <n v="5.28"/>
    <n v="0"/>
    <n v="1.97"/>
    <n v="2"/>
    <n v="0"/>
    <n v="565"/>
    <n v="355"/>
    <n v="0"/>
    <n v="129"/>
    <n v="0"/>
    <n v="81"/>
    <n v="0.2742"/>
    <n v="3.2300000000000002E-2"/>
    <n v="0"/>
  </r>
  <r>
    <n v="2005"/>
    <n v="7"/>
    <x v="8"/>
    <x v="8"/>
    <s v="SEA"/>
    <s v="Seattle, WA: Seattle/Tacoma International"/>
    <n v="145"/>
    <n v="20"/>
    <n v="11.41"/>
    <n v="0"/>
    <n v="2.99"/>
    <n v="0"/>
    <n v="5.6"/>
    <n v="0"/>
    <n v="0"/>
    <n v="662"/>
    <n v="330"/>
    <n v="0"/>
    <n v="60"/>
    <n v="0"/>
    <n v="272"/>
    <n v="0.13789999999999999"/>
    <n v="0"/>
    <n v="0"/>
  </r>
  <r>
    <n v="2005"/>
    <n v="7"/>
    <x v="0"/>
    <x v="0"/>
    <s v="SEA"/>
    <s v="Seattle, WA: Seattle/Tacoma International"/>
    <n v="62"/>
    <n v="7"/>
    <n v="5"/>
    <n v="0"/>
    <n v="0"/>
    <n v="0"/>
    <n v="2"/>
    <n v="0"/>
    <n v="0"/>
    <n v="311"/>
    <n v="130"/>
    <n v="0"/>
    <n v="0"/>
    <n v="0"/>
    <n v="181"/>
    <n v="0.1129"/>
    <n v="0"/>
    <n v="0"/>
  </r>
  <r>
    <n v="2005"/>
    <n v="7"/>
    <x v="21"/>
    <x v="21"/>
    <s v="SEA"/>
    <s v="Seattle, WA: Seattle/Tacoma International"/>
    <n v="310"/>
    <n v="57"/>
    <n v="33.39"/>
    <n v="0"/>
    <n v="7.81"/>
    <n v="0.75"/>
    <n v="15.05"/>
    <n v="0"/>
    <n v="0"/>
    <n v="2915"/>
    <n v="1900"/>
    <n v="0"/>
    <n v="281"/>
    <n v="49"/>
    <n v="685"/>
    <n v="0.18390000000000001"/>
    <n v="0"/>
    <n v="0"/>
  </r>
  <r>
    <n v="2005"/>
    <n v="7"/>
    <x v="18"/>
    <x v="18"/>
    <s v="SEA"/>
    <s v="Seattle, WA: Seattle/Tacoma International"/>
    <n v="558"/>
    <n v="192"/>
    <n v="85.43"/>
    <n v="7.48"/>
    <n v="76.180000000000007"/>
    <n v="1.17"/>
    <n v="21.75"/>
    <n v="7"/>
    <n v="1"/>
    <n v="8577"/>
    <n v="4583"/>
    <n v="380"/>
    <n v="2211"/>
    <n v="35"/>
    <n v="1368"/>
    <n v="0.34410000000000002"/>
    <n v="1.2500000000000001E-2"/>
    <n v="1.8E-3"/>
  </r>
  <r>
    <n v="2005"/>
    <n v="7"/>
    <x v="2"/>
    <x v="2"/>
    <s v="SEA"/>
    <s v="Seattle, WA: Seattle/Tacoma International"/>
    <n v="455"/>
    <n v="26"/>
    <n v="22"/>
    <n v="0"/>
    <n v="3"/>
    <n v="0"/>
    <n v="1"/>
    <n v="2"/>
    <n v="0"/>
    <n v="867"/>
    <n v="741"/>
    <n v="0"/>
    <n v="69"/>
    <n v="0"/>
    <n v="57"/>
    <n v="5.7099999999999998E-2"/>
    <n v="4.4000000000000003E-3"/>
    <n v="0"/>
  </r>
  <r>
    <n v="2005"/>
    <n v="7"/>
    <x v="9"/>
    <x v="9"/>
    <s v="SEA"/>
    <s v="Seattle, WA: Seattle/Tacoma International"/>
    <n v="1073"/>
    <n v="286"/>
    <n v="120.18"/>
    <n v="7.31"/>
    <n v="66.47"/>
    <n v="0"/>
    <n v="92.04"/>
    <n v="10"/>
    <n v="1"/>
    <n v="15197"/>
    <n v="5431"/>
    <n v="597"/>
    <n v="2542"/>
    <n v="0"/>
    <n v="6627"/>
    <n v="0.26650000000000001"/>
    <n v="9.2999999999999992E-3"/>
    <n v="8.9999999999999998E-4"/>
  </r>
  <r>
    <n v="2005"/>
    <n v="7"/>
    <x v="15"/>
    <x v="15"/>
    <s v="SEA"/>
    <s v="Seattle, WA: Seattle/Tacoma International"/>
    <n v="179"/>
    <n v="84"/>
    <n v="29.8"/>
    <n v="6.69"/>
    <n v="24.19"/>
    <n v="0"/>
    <n v="23.31"/>
    <n v="0"/>
    <n v="0"/>
    <n v="5942"/>
    <n v="1439"/>
    <n v="659"/>
    <n v="1668"/>
    <n v="0"/>
    <n v="2176"/>
    <n v="0.46929999999999999"/>
    <n v="0"/>
    <n v="0"/>
  </r>
  <r>
    <n v="2005"/>
    <n v="7"/>
    <x v="10"/>
    <x v="10"/>
    <s v="SEA"/>
    <s v="Seattle, WA: Seattle/Tacoma International"/>
    <n v="1145"/>
    <n v="233"/>
    <n v="66.28"/>
    <n v="0.53"/>
    <n v="27.39"/>
    <n v="3.54"/>
    <n v="135.26"/>
    <n v="0"/>
    <n v="2"/>
    <n v="10154"/>
    <n v="2684"/>
    <n v="14"/>
    <n v="722"/>
    <n v="82"/>
    <n v="6652"/>
    <n v="0.20349999999999999"/>
    <n v="0"/>
    <n v="1.6999999999999999E-3"/>
  </r>
  <r>
    <n v="2005"/>
    <n v="6"/>
    <x v="4"/>
    <x v="4"/>
    <s v="SEA"/>
    <s v="Seattle, WA: Seattle/Tacoma International"/>
    <n v="598"/>
    <n v="180"/>
    <n v="58.85"/>
    <n v="13.2"/>
    <n v="44.01"/>
    <n v="0"/>
    <n v="63.94"/>
    <n v="0"/>
    <n v="3"/>
    <n v="10144"/>
    <n v="3316"/>
    <n v="701"/>
    <n v="1736"/>
    <n v="0"/>
    <n v="4391"/>
    <n v="0.30099999999999999"/>
    <n v="0"/>
    <n v="5.0000000000000001E-3"/>
  </r>
  <r>
    <n v="2005"/>
    <n v="6"/>
    <x v="5"/>
    <x v="5"/>
    <s v="SEA"/>
    <s v="Seattle, WA: Seattle/Tacoma International"/>
    <n v="4152"/>
    <n v="1992"/>
    <n v="611.84"/>
    <n v="11.93"/>
    <n v="398.15"/>
    <n v="9.76"/>
    <n v="960.32"/>
    <n v="144"/>
    <n v="17"/>
    <n v="120410"/>
    <n v="36808"/>
    <n v="886"/>
    <n v="14624"/>
    <n v="363"/>
    <n v="67729"/>
    <n v="0.4798"/>
    <n v="3.4700000000000002E-2"/>
    <n v="4.1000000000000003E-3"/>
  </r>
  <r>
    <n v="2005"/>
    <n v="6"/>
    <x v="6"/>
    <x v="6"/>
    <s v="SEA"/>
    <s v="Seattle, WA: Seattle/Tacoma International"/>
    <n v="44"/>
    <n v="19"/>
    <n v="2.59"/>
    <n v="0"/>
    <n v="12.03"/>
    <n v="0"/>
    <n v="4.38"/>
    <n v="0"/>
    <n v="0"/>
    <n v="803"/>
    <n v="104"/>
    <n v="0"/>
    <n v="438"/>
    <n v="0"/>
    <n v="261"/>
    <n v="0.43180000000000002"/>
    <n v="0"/>
    <n v="0"/>
  </r>
  <r>
    <n v="2005"/>
    <n v="6"/>
    <x v="17"/>
    <x v="17"/>
    <s v="SEA"/>
    <s v="Seattle, WA: Seattle/Tacoma International"/>
    <n v="390"/>
    <n v="83"/>
    <n v="23.48"/>
    <n v="0.71"/>
    <n v="46.18"/>
    <n v="0"/>
    <n v="12.63"/>
    <n v="0"/>
    <n v="0"/>
    <n v="3284"/>
    <n v="879"/>
    <n v="27"/>
    <n v="1573"/>
    <n v="0"/>
    <n v="805"/>
    <n v="0.21279999999999999"/>
    <n v="0"/>
    <n v="0"/>
  </r>
  <r>
    <n v="2005"/>
    <n v="6"/>
    <x v="22"/>
    <x v="22"/>
    <s v="SEA"/>
    <s v="Seattle, WA: Seattle/Tacoma International"/>
    <n v="30"/>
    <n v="11"/>
    <n v="1.0900000000000001"/>
    <n v="0"/>
    <n v="5.98"/>
    <n v="0"/>
    <n v="3.93"/>
    <n v="0"/>
    <n v="0"/>
    <n v="905"/>
    <n v="137"/>
    <n v="0"/>
    <n v="515"/>
    <n v="0"/>
    <n v="253"/>
    <n v="0.36670000000000003"/>
    <n v="0"/>
    <n v="0"/>
  </r>
  <r>
    <n v="2005"/>
    <n v="6"/>
    <x v="7"/>
    <x v="7"/>
    <s v="SEA"/>
    <s v="Seattle, WA: Seattle/Tacoma International"/>
    <n v="510"/>
    <n v="116"/>
    <n v="44.13"/>
    <n v="1"/>
    <n v="34.840000000000003"/>
    <n v="0.59"/>
    <n v="35.44"/>
    <n v="0"/>
    <n v="1"/>
    <n v="6125"/>
    <n v="2373"/>
    <n v="46"/>
    <n v="1281"/>
    <n v="47"/>
    <n v="2378"/>
    <n v="0.22750000000000001"/>
    <n v="0"/>
    <n v="2E-3"/>
  </r>
  <r>
    <n v="2005"/>
    <n v="6"/>
    <x v="23"/>
    <x v="23"/>
    <s v="SEA"/>
    <s v="Seattle, WA: Seattle/Tacoma International"/>
    <n v="30"/>
    <n v="5"/>
    <n v="2.39"/>
    <n v="1"/>
    <n v="1.61"/>
    <n v="0"/>
    <n v="0"/>
    <n v="0"/>
    <n v="0"/>
    <n v="117"/>
    <n v="48"/>
    <n v="36"/>
    <n v="33"/>
    <n v="0"/>
    <n v="0"/>
    <n v="0.16669999999999999"/>
    <n v="0"/>
    <n v="0"/>
  </r>
  <r>
    <n v="2005"/>
    <n v="6"/>
    <x v="8"/>
    <x v="8"/>
    <s v="SEA"/>
    <s v="Seattle, WA: Seattle/Tacoma International"/>
    <n v="132"/>
    <n v="24"/>
    <n v="6.52"/>
    <n v="3.92"/>
    <n v="2.85"/>
    <n v="0"/>
    <n v="10.71"/>
    <n v="0"/>
    <n v="1"/>
    <n v="1304"/>
    <n v="492"/>
    <n v="194"/>
    <n v="267"/>
    <n v="0"/>
    <n v="351"/>
    <n v="0.18179999999999999"/>
    <n v="0"/>
    <n v="7.6E-3"/>
  </r>
  <r>
    <n v="2005"/>
    <n v="6"/>
    <x v="0"/>
    <x v="0"/>
    <s v="SEA"/>
    <s v="Seattle, WA: Seattle/Tacoma International"/>
    <n v="60"/>
    <n v="15"/>
    <n v="13.82"/>
    <n v="0"/>
    <n v="0.75"/>
    <n v="0"/>
    <n v="0.43"/>
    <n v="0"/>
    <n v="0"/>
    <n v="594"/>
    <n v="537"/>
    <n v="0"/>
    <n v="12"/>
    <n v="0"/>
    <n v="45"/>
    <n v="0.25"/>
    <n v="0"/>
    <n v="0"/>
  </r>
  <r>
    <n v="2005"/>
    <n v="6"/>
    <x v="21"/>
    <x v="21"/>
    <s v="SEA"/>
    <s v="Seattle, WA: Seattle/Tacoma International"/>
    <n v="300"/>
    <n v="52"/>
    <n v="21.88"/>
    <n v="0"/>
    <n v="18.59"/>
    <n v="0"/>
    <n v="11.53"/>
    <n v="1"/>
    <n v="0"/>
    <n v="1910"/>
    <n v="910"/>
    <n v="0"/>
    <n v="415"/>
    <n v="0"/>
    <n v="585"/>
    <n v="0.17330000000000001"/>
    <n v="3.3E-3"/>
    <n v="0"/>
  </r>
  <r>
    <n v="2005"/>
    <n v="6"/>
    <x v="18"/>
    <x v="18"/>
    <s v="SEA"/>
    <s v="Seattle, WA: Seattle/Tacoma International"/>
    <n v="462"/>
    <n v="84"/>
    <n v="33.950000000000003"/>
    <n v="6.72"/>
    <n v="32.35"/>
    <n v="0"/>
    <n v="10.98"/>
    <n v="1"/>
    <n v="1"/>
    <n v="4073"/>
    <n v="1858"/>
    <n v="455"/>
    <n v="1243"/>
    <n v="0"/>
    <n v="517"/>
    <n v="0.18179999999999999"/>
    <n v="2.2000000000000001E-3"/>
    <n v="2.2000000000000001E-3"/>
  </r>
  <r>
    <n v="2005"/>
    <n v="6"/>
    <x v="2"/>
    <x v="2"/>
    <s v="SEA"/>
    <s v="Seattle, WA: Seattle/Tacoma International"/>
    <n v="473"/>
    <n v="65"/>
    <n v="44"/>
    <n v="4"/>
    <n v="11"/>
    <n v="0"/>
    <n v="6"/>
    <n v="3"/>
    <n v="0"/>
    <n v="2208"/>
    <n v="1226"/>
    <n v="197"/>
    <n v="611"/>
    <n v="0"/>
    <n v="174"/>
    <n v="0.13739999999999999"/>
    <n v="6.3E-3"/>
    <n v="0"/>
  </r>
  <r>
    <n v="2005"/>
    <n v="6"/>
    <x v="9"/>
    <x v="9"/>
    <s v="SEA"/>
    <s v="Seattle, WA: Seattle/Tacoma International"/>
    <n v="1001"/>
    <n v="279"/>
    <n v="86.86"/>
    <n v="7.9"/>
    <n v="72.13"/>
    <n v="0"/>
    <n v="112.11"/>
    <n v="6"/>
    <n v="2"/>
    <n v="17275"/>
    <n v="4413"/>
    <n v="816"/>
    <n v="3073"/>
    <n v="0"/>
    <n v="8973"/>
    <n v="0.2787"/>
    <n v="6.0000000000000001E-3"/>
    <n v="2E-3"/>
  </r>
  <r>
    <n v="2005"/>
    <n v="6"/>
    <x v="15"/>
    <x v="15"/>
    <s v="SEA"/>
    <s v="Seattle, WA: Seattle/Tacoma International"/>
    <n v="175"/>
    <n v="51"/>
    <n v="14.5"/>
    <n v="4.32"/>
    <n v="16.399999999999999"/>
    <n v="0"/>
    <n v="15.78"/>
    <n v="0"/>
    <n v="0"/>
    <n v="3272"/>
    <n v="594"/>
    <n v="397"/>
    <n v="1097"/>
    <n v="0"/>
    <n v="1184"/>
    <n v="0.29139999999999999"/>
    <n v="0"/>
    <n v="0"/>
  </r>
  <r>
    <n v="2005"/>
    <n v="6"/>
    <x v="10"/>
    <x v="10"/>
    <s v="SEA"/>
    <s v="Seattle, WA: Seattle/Tacoma International"/>
    <n v="1119"/>
    <n v="227"/>
    <n v="67.400000000000006"/>
    <n v="6.09"/>
    <n v="58.54"/>
    <n v="0.71"/>
    <n v="94.25"/>
    <n v="1"/>
    <n v="2"/>
    <n v="9603"/>
    <n v="2998"/>
    <n v="464"/>
    <n v="2028"/>
    <n v="19"/>
    <n v="4094"/>
    <n v="0.2029"/>
    <n v="8.9999999999999998E-4"/>
    <n v="1.8E-3"/>
  </r>
  <r>
    <n v="2005"/>
    <n v="5"/>
    <x v="4"/>
    <x v="4"/>
    <s v="SEA"/>
    <s v="Seattle, WA: Seattle/Tacoma International"/>
    <n v="515"/>
    <n v="89"/>
    <n v="22.1"/>
    <n v="6.53"/>
    <n v="38.06"/>
    <n v="0"/>
    <n v="22.31"/>
    <n v="0"/>
    <n v="3"/>
    <n v="3545"/>
    <n v="834"/>
    <n v="328"/>
    <n v="1082"/>
    <n v="0"/>
    <n v="1301"/>
    <n v="0.17280000000000001"/>
    <n v="0"/>
    <n v="5.7999999999999996E-3"/>
  </r>
  <r>
    <n v="2005"/>
    <n v="5"/>
    <x v="5"/>
    <x v="5"/>
    <s v="SEA"/>
    <s v="Seattle, WA: Seattle/Tacoma International"/>
    <n v="3839"/>
    <n v="1558"/>
    <n v="466.87"/>
    <n v="6.99"/>
    <n v="299.93"/>
    <n v="5.69"/>
    <n v="778.53"/>
    <n v="89"/>
    <n v="6"/>
    <n v="93546"/>
    <n v="31260"/>
    <n v="299"/>
    <n v="10270"/>
    <n v="166"/>
    <n v="51551"/>
    <n v="0.40579999999999999"/>
    <n v="2.3199999999999998E-2"/>
    <n v="1.6000000000000001E-3"/>
  </r>
  <r>
    <n v="2005"/>
    <n v="5"/>
    <x v="6"/>
    <x v="6"/>
    <s v="SEA"/>
    <s v="Seattle, WA: Seattle/Tacoma International"/>
    <n v="31"/>
    <n v="9"/>
    <n v="2.16"/>
    <n v="0"/>
    <n v="5.52"/>
    <n v="0"/>
    <n v="1.32"/>
    <n v="0"/>
    <n v="0"/>
    <n v="327"/>
    <n v="89"/>
    <n v="0"/>
    <n v="198"/>
    <n v="0"/>
    <n v="40"/>
    <n v="0.2903"/>
    <n v="0"/>
    <n v="0"/>
  </r>
  <r>
    <n v="2005"/>
    <n v="5"/>
    <x v="17"/>
    <x v="17"/>
    <s v="SEA"/>
    <s v="Seattle, WA: Seattle/Tacoma International"/>
    <n v="348"/>
    <n v="75"/>
    <n v="16.82"/>
    <n v="3.03"/>
    <n v="43.42"/>
    <n v="0.56999999999999995"/>
    <n v="11.17"/>
    <n v="2"/>
    <n v="2"/>
    <n v="2567"/>
    <n v="549"/>
    <n v="261"/>
    <n v="1139"/>
    <n v="12"/>
    <n v="606"/>
    <n v="0.2155"/>
    <n v="5.7000000000000002E-3"/>
    <n v="5.7000000000000002E-3"/>
  </r>
  <r>
    <n v="2005"/>
    <n v="5"/>
    <x v="22"/>
    <x v="22"/>
    <s v="SEA"/>
    <s v="Seattle, WA: Seattle/Tacoma International"/>
    <n v="31"/>
    <n v="16"/>
    <n v="5.69"/>
    <n v="0.79"/>
    <n v="4.71"/>
    <n v="0.81"/>
    <n v="4"/>
    <n v="0"/>
    <n v="0"/>
    <n v="738"/>
    <n v="213"/>
    <n v="82"/>
    <n v="185"/>
    <n v="25"/>
    <n v="233"/>
    <n v="0.5161"/>
    <n v="0"/>
    <n v="0"/>
  </r>
  <r>
    <n v="2005"/>
    <n v="5"/>
    <x v="7"/>
    <x v="7"/>
    <s v="SEA"/>
    <s v="Seattle, WA: Seattle/Tacoma International"/>
    <n v="487"/>
    <n v="79"/>
    <n v="28.91"/>
    <n v="0.26"/>
    <n v="37.36"/>
    <n v="0"/>
    <n v="12.47"/>
    <n v="0"/>
    <n v="0"/>
    <n v="3230"/>
    <n v="1359"/>
    <n v="15"/>
    <n v="1113"/>
    <n v="0"/>
    <n v="743"/>
    <n v="0.16220000000000001"/>
    <n v="0"/>
    <n v="0"/>
  </r>
  <r>
    <n v="2005"/>
    <n v="5"/>
    <x v="23"/>
    <x v="23"/>
    <s v="SEA"/>
    <s v="Seattle, WA: Seattle/Tacoma International"/>
    <n v="31"/>
    <n v="9"/>
    <n v="4.53"/>
    <n v="0"/>
    <n v="3.47"/>
    <n v="0"/>
    <n v="1"/>
    <n v="0"/>
    <n v="0"/>
    <n v="370"/>
    <n v="252"/>
    <n v="0"/>
    <n v="73"/>
    <n v="0"/>
    <n v="45"/>
    <n v="0.2903"/>
    <n v="0"/>
    <n v="0"/>
  </r>
  <r>
    <n v="2005"/>
    <n v="5"/>
    <x v="8"/>
    <x v="8"/>
    <s v="SEA"/>
    <s v="Seattle, WA: Seattle/Tacoma International"/>
    <n v="122"/>
    <n v="32"/>
    <n v="15.13"/>
    <n v="0.82"/>
    <n v="7.34"/>
    <n v="0"/>
    <n v="8.7100000000000009"/>
    <n v="0"/>
    <n v="0"/>
    <n v="1222"/>
    <n v="547"/>
    <n v="56"/>
    <n v="257"/>
    <n v="0"/>
    <n v="362"/>
    <n v="0.26229999999999998"/>
    <n v="0"/>
    <n v="0"/>
  </r>
  <r>
    <n v="2005"/>
    <n v="5"/>
    <x v="0"/>
    <x v="0"/>
    <s v="SEA"/>
    <s v="Seattle, WA: Seattle/Tacoma International"/>
    <n v="62"/>
    <n v="9"/>
    <n v="8"/>
    <n v="0"/>
    <n v="0"/>
    <n v="0"/>
    <n v="1"/>
    <n v="0"/>
    <n v="0"/>
    <n v="324"/>
    <n v="299"/>
    <n v="0"/>
    <n v="0"/>
    <n v="0"/>
    <n v="25"/>
    <n v="0.1452"/>
    <n v="0"/>
    <n v="0"/>
  </r>
  <r>
    <n v="2005"/>
    <n v="5"/>
    <x v="21"/>
    <x v="21"/>
    <s v="SEA"/>
    <s v="Seattle, WA: Seattle/Tacoma International"/>
    <n v="311"/>
    <n v="43"/>
    <n v="21.4"/>
    <n v="0"/>
    <n v="11.19"/>
    <n v="0"/>
    <n v="10.4"/>
    <n v="1"/>
    <n v="0"/>
    <n v="2148"/>
    <n v="1378"/>
    <n v="0"/>
    <n v="247"/>
    <n v="0"/>
    <n v="523"/>
    <n v="0.13830000000000001"/>
    <n v="3.2000000000000002E-3"/>
    <n v="0"/>
  </r>
  <r>
    <n v="2005"/>
    <n v="5"/>
    <x v="18"/>
    <x v="18"/>
    <s v="SEA"/>
    <s v="Seattle, WA: Seattle/Tacoma International"/>
    <n v="341"/>
    <n v="64"/>
    <n v="22.49"/>
    <n v="0.42"/>
    <n v="36.56"/>
    <n v="0"/>
    <n v="4.53"/>
    <n v="0"/>
    <n v="1"/>
    <n v="2286"/>
    <n v="979"/>
    <n v="43"/>
    <n v="987"/>
    <n v="0"/>
    <n v="277"/>
    <n v="0.18770000000000001"/>
    <n v="0"/>
    <n v="2.8999999999999998E-3"/>
  </r>
  <r>
    <n v="2005"/>
    <n v="5"/>
    <x v="2"/>
    <x v="2"/>
    <s v="SEA"/>
    <s v="Seattle, WA: Seattle/Tacoma International"/>
    <n v="487"/>
    <n v="45"/>
    <n v="34"/>
    <n v="0"/>
    <n v="3"/>
    <n v="0"/>
    <n v="8"/>
    <n v="3"/>
    <n v="0"/>
    <n v="1696"/>
    <n v="1273"/>
    <n v="0"/>
    <n v="101"/>
    <n v="0"/>
    <n v="322"/>
    <n v="9.2399999999999996E-2"/>
    <n v="6.1999999999999998E-3"/>
    <n v="0"/>
  </r>
  <r>
    <n v="2005"/>
    <n v="5"/>
    <x v="9"/>
    <x v="9"/>
    <s v="SEA"/>
    <s v="Seattle, WA: Seattle/Tacoma International"/>
    <n v="850"/>
    <n v="161"/>
    <n v="47.85"/>
    <n v="1.94"/>
    <n v="55.49"/>
    <n v="0"/>
    <n v="55.72"/>
    <n v="4"/>
    <n v="0"/>
    <n v="8123"/>
    <n v="1902"/>
    <n v="220"/>
    <n v="1968"/>
    <n v="0"/>
    <n v="4033"/>
    <n v="0.18940000000000001"/>
    <n v="4.7000000000000002E-3"/>
    <n v="0"/>
  </r>
  <r>
    <n v="2005"/>
    <n v="5"/>
    <x v="15"/>
    <x v="15"/>
    <s v="SEA"/>
    <s v="Seattle, WA: Seattle/Tacoma International"/>
    <n v="166"/>
    <n v="53"/>
    <n v="20.59"/>
    <n v="2"/>
    <n v="21.78"/>
    <n v="0"/>
    <n v="8.6300000000000008"/>
    <n v="0"/>
    <n v="0"/>
    <n v="2037"/>
    <n v="697"/>
    <n v="32"/>
    <n v="732"/>
    <n v="0"/>
    <n v="576"/>
    <n v="0.31929999999999997"/>
    <n v="0"/>
    <n v="0"/>
  </r>
  <r>
    <n v="2005"/>
    <n v="5"/>
    <x v="10"/>
    <x v="10"/>
    <s v="SEA"/>
    <s v="Seattle, WA: Seattle/Tacoma International"/>
    <n v="1144"/>
    <n v="141"/>
    <n v="39.36"/>
    <n v="2.0099999999999998"/>
    <n v="25.12"/>
    <n v="0"/>
    <n v="74.510000000000005"/>
    <n v="1"/>
    <n v="0"/>
    <n v="5382"/>
    <n v="1503"/>
    <n v="139"/>
    <n v="606"/>
    <n v="0"/>
    <n v="3134"/>
    <n v="0.12330000000000001"/>
    <n v="8.9999999999999998E-4"/>
    <n v="0"/>
  </r>
  <r>
    <n v="2005"/>
    <n v="4"/>
    <x v="4"/>
    <x v="4"/>
    <s v="SEA"/>
    <s v="Seattle, WA: Seattle/Tacoma International"/>
    <n v="488"/>
    <n v="61"/>
    <n v="18.93"/>
    <n v="7.41"/>
    <n v="15.75"/>
    <n v="0"/>
    <n v="18.91"/>
    <n v="0"/>
    <n v="0"/>
    <n v="2450"/>
    <n v="733"/>
    <n v="393"/>
    <n v="406"/>
    <n v="0"/>
    <n v="918"/>
    <n v="0.125"/>
    <n v="0"/>
    <n v="0"/>
  </r>
  <r>
    <n v="2005"/>
    <n v="4"/>
    <x v="5"/>
    <x v="5"/>
    <s v="SEA"/>
    <s v="Seattle, WA: Seattle/Tacoma International"/>
    <n v="3860"/>
    <n v="782"/>
    <n v="211.35"/>
    <n v="8.11"/>
    <n v="149.99"/>
    <n v="4.59"/>
    <n v="407.97"/>
    <n v="85"/>
    <n v="8"/>
    <n v="45809"/>
    <n v="12411"/>
    <n v="474"/>
    <n v="4284"/>
    <n v="114"/>
    <n v="28526"/>
    <n v="0.2026"/>
    <n v="2.1999999999999999E-2"/>
    <n v="2.0999999999999999E-3"/>
  </r>
  <r>
    <n v="2005"/>
    <n v="4"/>
    <x v="6"/>
    <x v="6"/>
    <s v="SEA"/>
    <s v="Seattle, WA: Seattle/Tacoma International"/>
    <n v="30"/>
    <n v="5"/>
    <n v="0.43"/>
    <n v="0"/>
    <n v="1.96"/>
    <n v="0"/>
    <n v="2.61"/>
    <n v="1"/>
    <n v="0"/>
    <n v="149"/>
    <n v="16"/>
    <n v="0"/>
    <n v="59"/>
    <n v="0"/>
    <n v="74"/>
    <n v="0.16669999999999999"/>
    <n v="3.3300000000000003E-2"/>
    <n v="0"/>
  </r>
  <r>
    <n v="2005"/>
    <n v="4"/>
    <x v="17"/>
    <x v="17"/>
    <s v="SEA"/>
    <s v="Seattle, WA: Seattle/Tacoma International"/>
    <n v="302"/>
    <n v="61"/>
    <n v="13.94"/>
    <n v="0.02"/>
    <n v="37.99"/>
    <n v="0"/>
    <n v="9.0399999999999991"/>
    <n v="1"/>
    <n v="0"/>
    <n v="2232"/>
    <n v="422"/>
    <n v="2"/>
    <n v="1118"/>
    <n v="0"/>
    <n v="690"/>
    <n v="0.20200000000000001"/>
    <n v="3.3E-3"/>
    <n v="0"/>
  </r>
  <r>
    <n v="2005"/>
    <n v="4"/>
    <x v="7"/>
    <x v="7"/>
    <s v="SEA"/>
    <s v="Seattle, WA: Seattle/Tacoma International"/>
    <n v="469"/>
    <n v="50"/>
    <n v="16.78"/>
    <n v="1.97"/>
    <n v="19.97"/>
    <n v="0"/>
    <n v="11.27"/>
    <n v="0"/>
    <n v="0"/>
    <n v="2369"/>
    <n v="1193"/>
    <n v="125"/>
    <n v="527"/>
    <n v="0"/>
    <n v="524"/>
    <n v="0.1066"/>
    <n v="0"/>
    <n v="0"/>
  </r>
  <r>
    <n v="2005"/>
    <n v="4"/>
    <x v="23"/>
    <x v="23"/>
    <s v="SEA"/>
    <s v="Seattle, WA: Seattle/Tacoma International"/>
    <n v="30"/>
    <n v="8"/>
    <n v="6.04"/>
    <n v="0"/>
    <n v="1.96"/>
    <n v="0"/>
    <n v="0"/>
    <n v="0"/>
    <n v="0"/>
    <n v="273"/>
    <n v="228"/>
    <n v="0"/>
    <n v="45"/>
    <n v="0"/>
    <n v="0"/>
    <n v="0.26669999999999999"/>
    <n v="0"/>
    <n v="0"/>
  </r>
  <r>
    <n v="2005"/>
    <n v="4"/>
    <x v="0"/>
    <x v="0"/>
    <s v="SEA"/>
    <s v="Seattle, WA: Seattle/Tacoma International"/>
    <n v="60"/>
    <n v="11"/>
    <n v="10.66"/>
    <n v="0"/>
    <n v="0"/>
    <n v="0.31"/>
    <n v="0.03"/>
    <n v="0"/>
    <n v="0"/>
    <n v="284"/>
    <n v="272"/>
    <n v="0"/>
    <n v="0"/>
    <n v="11"/>
    <n v="1"/>
    <n v="0.18329999999999999"/>
    <n v="0"/>
    <n v="0"/>
  </r>
  <r>
    <n v="2005"/>
    <n v="4"/>
    <x v="21"/>
    <x v="21"/>
    <s v="SEA"/>
    <s v="Seattle, WA: Seattle/Tacoma International"/>
    <n v="300"/>
    <n v="44"/>
    <n v="18.22"/>
    <n v="0"/>
    <n v="15.31"/>
    <n v="0.82"/>
    <n v="9.65"/>
    <n v="1"/>
    <n v="0"/>
    <n v="1554"/>
    <n v="850"/>
    <n v="0"/>
    <n v="355"/>
    <n v="14"/>
    <n v="335"/>
    <n v="0.1467"/>
    <n v="3.3E-3"/>
    <n v="0"/>
  </r>
  <r>
    <n v="2005"/>
    <n v="4"/>
    <x v="18"/>
    <x v="18"/>
    <s v="SEA"/>
    <s v="Seattle, WA: Seattle/Tacoma International"/>
    <n v="330"/>
    <n v="40"/>
    <n v="21.85"/>
    <n v="0"/>
    <n v="14.67"/>
    <n v="0"/>
    <n v="3.48"/>
    <n v="1"/>
    <n v="0"/>
    <n v="1415"/>
    <n v="907"/>
    <n v="0"/>
    <n v="372"/>
    <n v="0"/>
    <n v="136"/>
    <n v="0.1212"/>
    <n v="3.0000000000000001E-3"/>
    <n v="0"/>
  </r>
  <r>
    <n v="2005"/>
    <n v="4"/>
    <x v="2"/>
    <x v="2"/>
    <s v="SEA"/>
    <s v="Seattle, WA: Seattle/Tacoma International"/>
    <n v="472"/>
    <n v="28"/>
    <n v="21"/>
    <n v="1"/>
    <n v="4"/>
    <n v="0"/>
    <n v="2"/>
    <n v="3"/>
    <n v="0"/>
    <n v="1021"/>
    <n v="750"/>
    <n v="40"/>
    <n v="197"/>
    <n v="0"/>
    <n v="34"/>
    <n v="5.9299999999999999E-2"/>
    <n v="6.4000000000000003E-3"/>
    <n v="0"/>
  </r>
  <r>
    <n v="2005"/>
    <n v="4"/>
    <x v="24"/>
    <x v="24"/>
    <s v="SEA"/>
    <s v="Seattle, WA: Seattle/Tacoma International"/>
    <n v="6"/>
    <n v="2"/>
    <n v="0"/>
    <n v="0"/>
    <n v="2"/>
    <n v="0"/>
    <n v="0"/>
    <n v="0"/>
    <n v="0"/>
    <n v="35"/>
    <n v="0"/>
    <n v="0"/>
    <n v="35"/>
    <n v="0"/>
    <n v="0"/>
    <n v="0.33329999999999999"/>
    <n v="0"/>
    <n v="0"/>
  </r>
  <r>
    <n v="2005"/>
    <n v="4"/>
    <x v="9"/>
    <x v="9"/>
    <s v="SEA"/>
    <s v="Seattle, WA: Seattle/Tacoma International"/>
    <n v="750"/>
    <n v="59"/>
    <n v="16.809999999999999"/>
    <n v="0.06"/>
    <n v="10.050000000000001"/>
    <n v="0"/>
    <n v="32.08"/>
    <n v="6"/>
    <n v="0"/>
    <n v="2979"/>
    <n v="928"/>
    <n v="6"/>
    <n v="299"/>
    <n v="0"/>
    <n v="1746"/>
    <n v="7.8700000000000006E-2"/>
    <n v="8.0000000000000002E-3"/>
    <n v="0"/>
  </r>
  <r>
    <n v="2005"/>
    <n v="4"/>
    <x v="15"/>
    <x v="15"/>
    <s v="SEA"/>
    <s v="Seattle, WA: Seattle/Tacoma International"/>
    <n v="145"/>
    <n v="26"/>
    <n v="16.350000000000001"/>
    <n v="1"/>
    <n v="3.42"/>
    <n v="0"/>
    <n v="5.23"/>
    <n v="2"/>
    <n v="0"/>
    <n v="1021"/>
    <n v="587"/>
    <n v="25"/>
    <n v="113"/>
    <n v="0"/>
    <n v="296"/>
    <n v="0.17929999999999999"/>
    <n v="1.38E-2"/>
    <n v="0"/>
  </r>
  <r>
    <n v="2005"/>
    <n v="4"/>
    <x v="10"/>
    <x v="10"/>
    <s v="SEA"/>
    <s v="Seattle, WA: Seattle/Tacoma International"/>
    <n v="1107"/>
    <n v="137"/>
    <n v="38.979999999999997"/>
    <n v="0.75"/>
    <n v="17.21"/>
    <n v="0"/>
    <n v="80.06"/>
    <n v="1"/>
    <n v="0"/>
    <n v="4481"/>
    <n v="1158"/>
    <n v="36"/>
    <n v="439"/>
    <n v="0"/>
    <n v="2848"/>
    <n v="0.12379999999999999"/>
    <n v="8.9999999999999998E-4"/>
    <n v="0"/>
  </r>
  <r>
    <n v="2005"/>
    <n v="3"/>
    <x v="4"/>
    <x v="4"/>
    <s v="SEA"/>
    <s v="Seattle, WA: Seattle/Tacoma International"/>
    <n v="480"/>
    <n v="92"/>
    <n v="38.08"/>
    <n v="6.75"/>
    <n v="23.61"/>
    <n v="0"/>
    <n v="23.56"/>
    <n v="0"/>
    <n v="2"/>
    <n v="3784"/>
    <n v="1822"/>
    <n v="302"/>
    <n v="603"/>
    <n v="0"/>
    <n v="1057"/>
    <n v="0.19170000000000001"/>
    <n v="0"/>
    <n v="4.1999999999999997E-3"/>
  </r>
  <r>
    <n v="2005"/>
    <n v="3"/>
    <x v="5"/>
    <x v="5"/>
    <s v="SEA"/>
    <s v="Seattle, WA: Seattle/Tacoma International"/>
    <n v="3993"/>
    <n v="1019"/>
    <n v="286.04000000000002"/>
    <n v="6.11"/>
    <n v="249.24"/>
    <n v="6.77"/>
    <n v="470.82"/>
    <n v="62"/>
    <n v="7"/>
    <n v="55025"/>
    <n v="17506"/>
    <n v="447"/>
    <n v="7005"/>
    <n v="291"/>
    <n v="29776"/>
    <n v="0.25519999999999998"/>
    <n v="1.55E-2"/>
    <n v="1.8E-3"/>
  </r>
  <r>
    <n v="2005"/>
    <n v="3"/>
    <x v="6"/>
    <x v="6"/>
    <s v="SEA"/>
    <s v="Seattle, WA: Seattle/Tacoma International"/>
    <n v="31"/>
    <n v="15"/>
    <n v="4.07"/>
    <n v="0"/>
    <n v="3.74"/>
    <n v="0.82"/>
    <n v="6.37"/>
    <n v="1"/>
    <n v="0"/>
    <n v="813"/>
    <n v="167"/>
    <n v="0"/>
    <n v="239"/>
    <n v="41"/>
    <n v="366"/>
    <n v="0.4839"/>
    <n v="3.2300000000000002E-2"/>
    <n v="0"/>
  </r>
  <r>
    <n v="2005"/>
    <n v="3"/>
    <x v="17"/>
    <x v="17"/>
    <s v="SEA"/>
    <s v="Seattle, WA: Seattle/Tacoma International"/>
    <n v="319"/>
    <n v="90"/>
    <n v="26.26"/>
    <n v="2.1800000000000002"/>
    <n v="42.6"/>
    <n v="0"/>
    <n v="18.97"/>
    <n v="1"/>
    <n v="1"/>
    <n v="3380"/>
    <n v="945"/>
    <n v="126"/>
    <n v="1327"/>
    <n v="0"/>
    <n v="982"/>
    <n v="0.28210000000000002"/>
    <n v="3.0999999999999999E-3"/>
    <n v="3.0999999999999999E-3"/>
  </r>
  <r>
    <n v="2005"/>
    <n v="3"/>
    <x v="7"/>
    <x v="7"/>
    <s v="SEA"/>
    <s v="Seattle, WA: Seattle/Tacoma International"/>
    <n v="484"/>
    <n v="72"/>
    <n v="28.85"/>
    <n v="2.76"/>
    <n v="22.25"/>
    <n v="0"/>
    <n v="18.14"/>
    <n v="4"/>
    <n v="0"/>
    <n v="3620"/>
    <n v="1743"/>
    <n v="158"/>
    <n v="862"/>
    <n v="0"/>
    <n v="857"/>
    <n v="0.14879999999999999"/>
    <n v="8.3000000000000001E-3"/>
    <n v="0"/>
  </r>
  <r>
    <n v="2005"/>
    <n v="3"/>
    <x v="23"/>
    <x v="23"/>
    <s v="SEA"/>
    <s v="Seattle, WA: Seattle/Tacoma International"/>
    <n v="31"/>
    <n v="9"/>
    <n v="5.19"/>
    <n v="0.33"/>
    <n v="3.47"/>
    <n v="0"/>
    <n v="0"/>
    <n v="0"/>
    <n v="0"/>
    <n v="382"/>
    <n v="293"/>
    <n v="10"/>
    <n v="79"/>
    <n v="0"/>
    <n v="0"/>
    <n v="0.2903"/>
    <n v="0"/>
    <n v="0"/>
  </r>
  <r>
    <n v="2005"/>
    <n v="3"/>
    <x v="0"/>
    <x v="0"/>
    <s v="SEA"/>
    <s v="Seattle, WA: Seattle/Tacoma International"/>
    <n v="60"/>
    <n v="14"/>
    <n v="10.86"/>
    <n v="0"/>
    <n v="1"/>
    <n v="0"/>
    <n v="2.14"/>
    <n v="0"/>
    <n v="0"/>
    <n v="1782"/>
    <n v="597"/>
    <n v="0"/>
    <n v="1125"/>
    <n v="0"/>
    <n v="60"/>
    <n v="0.23330000000000001"/>
    <n v="0"/>
    <n v="0"/>
  </r>
  <r>
    <n v="2005"/>
    <n v="3"/>
    <x v="21"/>
    <x v="21"/>
    <s v="SEA"/>
    <s v="Seattle, WA: Seattle/Tacoma International"/>
    <n v="310"/>
    <n v="67"/>
    <n v="18.55"/>
    <n v="0"/>
    <n v="34.39"/>
    <n v="0"/>
    <n v="14.06"/>
    <n v="3"/>
    <n v="0"/>
    <n v="2210"/>
    <n v="811"/>
    <n v="0"/>
    <n v="861"/>
    <n v="0"/>
    <n v="538"/>
    <n v="0.21609999999999999"/>
    <n v="9.7000000000000003E-3"/>
    <n v="0"/>
  </r>
  <r>
    <n v="2005"/>
    <n v="3"/>
    <x v="18"/>
    <x v="18"/>
    <s v="SEA"/>
    <s v="Seattle, WA: Seattle/Tacoma International"/>
    <n v="341"/>
    <n v="63"/>
    <n v="26.37"/>
    <n v="3.22"/>
    <n v="16.03"/>
    <n v="0"/>
    <n v="17.38"/>
    <n v="1"/>
    <n v="1"/>
    <n v="4344"/>
    <n v="1522"/>
    <n v="1234"/>
    <n v="539"/>
    <n v="0"/>
    <n v="1049"/>
    <n v="0.18479999999999999"/>
    <n v="2.8999999999999998E-3"/>
    <n v="2.8999999999999998E-3"/>
  </r>
  <r>
    <n v="2005"/>
    <n v="3"/>
    <x v="2"/>
    <x v="2"/>
    <s v="SEA"/>
    <s v="Seattle, WA: Seattle/Tacoma International"/>
    <n v="478"/>
    <n v="47"/>
    <n v="29"/>
    <n v="2"/>
    <n v="8"/>
    <n v="0"/>
    <n v="8"/>
    <n v="9"/>
    <n v="0"/>
    <n v="1920"/>
    <n v="1184"/>
    <n v="238"/>
    <n v="268"/>
    <n v="0"/>
    <n v="230"/>
    <n v="9.8299999999999998E-2"/>
    <n v="1.8800000000000001E-2"/>
    <n v="0"/>
  </r>
  <r>
    <n v="2005"/>
    <n v="3"/>
    <x v="24"/>
    <x v="24"/>
    <s v="SEA"/>
    <s v="Seattle, WA: Seattle/Tacoma International"/>
    <n v="31"/>
    <n v="8"/>
    <n v="2.31"/>
    <n v="0"/>
    <n v="4.72"/>
    <n v="0"/>
    <n v="0.97"/>
    <n v="0"/>
    <n v="0"/>
    <n v="401"/>
    <n v="90"/>
    <n v="0"/>
    <n v="120"/>
    <n v="0"/>
    <n v="191"/>
    <n v="0.2581"/>
    <n v="0"/>
    <n v="0"/>
  </r>
  <r>
    <n v="2005"/>
    <n v="3"/>
    <x v="9"/>
    <x v="9"/>
    <s v="SEA"/>
    <s v="Seattle, WA: Seattle/Tacoma International"/>
    <n v="774"/>
    <n v="121"/>
    <n v="43.71"/>
    <n v="2.65"/>
    <n v="26.8"/>
    <n v="0"/>
    <n v="47.83"/>
    <n v="1"/>
    <n v="1"/>
    <n v="6202"/>
    <n v="2070"/>
    <n v="217"/>
    <n v="838"/>
    <n v="0"/>
    <n v="3077"/>
    <n v="0.15629999999999999"/>
    <n v="1.2999999999999999E-3"/>
    <n v="1.2999999999999999E-3"/>
  </r>
  <r>
    <n v="2005"/>
    <n v="3"/>
    <x v="15"/>
    <x v="15"/>
    <s v="SEA"/>
    <s v="Seattle, WA: Seattle/Tacoma International"/>
    <n v="151"/>
    <n v="43"/>
    <n v="20.239999999999998"/>
    <n v="0"/>
    <n v="5.09"/>
    <n v="0"/>
    <n v="17.670000000000002"/>
    <n v="0"/>
    <n v="1"/>
    <n v="2389"/>
    <n v="719"/>
    <n v="0"/>
    <n v="171"/>
    <n v="0"/>
    <n v="1499"/>
    <n v="0.2848"/>
    <n v="0"/>
    <n v="6.6E-3"/>
  </r>
  <r>
    <n v="2005"/>
    <n v="3"/>
    <x v="10"/>
    <x v="10"/>
    <s v="SEA"/>
    <s v="Seattle, WA: Seattle/Tacoma International"/>
    <n v="1108"/>
    <n v="145"/>
    <n v="32.979999999999997"/>
    <n v="0.03"/>
    <n v="14.67"/>
    <n v="0.73"/>
    <n v="96.59"/>
    <n v="5"/>
    <n v="0"/>
    <n v="6015"/>
    <n v="1014"/>
    <n v="2"/>
    <n v="361"/>
    <n v="11"/>
    <n v="4627"/>
    <n v="0.13089999999999999"/>
    <n v="4.4999999999999997E-3"/>
    <n v="0"/>
  </r>
  <r>
    <n v="2005"/>
    <n v="2"/>
    <x v="4"/>
    <x v="4"/>
    <s v="SEA"/>
    <s v="Seattle, WA: Seattle/Tacoma International"/>
    <n v="429"/>
    <n v="53"/>
    <n v="18.71"/>
    <n v="3.66"/>
    <n v="15.16"/>
    <n v="0"/>
    <n v="15.46"/>
    <n v="1"/>
    <n v="2"/>
    <n v="2316"/>
    <n v="839"/>
    <n v="221"/>
    <n v="490"/>
    <n v="0"/>
    <n v="766"/>
    <n v="0.1235"/>
    <n v="2.3E-3"/>
    <n v="4.7000000000000002E-3"/>
  </r>
  <r>
    <n v="2005"/>
    <n v="2"/>
    <x v="5"/>
    <x v="5"/>
    <s v="SEA"/>
    <s v="Seattle, WA: Seattle/Tacoma International"/>
    <n v="3543"/>
    <n v="759"/>
    <n v="186.92"/>
    <n v="6.72"/>
    <n v="89.62"/>
    <n v="3.93"/>
    <n v="471.82"/>
    <n v="64"/>
    <n v="4"/>
    <n v="42493"/>
    <n v="11275"/>
    <n v="587"/>
    <n v="2977"/>
    <n v="111"/>
    <n v="27543"/>
    <n v="0.2142"/>
    <n v="1.8100000000000002E-2"/>
    <n v="1.1000000000000001E-3"/>
  </r>
  <r>
    <n v="2005"/>
    <n v="2"/>
    <x v="6"/>
    <x v="6"/>
    <s v="SEA"/>
    <s v="Seattle, WA: Seattle/Tacoma International"/>
    <n v="28"/>
    <n v="8"/>
    <n v="0.94"/>
    <n v="0"/>
    <n v="4.5199999999999996"/>
    <n v="0"/>
    <n v="2.5299999999999998"/>
    <n v="0"/>
    <n v="0"/>
    <n v="240"/>
    <n v="35"/>
    <n v="0"/>
    <n v="151"/>
    <n v="0"/>
    <n v="54"/>
    <n v="0.28570000000000001"/>
    <n v="0"/>
    <n v="0"/>
  </r>
  <r>
    <n v="2005"/>
    <n v="2"/>
    <x v="17"/>
    <x v="17"/>
    <s v="SEA"/>
    <s v="Seattle, WA: Seattle/Tacoma International"/>
    <n v="251"/>
    <n v="46"/>
    <n v="18.010000000000002"/>
    <n v="2.6"/>
    <n v="16.75"/>
    <n v="0"/>
    <n v="8.65"/>
    <n v="0"/>
    <n v="0"/>
    <n v="2131"/>
    <n v="1087"/>
    <n v="80"/>
    <n v="558"/>
    <n v="0"/>
    <n v="406"/>
    <n v="0.18329999999999999"/>
    <n v="0"/>
    <n v="0"/>
  </r>
  <r>
    <n v="2005"/>
    <n v="2"/>
    <x v="7"/>
    <x v="7"/>
    <s v="SEA"/>
    <s v="Seattle, WA: Seattle/Tacoma International"/>
    <n v="435"/>
    <n v="67"/>
    <n v="17.29"/>
    <n v="0.92"/>
    <n v="33.659999999999997"/>
    <n v="0"/>
    <n v="15.12"/>
    <n v="2"/>
    <n v="1"/>
    <n v="2575"/>
    <n v="890"/>
    <n v="48"/>
    <n v="980"/>
    <n v="0"/>
    <n v="657"/>
    <n v="0.154"/>
    <n v="4.5999999999999999E-3"/>
    <n v="2.3E-3"/>
  </r>
  <r>
    <n v="2005"/>
    <n v="2"/>
    <x v="23"/>
    <x v="23"/>
    <s v="SEA"/>
    <s v="Seattle, WA: Seattle/Tacoma International"/>
    <n v="28"/>
    <n v="11"/>
    <n v="3.94"/>
    <n v="0.79"/>
    <n v="4.5999999999999996"/>
    <n v="0"/>
    <n v="1.67"/>
    <n v="1"/>
    <n v="0"/>
    <n v="336"/>
    <n v="148"/>
    <n v="49"/>
    <n v="105"/>
    <n v="0"/>
    <n v="34"/>
    <n v="0.39290000000000003"/>
    <n v="3.5700000000000003E-2"/>
    <n v="0"/>
  </r>
  <r>
    <n v="2005"/>
    <n v="2"/>
    <x v="0"/>
    <x v="0"/>
    <s v="SEA"/>
    <s v="Seattle, WA: Seattle/Tacoma International"/>
    <n v="56"/>
    <n v="19"/>
    <n v="15.62"/>
    <n v="0"/>
    <n v="0"/>
    <n v="0.08"/>
    <n v="3.3"/>
    <n v="0"/>
    <n v="0"/>
    <n v="738"/>
    <n v="394"/>
    <n v="0"/>
    <n v="0"/>
    <n v="2"/>
    <n v="342"/>
    <n v="0.33929999999999999"/>
    <n v="0"/>
    <n v="0"/>
  </r>
  <r>
    <n v="2005"/>
    <n v="2"/>
    <x v="21"/>
    <x v="21"/>
    <s v="SEA"/>
    <s v="Seattle, WA: Seattle/Tacoma International"/>
    <n v="280"/>
    <n v="52"/>
    <n v="22.18"/>
    <n v="0"/>
    <n v="11.28"/>
    <n v="0"/>
    <n v="18.54"/>
    <n v="4"/>
    <n v="1"/>
    <n v="2242"/>
    <n v="1067"/>
    <n v="0"/>
    <n v="280"/>
    <n v="0"/>
    <n v="895"/>
    <n v="0.1857"/>
    <n v="1.43E-2"/>
    <n v="3.5999999999999999E-3"/>
  </r>
  <r>
    <n v="2005"/>
    <n v="2"/>
    <x v="18"/>
    <x v="18"/>
    <s v="SEA"/>
    <s v="Seattle, WA: Seattle/Tacoma International"/>
    <n v="305"/>
    <n v="58"/>
    <n v="23.87"/>
    <n v="0.85"/>
    <n v="25.84"/>
    <n v="0"/>
    <n v="7.44"/>
    <n v="0"/>
    <n v="1"/>
    <n v="2484"/>
    <n v="1220"/>
    <n v="97"/>
    <n v="884"/>
    <n v="0"/>
    <n v="283"/>
    <n v="0.19020000000000001"/>
    <n v="0"/>
    <n v="3.3E-3"/>
  </r>
  <r>
    <n v="2005"/>
    <n v="2"/>
    <x v="2"/>
    <x v="2"/>
    <s v="SEA"/>
    <s v="Seattle, WA: Seattle/Tacoma International"/>
    <n v="372"/>
    <n v="37"/>
    <n v="21"/>
    <n v="9"/>
    <n v="1"/>
    <n v="0"/>
    <n v="6"/>
    <n v="8"/>
    <n v="0"/>
    <n v="2233"/>
    <n v="1179"/>
    <n v="721"/>
    <n v="23"/>
    <n v="0"/>
    <n v="310"/>
    <n v="9.9500000000000005E-2"/>
    <n v="2.1499999999999998E-2"/>
    <n v="0"/>
  </r>
  <r>
    <n v="2005"/>
    <n v="2"/>
    <x v="24"/>
    <x v="24"/>
    <s v="SEA"/>
    <s v="Seattle, WA: Seattle/Tacoma International"/>
    <n v="34"/>
    <n v="9"/>
    <n v="2.78"/>
    <n v="0"/>
    <n v="6.22"/>
    <n v="0"/>
    <n v="0"/>
    <n v="1"/>
    <n v="0"/>
    <n v="376"/>
    <n v="213"/>
    <n v="0"/>
    <n v="163"/>
    <n v="0"/>
    <n v="0"/>
    <n v="0.26469999999999999"/>
    <n v="2.9399999999999999E-2"/>
    <n v="0"/>
  </r>
  <r>
    <n v="2005"/>
    <n v="2"/>
    <x v="9"/>
    <x v="9"/>
    <s v="SEA"/>
    <s v="Seattle, WA: Seattle/Tacoma International"/>
    <n v="698"/>
    <n v="84"/>
    <n v="28.03"/>
    <n v="1"/>
    <n v="13.95"/>
    <n v="0"/>
    <n v="41.02"/>
    <n v="0"/>
    <n v="1"/>
    <n v="3932"/>
    <n v="1302"/>
    <n v="25"/>
    <n v="447"/>
    <n v="0"/>
    <n v="2158"/>
    <n v="0.1203"/>
    <n v="0"/>
    <n v="1.4E-3"/>
  </r>
  <r>
    <n v="2005"/>
    <n v="2"/>
    <x v="15"/>
    <x v="15"/>
    <s v="SEA"/>
    <s v="Seattle, WA: Seattle/Tacoma International"/>
    <n v="133"/>
    <n v="35"/>
    <n v="20.82"/>
    <n v="0.03"/>
    <n v="5.0999999999999996"/>
    <n v="0"/>
    <n v="9.0500000000000007"/>
    <n v="0"/>
    <n v="0"/>
    <n v="2144"/>
    <n v="1057"/>
    <n v="6"/>
    <n v="385"/>
    <n v="0"/>
    <n v="696"/>
    <n v="0.26319999999999999"/>
    <n v="0"/>
    <n v="0"/>
  </r>
  <r>
    <n v="2005"/>
    <n v="2"/>
    <x v="10"/>
    <x v="10"/>
    <s v="SEA"/>
    <s v="Seattle, WA: Seattle/Tacoma International"/>
    <n v="972"/>
    <n v="121"/>
    <n v="24.04"/>
    <n v="1.1100000000000001"/>
    <n v="3.44"/>
    <n v="7.0000000000000007E-2"/>
    <n v="92.34"/>
    <n v="1"/>
    <n v="4"/>
    <n v="5849"/>
    <n v="883"/>
    <n v="169"/>
    <n v="105"/>
    <n v="4"/>
    <n v="4688"/>
    <n v="0.1245"/>
    <n v="1E-3"/>
    <n v="4.1000000000000003E-3"/>
  </r>
  <r>
    <n v="2005"/>
    <n v="1"/>
    <x v="4"/>
    <x v="4"/>
    <s v="SEA"/>
    <s v="Seattle, WA: Seattle/Tacoma International"/>
    <n v="485"/>
    <n v="125"/>
    <n v="32.72"/>
    <n v="20.92"/>
    <n v="37.630000000000003"/>
    <n v="0.45"/>
    <n v="33.29"/>
    <n v="9"/>
    <n v="2"/>
    <n v="6785"/>
    <n v="1586"/>
    <n v="1607"/>
    <n v="1265"/>
    <n v="17"/>
    <n v="2310"/>
    <n v="0.25769999999999998"/>
    <n v="1.8599999999999998E-2"/>
    <n v="4.1000000000000003E-3"/>
  </r>
  <r>
    <n v="2005"/>
    <n v="1"/>
    <x v="5"/>
    <x v="5"/>
    <s v="SEA"/>
    <s v="Seattle, WA: Seattle/Tacoma International"/>
    <n v="3874"/>
    <n v="879"/>
    <n v="257.27999999999997"/>
    <n v="17.12"/>
    <n v="163.77000000000001"/>
    <n v="6.05"/>
    <n v="434.78"/>
    <n v="98"/>
    <n v="6"/>
    <n v="48247"/>
    <n v="15744"/>
    <n v="1219"/>
    <n v="5175"/>
    <n v="163"/>
    <n v="25946"/>
    <n v="0.22689999999999999"/>
    <n v="2.53E-2"/>
    <n v="1.5E-3"/>
  </r>
  <r>
    <n v="2005"/>
    <n v="1"/>
    <x v="6"/>
    <x v="6"/>
    <s v="SEA"/>
    <s v="Seattle, WA: Seattle/Tacoma International"/>
    <n v="31"/>
    <n v="21"/>
    <n v="4.26"/>
    <n v="0"/>
    <n v="8.49"/>
    <n v="0"/>
    <n v="8.25"/>
    <n v="1"/>
    <n v="0"/>
    <n v="1082"/>
    <n v="227"/>
    <n v="0"/>
    <n v="350"/>
    <n v="0"/>
    <n v="505"/>
    <n v="0.6774"/>
    <n v="3.2300000000000002E-2"/>
    <n v="0"/>
  </r>
  <r>
    <n v="2005"/>
    <n v="1"/>
    <x v="17"/>
    <x v="17"/>
    <s v="SEA"/>
    <s v="Seattle, WA: Seattle/Tacoma International"/>
    <n v="296"/>
    <n v="73"/>
    <n v="22.81"/>
    <n v="1.0900000000000001"/>
    <n v="39.79"/>
    <n v="1.51"/>
    <n v="7.8"/>
    <n v="1"/>
    <n v="0"/>
    <n v="2557"/>
    <n v="812"/>
    <n v="79"/>
    <n v="1335"/>
    <n v="50"/>
    <n v="281"/>
    <n v="0.24660000000000001"/>
    <n v="3.3999999999999998E-3"/>
    <n v="0"/>
  </r>
  <r>
    <n v="2005"/>
    <n v="1"/>
    <x v="7"/>
    <x v="7"/>
    <s v="SEA"/>
    <s v="Seattle, WA: Seattle/Tacoma International"/>
    <n v="430"/>
    <n v="124"/>
    <n v="28.9"/>
    <n v="3.43"/>
    <n v="75.099999999999994"/>
    <n v="0"/>
    <n v="16.579999999999998"/>
    <n v="15"/>
    <n v="0"/>
    <n v="5073"/>
    <n v="1630"/>
    <n v="189"/>
    <n v="2497"/>
    <n v="0"/>
    <n v="757"/>
    <n v="0.28839999999999999"/>
    <n v="3.49E-2"/>
    <n v="0"/>
  </r>
  <r>
    <n v="2005"/>
    <n v="1"/>
    <x v="0"/>
    <x v="0"/>
    <s v="SEA"/>
    <s v="Seattle, WA: Seattle/Tacoma International"/>
    <n v="53"/>
    <n v="13"/>
    <n v="11"/>
    <n v="0"/>
    <n v="0"/>
    <n v="0"/>
    <n v="2"/>
    <n v="0"/>
    <n v="0"/>
    <n v="459"/>
    <n v="382"/>
    <n v="0"/>
    <n v="0"/>
    <n v="0"/>
    <n v="77"/>
    <n v="0.24529999999999999"/>
    <n v="0"/>
    <n v="0"/>
  </r>
  <r>
    <n v="2005"/>
    <n v="1"/>
    <x v="21"/>
    <x v="21"/>
    <s v="SEA"/>
    <s v="Seattle, WA: Seattle/Tacoma International"/>
    <n v="310"/>
    <n v="63"/>
    <n v="30.17"/>
    <n v="0"/>
    <n v="12.61"/>
    <n v="0"/>
    <n v="20.21"/>
    <n v="10"/>
    <n v="0"/>
    <n v="2554"/>
    <n v="1196"/>
    <n v="0"/>
    <n v="316"/>
    <n v="0"/>
    <n v="1042"/>
    <n v="0.20319999999999999"/>
    <n v="3.2300000000000002E-2"/>
    <n v="0"/>
  </r>
  <r>
    <n v="2005"/>
    <n v="1"/>
    <x v="18"/>
    <x v="18"/>
    <s v="SEA"/>
    <s v="Seattle, WA: Seattle/Tacoma International"/>
    <n v="347"/>
    <n v="124"/>
    <n v="40.94"/>
    <n v="0.79"/>
    <n v="69.84"/>
    <n v="0.24"/>
    <n v="12.19"/>
    <n v="2"/>
    <n v="2"/>
    <n v="7119"/>
    <n v="3850"/>
    <n v="15"/>
    <n v="2669"/>
    <n v="11"/>
    <n v="574"/>
    <n v="0.35730000000000001"/>
    <n v="5.7999999999999996E-3"/>
    <n v="5.7999999999999996E-3"/>
  </r>
  <r>
    <n v="2005"/>
    <n v="1"/>
    <x v="2"/>
    <x v="2"/>
    <s v="SEA"/>
    <s v="Seattle, WA: Seattle/Tacoma International"/>
    <n v="381"/>
    <n v="55"/>
    <n v="32"/>
    <n v="7"/>
    <n v="2"/>
    <n v="0"/>
    <n v="14"/>
    <n v="20"/>
    <n v="1"/>
    <n v="2921"/>
    <n v="1576"/>
    <n v="649"/>
    <n v="83"/>
    <n v="0"/>
    <n v="613"/>
    <n v="0.1444"/>
    <n v="5.2499999999999998E-2"/>
    <n v="2.5999999999999999E-3"/>
  </r>
  <r>
    <n v="2005"/>
    <n v="1"/>
    <x v="24"/>
    <x v="24"/>
    <s v="SEA"/>
    <s v="Seattle, WA: Seattle/Tacoma International"/>
    <n v="93"/>
    <n v="42"/>
    <n v="11.18"/>
    <n v="1.32"/>
    <n v="24.98"/>
    <n v="0"/>
    <n v="4.5199999999999996"/>
    <n v="0"/>
    <n v="0"/>
    <n v="1759"/>
    <n v="360"/>
    <n v="145"/>
    <n v="1031"/>
    <n v="0"/>
    <n v="223"/>
    <n v="0.4516"/>
    <n v="0"/>
    <n v="0"/>
  </r>
  <r>
    <n v="2005"/>
    <n v="1"/>
    <x v="9"/>
    <x v="9"/>
    <s v="SEA"/>
    <s v="Seattle, WA: Seattle/Tacoma International"/>
    <n v="794"/>
    <n v="213"/>
    <n v="63.13"/>
    <n v="3.33"/>
    <n v="65.59"/>
    <n v="0"/>
    <n v="80.95"/>
    <n v="6"/>
    <n v="0"/>
    <n v="11134"/>
    <n v="3382"/>
    <n v="326"/>
    <n v="2155"/>
    <n v="0"/>
    <n v="5271"/>
    <n v="0.26829999999999998"/>
    <n v="7.6E-3"/>
    <n v="0"/>
  </r>
  <r>
    <n v="2005"/>
    <n v="1"/>
    <x v="15"/>
    <x v="15"/>
    <s v="SEA"/>
    <s v="Seattle, WA: Seattle/Tacoma International"/>
    <n v="137"/>
    <n v="63"/>
    <n v="20.95"/>
    <n v="0"/>
    <n v="29.71"/>
    <n v="0"/>
    <n v="12.33"/>
    <n v="4"/>
    <n v="1"/>
    <n v="3568"/>
    <n v="1238"/>
    <n v="0"/>
    <n v="1243"/>
    <n v="0"/>
    <n v="1087"/>
    <n v="0.45989999999999998"/>
    <n v="2.92E-2"/>
    <n v="7.3000000000000001E-3"/>
  </r>
  <r>
    <n v="2005"/>
    <n v="1"/>
    <x v="10"/>
    <x v="10"/>
    <s v="SEA"/>
    <s v="Seattle, WA: Seattle/Tacoma International"/>
    <n v="1078"/>
    <n v="202"/>
    <n v="48.12"/>
    <n v="3.86"/>
    <n v="21.88"/>
    <n v="2.77"/>
    <n v="125.39"/>
    <n v="19"/>
    <n v="2"/>
    <n v="9460"/>
    <n v="1990"/>
    <n v="245"/>
    <n v="574"/>
    <n v="65"/>
    <n v="6586"/>
    <n v="0.18740000000000001"/>
    <n v="1.7600000000000001E-2"/>
    <n v="1.9E-3"/>
  </r>
  <r>
    <n v="2004"/>
    <n v="12"/>
    <x v="4"/>
    <x v="4"/>
    <s v="SEA"/>
    <s v="Seattle, WA: Seattle/Tacoma International"/>
    <n v="526"/>
    <n v="152"/>
    <n v="43.69"/>
    <n v="23.68"/>
    <n v="47.76"/>
    <n v="0"/>
    <n v="36.869999999999997"/>
    <n v="4"/>
    <n v="2"/>
    <n v="8009"/>
    <n v="1637"/>
    <n v="2200"/>
    <n v="1694"/>
    <n v="0"/>
    <n v="2478"/>
    <n v="0.28899999999999998"/>
    <n v="7.6E-3"/>
    <n v="3.8E-3"/>
  </r>
  <r>
    <n v="2004"/>
    <n v="12"/>
    <x v="5"/>
    <x v="5"/>
    <s v="SEA"/>
    <s v="Seattle, WA: Seattle/Tacoma International"/>
    <n v="3981"/>
    <n v="1247"/>
    <n v="332.64"/>
    <n v="13.63"/>
    <n v="227.2"/>
    <n v="6.91"/>
    <n v="666.63"/>
    <n v="104"/>
    <n v="17"/>
    <n v="80032"/>
    <n v="20091"/>
    <n v="862"/>
    <n v="7455"/>
    <n v="294"/>
    <n v="51330"/>
    <n v="0.31319999999999998"/>
    <n v="2.6100000000000002E-2"/>
    <n v="4.3E-3"/>
  </r>
  <r>
    <n v="2004"/>
    <n v="12"/>
    <x v="6"/>
    <x v="6"/>
    <s v="SEA"/>
    <s v="Seattle, WA: Seattle/Tacoma International"/>
    <n v="31"/>
    <n v="16"/>
    <n v="2.97"/>
    <n v="0"/>
    <n v="6.56"/>
    <n v="0"/>
    <n v="6.47"/>
    <n v="0"/>
    <n v="0"/>
    <n v="770"/>
    <n v="141"/>
    <n v="0"/>
    <n v="240"/>
    <n v="0"/>
    <n v="389"/>
    <n v="0.5161"/>
    <n v="0"/>
    <n v="0"/>
  </r>
  <r>
    <n v="2004"/>
    <n v="12"/>
    <x v="17"/>
    <x v="17"/>
    <s v="SEA"/>
    <s v="Seattle, WA: Seattle/Tacoma International"/>
    <n v="336"/>
    <n v="128"/>
    <n v="31.43"/>
    <n v="6.3"/>
    <n v="56.68"/>
    <n v="4.1900000000000004"/>
    <n v="29.4"/>
    <n v="0"/>
    <n v="0"/>
    <n v="5150"/>
    <n v="1291"/>
    <n v="376"/>
    <n v="2044"/>
    <n v="180"/>
    <n v="1259"/>
    <n v="0.38100000000000001"/>
    <n v="0"/>
    <n v="0"/>
  </r>
  <r>
    <n v="2004"/>
    <n v="12"/>
    <x v="7"/>
    <x v="7"/>
    <s v="SEA"/>
    <s v="Seattle, WA: Seattle/Tacoma International"/>
    <n v="426"/>
    <n v="125"/>
    <n v="37"/>
    <n v="7.17"/>
    <n v="61.58"/>
    <n v="1"/>
    <n v="18.25"/>
    <n v="3"/>
    <n v="4"/>
    <n v="5257"/>
    <n v="1808"/>
    <n v="423"/>
    <n v="1929"/>
    <n v="27"/>
    <n v="1070"/>
    <n v="0.29339999999999999"/>
    <n v="7.0000000000000001E-3"/>
    <n v="9.4000000000000004E-3"/>
  </r>
  <r>
    <n v="2004"/>
    <n v="12"/>
    <x v="0"/>
    <x v="0"/>
    <s v="SEA"/>
    <s v="Seattle, WA: Seattle/Tacoma International"/>
    <n v="62"/>
    <n v="32"/>
    <n v="28.09"/>
    <n v="0"/>
    <n v="0"/>
    <n v="0"/>
    <n v="3.91"/>
    <n v="0"/>
    <n v="0"/>
    <n v="1331"/>
    <n v="1139"/>
    <n v="0"/>
    <n v="0"/>
    <n v="0"/>
    <n v="192"/>
    <n v="0.5161"/>
    <n v="0"/>
    <n v="0"/>
  </r>
  <r>
    <n v="2004"/>
    <n v="12"/>
    <x v="21"/>
    <x v="21"/>
    <s v="SEA"/>
    <s v="Seattle, WA: Seattle/Tacoma International"/>
    <n v="309"/>
    <n v="87"/>
    <n v="34.86"/>
    <n v="1.41"/>
    <n v="29.79"/>
    <n v="0.28999999999999998"/>
    <n v="20.65"/>
    <n v="4"/>
    <n v="6"/>
    <n v="3554"/>
    <n v="1448"/>
    <n v="60"/>
    <n v="808"/>
    <n v="6"/>
    <n v="1232"/>
    <n v="0.28160000000000002"/>
    <n v="1.29E-2"/>
    <n v="1.9400000000000001E-2"/>
  </r>
  <r>
    <n v="2004"/>
    <n v="12"/>
    <x v="18"/>
    <x v="18"/>
    <s v="SEA"/>
    <s v="Seattle, WA: Seattle/Tacoma International"/>
    <n v="418"/>
    <n v="148"/>
    <n v="46.79"/>
    <n v="1.62"/>
    <n v="82.72"/>
    <n v="0"/>
    <n v="16.86"/>
    <n v="1"/>
    <n v="0"/>
    <n v="6690"/>
    <n v="3019"/>
    <n v="109"/>
    <n v="2768"/>
    <n v="0"/>
    <n v="794"/>
    <n v="0.35410000000000003"/>
    <n v="2.3999999999999998E-3"/>
    <n v="0"/>
  </r>
  <r>
    <n v="2004"/>
    <n v="12"/>
    <x v="2"/>
    <x v="2"/>
    <s v="SEA"/>
    <s v="Seattle, WA: Seattle/Tacoma International"/>
    <n v="379"/>
    <n v="55"/>
    <n v="32"/>
    <n v="11"/>
    <n v="2"/>
    <n v="1"/>
    <n v="9"/>
    <n v="32"/>
    <n v="0"/>
    <n v="3040"/>
    <n v="1327"/>
    <n v="1363"/>
    <n v="62"/>
    <n v="15"/>
    <n v="273"/>
    <n v="0.14510000000000001"/>
    <n v="8.4400000000000003E-2"/>
    <n v="0"/>
  </r>
  <r>
    <n v="2004"/>
    <n v="12"/>
    <x v="24"/>
    <x v="24"/>
    <s v="SEA"/>
    <s v="Seattle, WA: Seattle/Tacoma International"/>
    <n v="120"/>
    <n v="65"/>
    <n v="24.06"/>
    <n v="0"/>
    <n v="30.58"/>
    <n v="1.41"/>
    <n v="8.9499999999999993"/>
    <n v="2"/>
    <n v="0"/>
    <n v="3221"/>
    <n v="970"/>
    <n v="0"/>
    <n v="1552"/>
    <n v="39"/>
    <n v="660"/>
    <n v="0.54169999999999996"/>
    <n v="1.67E-2"/>
    <n v="0"/>
  </r>
  <r>
    <n v="2004"/>
    <n v="12"/>
    <x v="9"/>
    <x v="9"/>
    <s v="SEA"/>
    <s v="Seattle, WA: Seattle/Tacoma International"/>
    <n v="893"/>
    <n v="236"/>
    <n v="88.32"/>
    <n v="5.92"/>
    <n v="62.59"/>
    <n v="0"/>
    <n v="79.17"/>
    <n v="6"/>
    <n v="4"/>
    <n v="10417"/>
    <n v="3923"/>
    <n v="316"/>
    <n v="1788"/>
    <n v="0"/>
    <n v="4390"/>
    <n v="0.26429999999999998"/>
    <n v="6.7000000000000002E-3"/>
    <n v="4.4999999999999997E-3"/>
  </r>
  <r>
    <n v="2004"/>
    <n v="12"/>
    <x v="15"/>
    <x v="15"/>
    <s v="SEA"/>
    <s v="Seattle, WA: Seattle/Tacoma International"/>
    <n v="142"/>
    <n v="65"/>
    <n v="29.25"/>
    <n v="0.27"/>
    <n v="19.2"/>
    <n v="0"/>
    <n v="16.28"/>
    <n v="0"/>
    <n v="0"/>
    <n v="3878"/>
    <n v="1698"/>
    <n v="9"/>
    <n v="696"/>
    <n v="0"/>
    <n v="1475"/>
    <n v="0.4577"/>
    <n v="0"/>
    <n v="0"/>
  </r>
  <r>
    <n v="2004"/>
    <n v="12"/>
    <x v="10"/>
    <x v="10"/>
    <s v="SEA"/>
    <s v="Seattle, WA: Seattle/Tacoma International"/>
    <n v="1088"/>
    <n v="323"/>
    <n v="80.06"/>
    <n v="6.67"/>
    <n v="49.01"/>
    <n v="2.0099999999999998"/>
    <n v="185.25"/>
    <n v="10"/>
    <n v="2"/>
    <n v="16338"/>
    <n v="3669"/>
    <n v="302"/>
    <n v="1586"/>
    <n v="57"/>
    <n v="10724"/>
    <n v="0.2969"/>
    <n v="9.1999999999999998E-3"/>
    <n v="1.8E-3"/>
  </r>
  <r>
    <n v="2004"/>
    <n v="11"/>
    <x v="4"/>
    <x v="4"/>
    <s v="SEA"/>
    <s v="Seattle, WA: Seattle/Tacoma International"/>
    <n v="520"/>
    <n v="88"/>
    <n v="27.93"/>
    <n v="11.37"/>
    <n v="22.17"/>
    <n v="0"/>
    <n v="26.52"/>
    <n v="1"/>
    <n v="6"/>
    <n v="5625"/>
    <n v="1899"/>
    <n v="962"/>
    <n v="768"/>
    <n v="0"/>
    <n v="1996"/>
    <n v="0.16919999999999999"/>
    <n v="1.9E-3"/>
    <n v="1.15E-2"/>
  </r>
  <r>
    <n v="2004"/>
    <n v="11"/>
    <x v="5"/>
    <x v="5"/>
    <s v="SEA"/>
    <s v="Seattle, WA: Seattle/Tacoma International"/>
    <n v="3857"/>
    <n v="996"/>
    <n v="246.47"/>
    <n v="9.58"/>
    <n v="243.8"/>
    <n v="3.63"/>
    <n v="492.52"/>
    <n v="87"/>
    <n v="9"/>
    <n v="54628"/>
    <n v="14464"/>
    <n v="362"/>
    <n v="8085"/>
    <n v="119"/>
    <n v="31598"/>
    <n v="0.25819999999999999"/>
    <n v="2.2599999999999999E-2"/>
    <n v="2.3E-3"/>
  </r>
  <r>
    <n v="2004"/>
    <n v="11"/>
    <x v="6"/>
    <x v="6"/>
    <s v="SEA"/>
    <s v="Seattle, WA: Seattle/Tacoma International"/>
    <n v="30"/>
    <n v="5"/>
    <n v="0.7"/>
    <n v="0"/>
    <n v="3.22"/>
    <n v="0"/>
    <n v="1.08"/>
    <n v="0"/>
    <n v="0"/>
    <n v="113"/>
    <n v="12"/>
    <n v="0"/>
    <n v="70"/>
    <n v="0"/>
    <n v="31"/>
    <n v="0.16669999999999999"/>
    <n v="0"/>
    <n v="0"/>
  </r>
  <r>
    <n v="2004"/>
    <n v="11"/>
    <x v="17"/>
    <x v="17"/>
    <s v="SEA"/>
    <s v="Seattle, WA: Seattle/Tacoma International"/>
    <n v="319"/>
    <n v="63"/>
    <n v="7.24"/>
    <n v="6.4"/>
    <n v="34.299999999999997"/>
    <n v="0.44"/>
    <n v="14.61"/>
    <n v="0"/>
    <n v="1"/>
    <n v="2878"/>
    <n v="329"/>
    <n v="280"/>
    <n v="1263"/>
    <n v="8"/>
    <n v="998"/>
    <n v="0.19750000000000001"/>
    <n v="0"/>
    <n v="3.0999999999999999E-3"/>
  </r>
  <r>
    <n v="2004"/>
    <n v="11"/>
    <x v="7"/>
    <x v="7"/>
    <s v="SEA"/>
    <s v="Seattle, WA: Seattle/Tacoma International"/>
    <n v="493"/>
    <n v="79"/>
    <n v="22.29"/>
    <n v="0.44"/>
    <n v="41.42"/>
    <n v="0"/>
    <n v="14.85"/>
    <n v="5"/>
    <n v="2"/>
    <n v="2961"/>
    <n v="1051"/>
    <n v="28"/>
    <n v="1119"/>
    <n v="0"/>
    <n v="763"/>
    <n v="0.16020000000000001"/>
    <n v="1.01E-2"/>
    <n v="4.1000000000000003E-3"/>
  </r>
  <r>
    <n v="2004"/>
    <n v="11"/>
    <x v="0"/>
    <x v="0"/>
    <s v="SEA"/>
    <s v="Seattle, WA: Seattle/Tacoma International"/>
    <n v="53"/>
    <n v="25"/>
    <n v="24"/>
    <n v="0"/>
    <n v="0"/>
    <n v="0"/>
    <n v="1"/>
    <n v="0"/>
    <n v="0"/>
    <n v="869"/>
    <n v="772"/>
    <n v="0"/>
    <n v="0"/>
    <n v="0"/>
    <n v="97"/>
    <n v="0.47170000000000001"/>
    <n v="0"/>
    <n v="0"/>
  </r>
  <r>
    <n v="2004"/>
    <n v="11"/>
    <x v="21"/>
    <x v="21"/>
    <s v="SEA"/>
    <s v="Seattle, WA: Seattle/Tacoma International"/>
    <n v="296"/>
    <n v="68"/>
    <n v="32.17"/>
    <n v="1"/>
    <n v="20.52"/>
    <n v="0"/>
    <n v="14.31"/>
    <n v="5"/>
    <n v="2"/>
    <n v="2637"/>
    <n v="1279"/>
    <n v="18"/>
    <n v="491"/>
    <n v="0"/>
    <n v="849"/>
    <n v="0.22969999999999999"/>
    <n v="1.6899999999999998E-2"/>
    <n v="6.7999999999999996E-3"/>
  </r>
  <r>
    <n v="2004"/>
    <n v="11"/>
    <x v="18"/>
    <x v="18"/>
    <s v="SEA"/>
    <s v="Seattle, WA: Seattle/Tacoma International"/>
    <n v="329"/>
    <n v="53"/>
    <n v="14.69"/>
    <n v="0.46"/>
    <n v="30.8"/>
    <n v="0"/>
    <n v="7.05"/>
    <n v="0"/>
    <n v="1"/>
    <n v="1958"/>
    <n v="791"/>
    <n v="22"/>
    <n v="783"/>
    <n v="0"/>
    <n v="362"/>
    <n v="0.16109999999999999"/>
    <n v="0"/>
    <n v="3.0000000000000001E-3"/>
  </r>
  <r>
    <n v="2004"/>
    <n v="11"/>
    <x v="2"/>
    <x v="2"/>
    <s v="SEA"/>
    <s v="Seattle, WA: Seattle/Tacoma International"/>
    <n v="370"/>
    <n v="44"/>
    <n v="26"/>
    <n v="8"/>
    <n v="3"/>
    <n v="0"/>
    <n v="7"/>
    <n v="28"/>
    <n v="1"/>
    <n v="2855"/>
    <n v="975"/>
    <n v="1148"/>
    <n v="154"/>
    <n v="0"/>
    <n v="578"/>
    <n v="0.11890000000000001"/>
    <n v="7.5700000000000003E-2"/>
    <n v="2.7000000000000001E-3"/>
  </r>
  <r>
    <n v="2004"/>
    <n v="11"/>
    <x v="24"/>
    <x v="24"/>
    <s v="SEA"/>
    <s v="Seattle, WA: Seattle/Tacoma International"/>
    <n v="117"/>
    <n v="11"/>
    <n v="4.13"/>
    <n v="0"/>
    <n v="4.3"/>
    <n v="0.25"/>
    <n v="2.3199999999999998"/>
    <n v="0"/>
    <n v="0"/>
    <n v="566"/>
    <n v="163"/>
    <n v="0"/>
    <n v="118"/>
    <n v="33"/>
    <n v="252"/>
    <n v="9.4E-2"/>
    <n v="0"/>
    <n v="0"/>
  </r>
  <r>
    <n v="2004"/>
    <n v="11"/>
    <x v="9"/>
    <x v="9"/>
    <s v="SEA"/>
    <s v="Seattle, WA: Seattle/Tacoma International"/>
    <n v="846"/>
    <n v="125"/>
    <n v="40.450000000000003"/>
    <n v="1.51"/>
    <n v="35.840000000000003"/>
    <n v="0"/>
    <n v="47.19"/>
    <n v="2"/>
    <n v="1"/>
    <n v="6040"/>
    <n v="1990"/>
    <n v="83"/>
    <n v="934"/>
    <n v="0"/>
    <n v="3033"/>
    <n v="0.14779999999999999"/>
    <n v="2.3999999999999998E-3"/>
    <n v="1.1999999999999999E-3"/>
  </r>
  <r>
    <n v="2004"/>
    <n v="11"/>
    <x v="15"/>
    <x v="15"/>
    <s v="SEA"/>
    <s v="Seattle, WA: Seattle/Tacoma International"/>
    <n v="148"/>
    <n v="44"/>
    <n v="20.07"/>
    <n v="0"/>
    <n v="13.4"/>
    <n v="0"/>
    <n v="10.53"/>
    <n v="1"/>
    <n v="0"/>
    <n v="1721"/>
    <n v="763"/>
    <n v="0"/>
    <n v="521"/>
    <n v="0"/>
    <n v="437"/>
    <n v="0.29730000000000001"/>
    <n v="6.7999999999999996E-3"/>
    <n v="0"/>
  </r>
  <r>
    <n v="2004"/>
    <n v="11"/>
    <x v="10"/>
    <x v="10"/>
    <s v="SEA"/>
    <s v="Seattle, WA: Seattle/Tacoma International"/>
    <n v="1033"/>
    <n v="211"/>
    <n v="49.34"/>
    <n v="5.19"/>
    <n v="41.38"/>
    <n v="1.36"/>
    <n v="113.72"/>
    <n v="7"/>
    <n v="1"/>
    <n v="9152"/>
    <n v="1760"/>
    <n v="491"/>
    <n v="1214"/>
    <n v="37"/>
    <n v="5650"/>
    <n v="0.20430000000000001"/>
    <n v="6.7999999999999996E-3"/>
    <n v="1E-3"/>
  </r>
  <r>
    <n v="2004"/>
    <n v="10"/>
    <x v="4"/>
    <x v="4"/>
    <s v="SEA"/>
    <s v="Seattle, WA: Seattle/Tacoma International"/>
    <n v="568"/>
    <n v="87"/>
    <n v="22.07"/>
    <n v="9.7799999999999994"/>
    <n v="29.95"/>
    <n v="0"/>
    <n v="25.2"/>
    <n v="1"/>
    <n v="1"/>
    <n v="4574"/>
    <n v="1109"/>
    <n v="724"/>
    <n v="1011"/>
    <n v="0"/>
    <n v="1730"/>
    <n v="0.1532"/>
    <n v="1.8E-3"/>
    <n v="1.8E-3"/>
  </r>
  <r>
    <n v="2004"/>
    <n v="10"/>
    <x v="5"/>
    <x v="5"/>
    <s v="SEA"/>
    <s v="Seattle, WA: Seattle/Tacoma International"/>
    <n v="4152"/>
    <n v="706"/>
    <n v="170.5"/>
    <n v="7.33"/>
    <n v="188.58"/>
    <n v="2.21"/>
    <n v="337.38"/>
    <n v="76"/>
    <n v="2"/>
    <n v="32644"/>
    <n v="10647"/>
    <n v="392"/>
    <n v="5607"/>
    <n v="54"/>
    <n v="15944"/>
    <n v="0.17"/>
    <n v="1.83E-2"/>
    <n v="5.0000000000000001E-4"/>
  </r>
  <r>
    <n v="2004"/>
    <n v="10"/>
    <x v="6"/>
    <x v="6"/>
    <s v="SEA"/>
    <s v="Seattle, WA: Seattle/Tacoma International"/>
    <n v="31"/>
    <n v="8"/>
    <n v="0"/>
    <n v="0"/>
    <n v="6.98"/>
    <n v="0.28999999999999998"/>
    <n v="0.73"/>
    <n v="0"/>
    <n v="0"/>
    <n v="191"/>
    <n v="0"/>
    <n v="0"/>
    <n v="164"/>
    <n v="8"/>
    <n v="19"/>
    <n v="0.2581"/>
    <n v="0"/>
    <n v="0"/>
  </r>
  <r>
    <n v="2004"/>
    <n v="10"/>
    <x v="17"/>
    <x v="17"/>
    <s v="SEA"/>
    <s v="Seattle, WA: Seattle/Tacoma International"/>
    <n v="322"/>
    <n v="31"/>
    <n v="12.58"/>
    <n v="0"/>
    <n v="14.38"/>
    <n v="1"/>
    <n v="3.04"/>
    <n v="0"/>
    <n v="0"/>
    <n v="947"/>
    <n v="356"/>
    <n v="0"/>
    <n v="375"/>
    <n v="24"/>
    <n v="192"/>
    <n v="9.6299999999999997E-2"/>
    <n v="0"/>
    <n v="0"/>
  </r>
  <r>
    <n v="2004"/>
    <n v="10"/>
    <x v="7"/>
    <x v="7"/>
    <s v="SEA"/>
    <s v="Seattle, WA: Seattle/Tacoma International"/>
    <n v="513"/>
    <n v="71"/>
    <n v="23.66"/>
    <n v="1"/>
    <n v="30.6"/>
    <n v="0"/>
    <n v="15.74"/>
    <n v="3"/>
    <n v="0"/>
    <n v="3474"/>
    <n v="1474"/>
    <n v="48"/>
    <n v="1011"/>
    <n v="0"/>
    <n v="941"/>
    <n v="0.1384"/>
    <n v="5.7999999999999996E-3"/>
    <n v="0"/>
  </r>
  <r>
    <n v="2004"/>
    <n v="10"/>
    <x v="0"/>
    <x v="0"/>
    <s v="SEA"/>
    <s v="Seattle, WA: Seattle/Tacoma International"/>
    <n v="48"/>
    <n v="20"/>
    <n v="19"/>
    <n v="0"/>
    <n v="0"/>
    <n v="0"/>
    <n v="1"/>
    <n v="0"/>
    <n v="0"/>
    <n v="860"/>
    <n v="692"/>
    <n v="0"/>
    <n v="0"/>
    <n v="0"/>
    <n v="168"/>
    <n v="0.41670000000000001"/>
    <n v="0"/>
    <n v="0"/>
  </r>
  <r>
    <n v="2004"/>
    <n v="10"/>
    <x v="21"/>
    <x v="21"/>
    <s v="SEA"/>
    <s v="Seattle, WA: Seattle/Tacoma International"/>
    <n v="280"/>
    <n v="51"/>
    <n v="14.95"/>
    <n v="0"/>
    <n v="22.97"/>
    <n v="0"/>
    <n v="13.08"/>
    <n v="1"/>
    <n v="0"/>
    <n v="2042"/>
    <n v="742"/>
    <n v="0"/>
    <n v="732"/>
    <n v="0"/>
    <n v="568"/>
    <n v="0.18210000000000001"/>
    <n v="3.5999999999999999E-3"/>
    <n v="0"/>
  </r>
  <r>
    <n v="2004"/>
    <n v="10"/>
    <x v="18"/>
    <x v="18"/>
    <s v="SEA"/>
    <s v="Seattle, WA: Seattle/Tacoma International"/>
    <n v="370"/>
    <n v="46"/>
    <n v="14.39"/>
    <n v="0"/>
    <n v="24.95"/>
    <n v="0.92"/>
    <n v="5.74"/>
    <n v="2"/>
    <n v="1"/>
    <n v="1472"/>
    <n v="490"/>
    <n v="0"/>
    <n v="653"/>
    <n v="80"/>
    <n v="249"/>
    <n v="0.12429999999999999"/>
    <n v="5.4000000000000003E-3"/>
    <n v="2.7000000000000001E-3"/>
  </r>
  <r>
    <n v="2004"/>
    <n v="10"/>
    <x v="2"/>
    <x v="2"/>
    <s v="SEA"/>
    <s v="Seattle, WA: Seattle/Tacoma International"/>
    <n v="382"/>
    <n v="46"/>
    <n v="21"/>
    <n v="7"/>
    <n v="8"/>
    <n v="0"/>
    <n v="10"/>
    <n v="6"/>
    <n v="0"/>
    <n v="2706"/>
    <n v="628"/>
    <n v="803"/>
    <n v="411"/>
    <n v="0"/>
    <n v="864"/>
    <n v="0.12039999999999999"/>
    <n v="1.5699999999999999E-2"/>
    <n v="0"/>
  </r>
  <r>
    <n v="2004"/>
    <n v="10"/>
    <x v="24"/>
    <x v="24"/>
    <s v="SEA"/>
    <s v="Seattle, WA: Seattle/Tacoma International"/>
    <n v="124"/>
    <n v="15"/>
    <n v="3.72"/>
    <n v="0"/>
    <n v="7.89"/>
    <n v="0"/>
    <n v="3.4"/>
    <n v="0"/>
    <n v="0"/>
    <n v="631"/>
    <n v="100"/>
    <n v="0"/>
    <n v="340"/>
    <n v="0"/>
    <n v="191"/>
    <n v="0.121"/>
    <n v="0"/>
    <n v="0"/>
  </r>
  <r>
    <n v="2004"/>
    <n v="10"/>
    <x v="9"/>
    <x v="9"/>
    <s v="SEA"/>
    <s v="Seattle, WA: Seattle/Tacoma International"/>
    <n v="1052"/>
    <n v="148"/>
    <n v="40.56"/>
    <n v="1"/>
    <n v="61.32"/>
    <n v="0"/>
    <n v="45.13"/>
    <n v="5"/>
    <n v="0"/>
    <n v="6806"/>
    <n v="2141"/>
    <n v="65"/>
    <n v="1775"/>
    <n v="0"/>
    <n v="2825"/>
    <n v="0.14069999999999999"/>
    <n v="4.7999999999999996E-3"/>
    <n v="0"/>
  </r>
  <r>
    <n v="2004"/>
    <n v="10"/>
    <x v="15"/>
    <x v="15"/>
    <s v="SEA"/>
    <s v="Seattle, WA: Seattle/Tacoma International"/>
    <n v="180"/>
    <n v="47"/>
    <n v="19.27"/>
    <n v="1.37"/>
    <n v="17.28"/>
    <n v="0"/>
    <n v="9.09"/>
    <n v="0"/>
    <n v="0"/>
    <n v="1896"/>
    <n v="877"/>
    <n v="101"/>
    <n v="507"/>
    <n v="0"/>
    <n v="411"/>
    <n v="0.2611"/>
    <n v="0"/>
    <n v="0"/>
  </r>
  <r>
    <n v="2004"/>
    <n v="10"/>
    <x v="10"/>
    <x v="10"/>
    <s v="SEA"/>
    <s v="Seattle, WA: Seattle/Tacoma International"/>
    <n v="1073"/>
    <n v="198"/>
    <n v="37.15"/>
    <n v="3.88"/>
    <n v="16.48"/>
    <n v="0.3"/>
    <n v="140.19"/>
    <n v="6"/>
    <n v="2"/>
    <n v="8238"/>
    <n v="1288"/>
    <n v="167"/>
    <n v="571"/>
    <n v="13"/>
    <n v="6199"/>
    <n v="0.1845"/>
    <n v="5.5999999999999999E-3"/>
    <n v="1.9E-3"/>
  </r>
  <r>
    <n v="2004"/>
    <n v="9"/>
    <x v="4"/>
    <x v="4"/>
    <s v="SEA"/>
    <s v="Seattle, WA: Seattle/Tacoma International"/>
    <n v="576"/>
    <n v="50"/>
    <n v="23.53"/>
    <n v="1.41"/>
    <n v="15.18"/>
    <n v="0"/>
    <n v="9.8800000000000008"/>
    <n v="0"/>
    <n v="3"/>
    <n v="3161"/>
    <n v="1459"/>
    <n v="216"/>
    <n v="477"/>
    <n v="0"/>
    <n v="1009"/>
    <n v="8.6800000000000002E-2"/>
    <n v="0"/>
    <n v="5.1999999999999998E-3"/>
  </r>
  <r>
    <n v="2004"/>
    <n v="9"/>
    <x v="5"/>
    <x v="5"/>
    <s v="SEA"/>
    <s v="Seattle, WA: Seattle/Tacoma International"/>
    <n v="4171"/>
    <n v="713"/>
    <n v="158.84"/>
    <n v="7"/>
    <n v="239.51"/>
    <n v="10.62"/>
    <n v="297.04000000000002"/>
    <n v="57"/>
    <n v="6"/>
    <n v="32299"/>
    <n v="9390"/>
    <n v="569"/>
    <n v="7671"/>
    <n v="416"/>
    <n v="14253"/>
    <n v="0.1709"/>
    <n v="1.37E-2"/>
    <n v="1.4E-3"/>
  </r>
  <r>
    <n v="2004"/>
    <n v="9"/>
    <x v="6"/>
    <x v="6"/>
    <s v="SEA"/>
    <s v="Seattle, WA: Seattle/Tacoma International"/>
    <n v="30"/>
    <n v="3"/>
    <n v="1.2"/>
    <n v="0"/>
    <n v="1.8"/>
    <n v="0"/>
    <n v="0"/>
    <n v="0"/>
    <n v="0"/>
    <n v="109"/>
    <n v="65"/>
    <n v="0"/>
    <n v="44"/>
    <n v="0"/>
    <n v="0"/>
    <n v="0.1"/>
    <n v="0"/>
    <n v="0"/>
  </r>
  <r>
    <n v="2004"/>
    <n v="9"/>
    <x v="17"/>
    <x v="17"/>
    <s v="SEA"/>
    <s v="Seattle, WA: Seattle/Tacoma International"/>
    <n v="355"/>
    <n v="41"/>
    <n v="8.1199999999999992"/>
    <n v="0"/>
    <n v="26.26"/>
    <n v="0"/>
    <n v="6.61"/>
    <n v="0"/>
    <n v="0"/>
    <n v="1482"/>
    <n v="520"/>
    <n v="0"/>
    <n v="730"/>
    <n v="0"/>
    <n v="232"/>
    <n v="0.11550000000000001"/>
    <n v="0"/>
    <n v="0"/>
  </r>
  <r>
    <n v="2004"/>
    <n v="9"/>
    <x v="7"/>
    <x v="7"/>
    <s v="SEA"/>
    <s v="Seattle, WA: Seattle/Tacoma International"/>
    <n v="531"/>
    <n v="110"/>
    <n v="29.5"/>
    <n v="4.59"/>
    <n v="54.46"/>
    <n v="0"/>
    <n v="21.44"/>
    <n v="2"/>
    <n v="0"/>
    <n v="4704"/>
    <n v="1430"/>
    <n v="611"/>
    <n v="1620"/>
    <n v="0"/>
    <n v="1043"/>
    <n v="0.2072"/>
    <n v="3.8E-3"/>
    <n v="0"/>
  </r>
  <r>
    <n v="2004"/>
    <n v="9"/>
    <x v="0"/>
    <x v="0"/>
    <s v="SEA"/>
    <s v="Seattle, WA: Seattle/Tacoma International"/>
    <n v="51"/>
    <n v="9"/>
    <n v="8"/>
    <n v="0"/>
    <n v="0"/>
    <n v="0"/>
    <n v="1"/>
    <n v="0"/>
    <n v="0"/>
    <n v="228"/>
    <n v="198"/>
    <n v="0"/>
    <n v="0"/>
    <n v="0"/>
    <n v="30"/>
    <n v="0.17649999999999999"/>
    <n v="0"/>
    <n v="0"/>
  </r>
  <r>
    <n v="2004"/>
    <n v="9"/>
    <x v="21"/>
    <x v="21"/>
    <s v="SEA"/>
    <s v="Seattle, WA: Seattle/Tacoma International"/>
    <n v="270"/>
    <n v="50"/>
    <n v="17.82"/>
    <n v="0"/>
    <n v="23.94"/>
    <n v="0"/>
    <n v="8.24"/>
    <n v="1"/>
    <n v="1"/>
    <n v="1889"/>
    <n v="875"/>
    <n v="0"/>
    <n v="617"/>
    <n v="0"/>
    <n v="397"/>
    <n v="0.1852"/>
    <n v="3.7000000000000002E-3"/>
    <n v="3.7000000000000002E-3"/>
  </r>
  <r>
    <n v="2004"/>
    <n v="9"/>
    <x v="18"/>
    <x v="18"/>
    <s v="SEA"/>
    <s v="Seattle, WA: Seattle/Tacoma International"/>
    <n v="360"/>
    <n v="54"/>
    <n v="28.24"/>
    <n v="2.39"/>
    <n v="18.579999999999998"/>
    <n v="0"/>
    <n v="4.79"/>
    <n v="0"/>
    <n v="0"/>
    <n v="2146"/>
    <n v="1339"/>
    <n v="112"/>
    <n v="472"/>
    <n v="0"/>
    <n v="223"/>
    <n v="0.15"/>
    <n v="0"/>
    <n v="0"/>
  </r>
  <r>
    <n v="2004"/>
    <n v="9"/>
    <x v="2"/>
    <x v="2"/>
    <s v="SEA"/>
    <s v="Seattle, WA: Seattle/Tacoma International"/>
    <n v="401"/>
    <n v="47"/>
    <n v="20"/>
    <n v="9"/>
    <n v="11"/>
    <n v="0"/>
    <n v="7"/>
    <n v="9"/>
    <n v="0"/>
    <n v="2502"/>
    <n v="462"/>
    <n v="1311"/>
    <n v="397"/>
    <n v="0"/>
    <n v="332"/>
    <n v="0.1172"/>
    <n v="2.24E-2"/>
    <n v="0"/>
  </r>
  <r>
    <n v="2004"/>
    <n v="9"/>
    <x v="24"/>
    <x v="24"/>
    <s v="SEA"/>
    <s v="Seattle, WA: Seattle/Tacoma International"/>
    <n v="117"/>
    <n v="10"/>
    <n v="3.51"/>
    <n v="1"/>
    <n v="4.42"/>
    <n v="0"/>
    <n v="1.06"/>
    <n v="0"/>
    <n v="0"/>
    <n v="566"/>
    <n v="139"/>
    <n v="89"/>
    <n v="307"/>
    <n v="0"/>
    <n v="31"/>
    <n v="8.5500000000000007E-2"/>
    <n v="0"/>
    <n v="0"/>
  </r>
  <r>
    <n v="2004"/>
    <n v="9"/>
    <x v="9"/>
    <x v="9"/>
    <s v="SEA"/>
    <s v="Seattle, WA: Seattle/Tacoma International"/>
    <n v="1086"/>
    <n v="150"/>
    <n v="37.020000000000003"/>
    <n v="2.58"/>
    <n v="67.010000000000005"/>
    <n v="2.35"/>
    <n v="41.04"/>
    <n v="3"/>
    <n v="0"/>
    <n v="7076"/>
    <n v="1926"/>
    <n v="300"/>
    <n v="1865"/>
    <n v="357"/>
    <n v="2628"/>
    <n v="0.1381"/>
    <n v="2.8E-3"/>
    <n v="0"/>
  </r>
  <r>
    <n v="2004"/>
    <n v="9"/>
    <x v="15"/>
    <x v="15"/>
    <s v="SEA"/>
    <s v="Seattle, WA: Seattle/Tacoma International"/>
    <n v="189"/>
    <n v="24"/>
    <n v="11.87"/>
    <n v="1"/>
    <n v="3.31"/>
    <n v="0"/>
    <n v="7.81"/>
    <n v="0"/>
    <n v="1"/>
    <n v="1083"/>
    <n v="507"/>
    <n v="18"/>
    <n v="171"/>
    <n v="0"/>
    <n v="387"/>
    <n v="0.127"/>
    <n v="0"/>
    <n v="5.3E-3"/>
  </r>
  <r>
    <n v="2004"/>
    <n v="9"/>
    <x v="10"/>
    <x v="10"/>
    <s v="SEA"/>
    <s v="Seattle, WA: Seattle/Tacoma International"/>
    <n v="1048"/>
    <n v="188"/>
    <n v="28.72"/>
    <n v="3.56"/>
    <n v="49.93"/>
    <n v="0"/>
    <n v="105.79"/>
    <n v="3"/>
    <n v="1"/>
    <n v="7518"/>
    <n v="1121"/>
    <n v="132"/>
    <n v="1348"/>
    <n v="0"/>
    <n v="4917"/>
    <n v="0.1794"/>
    <n v="2.8999999999999998E-3"/>
    <n v="1E-3"/>
  </r>
  <r>
    <n v="2004"/>
    <n v="8"/>
    <x v="4"/>
    <x v="4"/>
    <s v="SEA"/>
    <s v="Seattle, WA: Seattle/Tacoma International"/>
    <n v="682"/>
    <n v="181"/>
    <n v="53.56"/>
    <n v="16.96"/>
    <n v="48.32"/>
    <n v="0"/>
    <n v="62.16"/>
    <n v="1"/>
    <n v="0"/>
    <n v="11946"/>
    <n v="3032"/>
    <n v="2121"/>
    <n v="1949"/>
    <n v="0"/>
    <n v="4844"/>
    <n v="0.26540000000000002"/>
    <n v="1.5E-3"/>
    <n v="0"/>
  </r>
  <r>
    <n v="2004"/>
    <n v="8"/>
    <x v="5"/>
    <x v="5"/>
    <s v="SEA"/>
    <s v="Seattle, WA: Seattle/Tacoma International"/>
    <n v="4696"/>
    <n v="1078"/>
    <n v="250.89"/>
    <n v="7.98"/>
    <n v="301.06"/>
    <n v="6.12"/>
    <n v="511.96"/>
    <n v="59"/>
    <n v="4"/>
    <n v="52302"/>
    <n v="15730"/>
    <n v="456"/>
    <n v="9165"/>
    <n v="135"/>
    <n v="26816"/>
    <n v="0.2296"/>
    <n v="1.26E-2"/>
    <n v="8.9999999999999998E-4"/>
  </r>
  <r>
    <n v="2004"/>
    <n v="8"/>
    <x v="6"/>
    <x v="6"/>
    <s v="SEA"/>
    <s v="Seattle, WA: Seattle/Tacoma International"/>
    <n v="31"/>
    <n v="15"/>
    <n v="4.28"/>
    <n v="0.97"/>
    <n v="7.82"/>
    <n v="0"/>
    <n v="1.93"/>
    <n v="0"/>
    <n v="0"/>
    <n v="732"/>
    <n v="158"/>
    <n v="104"/>
    <n v="408"/>
    <n v="0"/>
    <n v="62"/>
    <n v="0.4839"/>
    <n v="0"/>
    <n v="0"/>
  </r>
  <r>
    <n v="2004"/>
    <n v="8"/>
    <x v="17"/>
    <x v="17"/>
    <s v="SEA"/>
    <s v="Seattle, WA: Seattle/Tacoma International"/>
    <n v="400"/>
    <n v="97"/>
    <n v="22.05"/>
    <n v="0.84"/>
    <n v="52.01"/>
    <n v="0"/>
    <n v="22.1"/>
    <n v="0"/>
    <n v="0"/>
    <n v="4028"/>
    <n v="1103"/>
    <n v="35"/>
    <n v="2008"/>
    <n v="0"/>
    <n v="882"/>
    <n v="0.24249999999999999"/>
    <n v="0"/>
    <n v="0"/>
  </r>
  <r>
    <n v="2004"/>
    <n v="8"/>
    <x v="7"/>
    <x v="7"/>
    <s v="SEA"/>
    <s v="Seattle, WA: Seattle/Tacoma International"/>
    <n v="548"/>
    <n v="164"/>
    <n v="37"/>
    <n v="3.07"/>
    <n v="97.34"/>
    <n v="0"/>
    <n v="26.59"/>
    <n v="0"/>
    <n v="0"/>
    <n v="7195"/>
    <n v="1838"/>
    <n v="145"/>
    <n v="3433"/>
    <n v="0"/>
    <n v="1779"/>
    <n v="0.29930000000000001"/>
    <n v="0"/>
    <n v="0"/>
  </r>
  <r>
    <n v="2004"/>
    <n v="8"/>
    <x v="0"/>
    <x v="0"/>
    <s v="SEA"/>
    <s v="Seattle, WA: Seattle/Tacoma International"/>
    <n v="62"/>
    <n v="11"/>
    <n v="9"/>
    <n v="2"/>
    <n v="0"/>
    <n v="0"/>
    <n v="0"/>
    <n v="0"/>
    <n v="0"/>
    <n v="613"/>
    <n v="553"/>
    <n v="60"/>
    <n v="0"/>
    <n v="0"/>
    <n v="0"/>
    <n v="0.1774"/>
    <n v="0"/>
    <n v="0"/>
  </r>
  <r>
    <n v="2004"/>
    <n v="8"/>
    <x v="21"/>
    <x v="21"/>
    <s v="SEA"/>
    <s v="Seattle, WA: Seattle/Tacoma International"/>
    <n v="279"/>
    <n v="81"/>
    <n v="27.65"/>
    <n v="0"/>
    <n v="33.82"/>
    <n v="0"/>
    <n v="19.53"/>
    <n v="2"/>
    <n v="0"/>
    <n v="3226"/>
    <n v="1263"/>
    <n v="0"/>
    <n v="1011"/>
    <n v="0"/>
    <n v="952"/>
    <n v="0.2903"/>
    <n v="7.1999999999999998E-3"/>
    <n v="0"/>
  </r>
  <r>
    <n v="2004"/>
    <n v="8"/>
    <x v="18"/>
    <x v="18"/>
    <s v="SEA"/>
    <s v="Seattle, WA: Seattle/Tacoma International"/>
    <n v="494"/>
    <n v="107"/>
    <n v="50.8"/>
    <n v="0.73"/>
    <n v="43.12"/>
    <n v="0"/>
    <n v="12.35"/>
    <n v="4"/>
    <n v="2"/>
    <n v="4331"/>
    <n v="2544"/>
    <n v="19"/>
    <n v="1228"/>
    <n v="0"/>
    <n v="540"/>
    <n v="0.21659999999999999"/>
    <n v="8.0999999999999996E-3"/>
    <n v="4.0000000000000001E-3"/>
  </r>
  <r>
    <n v="2004"/>
    <n v="8"/>
    <x v="2"/>
    <x v="2"/>
    <s v="SEA"/>
    <s v="Seattle, WA: Seattle/Tacoma International"/>
    <n v="426"/>
    <n v="48"/>
    <n v="22"/>
    <n v="4"/>
    <n v="15"/>
    <n v="0"/>
    <n v="7"/>
    <n v="1"/>
    <n v="0"/>
    <n v="1623"/>
    <n v="571"/>
    <n v="415"/>
    <n v="388"/>
    <n v="0"/>
    <n v="249"/>
    <n v="0.11269999999999999"/>
    <n v="2.3E-3"/>
    <n v="0"/>
  </r>
  <r>
    <n v="2004"/>
    <n v="8"/>
    <x v="24"/>
    <x v="24"/>
    <s v="SEA"/>
    <s v="Seattle, WA: Seattle/Tacoma International"/>
    <n v="150"/>
    <n v="27"/>
    <n v="12.32"/>
    <n v="0"/>
    <n v="8.75"/>
    <n v="0"/>
    <n v="5.94"/>
    <n v="0"/>
    <n v="0"/>
    <n v="968"/>
    <n v="358"/>
    <n v="0"/>
    <n v="393"/>
    <n v="0"/>
    <n v="217"/>
    <n v="0.18"/>
    <n v="0"/>
    <n v="0"/>
  </r>
  <r>
    <n v="2004"/>
    <n v="8"/>
    <x v="9"/>
    <x v="9"/>
    <s v="SEA"/>
    <s v="Seattle, WA: Seattle/Tacoma International"/>
    <n v="1290"/>
    <n v="234"/>
    <n v="62.17"/>
    <n v="3.37"/>
    <n v="85.53"/>
    <n v="0"/>
    <n v="82.93"/>
    <n v="7"/>
    <n v="0"/>
    <n v="11793"/>
    <n v="2951"/>
    <n v="269"/>
    <n v="2452"/>
    <n v="0"/>
    <n v="6121"/>
    <n v="0.18140000000000001"/>
    <n v="5.4000000000000003E-3"/>
    <n v="0"/>
  </r>
  <r>
    <n v="2004"/>
    <n v="8"/>
    <x v="15"/>
    <x v="15"/>
    <s v="SEA"/>
    <s v="Seattle, WA: Seattle/Tacoma International"/>
    <n v="268"/>
    <n v="92"/>
    <n v="34.659999999999997"/>
    <n v="5.21"/>
    <n v="25.76"/>
    <n v="0"/>
    <n v="26.37"/>
    <n v="1"/>
    <n v="1"/>
    <n v="6053"/>
    <n v="1712"/>
    <n v="539"/>
    <n v="1400"/>
    <n v="0"/>
    <n v="2402"/>
    <n v="0.34329999999999999"/>
    <n v="3.7000000000000002E-3"/>
    <n v="3.7000000000000002E-3"/>
  </r>
  <r>
    <n v="2004"/>
    <n v="8"/>
    <x v="10"/>
    <x v="10"/>
    <s v="SEA"/>
    <s v="Seattle, WA: Seattle/Tacoma International"/>
    <n v="1082"/>
    <n v="306"/>
    <n v="59.81"/>
    <n v="1.42"/>
    <n v="52.12"/>
    <n v="1.51"/>
    <n v="191.14"/>
    <n v="0"/>
    <n v="0"/>
    <n v="12079"/>
    <n v="2170"/>
    <n v="37"/>
    <n v="1460"/>
    <n v="35"/>
    <n v="8377"/>
    <n v="0.2828"/>
    <n v="0"/>
    <n v="0"/>
  </r>
  <r>
    <n v="2004"/>
    <n v="7"/>
    <x v="18"/>
    <x v="18"/>
    <s v="SEA"/>
    <s v="Seattle, WA: Seattle/Tacoma International"/>
    <n v="496"/>
    <n v="125"/>
    <n v="57.43"/>
    <n v="0.53"/>
    <n v="52"/>
    <n v="0"/>
    <n v="15.04"/>
    <n v="1"/>
    <n v="0"/>
    <n v="4726"/>
    <n v="2520"/>
    <n v="12"/>
    <n v="1482"/>
    <n v="0"/>
    <n v="712"/>
    <n v="0.252"/>
    <n v="2E-3"/>
    <n v="0"/>
  </r>
  <r>
    <n v="2004"/>
    <n v="7"/>
    <x v="2"/>
    <x v="2"/>
    <s v="SEA"/>
    <s v="Seattle, WA: Seattle/Tacoma International"/>
    <n v="418"/>
    <n v="41"/>
    <n v="29"/>
    <n v="2"/>
    <n v="3"/>
    <n v="1"/>
    <n v="6"/>
    <n v="7"/>
    <n v="0"/>
    <n v="1832"/>
    <n v="1468"/>
    <n v="34"/>
    <n v="66"/>
    <n v="41"/>
    <n v="223"/>
    <n v="9.8100000000000007E-2"/>
    <n v="1.67E-2"/>
    <n v="0"/>
  </r>
  <r>
    <n v="2004"/>
    <n v="7"/>
    <x v="24"/>
    <x v="24"/>
    <s v="SEA"/>
    <s v="Seattle, WA: Seattle/Tacoma International"/>
    <n v="149"/>
    <n v="48"/>
    <n v="25.73"/>
    <n v="0"/>
    <n v="11.69"/>
    <n v="0.59"/>
    <n v="9.98"/>
    <n v="0"/>
    <n v="0"/>
    <n v="2599"/>
    <n v="1440"/>
    <n v="0"/>
    <n v="514"/>
    <n v="16"/>
    <n v="629"/>
    <n v="0.3221"/>
    <n v="0"/>
    <n v="0"/>
  </r>
  <r>
    <n v="2004"/>
    <n v="7"/>
    <x v="9"/>
    <x v="9"/>
    <s v="SEA"/>
    <s v="Seattle, WA: Seattle/Tacoma International"/>
    <n v="1288"/>
    <n v="250"/>
    <n v="78.13"/>
    <n v="7.42"/>
    <n v="62.73"/>
    <n v="0"/>
    <n v="101.72"/>
    <n v="2"/>
    <n v="0"/>
    <n v="13251"/>
    <n v="3370"/>
    <n v="487"/>
    <n v="2119"/>
    <n v="0"/>
    <n v="7275"/>
    <n v="0.19409999999999999"/>
    <n v="1.6000000000000001E-3"/>
    <n v="0"/>
  </r>
  <r>
    <n v="2004"/>
    <n v="7"/>
    <x v="15"/>
    <x v="15"/>
    <s v="SEA"/>
    <s v="Seattle, WA: Seattle/Tacoma International"/>
    <n v="244"/>
    <n v="89"/>
    <n v="34.799999999999997"/>
    <n v="3.59"/>
    <n v="23.84"/>
    <n v="0"/>
    <n v="26.77"/>
    <n v="0"/>
    <n v="0"/>
    <n v="5888"/>
    <n v="1692"/>
    <n v="696"/>
    <n v="1393"/>
    <n v="0"/>
    <n v="2107"/>
    <n v="0.36480000000000001"/>
    <n v="0"/>
    <n v="0"/>
  </r>
  <r>
    <n v="2004"/>
    <n v="7"/>
    <x v="10"/>
    <x v="10"/>
    <s v="SEA"/>
    <s v="Seattle, WA: Seattle/Tacoma International"/>
    <n v="1082"/>
    <n v="207"/>
    <n v="45.89"/>
    <n v="1"/>
    <n v="16.559999999999999"/>
    <n v="0.11"/>
    <n v="143.44"/>
    <n v="0"/>
    <n v="0"/>
    <n v="8604"/>
    <n v="1676"/>
    <n v="21"/>
    <n v="546"/>
    <n v="6"/>
    <n v="6355"/>
    <n v="0.1913"/>
    <n v="0"/>
    <n v="0"/>
  </r>
  <r>
    <n v="2004"/>
    <n v="7"/>
    <x v="4"/>
    <x v="4"/>
    <s v="SEA"/>
    <s v="Seattle, WA: Seattle/Tacoma International"/>
    <n v="680"/>
    <n v="158"/>
    <n v="46.68"/>
    <n v="14.89"/>
    <n v="52.7"/>
    <n v="0"/>
    <n v="43.73"/>
    <n v="2"/>
    <n v="1"/>
    <n v="9499"/>
    <n v="2702"/>
    <n v="1062"/>
    <n v="2326"/>
    <n v="0"/>
    <n v="3409"/>
    <n v="0.2324"/>
    <n v="2.8999999999999998E-3"/>
    <n v="1.5E-3"/>
  </r>
  <r>
    <n v="2004"/>
    <n v="7"/>
    <x v="5"/>
    <x v="5"/>
    <s v="SEA"/>
    <s v="Seattle, WA: Seattle/Tacoma International"/>
    <n v="4691"/>
    <n v="945"/>
    <n v="259.83999999999997"/>
    <n v="4.78"/>
    <n v="158.83000000000001"/>
    <n v="7.65"/>
    <n v="513.89"/>
    <n v="42"/>
    <n v="4"/>
    <n v="46451"/>
    <n v="14506"/>
    <n v="340"/>
    <n v="4855"/>
    <n v="190"/>
    <n v="26560"/>
    <n v="0.2014"/>
    <n v="8.9999999999999993E-3"/>
    <n v="8.9999999999999998E-4"/>
  </r>
  <r>
    <n v="2004"/>
    <n v="7"/>
    <x v="6"/>
    <x v="6"/>
    <s v="SEA"/>
    <s v="Seattle, WA: Seattle/Tacoma International"/>
    <n v="31"/>
    <n v="17"/>
    <n v="2.73"/>
    <n v="0"/>
    <n v="9.0500000000000007"/>
    <n v="0"/>
    <n v="5.22"/>
    <n v="0"/>
    <n v="0"/>
    <n v="885"/>
    <n v="191"/>
    <n v="0"/>
    <n v="451"/>
    <n v="0"/>
    <n v="243"/>
    <n v="0.5484"/>
    <n v="0"/>
    <n v="0"/>
  </r>
  <r>
    <n v="2004"/>
    <n v="7"/>
    <x v="17"/>
    <x v="17"/>
    <s v="SEA"/>
    <s v="Seattle, WA: Seattle/Tacoma International"/>
    <n v="403"/>
    <n v="102"/>
    <n v="34.270000000000003"/>
    <n v="0.1"/>
    <n v="48.36"/>
    <n v="0"/>
    <n v="19.27"/>
    <n v="0"/>
    <n v="0"/>
    <n v="5160"/>
    <n v="1909"/>
    <n v="8"/>
    <n v="2077"/>
    <n v="0"/>
    <n v="1166"/>
    <n v="0.25309999999999999"/>
    <n v="0"/>
    <n v="0"/>
  </r>
  <r>
    <n v="2004"/>
    <n v="7"/>
    <x v="7"/>
    <x v="7"/>
    <s v="SEA"/>
    <s v="Seattle, WA: Seattle/Tacoma International"/>
    <n v="547"/>
    <n v="173"/>
    <n v="57.83"/>
    <n v="4.25"/>
    <n v="87.98"/>
    <n v="1.8"/>
    <n v="21.15"/>
    <n v="0"/>
    <n v="0"/>
    <n v="7162"/>
    <n v="2571"/>
    <n v="150"/>
    <n v="3280"/>
    <n v="70"/>
    <n v="1091"/>
    <n v="0.31630000000000003"/>
    <n v="0"/>
    <n v="0"/>
  </r>
  <r>
    <n v="2004"/>
    <n v="7"/>
    <x v="0"/>
    <x v="0"/>
    <s v="SEA"/>
    <s v="Seattle, WA: Seattle/Tacoma International"/>
    <n v="62"/>
    <n v="12"/>
    <n v="10.3"/>
    <n v="0"/>
    <n v="0"/>
    <n v="0"/>
    <n v="1.7"/>
    <n v="0"/>
    <n v="0"/>
    <n v="723"/>
    <n v="595"/>
    <n v="0"/>
    <n v="0"/>
    <n v="0"/>
    <n v="128"/>
    <n v="0.19350000000000001"/>
    <n v="0"/>
    <n v="0"/>
  </r>
  <r>
    <n v="2004"/>
    <n v="7"/>
    <x v="21"/>
    <x v="21"/>
    <s v="SEA"/>
    <s v="Seattle, WA: Seattle/Tacoma International"/>
    <n v="279"/>
    <n v="67"/>
    <n v="34.17"/>
    <n v="0"/>
    <n v="13.65"/>
    <n v="0"/>
    <n v="19.18"/>
    <n v="2"/>
    <n v="0"/>
    <n v="2727"/>
    <n v="1380"/>
    <n v="0"/>
    <n v="364"/>
    <n v="0"/>
    <n v="983"/>
    <n v="0.24010000000000001"/>
    <n v="7.1999999999999998E-3"/>
    <n v="0"/>
  </r>
  <r>
    <n v="2004"/>
    <n v="6"/>
    <x v="4"/>
    <x v="4"/>
    <s v="SEA"/>
    <s v="Seattle, WA: Seattle/Tacoma International"/>
    <n v="631"/>
    <n v="180"/>
    <n v="32.369999999999997"/>
    <n v="24.23"/>
    <n v="69.45"/>
    <n v="0.86"/>
    <n v="53.09"/>
    <n v="3"/>
    <n v="1"/>
    <n v="11068"/>
    <n v="2082"/>
    <n v="2180"/>
    <n v="2424"/>
    <n v="42"/>
    <n v="4340"/>
    <n v="0.2853"/>
    <n v="4.7999999999999996E-3"/>
    <n v="1.6000000000000001E-3"/>
  </r>
  <r>
    <n v="2004"/>
    <n v="6"/>
    <x v="5"/>
    <x v="5"/>
    <s v="SEA"/>
    <s v="Seattle, WA: Seattle/Tacoma International"/>
    <n v="4478"/>
    <n v="1065"/>
    <n v="284.07"/>
    <n v="2.7"/>
    <n v="285.93"/>
    <n v="10.19"/>
    <n v="482.11"/>
    <n v="92"/>
    <n v="3"/>
    <n v="50964"/>
    <n v="15061"/>
    <n v="373"/>
    <n v="8307"/>
    <n v="348"/>
    <n v="26875"/>
    <n v="0.23780000000000001"/>
    <n v="2.0500000000000001E-2"/>
    <n v="6.9999999999999999E-4"/>
  </r>
  <r>
    <n v="2004"/>
    <n v="6"/>
    <x v="6"/>
    <x v="6"/>
    <s v="SEA"/>
    <s v="Seattle, WA: Seattle/Tacoma International"/>
    <n v="30"/>
    <n v="12"/>
    <n v="1.96"/>
    <n v="0.72"/>
    <n v="5.37"/>
    <n v="0"/>
    <n v="3.95"/>
    <n v="0"/>
    <n v="0"/>
    <n v="543"/>
    <n v="131"/>
    <n v="46"/>
    <n v="252"/>
    <n v="0"/>
    <n v="114"/>
    <n v="0.4"/>
    <n v="0"/>
    <n v="0"/>
  </r>
  <r>
    <n v="2004"/>
    <n v="6"/>
    <x v="17"/>
    <x v="17"/>
    <s v="SEA"/>
    <s v="Seattle, WA: Seattle/Tacoma International"/>
    <n v="381"/>
    <n v="143"/>
    <n v="34.56"/>
    <n v="6.86"/>
    <n v="72.48"/>
    <n v="0.11"/>
    <n v="28.99"/>
    <n v="0"/>
    <n v="1"/>
    <n v="7676"/>
    <n v="1618"/>
    <n v="704"/>
    <n v="3360"/>
    <n v="9"/>
    <n v="1985"/>
    <n v="0.37530000000000002"/>
    <n v="0"/>
    <n v="2.5999999999999999E-3"/>
  </r>
  <r>
    <n v="2004"/>
    <n v="6"/>
    <x v="7"/>
    <x v="7"/>
    <s v="SEA"/>
    <s v="Seattle, WA: Seattle/Tacoma International"/>
    <n v="537"/>
    <n v="185"/>
    <n v="44.4"/>
    <n v="3.91"/>
    <n v="103.23"/>
    <n v="0"/>
    <n v="33.450000000000003"/>
    <n v="2"/>
    <n v="1"/>
    <n v="8325"/>
    <n v="2326"/>
    <n v="537"/>
    <n v="3507"/>
    <n v="0"/>
    <n v="1955"/>
    <n v="0.34449999999999997"/>
    <n v="3.7000000000000002E-3"/>
    <n v="1.9E-3"/>
  </r>
  <r>
    <n v="2004"/>
    <n v="6"/>
    <x v="0"/>
    <x v="0"/>
    <s v="SEA"/>
    <s v="Seattle, WA: Seattle/Tacoma International"/>
    <n v="56"/>
    <n v="10"/>
    <n v="7.91"/>
    <n v="0"/>
    <n v="0"/>
    <n v="0.43"/>
    <n v="1.65"/>
    <n v="0"/>
    <n v="0"/>
    <n v="550"/>
    <n v="398"/>
    <n v="0"/>
    <n v="0"/>
    <n v="20"/>
    <n v="132"/>
    <n v="0.17860000000000001"/>
    <n v="0"/>
    <n v="0"/>
  </r>
  <r>
    <n v="2004"/>
    <n v="6"/>
    <x v="21"/>
    <x v="21"/>
    <s v="SEA"/>
    <s v="Seattle, WA: Seattle/Tacoma International"/>
    <n v="270"/>
    <n v="87"/>
    <n v="40.67"/>
    <n v="0"/>
    <n v="30.34"/>
    <n v="0"/>
    <n v="15.98"/>
    <n v="0"/>
    <n v="1"/>
    <n v="3269"/>
    <n v="1724"/>
    <n v="0"/>
    <n v="821"/>
    <n v="0"/>
    <n v="724"/>
    <n v="0.32219999999999999"/>
    <n v="0"/>
    <n v="3.7000000000000002E-3"/>
  </r>
  <r>
    <n v="2004"/>
    <n v="6"/>
    <x v="18"/>
    <x v="18"/>
    <s v="SEA"/>
    <s v="Seattle, WA: Seattle/Tacoma International"/>
    <n v="444"/>
    <n v="144"/>
    <n v="56.27"/>
    <n v="4.12"/>
    <n v="68.64"/>
    <n v="0"/>
    <n v="14.96"/>
    <n v="2"/>
    <n v="1"/>
    <n v="5351"/>
    <n v="2380"/>
    <n v="234"/>
    <n v="1805"/>
    <n v="0"/>
    <n v="932"/>
    <n v="0.32429999999999998"/>
    <n v="4.4999999999999997E-3"/>
    <n v="2.3E-3"/>
  </r>
  <r>
    <n v="2004"/>
    <n v="6"/>
    <x v="2"/>
    <x v="2"/>
    <s v="SEA"/>
    <s v="Seattle, WA: Seattle/Tacoma International"/>
    <n v="411"/>
    <n v="24"/>
    <n v="13"/>
    <n v="3"/>
    <n v="2"/>
    <n v="0"/>
    <n v="6"/>
    <n v="1"/>
    <n v="0"/>
    <n v="602"/>
    <n v="299"/>
    <n v="66"/>
    <n v="54"/>
    <n v="0"/>
    <n v="183"/>
    <n v="5.8400000000000001E-2"/>
    <n v="2.3999999999999998E-3"/>
    <n v="0"/>
  </r>
  <r>
    <n v="2004"/>
    <n v="6"/>
    <x v="24"/>
    <x v="24"/>
    <s v="SEA"/>
    <s v="Seattle, WA: Seattle/Tacoma International"/>
    <n v="126"/>
    <n v="24"/>
    <n v="8.7799999999999994"/>
    <n v="0"/>
    <n v="7.86"/>
    <n v="0"/>
    <n v="7.36"/>
    <n v="1"/>
    <n v="0"/>
    <n v="1099"/>
    <n v="509"/>
    <n v="0"/>
    <n v="267"/>
    <n v="0"/>
    <n v="323"/>
    <n v="0.1905"/>
    <n v="7.9000000000000008E-3"/>
    <n v="0"/>
  </r>
  <r>
    <n v="2004"/>
    <n v="6"/>
    <x v="9"/>
    <x v="9"/>
    <s v="SEA"/>
    <s v="Seattle, WA: Seattle/Tacoma International"/>
    <n v="1211"/>
    <n v="282"/>
    <n v="89.65"/>
    <n v="3.2"/>
    <n v="96.35"/>
    <n v="0"/>
    <n v="92.8"/>
    <n v="7"/>
    <n v="0"/>
    <n v="11953"/>
    <n v="3814"/>
    <n v="152"/>
    <n v="2819"/>
    <n v="0"/>
    <n v="5168"/>
    <n v="0.2329"/>
    <n v="5.7999999999999996E-3"/>
    <n v="0"/>
  </r>
  <r>
    <n v="2004"/>
    <n v="6"/>
    <x v="15"/>
    <x v="15"/>
    <s v="SEA"/>
    <s v="Seattle, WA: Seattle/Tacoma International"/>
    <n v="225"/>
    <n v="84"/>
    <n v="29.07"/>
    <n v="4.49"/>
    <n v="32.25"/>
    <n v="0"/>
    <n v="18.190000000000001"/>
    <n v="0"/>
    <n v="1"/>
    <n v="4740"/>
    <n v="1254"/>
    <n v="473"/>
    <n v="1664"/>
    <n v="0"/>
    <n v="1349"/>
    <n v="0.37330000000000002"/>
    <n v="0"/>
    <n v="4.4000000000000003E-3"/>
  </r>
  <r>
    <n v="2004"/>
    <n v="6"/>
    <x v="10"/>
    <x v="10"/>
    <s v="SEA"/>
    <s v="Seattle, WA: Seattle/Tacoma International"/>
    <n v="1047"/>
    <n v="237"/>
    <n v="50.52"/>
    <n v="0.71"/>
    <n v="26.84"/>
    <n v="1.58"/>
    <n v="157.34"/>
    <n v="0"/>
    <n v="0"/>
    <n v="9188"/>
    <n v="2008"/>
    <n v="25"/>
    <n v="747"/>
    <n v="32"/>
    <n v="6376"/>
    <n v="0.22639999999999999"/>
    <n v="0"/>
    <n v="0"/>
  </r>
  <r>
    <n v="2004"/>
    <n v="5"/>
    <x v="4"/>
    <x v="4"/>
    <s v="SEA"/>
    <s v="Seattle, WA: Seattle/Tacoma International"/>
    <n v="578"/>
    <n v="125"/>
    <n v="26.37"/>
    <n v="12.27"/>
    <n v="51.92"/>
    <n v="0"/>
    <n v="34.44"/>
    <n v="4"/>
    <n v="1"/>
    <n v="7804"/>
    <n v="1122"/>
    <n v="1185"/>
    <n v="2633"/>
    <n v="0"/>
    <n v="2864"/>
    <n v="0.21629999999999999"/>
    <n v="6.8999999999999999E-3"/>
    <n v="1.6999999999999999E-3"/>
  </r>
  <r>
    <n v="2004"/>
    <n v="5"/>
    <x v="5"/>
    <x v="5"/>
    <s v="SEA"/>
    <s v="Seattle, WA: Seattle/Tacoma International"/>
    <n v="4259"/>
    <n v="772"/>
    <n v="196.44"/>
    <n v="5.75"/>
    <n v="250.37"/>
    <n v="8.65"/>
    <n v="310.79000000000002"/>
    <n v="58"/>
    <n v="6"/>
    <n v="34282"/>
    <n v="11107"/>
    <n v="234"/>
    <n v="7810"/>
    <n v="250"/>
    <n v="14881"/>
    <n v="0.18129999999999999"/>
    <n v="1.3599999999999999E-2"/>
    <n v="1.4E-3"/>
  </r>
  <r>
    <n v="2004"/>
    <n v="5"/>
    <x v="6"/>
    <x v="6"/>
    <s v="SEA"/>
    <s v="Seattle, WA: Seattle/Tacoma International"/>
    <n v="31"/>
    <n v="14"/>
    <n v="3.92"/>
    <n v="0.39"/>
    <n v="8.39"/>
    <n v="0"/>
    <n v="1.3"/>
    <n v="0"/>
    <n v="0"/>
    <n v="565"/>
    <n v="110"/>
    <n v="30"/>
    <n v="342"/>
    <n v="0"/>
    <n v="83"/>
    <n v="0.4516"/>
    <n v="0"/>
    <n v="0"/>
  </r>
  <r>
    <n v="2004"/>
    <n v="5"/>
    <x v="17"/>
    <x v="17"/>
    <s v="SEA"/>
    <s v="Seattle, WA: Seattle/Tacoma International"/>
    <n v="358"/>
    <n v="91"/>
    <n v="13.68"/>
    <n v="3.13"/>
    <n v="61.09"/>
    <n v="0.74"/>
    <n v="12.36"/>
    <n v="0"/>
    <n v="0"/>
    <n v="5420"/>
    <n v="525"/>
    <n v="228"/>
    <n v="2876"/>
    <n v="17"/>
    <n v="1774"/>
    <n v="0.25419999999999998"/>
    <n v="0"/>
    <n v="0"/>
  </r>
  <r>
    <n v="2004"/>
    <n v="5"/>
    <x v="7"/>
    <x v="7"/>
    <s v="SEA"/>
    <s v="Seattle, WA: Seattle/Tacoma International"/>
    <n v="496"/>
    <n v="126"/>
    <n v="29.48"/>
    <n v="2.37"/>
    <n v="68.12"/>
    <n v="0"/>
    <n v="26.02"/>
    <n v="0"/>
    <n v="0"/>
    <n v="5960"/>
    <n v="1779"/>
    <n v="101"/>
    <n v="2425"/>
    <n v="0"/>
    <n v="1655"/>
    <n v="0.254"/>
    <n v="0"/>
    <n v="0"/>
  </r>
  <r>
    <n v="2004"/>
    <n v="5"/>
    <x v="0"/>
    <x v="0"/>
    <s v="SEA"/>
    <s v="Seattle, WA: Seattle/Tacoma International"/>
    <n v="63"/>
    <n v="12"/>
    <n v="11.67"/>
    <n v="0"/>
    <n v="0"/>
    <n v="0"/>
    <n v="0.33"/>
    <n v="1"/>
    <n v="0"/>
    <n v="462"/>
    <n v="454"/>
    <n v="0"/>
    <n v="0"/>
    <n v="0"/>
    <n v="8"/>
    <n v="0.1905"/>
    <n v="1.5900000000000001E-2"/>
    <n v="0"/>
  </r>
  <r>
    <n v="2004"/>
    <n v="5"/>
    <x v="21"/>
    <x v="21"/>
    <s v="SEA"/>
    <s v="Seattle, WA: Seattle/Tacoma International"/>
    <n v="278"/>
    <n v="76"/>
    <n v="25.98"/>
    <n v="0"/>
    <n v="27.58"/>
    <n v="2"/>
    <n v="20.43"/>
    <n v="0"/>
    <n v="0"/>
    <n v="3272"/>
    <n v="1163"/>
    <n v="0"/>
    <n v="704"/>
    <n v="46"/>
    <n v="1359"/>
    <n v="0.27339999999999998"/>
    <n v="0"/>
    <n v="0"/>
  </r>
  <r>
    <n v="2004"/>
    <n v="5"/>
    <x v="18"/>
    <x v="18"/>
    <s v="SEA"/>
    <s v="Seattle, WA: Seattle/Tacoma International"/>
    <n v="372"/>
    <n v="85"/>
    <n v="30.64"/>
    <n v="1.69"/>
    <n v="46.74"/>
    <n v="0"/>
    <n v="5.93"/>
    <n v="0"/>
    <n v="3"/>
    <n v="2885"/>
    <n v="1030"/>
    <n v="137"/>
    <n v="1322"/>
    <n v="0"/>
    <n v="396"/>
    <n v="0.22850000000000001"/>
    <n v="0"/>
    <n v="8.0999999999999996E-3"/>
  </r>
  <r>
    <n v="2004"/>
    <n v="5"/>
    <x v="25"/>
    <x v="25"/>
    <s v="SEA"/>
    <s v="Seattle, WA: Seattle/Tacoma International"/>
    <n v="31"/>
    <n v="9"/>
    <n v="5.45"/>
    <n v="0"/>
    <n v="3.55"/>
    <n v="0"/>
    <n v="0"/>
    <n v="1"/>
    <n v="0"/>
    <n v="235"/>
    <n v="166"/>
    <n v="0"/>
    <n v="69"/>
    <n v="0"/>
    <n v="0"/>
    <n v="0.2903"/>
    <n v="3.2300000000000002E-2"/>
    <n v="0"/>
  </r>
  <r>
    <n v="2004"/>
    <n v="5"/>
    <x v="2"/>
    <x v="2"/>
    <s v="SEA"/>
    <s v="Seattle, WA: Seattle/Tacoma International"/>
    <n v="425"/>
    <n v="28"/>
    <n v="18"/>
    <n v="1"/>
    <n v="3"/>
    <n v="0"/>
    <n v="6"/>
    <n v="5"/>
    <n v="0"/>
    <n v="1048"/>
    <n v="667"/>
    <n v="22"/>
    <n v="132"/>
    <n v="0"/>
    <n v="227"/>
    <n v="6.59E-2"/>
    <n v="1.18E-2"/>
    <n v="0"/>
  </r>
  <r>
    <n v="2004"/>
    <n v="5"/>
    <x v="24"/>
    <x v="24"/>
    <s v="SEA"/>
    <s v="Seattle, WA: Seattle/Tacoma International"/>
    <n v="116"/>
    <n v="25"/>
    <n v="8.48"/>
    <n v="0.26"/>
    <n v="12.47"/>
    <n v="0"/>
    <n v="3.79"/>
    <n v="0"/>
    <n v="0"/>
    <n v="881"/>
    <n v="302"/>
    <n v="12"/>
    <n v="368"/>
    <n v="0"/>
    <n v="199"/>
    <n v="0.2155"/>
    <n v="0"/>
    <n v="0"/>
  </r>
  <r>
    <n v="2004"/>
    <n v="5"/>
    <x v="9"/>
    <x v="9"/>
    <s v="SEA"/>
    <s v="Seattle, WA: Seattle/Tacoma International"/>
    <n v="1103"/>
    <n v="270"/>
    <n v="74.150000000000006"/>
    <n v="7.69"/>
    <n v="101.4"/>
    <n v="0"/>
    <n v="86.77"/>
    <n v="7"/>
    <n v="0"/>
    <n v="15063"/>
    <n v="4230"/>
    <n v="517"/>
    <n v="3827"/>
    <n v="0"/>
    <n v="6489"/>
    <n v="0.24479999999999999"/>
    <n v="6.3E-3"/>
    <n v="0"/>
  </r>
  <r>
    <n v="2004"/>
    <n v="5"/>
    <x v="15"/>
    <x v="15"/>
    <s v="SEA"/>
    <s v="Seattle, WA: Seattle/Tacoma International"/>
    <n v="148"/>
    <n v="30"/>
    <n v="5.91"/>
    <n v="3.21"/>
    <n v="11.48"/>
    <n v="0"/>
    <n v="9.4"/>
    <n v="0"/>
    <n v="1"/>
    <n v="1777"/>
    <n v="209"/>
    <n v="447"/>
    <n v="643"/>
    <n v="0"/>
    <n v="478"/>
    <n v="0.20269999999999999"/>
    <n v="0"/>
    <n v="6.7999999999999996E-3"/>
  </r>
  <r>
    <n v="2004"/>
    <n v="5"/>
    <x v="10"/>
    <x v="10"/>
    <s v="SEA"/>
    <s v="Seattle, WA: Seattle/Tacoma International"/>
    <n v="1068"/>
    <n v="182"/>
    <n v="35.6"/>
    <n v="0.78"/>
    <n v="33.1"/>
    <n v="0.3"/>
    <n v="112.22"/>
    <n v="2"/>
    <n v="0"/>
    <n v="7057"/>
    <n v="1174"/>
    <n v="47"/>
    <n v="847"/>
    <n v="12"/>
    <n v="4977"/>
    <n v="0.1704"/>
    <n v="1.9E-3"/>
    <n v="0"/>
  </r>
  <r>
    <n v="2004"/>
    <n v="4"/>
    <x v="4"/>
    <x v="4"/>
    <s v="SEA"/>
    <s v="Seattle, WA: Seattle/Tacoma International"/>
    <n v="531"/>
    <n v="59"/>
    <n v="18.71"/>
    <n v="5.77"/>
    <n v="14.79"/>
    <n v="0"/>
    <n v="19.73"/>
    <n v="0"/>
    <n v="3"/>
    <n v="3026"/>
    <n v="992"/>
    <n v="427"/>
    <n v="654"/>
    <n v="0"/>
    <n v="953"/>
    <n v="0.1111"/>
    <n v="0"/>
    <n v="5.5999999999999999E-3"/>
  </r>
  <r>
    <n v="2004"/>
    <n v="4"/>
    <x v="5"/>
    <x v="5"/>
    <s v="SEA"/>
    <s v="Seattle, WA: Seattle/Tacoma International"/>
    <n v="3890"/>
    <n v="536"/>
    <n v="145.16999999999999"/>
    <n v="2.81"/>
    <n v="124.67"/>
    <n v="7.34"/>
    <n v="256.01"/>
    <n v="43"/>
    <n v="11"/>
    <n v="24312"/>
    <n v="6478"/>
    <n v="140"/>
    <n v="4234"/>
    <n v="161"/>
    <n v="13299"/>
    <n v="0.13780000000000001"/>
    <n v="1.11E-2"/>
    <n v="2.8E-3"/>
  </r>
  <r>
    <n v="2004"/>
    <n v="4"/>
    <x v="6"/>
    <x v="6"/>
    <s v="SEA"/>
    <s v="Seattle, WA: Seattle/Tacoma International"/>
    <n v="30"/>
    <n v="1"/>
    <n v="0.09"/>
    <n v="0"/>
    <n v="0.04"/>
    <n v="0"/>
    <n v="0.87"/>
    <n v="0"/>
    <n v="0"/>
    <n v="23"/>
    <n v="2"/>
    <n v="0"/>
    <n v="1"/>
    <n v="0"/>
    <n v="20"/>
    <n v="3.3300000000000003E-2"/>
    <n v="0"/>
    <n v="0"/>
  </r>
  <r>
    <n v="2004"/>
    <n v="4"/>
    <x v="17"/>
    <x v="17"/>
    <s v="SEA"/>
    <s v="Seattle, WA: Seattle/Tacoma International"/>
    <n v="329"/>
    <n v="61"/>
    <n v="11.63"/>
    <n v="1.53"/>
    <n v="33.450000000000003"/>
    <n v="0.02"/>
    <n v="14.37"/>
    <n v="0"/>
    <n v="0"/>
    <n v="2618"/>
    <n v="693"/>
    <n v="40"/>
    <n v="959"/>
    <n v="2"/>
    <n v="924"/>
    <n v="0.18540000000000001"/>
    <n v="0"/>
    <n v="0"/>
  </r>
  <r>
    <n v="2004"/>
    <n v="4"/>
    <x v="7"/>
    <x v="7"/>
    <s v="SEA"/>
    <s v="Seattle, WA: Seattle/Tacoma International"/>
    <n v="475"/>
    <n v="66"/>
    <n v="19.72"/>
    <n v="0.95"/>
    <n v="34.21"/>
    <n v="0"/>
    <n v="11.12"/>
    <n v="0"/>
    <n v="0"/>
    <n v="2207"/>
    <n v="815"/>
    <n v="71"/>
    <n v="954"/>
    <n v="0"/>
    <n v="367"/>
    <n v="0.1389"/>
    <n v="0"/>
    <n v="0"/>
  </r>
  <r>
    <n v="2004"/>
    <n v="4"/>
    <x v="0"/>
    <x v="0"/>
    <s v="SEA"/>
    <s v="Seattle, WA: Seattle/Tacoma International"/>
    <n v="81"/>
    <n v="11"/>
    <n v="10.63"/>
    <n v="0"/>
    <n v="0"/>
    <n v="0"/>
    <n v="0.37"/>
    <n v="0"/>
    <n v="0"/>
    <n v="352"/>
    <n v="345"/>
    <n v="0"/>
    <n v="0"/>
    <n v="0"/>
    <n v="7"/>
    <n v="0.1358"/>
    <n v="0"/>
    <n v="0"/>
  </r>
  <r>
    <n v="2004"/>
    <n v="4"/>
    <x v="21"/>
    <x v="21"/>
    <s v="SEA"/>
    <s v="Seattle, WA: Seattle/Tacoma International"/>
    <n v="270"/>
    <n v="60"/>
    <n v="17.079999999999998"/>
    <n v="0"/>
    <n v="29.4"/>
    <n v="2.37"/>
    <n v="11.15"/>
    <n v="1"/>
    <n v="0"/>
    <n v="2268"/>
    <n v="1027"/>
    <n v="0"/>
    <n v="710"/>
    <n v="57"/>
    <n v="474"/>
    <n v="0.22220000000000001"/>
    <n v="3.7000000000000002E-3"/>
    <n v="0"/>
  </r>
  <r>
    <n v="2004"/>
    <n v="4"/>
    <x v="18"/>
    <x v="18"/>
    <s v="SEA"/>
    <s v="Seattle, WA: Seattle/Tacoma International"/>
    <n v="330"/>
    <n v="56"/>
    <n v="14.03"/>
    <n v="2.56"/>
    <n v="32.270000000000003"/>
    <n v="0.28999999999999998"/>
    <n v="6.84"/>
    <n v="0"/>
    <n v="2"/>
    <n v="2818"/>
    <n v="526"/>
    <n v="900"/>
    <n v="748"/>
    <n v="17"/>
    <n v="627"/>
    <n v="0.16969999999999999"/>
    <n v="0"/>
    <n v="6.1000000000000004E-3"/>
  </r>
  <r>
    <n v="2004"/>
    <n v="4"/>
    <x v="25"/>
    <x v="25"/>
    <s v="SEA"/>
    <s v="Seattle, WA: Seattle/Tacoma International"/>
    <n v="30"/>
    <n v="5"/>
    <n v="3.01"/>
    <n v="0"/>
    <n v="1.99"/>
    <n v="0"/>
    <n v="0"/>
    <n v="0"/>
    <n v="0"/>
    <n v="263"/>
    <n v="224"/>
    <n v="0"/>
    <n v="39"/>
    <n v="0"/>
    <n v="0"/>
    <n v="0.16669999999999999"/>
    <n v="0"/>
    <n v="0"/>
  </r>
  <r>
    <n v="2004"/>
    <n v="4"/>
    <x v="2"/>
    <x v="2"/>
    <s v="SEA"/>
    <s v="Seattle, WA: Seattle/Tacoma International"/>
    <n v="382"/>
    <n v="33"/>
    <n v="21"/>
    <n v="2"/>
    <n v="2"/>
    <n v="1"/>
    <n v="7"/>
    <n v="2"/>
    <n v="0"/>
    <n v="1059"/>
    <n v="716"/>
    <n v="45"/>
    <n v="33"/>
    <n v="16"/>
    <n v="249"/>
    <n v="8.6400000000000005E-2"/>
    <n v="5.1999999999999998E-3"/>
    <n v="0"/>
  </r>
  <r>
    <n v="2004"/>
    <n v="4"/>
    <x v="24"/>
    <x v="24"/>
    <s v="SEA"/>
    <s v="Seattle, WA: Seattle/Tacoma International"/>
    <n v="116"/>
    <n v="18"/>
    <n v="4.68"/>
    <n v="0"/>
    <n v="11.43"/>
    <n v="0"/>
    <n v="1.9"/>
    <n v="0"/>
    <n v="0"/>
    <n v="517"/>
    <n v="132"/>
    <n v="0"/>
    <n v="309"/>
    <n v="0"/>
    <n v="76"/>
    <n v="0.1552"/>
    <n v="0"/>
    <n v="0"/>
  </r>
  <r>
    <n v="2004"/>
    <n v="4"/>
    <x v="9"/>
    <x v="9"/>
    <s v="SEA"/>
    <s v="Seattle, WA: Seattle/Tacoma International"/>
    <n v="1029"/>
    <n v="98"/>
    <n v="31.47"/>
    <n v="0"/>
    <n v="27.34"/>
    <n v="0"/>
    <n v="39.19"/>
    <n v="2"/>
    <n v="0"/>
    <n v="4159"/>
    <n v="1372"/>
    <n v="0"/>
    <n v="771"/>
    <n v="0"/>
    <n v="2016"/>
    <n v="9.5200000000000007E-2"/>
    <n v="1.9E-3"/>
    <n v="0"/>
  </r>
  <r>
    <n v="2004"/>
    <n v="4"/>
    <x v="15"/>
    <x v="15"/>
    <s v="SEA"/>
    <s v="Seattle, WA: Seattle/Tacoma International"/>
    <n v="120"/>
    <n v="22"/>
    <n v="10.78"/>
    <n v="0"/>
    <n v="5.66"/>
    <n v="0"/>
    <n v="5.56"/>
    <n v="0"/>
    <n v="0"/>
    <n v="850"/>
    <n v="462"/>
    <n v="0"/>
    <n v="178"/>
    <n v="0"/>
    <n v="210"/>
    <n v="0.18329999999999999"/>
    <n v="0"/>
    <n v="0"/>
  </r>
  <r>
    <n v="2004"/>
    <n v="4"/>
    <x v="10"/>
    <x v="10"/>
    <s v="SEA"/>
    <s v="Seattle, WA: Seattle/Tacoma International"/>
    <n v="1040"/>
    <n v="161"/>
    <n v="23.76"/>
    <n v="0"/>
    <n v="21.37"/>
    <n v="0.96"/>
    <n v="114.91"/>
    <n v="0"/>
    <n v="0"/>
    <n v="5782"/>
    <n v="935"/>
    <n v="0"/>
    <n v="466"/>
    <n v="41"/>
    <n v="4340"/>
    <n v="0.15479999999999999"/>
    <n v="0"/>
    <n v="0"/>
  </r>
  <r>
    <n v="2004"/>
    <n v="3"/>
    <x v="4"/>
    <x v="4"/>
    <s v="SEA"/>
    <s v="Seattle, WA: Seattle/Tacoma International"/>
    <n v="546"/>
    <n v="110"/>
    <n v="34.51"/>
    <n v="7.9"/>
    <n v="38.770000000000003"/>
    <n v="0"/>
    <n v="28.82"/>
    <n v="5"/>
    <n v="0"/>
    <n v="5741"/>
    <n v="1828"/>
    <n v="466"/>
    <n v="1476"/>
    <n v="0"/>
    <n v="1971"/>
    <n v="0.20150000000000001"/>
    <n v="9.1999999999999998E-3"/>
    <n v="0"/>
  </r>
  <r>
    <n v="2004"/>
    <n v="3"/>
    <x v="5"/>
    <x v="5"/>
    <s v="SEA"/>
    <s v="Seattle, WA: Seattle/Tacoma International"/>
    <n v="3967"/>
    <n v="708"/>
    <n v="149.13999999999999"/>
    <n v="5.33"/>
    <n v="244.17"/>
    <n v="13.19"/>
    <n v="296.18"/>
    <n v="54"/>
    <n v="4"/>
    <n v="33557"/>
    <n v="9174"/>
    <n v="381"/>
    <n v="7136"/>
    <n v="349"/>
    <n v="16517"/>
    <n v="0.17849999999999999"/>
    <n v="1.3599999999999999E-2"/>
    <n v="1E-3"/>
  </r>
  <r>
    <n v="2004"/>
    <n v="3"/>
    <x v="6"/>
    <x v="6"/>
    <s v="SEA"/>
    <s v="Seattle, WA: Seattle/Tacoma International"/>
    <n v="31"/>
    <n v="7"/>
    <n v="2.1800000000000002"/>
    <n v="0"/>
    <n v="2.4"/>
    <n v="0"/>
    <n v="2.4300000000000002"/>
    <n v="0"/>
    <n v="0"/>
    <n v="224"/>
    <n v="55"/>
    <n v="0"/>
    <n v="98"/>
    <n v="0"/>
    <n v="71"/>
    <n v="0.2258"/>
    <n v="0"/>
    <n v="0"/>
  </r>
  <r>
    <n v="2004"/>
    <n v="3"/>
    <x v="17"/>
    <x v="17"/>
    <s v="SEA"/>
    <s v="Seattle, WA: Seattle/Tacoma International"/>
    <n v="341"/>
    <n v="72"/>
    <n v="15.07"/>
    <n v="1.78"/>
    <n v="43.75"/>
    <n v="0.63"/>
    <n v="10.77"/>
    <n v="0"/>
    <n v="0"/>
    <n v="2576"/>
    <n v="723"/>
    <n v="78"/>
    <n v="1299"/>
    <n v="12"/>
    <n v="464"/>
    <n v="0.21110000000000001"/>
    <n v="0"/>
    <n v="0"/>
  </r>
  <r>
    <n v="2004"/>
    <n v="3"/>
    <x v="7"/>
    <x v="7"/>
    <s v="SEA"/>
    <s v="Seattle, WA: Seattle/Tacoma International"/>
    <n v="465"/>
    <n v="70"/>
    <n v="19.28"/>
    <n v="1.1000000000000001"/>
    <n v="38.729999999999997"/>
    <n v="0"/>
    <n v="10.88"/>
    <n v="1"/>
    <n v="1"/>
    <n v="3105"/>
    <n v="1144"/>
    <n v="101"/>
    <n v="1112"/>
    <n v="0"/>
    <n v="748"/>
    <n v="0.15049999999999999"/>
    <n v="2.2000000000000001E-3"/>
    <n v="2.2000000000000001E-3"/>
  </r>
  <r>
    <n v="2004"/>
    <n v="3"/>
    <x v="0"/>
    <x v="0"/>
    <s v="SEA"/>
    <s v="Seattle, WA: Seattle/Tacoma International"/>
    <n v="90"/>
    <n v="12"/>
    <n v="12"/>
    <n v="0"/>
    <n v="0"/>
    <n v="0"/>
    <n v="0"/>
    <n v="0"/>
    <n v="0"/>
    <n v="866"/>
    <n v="865"/>
    <n v="0"/>
    <n v="1"/>
    <n v="0"/>
    <n v="0"/>
    <n v="0.1333"/>
    <n v="0"/>
    <n v="0"/>
  </r>
  <r>
    <n v="2004"/>
    <n v="3"/>
    <x v="21"/>
    <x v="21"/>
    <s v="SEA"/>
    <s v="Seattle, WA: Seattle/Tacoma International"/>
    <n v="279"/>
    <n v="92"/>
    <n v="32.11"/>
    <n v="0.83"/>
    <n v="38.159999999999997"/>
    <n v="0.48"/>
    <n v="20.41"/>
    <n v="2"/>
    <n v="0"/>
    <n v="4684"/>
    <n v="2009"/>
    <n v="105"/>
    <n v="1168"/>
    <n v="15"/>
    <n v="1387"/>
    <n v="0.32969999999999999"/>
    <n v="7.1999999999999998E-3"/>
    <n v="0"/>
  </r>
  <r>
    <n v="2004"/>
    <n v="3"/>
    <x v="18"/>
    <x v="18"/>
    <s v="SEA"/>
    <s v="Seattle, WA: Seattle/Tacoma International"/>
    <n v="341"/>
    <n v="111"/>
    <n v="32.04"/>
    <n v="1.47"/>
    <n v="67.87"/>
    <n v="0"/>
    <n v="9.6300000000000008"/>
    <n v="0"/>
    <n v="1"/>
    <n v="4539"/>
    <n v="1838"/>
    <n v="106"/>
    <n v="2025"/>
    <n v="0"/>
    <n v="570"/>
    <n v="0.32550000000000001"/>
    <n v="0"/>
    <n v="2.8999999999999998E-3"/>
  </r>
  <r>
    <n v="2004"/>
    <n v="3"/>
    <x v="25"/>
    <x v="25"/>
    <s v="SEA"/>
    <s v="Seattle, WA: Seattle/Tacoma International"/>
    <n v="31"/>
    <n v="8"/>
    <n v="5.31"/>
    <n v="1"/>
    <n v="1.69"/>
    <n v="0"/>
    <n v="0"/>
    <n v="0"/>
    <n v="0"/>
    <n v="380"/>
    <n v="296"/>
    <n v="38"/>
    <n v="46"/>
    <n v="0"/>
    <n v="0"/>
    <n v="0.2581"/>
    <n v="0"/>
    <n v="0"/>
  </r>
  <r>
    <n v="2004"/>
    <n v="3"/>
    <x v="2"/>
    <x v="2"/>
    <s v="SEA"/>
    <s v="Seattle, WA: Seattle/Tacoma International"/>
    <n v="395"/>
    <n v="33"/>
    <n v="25"/>
    <n v="4"/>
    <n v="2"/>
    <n v="0"/>
    <n v="2"/>
    <n v="12"/>
    <n v="0"/>
    <n v="1123"/>
    <n v="923"/>
    <n v="92"/>
    <n v="60"/>
    <n v="0"/>
    <n v="48"/>
    <n v="8.3500000000000005E-2"/>
    <n v="3.04E-2"/>
    <n v="0"/>
  </r>
  <r>
    <n v="2004"/>
    <n v="3"/>
    <x v="24"/>
    <x v="24"/>
    <s v="SEA"/>
    <s v="Seattle, WA: Seattle/Tacoma International"/>
    <n v="120"/>
    <n v="57"/>
    <n v="17.3"/>
    <n v="0"/>
    <n v="24.63"/>
    <n v="0"/>
    <n v="15.07"/>
    <n v="0"/>
    <n v="0"/>
    <n v="2243"/>
    <n v="717"/>
    <n v="0"/>
    <n v="743"/>
    <n v="0"/>
    <n v="783"/>
    <n v="0.47499999999999998"/>
    <n v="0"/>
    <n v="0"/>
  </r>
  <r>
    <n v="2004"/>
    <n v="3"/>
    <x v="9"/>
    <x v="9"/>
    <s v="SEA"/>
    <s v="Seattle, WA: Seattle/Tacoma International"/>
    <n v="982"/>
    <n v="148"/>
    <n v="38.01"/>
    <n v="2.5299999999999998"/>
    <n v="60.64"/>
    <n v="0"/>
    <n v="46.82"/>
    <n v="1"/>
    <n v="1"/>
    <n v="6642"/>
    <n v="1889"/>
    <n v="153"/>
    <n v="1716"/>
    <n v="0"/>
    <n v="2884"/>
    <n v="0.1507"/>
    <n v="1E-3"/>
    <n v="1E-3"/>
  </r>
  <r>
    <n v="2004"/>
    <n v="3"/>
    <x v="15"/>
    <x v="15"/>
    <s v="SEA"/>
    <s v="Seattle, WA: Seattle/Tacoma International"/>
    <n v="123"/>
    <n v="26"/>
    <n v="8.6999999999999993"/>
    <n v="0"/>
    <n v="9.4499999999999993"/>
    <n v="0"/>
    <n v="7.86"/>
    <n v="0"/>
    <n v="0"/>
    <n v="950"/>
    <n v="279"/>
    <n v="0"/>
    <n v="287"/>
    <n v="0"/>
    <n v="384"/>
    <n v="0.2114"/>
    <n v="0"/>
    <n v="0"/>
  </r>
  <r>
    <n v="2004"/>
    <n v="3"/>
    <x v="10"/>
    <x v="10"/>
    <s v="SEA"/>
    <s v="Seattle, WA: Seattle/Tacoma International"/>
    <n v="1072"/>
    <n v="157"/>
    <n v="35.24"/>
    <n v="0.86"/>
    <n v="17.59"/>
    <n v="0"/>
    <n v="103.31"/>
    <n v="2"/>
    <n v="0"/>
    <n v="6083"/>
    <n v="1235"/>
    <n v="22"/>
    <n v="528"/>
    <n v="0"/>
    <n v="4298"/>
    <n v="0.14649999999999999"/>
    <n v="1.9E-3"/>
    <n v="0"/>
  </r>
  <r>
    <n v="2004"/>
    <n v="2"/>
    <x v="4"/>
    <x v="4"/>
    <s v="SEA"/>
    <s v="Seattle, WA: Seattle/Tacoma International"/>
    <n v="505"/>
    <n v="90"/>
    <n v="25.69"/>
    <n v="15.06"/>
    <n v="19.46"/>
    <n v="0.93"/>
    <n v="28.86"/>
    <n v="9"/>
    <n v="2"/>
    <n v="3944"/>
    <n v="1237"/>
    <n v="612"/>
    <n v="776"/>
    <n v="14"/>
    <n v="1305"/>
    <n v="0.1782"/>
    <n v="1.78E-2"/>
    <n v="4.0000000000000001E-3"/>
  </r>
  <r>
    <n v="2004"/>
    <n v="2"/>
    <x v="5"/>
    <x v="5"/>
    <s v="SEA"/>
    <s v="Seattle, WA: Seattle/Tacoma International"/>
    <n v="3597"/>
    <n v="713"/>
    <n v="150.94"/>
    <n v="3.44"/>
    <n v="218.21"/>
    <n v="17.68"/>
    <n v="322.73"/>
    <n v="75"/>
    <n v="4"/>
    <n v="32993"/>
    <n v="9022"/>
    <n v="85"/>
    <n v="5709"/>
    <n v="693"/>
    <n v="17484"/>
    <n v="0.19819999999999999"/>
    <n v="2.0899999999999998E-2"/>
    <n v="1.1000000000000001E-3"/>
  </r>
  <r>
    <n v="2004"/>
    <n v="2"/>
    <x v="6"/>
    <x v="6"/>
    <s v="SEA"/>
    <s v="Seattle, WA: Seattle/Tacoma International"/>
    <n v="29"/>
    <n v="4"/>
    <n v="3.38"/>
    <n v="0"/>
    <n v="0.63"/>
    <n v="0"/>
    <n v="0"/>
    <n v="0"/>
    <n v="0"/>
    <n v="76"/>
    <n v="66"/>
    <n v="0"/>
    <n v="10"/>
    <n v="0"/>
    <n v="0"/>
    <n v="0.13789999999999999"/>
    <n v="0"/>
    <n v="0"/>
  </r>
  <r>
    <n v="2004"/>
    <n v="2"/>
    <x v="17"/>
    <x v="17"/>
    <s v="SEA"/>
    <s v="Seattle, WA: Seattle/Tacoma International"/>
    <n v="320"/>
    <n v="38"/>
    <n v="11.91"/>
    <n v="0.04"/>
    <n v="21"/>
    <n v="0.59"/>
    <n v="4.46"/>
    <n v="0"/>
    <n v="0"/>
    <n v="1438"/>
    <n v="599"/>
    <n v="1"/>
    <n v="669"/>
    <n v="13"/>
    <n v="156"/>
    <n v="0.1188"/>
    <n v="0"/>
    <n v="0"/>
  </r>
  <r>
    <n v="2004"/>
    <n v="2"/>
    <x v="7"/>
    <x v="7"/>
    <s v="SEA"/>
    <s v="Seattle, WA: Seattle/Tacoma International"/>
    <n v="435"/>
    <n v="54"/>
    <n v="17.170000000000002"/>
    <n v="1.21"/>
    <n v="22.31"/>
    <n v="0"/>
    <n v="13.31"/>
    <n v="1"/>
    <n v="0"/>
    <n v="2132"/>
    <n v="761"/>
    <n v="51"/>
    <n v="687"/>
    <n v="0"/>
    <n v="633"/>
    <n v="0.1241"/>
    <n v="2.3E-3"/>
    <n v="0"/>
  </r>
  <r>
    <n v="2004"/>
    <n v="2"/>
    <x v="0"/>
    <x v="0"/>
    <s v="SEA"/>
    <s v="Seattle, WA: Seattle/Tacoma International"/>
    <n v="46"/>
    <n v="9"/>
    <n v="5.38"/>
    <n v="1"/>
    <n v="0"/>
    <n v="0"/>
    <n v="2.63"/>
    <n v="0"/>
    <n v="0"/>
    <n v="525"/>
    <n v="356"/>
    <n v="51"/>
    <n v="0"/>
    <n v="0"/>
    <n v="118"/>
    <n v="0.19570000000000001"/>
    <n v="0"/>
    <n v="0"/>
  </r>
  <r>
    <n v="2004"/>
    <n v="2"/>
    <x v="21"/>
    <x v="21"/>
    <s v="SEA"/>
    <s v="Seattle, WA: Seattle/Tacoma International"/>
    <n v="261"/>
    <n v="73"/>
    <n v="24.12"/>
    <n v="0"/>
    <n v="36.58"/>
    <n v="0.2"/>
    <n v="12.1"/>
    <n v="6"/>
    <n v="0"/>
    <n v="2872"/>
    <n v="1198"/>
    <n v="0"/>
    <n v="1009"/>
    <n v="9"/>
    <n v="656"/>
    <n v="0.2797"/>
    <n v="2.3E-2"/>
    <n v="0"/>
  </r>
  <r>
    <n v="2004"/>
    <n v="2"/>
    <x v="18"/>
    <x v="18"/>
    <s v="SEA"/>
    <s v="Seattle, WA: Seattle/Tacoma International"/>
    <n v="318"/>
    <n v="52"/>
    <n v="15.87"/>
    <n v="0.35"/>
    <n v="26.93"/>
    <n v="1"/>
    <n v="7.84"/>
    <n v="1"/>
    <n v="0"/>
    <n v="1796"/>
    <n v="702"/>
    <n v="7"/>
    <n v="743"/>
    <n v="72"/>
    <n v="272"/>
    <n v="0.16350000000000001"/>
    <n v="3.0999999999999999E-3"/>
    <n v="0"/>
  </r>
  <r>
    <n v="2004"/>
    <n v="2"/>
    <x v="2"/>
    <x v="2"/>
    <s v="SEA"/>
    <s v="Seattle, WA: Seattle/Tacoma International"/>
    <n v="395"/>
    <n v="27"/>
    <n v="16"/>
    <n v="4"/>
    <n v="1"/>
    <n v="0"/>
    <n v="6"/>
    <n v="14"/>
    <n v="0"/>
    <n v="1216"/>
    <n v="637"/>
    <n v="417"/>
    <n v="20"/>
    <n v="0"/>
    <n v="142"/>
    <n v="6.8400000000000002E-2"/>
    <n v="3.5400000000000001E-2"/>
    <n v="0"/>
  </r>
  <r>
    <n v="2004"/>
    <n v="2"/>
    <x v="24"/>
    <x v="24"/>
    <s v="SEA"/>
    <s v="Seattle, WA: Seattle/Tacoma International"/>
    <n v="93"/>
    <n v="23"/>
    <n v="6.91"/>
    <n v="0"/>
    <n v="9.99"/>
    <n v="0"/>
    <n v="6.1"/>
    <n v="1"/>
    <n v="0"/>
    <n v="1139"/>
    <n v="326"/>
    <n v="0"/>
    <n v="488"/>
    <n v="0"/>
    <n v="325"/>
    <n v="0.24729999999999999"/>
    <n v="1.0800000000000001E-2"/>
    <n v="0"/>
  </r>
  <r>
    <n v="2004"/>
    <n v="2"/>
    <x v="9"/>
    <x v="9"/>
    <s v="SEA"/>
    <s v="Seattle, WA: Seattle/Tacoma International"/>
    <n v="902"/>
    <n v="117"/>
    <n v="31.22"/>
    <n v="1.89"/>
    <n v="41.73"/>
    <n v="0"/>
    <n v="42.17"/>
    <n v="1"/>
    <n v="0"/>
    <n v="5237"/>
    <n v="1637"/>
    <n v="117"/>
    <n v="1142"/>
    <n v="0"/>
    <n v="2341"/>
    <n v="0.12970000000000001"/>
    <n v="1.1000000000000001E-3"/>
    <n v="0"/>
  </r>
  <r>
    <n v="2004"/>
    <n v="2"/>
    <x v="15"/>
    <x v="15"/>
    <s v="SEA"/>
    <s v="Seattle, WA: Seattle/Tacoma International"/>
    <n v="116"/>
    <n v="11"/>
    <n v="2.96"/>
    <n v="0"/>
    <n v="0.81"/>
    <n v="0"/>
    <n v="7.22"/>
    <n v="0"/>
    <n v="4"/>
    <n v="395"/>
    <n v="107"/>
    <n v="0"/>
    <n v="15"/>
    <n v="0"/>
    <n v="273"/>
    <n v="9.4799999999999995E-2"/>
    <n v="0"/>
    <n v="3.4500000000000003E-2"/>
  </r>
  <r>
    <n v="2004"/>
    <n v="2"/>
    <x v="10"/>
    <x v="10"/>
    <s v="SEA"/>
    <s v="Seattle, WA: Seattle/Tacoma International"/>
    <n v="997"/>
    <n v="123"/>
    <n v="29.43"/>
    <n v="0"/>
    <n v="12.29"/>
    <n v="0"/>
    <n v="81.28"/>
    <n v="4"/>
    <n v="0"/>
    <n v="5891"/>
    <n v="1224"/>
    <n v="0"/>
    <n v="301"/>
    <n v="0"/>
    <n v="4366"/>
    <n v="0.1234"/>
    <n v="4.0000000000000001E-3"/>
    <n v="0"/>
  </r>
  <r>
    <n v="2004"/>
    <n v="1"/>
    <x v="7"/>
    <x v="7"/>
    <s v="SEA"/>
    <s v="Seattle, WA: Seattle/Tacoma International"/>
    <n v="470"/>
    <n v="109"/>
    <n v="17.739999999999998"/>
    <n v="1.88"/>
    <n v="73.78"/>
    <n v="0"/>
    <n v="15.6"/>
    <n v="7"/>
    <n v="1"/>
    <n v="4587"/>
    <n v="815"/>
    <n v="169"/>
    <n v="2835"/>
    <n v="0"/>
    <n v="768"/>
    <n v="0.2319"/>
    <n v="1.49E-2"/>
    <n v="2.0999999999999999E-3"/>
  </r>
  <r>
    <n v="2004"/>
    <n v="1"/>
    <x v="0"/>
    <x v="0"/>
    <s v="SEA"/>
    <s v="Seattle, WA: Seattle/Tacoma International"/>
    <n v="50"/>
    <n v="26"/>
    <n v="21.87"/>
    <n v="0.57999999999999996"/>
    <n v="0"/>
    <n v="0"/>
    <n v="3.55"/>
    <n v="0"/>
    <n v="0"/>
    <n v="1182"/>
    <n v="1026"/>
    <n v="47"/>
    <n v="0"/>
    <n v="0"/>
    <n v="109"/>
    <n v="0.52"/>
    <n v="0"/>
    <n v="0"/>
  </r>
  <r>
    <n v="2004"/>
    <n v="1"/>
    <x v="21"/>
    <x v="21"/>
    <s v="SEA"/>
    <s v="Seattle, WA: Seattle/Tacoma International"/>
    <n v="277"/>
    <n v="79"/>
    <n v="17.829999999999998"/>
    <n v="1.57"/>
    <n v="49.23"/>
    <n v="0"/>
    <n v="10.37"/>
    <n v="11"/>
    <n v="0"/>
    <n v="3259"/>
    <n v="999"/>
    <n v="97"/>
    <n v="1577"/>
    <n v="0"/>
    <n v="586"/>
    <n v="0.28520000000000001"/>
    <n v="3.9699999999999999E-2"/>
    <n v="0"/>
  </r>
  <r>
    <n v="2004"/>
    <n v="1"/>
    <x v="18"/>
    <x v="18"/>
    <s v="SEA"/>
    <s v="Seattle, WA: Seattle/Tacoma International"/>
    <n v="354"/>
    <n v="104"/>
    <n v="36.15"/>
    <n v="5.51"/>
    <n v="51.65"/>
    <n v="0"/>
    <n v="10.7"/>
    <n v="4"/>
    <n v="6"/>
    <n v="8937"/>
    <n v="3598"/>
    <n v="1425"/>
    <n v="1913"/>
    <n v="0"/>
    <n v="2001"/>
    <n v="0.29380000000000001"/>
    <n v="1.1299999999999999E-2"/>
    <n v="1.6899999999999998E-2"/>
  </r>
  <r>
    <n v="2004"/>
    <n v="1"/>
    <x v="2"/>
    <x v="2"/>
    <s v="SEA"/>
    <s v="Seattle, WA: Seattle/Tacoma International"/>
    <n v="422"/>
    <n v="98"/>
    <n v="43"/>
    <n v="22"/>
    <n v="9"/>
    <n v="0"/>
    <n v="24"/>
    <n v="55"/>
    <n v="3"/>
    <n v="6183"/>
    <n v="1981"/>
    <n v="1707"/>
    <n v="691"/>
    <n v="0"/>
    <n v="1804"/>
    <n v="0.23219999999999999"/>
    <n v="0.1303"/>
    <n v="7.1000000000000004E-3"/>
  </r>
  <r>
    <n v="2004"/>
    <n v="1"/>
    <x v="24"/>
    <x v="24"/>
    <s v="SEA"/>
    <s v="Seattle, WA: Seattle/Tacoma International"/>
    <n v="87"/>
    <n v="41"/>
    <n v="7.2"/>
    <n v="0.17"/>
    <n v="22.06"/>
    <n v="0"/>
    <n v="11.57"/>
    <n v="1"/>
    <n v="0"/>
    <n v="2658"/>
    <n v="429"/>
    <n v="52"/>
    <n v="828"/>
    <n v="0"/>
    <n v="1349"/>
    <n v="0.4713"/>
    <n v="1.15E-2"/>
    <n v="0"/>
  </r>
  <r>
    <n v="2004"/>
    <n v="1"/>
    <x v="9"/>
    <x v="9"/>
    <s v="SEA"/>
    <s v="Seattle, WA: Seattle/Tacoma International"/>
    <n v="1026"/>
    <n v="297"/>
    <n v="89.16"/>
    <n v="4"/>
    <n v="120.56"/>
    <n v="0"/>
    <n v="83.29"/>
    <n v="7"/>
    <n v="2"/>
    <n v="14404"/>
    <n v="4576"/>
    <n v="156"/>
    <n v="4057"/>
    <n v="0"/>
    <n v="5615"/>
    <n v="0.28949999999999998"/>
    <n v="6.7999999999999996E-3"/>
    <n v="1.9E-3"/>
  </r>
  <r>
    <n v="2004"/>
    <n v="1"/>
    <x v="15"/>
    <x v="15"/>
    <s v="SEA"/>
    <s v="Seattle, WA: Seattle/Tacoma International"/>
    <n v="142"/>
    <n v="50"/>
    <n v="7.47"/>
    <n v="0"/>
    <n v="23.12"/>
    <n v="0"/>
    <n v="19.420000000000002"/>
    <n v="0"/>
    <n v="3"/>
    <n v="2348"/>
    <n v="325"/>
    <n v="0"/>
    <n v="903"/>
    <n v="0"/>
    <n v="1120"/>
    <n v="0.35210000000000002"/>
    <n v="0"/>
    <n v="2.1100000000000001E-2"/>
  </r>
  <r>
    <n v="2004"/>
    <n v="1"/>
    <x v="10"/>
    <x v="10"/>
    <s v="SEA"/>
    <s v="Seattle, WA: Seattle/Tacoma International"/>
    <n v="1101"/>
    <n v="199"/>
    <n v="33.25"/>
    <n v="6.21"/>
    <n v="55.73"/>
    <n v="1.71"/>
    <n v="102.11"/>
    <n v="10"/>
    <n v="2"/>
    <n v="9176"/>
    <n v="1530"/>
    <n v="600"/>
    <n v="2368"/>
    <n v="74"/>
    <n v="4604"/>
    <n v="0.1807"/>
    <n v="9.1000000000000004E-3"/>
    <n v="1.8E-3"/>
  </r>
  <r>
    <n v="2004"/>
    <n v="1"/>
    <x v="4"/>
    <x v="4"/>
    <s v="SEA"/>
    <s v="Seattle, WA: Seattle/Tacoma International"/>
    <n v="538"/>
    <n v="156"/>
    <n v="34.97"/>
    <n v="30.13"/>
    <n v="61.92"/>
    <n v="2.19"/>
    <n v="26.78"/>
    <n v="15"/>
    <n v="2"/>
    <n v="9021"/>
    <n v="2050"/>
    <n v="2089"/>
    <n v="2604"/>
    <n v="96"/>
    <n v="2182"/>
    <n v="0.28999999999999998"/>
    <n v="2.7900000000000001E-2"/>
    <n v="3.7000000000000002E-3"/>
  </r>
  <r>
    <n v="2004"/>
    <n v="1"/>
    <x v="5"/>
    <x v="5"/>
    <s v="SEA"/>
    <s v="Seattle, WA: Seattle/Tacoma International"/>
    <n v="3740"/>
    <n v="953"/>
    <n v="230.65"/>
    <n v="26.26"/>
    <n v="281.64999999999998"/>
    <n v="14.86"/>
    <n v="399.59"/>
    <n v="224"/>
    <n v="18"/>
    <n v="47707"/>
    <n v="13089"/>
    <n v="1738"/>
    <n v="8963"/>
    <n v="595"/>
    <n v="23322"/>
    <n v="0.25480000000000003"/>
    <n v="5.9900000000000002E-2"/>
    <n v="4.7999999999999996E-3"/>
  </r>
  <r>
    <n v="2004"/>
    <n v="1"/>
    <x v="6"/>
    <x v="6"/>
    <s v="SEA"/>
    <s v="Seattle, WA: Seattle/Tacoma International"/>
    <n v="31"/>
    <n v="14"/>
    <n v="5.71"/>
    <n v="0"/>
    <n v="7.65"/>
    <n v="0"/>
    <n v="0.64"/>
    <n v="0"/>
    <n v="0"/>
    <n v="520"/>
    <n v="224"/>
    <n v="0"/>
    <n v="280"/>
    <n v="0"/>
    <n v="16"/>
    <n v="0.4516"/>
    <n v="0"/>
    <n v="0"/>
  </r>
  <r>
    <n v="2004"/>
    <n v="1"/>
    <x v="17"/>
    <x v="17"/>
    <s v="SEA"/>
    <s v="Seattle, WA: Seattle/Tacoma International"/>
    <n v="348"/>
    <n v="85"/>
    <n v="13.67"/>
    <n v="4.72"/>
    <n v="53.86"/>
    <n v="0"/>
    <n v="12.75"/>
    <n v="1"/>
    <n v="0"/>
    <n v="3633"/>
    <n v="704"/>
    <n v="302"/>
    <n v="1882"/>
    <n v="0"/>
    <n v="745"/>
    <n v="0.24429999999999999"/>
    <n v="2.8999999999999998E-3"/>
    <n v="0"/>
  </r>
  <r>
    <n v="2003"/>
    <n v="12"/>
    <x v="4"/>
    <x v="4"/>
    <s v="SEA"/>
    <s v="Seattle, WA: Seattle/Tacoma International"/>
    <n v="515"/>
    <n v="128"/>
    <n v="41.05"/>
    <n v="15.44"/>
    <n v="42.04"/>
    <n v="0"/>
    <n v="29.46"/>
    <n v="4"/>
    <n v="0"/>
    <n v="6070"/>
    <n v="2026"/>
    <n v="780"/>
    <n v="1474"/>
    <n v="0"/>
    <n v="1790"/>
    <n v="0.2485"/>
    <n v="7.7999999999999996E-3"/>
    <n v="0"/>
  </r>
  <r>
    <n v="2003"/>
    <n v="12"/>
    <x v="5"/>
    <x v="5"/>
    <s v="SEA"/>
    <s v="Seattle, WA: Seattle/Tacoma International"/>
    <n v="3739"/>
    <n v="920"/>
    <n v="197.95"/>
    <n v="14.3"/>
    <n v="274.11"/>
    <n v="7.88"/>
    <n v="425.76"/>
    <n v="46"/>
    <n v="11"/>
    <n v="41462"/>
    <n v="9463"/>
    <n v="907"/>
    <n v="7929"/>
    <n v="174"/>
    <n v="22989"/>
    <n v="0.24610000000000001"/>
    <n v="1.23E-2"/>
    <n v="2.8999999999999998E-3"/>
  </r>
  <r>
    <n v="2003"/>
    <n v="12"/>
    <x v="6"/>
    <x v="6"/>
    <s v="SEA"/>
    <s v="Seattle, WA: Seattle/Tacoma International"/>
    <n v="31"/>
    <n v="3"/>
    <n v="0.83"/>
    <n v="0"/>
    <n v="2.0299999999999998"/>
    <n v="0"/>
    <n v="0.15"/>
    <n v="0"/>
    <n v="0"/>
    <n v="292"/>
    <n v="98"/>
    <n v="0"/>
    <n v="166"/>
    <n v="0"/>
    <n v="28"/>
    <n v="9.6799999999999997E-2"/>
    <n v="0"/>
    <n v="0"/>
  </r>
  <r>
    <n v="2003"/>
    <n v="12"/>
    <x v="17"/>
    <x v="17"/>
    <s v="SEA"/>
    <s v="Seattle, WA: Seattle/Tacoma International"/>
    <n v="364"/>
    <n v="98"/>
    <n v="25.33"/>
    <n v="2.78"/>
    <n v="55.29"/>
    <n v="0.16"/>
    <n v="14.43"/>
    <n v="2"/>
    <n v="0"/>
    <n v="4294"/>
    <n v="1344"/>
    <n v="189"/>
    <n v="2090"/>
    <n v="14"/>
    <n v="657"/>
    <n v="0.26919999999999999"/>
    <n v="5.4999999999999997E-3"/>
    <n v="0"/>
  </r>
  <r>
    <n v="2003"/>
    <n v="12"/>
    <x v="7"/>
    <x v="7"/>
    <s v="SEA"/>
    <s v="Seattle, WA: Seattle/Tacoma International"/>
    <n v="492"/>
    <n v="104"/>
    <n v="33.090000000000003"/>
    <n v="7.49"/>
    <n v="42.61"/>
    <n v="0"/>
    <n v="20.81"/>
    <n v="4"/>
    <n v="1"/>
    <n v="4616"/>
    <n v="1495"/>
    <n v="460"/>
    <n v="1496"/>
    <n v="0"/>
    <n v="1165"/>
    <n v="0.2114"/>
    <n v="8.0999999999999996E-3"/>
    <n v="2E-3"/>
  </r>
  <r>
    <n v="2003"/>
    <n v="12"/>
    <x v="0"/>
    <x v="0"/>
    <s v="SEA"/>
    <s v="Seattle, WA: Seattle/Tacoma International"/>
    <n v="62"/>
    <n v="20"/>
    <n v="18.739999999999998"/>
    <n v="0"/>
    <n v="0.06"/>
    <n v="0"/>
    <n v="1.2"/>
    <n v="0"/>
    <n v="0"/>
    <n v="693"/>
    <n v="656"/>
    <n v="0"/>
    <n v="1"/>
    <n v="0"/>
    <n v="36"/>
    <n v="0.3226"/>
    <n v="0"/>
    <n v="0"/>
  </r>
  <r>
    <n v="2003"/>
    <n v="12"/>
    <x v="21"/>
    <x v="21"/>
    <s v="SEA"/>
    <s v="Seattle, WA: Seattle/Tacoma International"/>
    <n v="277"/>
    <n v="57"/>
    <n v="24.95"/>
    <n v="0"/>
    <n v="25.86"/>
    <n v="0"/>
    <n v="6.2"/>
    <n v="2"/>
    <n v="0"/>
    <n v="2205"/>
    <n v="1170"/>
    <n v="0"/>
    <n v="671"/>
    <n v="0"/>
    <n v="364"/>
    <n v="0.20580000000000001"/>
    <n v="7.1999999999999998E-3"/>
    <n v="0"/>
  </r>
  <r>
    <n v="2003"/>
    <n v="12"/>
    <x v="18"/>
    <x v="18"/>
    <s v="SEA"/>
    <s v="Seattle, WA: Seattle/Tacoma International"/>
    <n v="383"/>
    <n v="102"/>
    <n v="34.340000000000003"/>
    <n v="0"/>
    <n v="56.23"/>
    <n v="0"/>
    <n v="11.43"/>
    <n v="1"/>
    <n v="1"/>
    <n v="4018"/>
    <n v="1796"/>
    <n v="0"/>
    <n v="1758"/>
    <n v="0"/>
    <n v="464"/>
    <n v="0.26629999999999998"/>
    <n v="2.5999999999999999E-3"/>
    <n v="2.5999999999999999E-3"/>
  </r>
  <r>
    <n v="2003"/>
    <n v="12"/>
    <x v="2"/>
    <x v="2"/>
    <s v="SEA"/>
    <s v="Seattle, WA: Seattle/Tacoma International"/>
    <n v="390"/>
    <n v="83"/>
    <n v="44"/>
    <n v="12"/>
    <n v="9"/>
    <n v="0"/>
    <n v="18"/>
    <n v="14"/>
    <n v="0"/>
    <n v="2639"/>
    <n v="1394"/>
    <n v="288"/>
    <n v="299"/>
    <n v="0"/>
    <n v="658"/>
    <n v="0.21279999999999999"/>
    <n v="3.5900000000000001E-2"/>
    <n v="0"/>
  </r>
  <r>
    <n v="2003"/>
    <n v="12"/>
    <x v="24"/>
    <x v="24"/>
    <s v="SEA"/>
    <s v="Seattle, WA: Seattle/Tacoma International"/>
    <n v="84"/>
    <n v="27"/>
    <n v="9.5299999999999994"/>
    <n v="0"/>
    <n v="11.76"/>
    <n v="0"/>
    <n v="5.72"/>
    <n v="0"/>
    <n v="0"/>
    <n v="1251"/>
    <n v="449"/>
    <n v="0"/>
    <n v="594"/>
    <n v="0"/>
    <n v="208"/>
    <n v="0.32140000000000002"/>
    <n v="0"/>
    <n v="0"/>
  </r>
  <r>
    <n v="2003"/>
    <n v="12"/>
    <x v="9"/>
    <x v="9"/>
    <s v="SEA"/>
    <s v="Seattle, WA: Seattle/Tacoma International"/>
    <n v="1071"/>
    <n v="221"/>
    <n v="79.66"/>
    <n v="1.18"/>
    <n v="74.569999999999993"/>
    <n v="0"/>
    <n v="65.59"/>
    <n v="4"/>
    <n v="0"/>
    <n v="9856"/>
    <n v="3392"/>
    <n v="88"/>
    <n v="2329"/>
    <n v="0"/>
    <n v="4047"/>
    <n v="0.20630000000000001"/>
    <n v="3.7000000000000002E-3"/>
    <n v="0"/>
  </r>
  <r>
    <n v="2003"/>
    <n v="12"/>
    <x v="15"/>
    <x v="15"/>
    <s v="SEA"/>
    <s v="Seattle, WA: Seattle/Tacoma International"/>
    <n v="141"/>
    <n v="48"/>
    <n v="10.7"/>
    <n v="0.27"/>
    <n v="16.47"/>
    <n v="0"/>
    <n v="20.56"/>
    <n v="0"/>
    <n v="0"/>
    <n v="2621"/>
    <n v="512"/>
    <n v="46"/>
    <n v="778"/>
    <n v="0"/>
    <n v="1285"/>
    <n v="0.34039999999999998"/>
    <n v="0"/>
    <n v="0"/>
  </r>
  <r>
    <n v="2003"/>
    <n v="12"/>
    <x v="10"/>
    <x v="10"/>
    <s v="SEA"/>
    <s v="Seattle, WA: Seattle/Tacoma International"/>
    <n v="1142"/>
    <n v="169"/>
    <n v="31.42"/>
    <n v="0.7"/>
    <n v="29.51"/>
    <n v="0.16"/>
    <n v="107.21"/>
    <n v="5"/>
    <n v="0"/>
    <n v="7157"/>
    <n v="1289"/>
    <n v="79"/>
    <n v="778"/>
    <n v="7"/>
    <n v="5004"/>
    <n v="0.14799999999999999"/>
    <n v="4.4000000000000003E-3"/>
    <n v="0"/>
  </r>
  <r>
    <n v="2003"/>
    <n v="11"/>
    <x v="4"/>
    <x v="4"/>
    <s v="SEA"/>
    <s v="Seattle, WA: Seattle/Tacoma International"/>
    <n v="485"/>
    <n v="139"/>
    <n v="24.28"/>
    <n v="3.88"/>
    <n v="82.11"/>
    <n v="0.87"/>
    <n v="27.87"/>
    <n v="2"/>
    <n v="3"/>
    <n v="5805"/>
    <n v="1273"/>
    <n v="292"/>
    <n v="2671"/>
    <n v="13"/>
    <n v="1556"/>
    <n v="0.28660000000000002"/>
    <n v="4.1000000000000003E-3"/>
    <n v="6.1999999999999998E-3"/>
  </r>
  <r>
    <n v="2003"/>
    <n v="11"/>
    <x v="5"/>
    <x v="5"/>
    <s v="SEA"/>
    <s v="Seattle, WA: Seattle/Tacoma International"/>
    <n v="3543"/>
    <n v="741"/>
    <n v="152.63999999999999"/>
    <n v="9.81"/>
    <n v="253.74"/>
    <n v="4.91"/>
    <n v="319.89999999999998"/>
    <n v="52"/>
    <n v="8"/>
    <n v="34125"/>
    <n v="8679"/>
    <n v="731"/>
    <n v="7633"/>
    <n v="124"/>
    <n v="16958"/>
    <n v="0.20910000000000001"/>
    <n v="1.47E-2"/>
    <n v="2.3E-3"/>
  </r>
  <r>
    <n v="2003"/>
    <n v="11"/>
    <x v="6"/>
    <x v="6"/>
    <s v="SEA"/>
    <s v="Seattle, WA: Seattle/Tacoma International"/>
    <n v="30"/>
    <n v="4"/>
    <n v="0.34"/>
    <n v="0"/>
    <n v="3"/>
    <n v="0"/>
    <n v="0.66"/>
    <n v="0"/>
    <n v="1"/>
    <n v="116"/>
    <n v="10"/>
    <n v="0"/>
    <n v="87"/>
    <n v="0"/>
    <n v="19"/>
    <n v="0.1333"/>
    <n v="0"/>
    <n v="3.3300000000000003E-2"/>
  </r>
  <r>
    <n v="2003"/>
    <n v="11"/>
    <x v="17"/>
    <x v="17"/>
    <s v="SEA"/>
    <s v="Seattle, WA: Seattle/Tacoma International"/>
    <n v="347"/>
    <n v="84"/>
    <n v="12.15"/>
    <n v="2.14"/>
    <n v="61.76"/>
    <n v="0"/>
    <n v="7.95"/>
    <n v="0"/>
    <n v="0"/>
    <n v="3331"/>
    <n v="865"/>
    <n v="71"/>
    <n v="1959"/>
    <n v="0"/>
    <n v="436"/>
    <n v="0.24210000000000001"/>
    <n v="0"/>
    <n v="0"/>
  </r>
  <r>
    <n v="2003"/>
    <n v="11"/>
    <x v="7"/>
    <x v="7"/>
    <s v="SEA"/>
    <s v="Seattle, WA: Seattle/Tacoma International"/>
    <n v="472"/>
    <n v="124"/>
    <n v="17"/>
    <n v="0.64"/>
    <n v="92.4"/>
    <n v="0"/>
    <n v="13.96"/>
    <n v="1"/>
    <n v="0"/>
    <n v="4155"/>
    <n v="896"/>
    <n v="25"/>
    <n v="2591"/>
    <n v="0"/>
    <n v="643"/>
    <n v="0.26269999999999999"/>
    <n v="2.0999999999999999E-3"/>
    <n v="0"/>
  </r>
  <r>
    <n v="2003"/>
    <n v="11"/>
    <x v="0"/>
    <x v="0"/>
    <s v="SEA"/>
    <s v="Seattle, WA: Seattle/Tacoma International"/>
    <n v="51"/>
    <n v="26"/>
    <n v="21.81"/>
    <n v="0.41"/>
    <n v="7.0000000000000007E-2"/>
    <n v="0"/>
    <n v="3.71"/>
    <n v="0"/>
    <n v="0"/>
    <n v="1206"/>
    <n v="852"/>
    <n v="41"/>
    <n v="2"/>
    <n v="0"/>
    <n v="311"/>
    <n v="0.50980000000000003"/>
    <n v="0"/>
    <n v="0"/>
  </r>
  <r>
    <n v="2003"/>
    <n v="11"/>
    <x v="21"/>
    <x v="21"/>
    <s v="SEA"/>
    <s v="Seattle, WA: Seattle/Tacoma International"/>
    <n v="265"/>
    <n v="55"/>
    <n v="14.76"/>
    <n v="0"/>
    <n v="30.82"/>
    <n v="0"/>
    <n v="9.41"/>
    <n v="0"/>
    <n v="1"/>
    <n v="2106"/>
    <n v="840"/>
    <n v="0"/>
    <n v="861"/>
    <n v="0"/>
    <n v="405"/>
    <n v="0.20749999999999999"/>
    <n v="0"/>
    <n v="3.8E-3"/>
  </r>
  <r>
    <n v="2003"/>
    <n v="11"/>
    <x v="18"/>
    <x v="18"/>
    <s v="SEA"/>
    <s v="Seattle, WA: Seattle/Tacoma International"/>
    <n v="300"/>
    <n v="104"/>
    <n v="26.18"/>
    <n v="0.68"/>
    <n v="74.06"/>
    <n v="0.56999999999999995"/>
    <n v="2.52"/>
    <n v="2"/>
    <n v="4"/>
    <n v="4076"/>
    <n v="1533"/>
    <n v="83"/>
    <n v="2313"/>
    <n v="13"/>
    <n v="134"/>
    <n v="0.34670000000000001"/>
    <n v="6.7000000000000002E-3"/>
    <n v="1.3299999999999999E-2"/>
  </r>
  <r>
    <n v="2003"/>
    <n v="11"/>
    <x v="2"/>
    <x v="2"/>
    <s v="SEA"/>
    <s v="Seattle, WA: Seattle/Tacoma International"/>
    <n v="362"/>
    <n v="62"/>
    <n v="32"/>
    <n v="10"/>
    <n v="7"/>
    <n v="0"/>
    <n v="13"/>
    <n v="10"/>
    <n v="0"/>
    <n v="2103"/>
    <n v="848"/>
    <n v="550"/>
    <n v="219"/>
    <n v="0"/>
    <n v="486"/>
    <n v="0.17130000000000001"/>
    <n v="2.76E-2"/>
    <n v="0"/>
  </r>
  <r>
    <n v="2003"/>
    <n v="11"/>
    <x v="24"/>
    <x v="24"/>
    <s v="SEA"/>
    <s v="Seattle, WA: Seattle/Tacoma International"/>
    <n v="81"/>
    <n v="36"/>
    <n v="6.75"/>
    <n v="0"/>
    <n v="18.03"/>
    <n v="0"/>
    <n v="11.21"/>
    <n v="0"/>
    <n v="0"/>
    <n v="2009"/>
    <n v="348"/>
    <n v="0"/>
    <n v="677"/>
    <n v="0"/>
    <n v="984"/>
    <n v="0.44440000000000002"/>
    <n v="0"/>
    <n v="0"/>
  </r>
  <r>
    <n v="2003"/>
    <n v="11"/>
    <x v="9"/>
    <x v="9"/>
    <s v="SEA"/>
    <s v="Seattle, WA: Seattle/Tacoma International"/>
    <n v="992"/>
    <n v="224"/>
    <n v="41.8"/>
    <n v="4.12"/>
    <n v="109.48"/>
    <n v="0"/>
    <n v="68.59"/>
    <n v="5"/>
    <n v="0"/>
    <n v="9010"/>
    <n v="1694"/>
    <n v="198"/>
    <n v="3073"/>
    <n v="0"/>
    <n v="4045"/>
    <n v="0.2258"/>
    <n v="5.0000000000000001E-3"/>
    <n v="0"/>
  </r>
  <r>
    <n v="2003"/>
    <n v="11"/>
    <x v="15"/>
    <x v="15"/>
    <s v="SEA"/>
    <s v="Seattle, WA: Seattle/Tacoma International"/>
    <n v="138"/>
    <n v="49"/>
    <n v="6.36"/>
    <n v="0"/>
    <n v="32.659999999999997"/>
    <n v="0"/>
    <n v="9.98"/>
    <n v="0"/>
    <n v="0"/>
    <n v="2066"/>
    <n v="317"/>
    <n v="0"/>
    <n v="1106"/>
    <n v="0"/>
    <n v="643"/>
    <n v="0.35510000000000003"/>
    <n v="0"/>
    <n v="0"/>
  </r>
  <r>
    <n v="2003"/>
    <n v="11"/>
    <x v="10"/>
    <x v="10"/>
    <s v="SEA"/>
    <s v="Seattle, WA: Seattle/Tacoma International"/>
    <n v="1092"/>
    <n v="165"/>
    <n v="27.24"/>
    <n v="5.96"/>
    <n v="53.59"/>
    <n v="0"/>
    <n v="78.22"/>
    <n v="2"/>
    <n v="4"/>
    <n v="6485"/>
    <n v="1082"/>
    <n v="232"/>
    <n v="1829"/>
    <n v="0"/>
    <n v="3342"/>
    <n v="0.15110000000000001"/>
    <n v="1.8E-3"/>
    <n v="3.7000000000000002E-3"/>
  </r>
  <r>
    <n v="2003"/>
    <n v="10"/>
    <x v="4"/>
    <x v="4"/>
    <s v="SEA"/>
    <s v="Seattle, WA: Seattle/Tacoma International"/>
    <n v="597"/>
    <n v="106"/>
    <n v="21.69"/>
    <n v="1.21"/>
    <n v="73.239999999999995"/>
    <n v="0"/>
    <n v="9.85"/>
    <n v="1"/>
    <n v="1"/>
    <n v="4154"/>
    <n v="1547"/>
    <n v="59"/>
    <n v="1994"/>
    <n v="0"/>
    <n v="554"/>
    <n v="0.17760000000000001"/>
    <n v="1.6999999999999999E-3"/>
    <n v="1.6999999999999999E-3"/>
  </r>
  <r>
    <n v="2003"/>
    <n v="10"/>
    <x v="5"/>
    <x v="5"/>
    <s v="SEA"/>
    <s v="Seattle, WA: Seattle/Tacoma International"/>
    <n v="3912"/>
    <n v="759"/>
    <n v="146.69"/>
    <n v="3.51"/>
    <n v="338.11"/>
    <n v="0.99"/>
    <n v="269.70999999999998"/>
    <n v="74"/>
    <n v="11"/>
    <n v="34533"/>
    <n v="8814"/>
    <n v="140"/>
    <n v="10214"/>
    <n v="21"/>
    <n v="15344"/>
    <n v="0.19400000000000001"/>
    <n v="1.89E-2"/>
    <n v="2.8E-3"/>
  </r>
  <r>
    <n v="2003"/>
    <n v="10"/>
    <x v="6"/>
    <x v="6"/>
    <s v="SEA"/>
    <s v="Seattle, WA: Seattle/Tacoma International"/>
    <n v="31"/>
    <n v="9"/>
    <n v="2.67"/>
    <n v="0"/>
    <n v="5.09"/>
    <n v="0.24"/>
    <n v="1"/>
    <n v="0"/>
    <n v="0"/>
    <n v="419"/>
    <n v="198"/>
    <n v="0"/>
    <n v="138"/>
    <n v="10"/>
    <n v="73"/>
    <n v="0.2903"/>
    <n v="0"/>
    <n v="0"/>
  </r>
  <r>
    <n v="2003"/>
    <n v="10"/>
    <x v="17"/>
    <x v="17"/>
    <s v="SEA"/>
    <s v="Seattle, WA: Seattle/Tacoma International"/>
    <n v="359"/>
    <n v="59"/>
    <n v="7.78"/>
    <n v="0.13"/>
    <n v="46.36"/>
    <n v="0.5"/>
    <n v="4.24"/>
    <n v="1"/>
    <n v="0"/>
    <n v="1702"/>
    <n v="288"/>
    <n v="6"/>
    <n v="1217"/>
    <n v="9"/>
    <n v="182"/>
    <n v="0.1643"/>
    <n v="2.8E-3"/>
    <n v="0"/>
  </r>
  <r>
    <n v="2003"/>
    <n v="10"/>
    <x v="7"/>
    <x v="7"/>
    <s v="SEA"/>
    <s v="Seattle, WA: Seattle/Tacoma International"/>
    <n v="490"/>
    <n v="106"/>
    <n v="24.91"/>
    <n v="0.04"/>
    <n v="73.11"/>
    <n v="0"/>
    <n v="7.94"/>
    <n v="5"/>
    <n v="1"/>
    <n v="3788"/>
    <n v="1160"/>
    <n v="5"/>
    <n v="2220"/>
    <n v="0"/>
    <n v="403"/>
    <n v="0.21629999999999999"/>
    <n v="1.0200000000000001E-2"/>
    <n v="2E-3"/>
  </r>
  <r>
    <n v="2003"/>
    <n v="10"/>
    <x v="21"/>
    <x v="21"/>
    <s v="SEA"/>
    <s v="Seattle, WA: Seattle/Tacoma International"/>
    <n v="279"/>
    <n v="44"/>
    <n v="18.079999999999998"/>
    <n v="0"/>
    <n v="21.3"/>
    <n v="0.4"/>
    <n v="4.22"/>
    <n v="2"/>
    <n v="0"/>
    <n v="1628"/>
    <n v="863"/>
    <n v="0"/>
    <n v="590"/>
    <n v="6"/>
    <n v="169"/>
    <n v="0.15770000000000001"/>
    <n v="7.1999999999999998E-3"/>
    <n v="0"/>
  </r>
  <r>
    <n v="2003"/>
    <n v="10"/>
    <x v="18"/>
    <x v="18"/>
    <s v="SEA"/>
    <s v="Seattle, WA: Seattle/Tacoma International"/>
    <n v="335"/>
    <n v="90"/>
    <n v="27.99"/>
    <n v="0.77"/>
    <n v="60.01"/>
    <n v="0.21"/>
    <n v="1.02"/>
    <n v="0"/>
    <n v="0"/>
    <n v="3151"/>
    <n v="1486"/>
    <n v="35"/>
    <n v="1576"/>
    <n v="15"/>
    <n v="39"/>
    <n v="0.26869999999999999"/>
    <n v="0"/>
    <n v="0"/>
  </r>
  <r>
    <n v="2003"/>
    <n v="10"/>
    <x v="2"/>
    <x v="2"/>
    <s v="SEA"/>
    <s v="Seattle, WA: Seattle/Tacoma International"/>
    <n v="377"/>
    <n v="73"/>
    <n v="32"/>
    <n v="8"/>
    <n v="24"/>
    <n v="0"/>
    <n v="9"/>
    <n v="21"/>
    <n v="0"/>
    <n v="3995"/>
    <n v="1482"/>
    <n v="810"/>
    <n v="1305"/>
    <n v="0"/>
    <n v="398"/>
    <n v="0.19359999999999999"/>
    <n v="5.57E-2"/>
    <n v="0"/>
  </r>
  <r>
    <n v="2003"/>
    <n v="10"/>
    <x v="24"/>
    <x v="24"/>
    <s v="SEA"/>
    <s v="Seattle, WA: Seattle/Tacoma International"/>
    <n v="89"/>
    <n v="21"/>
    <n v="4.2300000000000004"/>
    <n v="0"/>
    <n v="16.77"/>
    <n v="0"/>
    <n v="0"/>
    <n v="0"/>
    <n v="0"/>
    <n v="734"/>
    <n v="174"/>
    <n v="0"/>
    <n v="560"/>
    <n v="0"/>
    <n v="0"/>
    <n v="0.23599999999999999"/>
    <n v="0"/>
    <n v="0"/>
  </r>
  <r>
    <n v="2003"/>
    <n v="10"/>
    <x v="9"/>
    <x v="9"/>
    <s v="SEA"/>
    <s v="Seattle, WA: Seattle/Tacoma International"/>
    <n v="1131"/>
    <n v="251"/>
    <n v="41.05"/>
    <n v="1.4"/>
    <n v="162.75"/>
    <n v="0"/>
    <n v="45.81"/>
    <n v="3"/>
    <n v="0"/>
    <n v="9867"/>
    <n v="1969"/>
    <n v="83"/>
    <n v="4882"/>
    <n v="0"/>
    <n v="2933"/>
    <n v="0.22189999999999999"/>
    <n v="2.7000000000000001E-3"/>
    <n v="0"/>
  </r>
  <r>
    <n v="2003"/>
    <n v="10"/>
    <x v="15"/>
    <x v="15"/>
    <s v="SEA"/>
    <s v="Seattle, WA: Seattle/Tacoma International"/>
    <n v="164"/>
    <n v="41"/>
    <n v="7.14"/>
    <n v="0"/>
    <n v="24.57"/>
    <n v="0"/>
    <n v="9.2899999999999991"/>
    <n v="0"/>
    <n v="0"/>
    <n v="1221"/>
    <n v="209"/>
    <n v="0"/>
    <n v="681"/>
    <n v="0"/>
    <n v="331"/>
    <n v="0.25"/>
    <n v="0"/>
    <n v="0"/>
  </r>
  <r>
    <n v="2003"/>
    <n v="10"/>
    <x v="10"/>
    <x v="10"/>
    <s v="SEA"/>
    <s v="Seattle, WA: Seattle/Tacoma International"/>
    <n v="1157"/>
    <n v="148"/>
    <n v="28.21"/>
    <n v="3.92"/>
    <n v="52.75"/>
    <n v="0.4"/>
    <n v="62.71"/>
    <n v="6"/>
    <n v="1"/>
    <n v="8231"/>
    <n v="1810"/>
    <n v="143"/>
    <n v="1970"/>
    <n v="19"/>
    <n v="4289"/>
    <n v="0.12790000000000001"/>
    <n v="5.1999999999999998E-3"/>
    <n v="8.9999999999999998E-4"/>
  </r>
  <r>
    <n v="2003"/>
    <n v="9"/>
    <x v="4"/>
    <x v="4"/>
    <s v="SEA"/>
    <s v="Seattle, WA: Seattle/Tacoma International"/>
    <n v="580"/>
    <n v="67"/>
    <n v="18.37"/>
    <n v="6.5"/>
    <n v="33.380000000000003"/>
    <n v="0"/>
    <n v="8.75"/>
    <n v="3"/>
    <n v="1"/>
    <n v="3303"/>
    <n v="1117"/>
    <n v="324"/>
    <n v="1356"/>
    <n v="0"/>
    <n v="506"/>
    <n v="0.11550000000000001"/>
    <n v="5.1999999999999998E-3"/>
    <n v="1.6999999999999999E-3"/>
  </r>
  <r>
    <n v="2003"/>
    <n v="9"/>
    <x v="5"/>
    <x v="5"/>
    <s v="SEA"/>
    <s v="Seattle, WA: Seattle/Tacoma International"/>
    <n v="3928"/>
    <n v="421"/>
    <n v="118.19"/>
    <n v="5.21"/>
    <n v="123.69"/>
    <n v="2"/>
    <n v="171.92"/>
    <n v="67"/>
    <n v="7"/>
    <n v="20202"/>
    <n v="7047"/>
    <n v="257"/>
    <n v="3874"/>
    <n v="57"/>
    <n v="8967"/>
    <n v="0.1072"/>
    <n v="1.7100000000000001E-2"/>
    <n v="1.8E-3"/>
  </r>
  <r>
    <n v="2003"/>
    <n v="9"/>
    <x v="6"/>
    <x v="6"/>
    <s v="SEA"/>
    <s v="Seattle, WA: Seattle/Tacoma International"/>
    <n v="30"/>
    <n v="4"/>
    <n v="1.1000000000000001"/>
    <n v="0"/>
    <n v="2.61"/>
    <n v="0"/>
    <n v="0.28999999999999998"/>
    <n v="0"/>
    <n v="0"/>
    <n v="97"/>
    <n v="25"/>
    <n v="0"/>
    <n v="65"/>
    <n v="0"/>
    <n v="7"/>
    <n v="0.1333"/>
    <n v="0"/>
    <n v="0"/>
  </r>
  <r>
    <n v="2003"/>
    <n v="9"/>
    <x v="17"/>
    <x v="17"/>
    <s v="SEA"/>
    <s v="Seattle, WA: Seattle/Tacoma International"/>
    <n v="350"/>
    <n v="65"/>
    <n v="10.65"/>
    <n v="0"/>
    <n v="40.659999999999997"/>
    <n v="0"/>
    <n v="13.68"/>
    <n v="2"/>
    <n v="1"/>
    <n v="3080"/>
    <n v="486"/>
    <n v="0"/>
    <n v="1731"/>
    <n v="0"/>
    <n v="863"/>
    <n v="0.1857"/>
    <n v="5.7000000000000002E-3"/>
    <n v="2.8999999999999998E-3"/>
  </r>
  <r>
    <n v="2003"/>
    <n v="9"/>
    <x v="7"/>
    <x v="7"/>
    <s v="SEA"/>
    <s v="Seattle, WA: Seattle/Tacoma International"/>
    <n v="478"/>
    <n v="70"/>
    <n v="18.95"/>
    <n v="1.1100000000000001"/>
    <n v="40.28"/>
    <n v="0"/>
    <n v="9.65"/>
    <n v="1"/>
    <n v="1"/>
    <n v="2761"/>
    <n v="1157"/>
    <n v="56"/>
    <n v="1136"/>
    <n v="0"/>
    <n v="412"/>
    <n v="0.1464"/>
    <n v="2.0999999999999999E-3"/>
    <n v="2.0999999999999999E-3"/>
  </r>
  <r>
    <n v="2003"/>
    <n v="9"/>
    <x v="21"/>
    <x v="21"/>
    <s v="SEA"/>
    <s v="Seattle, WA: Seattle/Tacoma International"/>
    <n v="270"/>
    <n v="39"/>
    <n v="16.079999999999998"/>
    <n v="0.83"/>
    <n v="16.66"/>
    <n v="0"/>
    <n v="5.43"/>
    <n v="1"/>
    <n v="0"/>
    <n v="1467"/>
    <n v="577"/>
    <n v="66"/>
    <n v="490"/>
    <n v="0"/>
    <n v="334"/>
    <n v="0.1444"/>
    <n v="3.7000000000000002E-3"/>
    <n v="0"/>
  </r>
  <r>
    <n v="2003"/>
    <n v="9"/>
    <x v="18"/>
    <x v="18"/>
    <s v="SEA"/>
    <s v="Seattle, WA: Seattle/Tacoma International"/>
    <n v="334"/>
    <n v="41"/>
    <n v="20.25"/>
    <n v="1.22"/>
    <n v="17.95"/>
    <n v="0"/>
    <n v="1.58"/>
    <n v="1"/>
    <n v="0"/>
    <n v="1913"/>
    <n v="1276"/>
    <n v="24"/>
    <n v="568"/>
    <n v="0"/>
    <n v="45"/>
    <n v="0.12280000000000001"/>
    <n v="3.0000000000000001E-3"/>
    <n v="0"/>
  </r>
  <r>
    <n v="2003"/>
    <n v="9"/>
    <x v="2"/>
    <x v="2"/>
    <s v="SEA"/>
    <s v="Seattle, WA: Seattle/Tacoma International"/>
    <n v="364"/>
    <n v="29"/>
    <n v="19"/>
    <n v="2"/>
    <n v="0"/>
    <n v="1"/>
    <n v="7"/>
    <n v="4"/>
    <n v="0"/>
    <n v="1179"/>
    <n v="794"/>
    <n v="136"/>
    <n v="0"/>
    <n v="21"/>
    <n v="228"/>
    <n v="7.9699999999999993E-2"/>
    <n v="1.0999999999999999E-2"/>
    <n v="0"/>
  </r>
  <r>
    <n v="2003"/>
    <n v="9"/>
    <x v="24"/>
    <x v="24"/>
    <s v="SEA"/>
    <s v="Seattle, WA: Seattle/Tacoma International"/>
    <n v="85"/>
    <n v="10"/>
    <n v="3.32"/>
    <n v="0"/>
    <n v="3.64"/>
    <n v="0"/>
    <n v="3.05"/>
    <n v="0"/>
    <n v="0"/>
    <n v="295"/>
    <n v="91"/>
    <n v="0"/>
    <n v="86"/>
    <n v="0"/>
    <n v="118"/>
    <n v="0.1176"/>
    <n v="0"/>
    <n v="0"/>
  </r>
  <r>
    <n v="2003"/>
    <n v="9"/>
    <x v="9"/>
    <x v="9"/>
    <s v="SEA"/>
    <s v="Seattle, WA: Seattle/Tacoma International"/>
    <n v="1086"/>
    <n v="114"/>
    <n v="38.18"/>
    <n v="0.28999999999999998"/>
    <n v="39.700000000000003"/>
    <n v="0"/>
    <n v="35.83"/>
    <n v="3"/>
    <n v="1"/>
    <n v="5016"/>
    <n v="1918"/>
    <n v="14"/>
    <n v="1066"/>
    <n v="0"/>
    <n v="2018"/>
    <n v="0.105"/>
    <n v="2.8E-3"/>
    <n v="8.9999999999999998E-4"/>
  </r>
  <r>
    <n v="2003"/>
    <n v="9"/>
    <x v="15"/>
    <x v="15"/>
    <s v="SEA"/>
    <s v="Seattle, WA: Seattle/Tacoma International"/>
    <n v="157"/>
    <n v="37"/>
    <n v="8.4499999999999993"/>
    <n v="0"/>
    <n v="13.79"/>
    <n v="0"/>
    <n v="14.76"/>
    <n v="0"/>
    <n v="0"/>
    <n v="1703"/>
    <n v="357"/>
    <n v="0"/>
    <n v="476"/>
    <n v="0"/>
    <n v="870"/>
    <n v="0.23569999999999999"/>
    <n v="0"/>
    <n v="0"/>
  </r>
  <r>
    <n v="2003"/>
    <n v="9"/>
    <x v="10"/>
    <x v="10"/>
    <s v="SEA"/>
    <s v="Seattle, WA: Seattle/Tacoma International"/>
    <n v="1124"/>
    <n v="75"/>
    <n v="20.89"/>
    <n v="1"/>
    <n v="18.12"/>
    <n v="0"/>
    <n v="34.99"/>
    <n v="4"/>
    <n v="5"/>
    <n v="2463"/>
    <n v="722"/>
    <n v="45"/>
    <n v="462"/>
    <n v="0"/>
    <n v="1234"/>
    <n v="6.6699999999999995E-2"/>
    <n v="3.5999999999999999E-3"/>
    <n v="4.4000000000000003E-3"/>
  </r>
  <r>
    <n v="2003"/>
    <n v="8"/>
    <x v="4"/>
    <x v="4"/>
    <s v="SEA"/>
    <s v="Seattle, WA: Seattle/Tacoma International"/>
    <n v="663"/>
    <n v="161"/>
    <n v="61.97"/>
    <n v="22.91"/>
    <n v="37.86"/>
    <n v="0.26"/>
    <n v="38"/>
    <n v="5"/>
    <n v="1"/>
    <n v="10078"/>
    <n v="3415"/>
    <n v="2315"/>
    <n v="1424"/>
    <n v="9"/>
    <n v="2915"/>
    <n v="0.24279999999999999"/>
    <n v="7.4999999999999997E-3"/>
    <n v="1.5E-3"/>
  </r>
  <r>
    <n v="2003"/>
    <n v="8"/>
    <x v="5"/>
    <x v="5"/>
    <s v="SEA"/>
    <s v="Seattle, WA: Seattle/Tacoma International"/>
    <n v="4584"/>
    <n v="841"/>
    <n v="205.75"/>
    <n v="13.27"/>
    <n v="153.29"/>
    <n v="18.5"/>
    <n v="450.18"/>
    <n v="90"/>
    <n v="7"/>
    <n v="40282"/>
    <n v="12485"/>
    <n v="651"/>
    <n v="4639"/>
    <n v="436"/>
    <n v="22071"/>
    <n v="0.1835"/>
    <n v="1.9599999999999999E-2"/>
    <n v="1.5E-3"/>
  </r>
  <r>
    <n v="2003"/>
    <n v="8"/>
    <x v="6"/>
    <x v="6"/>
    <s v="SEA"/>
    <s v="Seattle, WA: Seattle/Tacoma International"/>
    <n v="31"/>
    <n v="10"/>
    <n v="3.95"/>
    <n v="0"/>
    <n v="0.83"/>
    <n v="0"/>
    <n v="5.22"/>
    <n v="0"/>
    <n v="0"/>
    <n v="745"/>
    <n v="366"/>
    <n v="0"/>
    <n v="23"/>
    <n v="0"/>
    <n v="356"/>
    <n v="0.3226"/>
    <n v="0"/>
    <n v="0"/>
  </r>
  <r>
    <n v="2003"/>
    <n v="8"/>
    <x v="17"/>
    <x v="17"/>
    <s v="SEA"/>
    <s v="Seattle, WA: Seattle/Tacoma International"/>
    <n v="393"/>
    <n v="56"/>
    <n v="12.25"/>
    <n v="1.74"/>
    <n v="31.4"/>
    <n v="0"/>
    <n v="10.61"/>
    <n v="0"/>
    <n v="0"/>
    <n v="3280"/>
    <n v="841"/>
    <n v="46"/>
    <n v="1756"/>
    <n v="0"/>
    <n v="637"/>
    <n v="0.14249999999999999"/>
    <n v="0"/>
    <n v="0"/>
  </r>
  <r>
    <n v="2003"/>
    <n v="8"/>
    <x v="7"/>
    <x v="7"/>
    <s v="SEA"/>
    <s v="Seattle, WA: Seattle/Tacoma International"/>
    <n v="495"/>
    <n v="86"/>
    <n v="27.62"/>
    <n v="1.58"/>
    <n v="26.95"/>
    <n v="0"/>
    <n v="29.85"/>
    <n v="1"/>
    <n v="0"/>
    <n v="5454"/>
    <n v="1364"/>
    <n v="61"/>
    <n v="1193"/>
    <n v="0"/>
    <n v="2836"/>
    <n v="0.17369999999999999"/>
    <n v="2E-3"/>
    <n v="0"/>
  </r>
  <r>
    <n v="2003"/>
    <n v="8"/>
    <x v="21"/>
    <x v="21"/>
    <s v="SEA"/>
    <s v="Seattle, WA: Seattle/Tacoma International"/>
    <n v="279"/>
    <n v="60"/>
    <n v="27.41"/>
    <n v="0"/>
    <n v="19.73"/>
    <n v="0"/>
    <n v="12.86"/>
    <n v="2"/>
    <n v="0"/>
    <n v="2731"/>
    <n v="1496"/>
    <n v="0"/>
    <n v="551"/>
    <n v="0"/>
    <n v="684"/>
    <n v="0.21510000000000001"/>
    <n v="7.1999999999999998E-3"/>
    <n v="0"/>
  </r>
  <r>
    <n v="2003"/>
    <n v="8"/>
    <x v="18"/>
    <x v="18"/>
    <s v="SEA"/>
    <s v="Seattle, WA: Seattle/Tacoma International"/>
    <n v="496"/>
    <n v="83"/>
    <n v="46.43"/>
    <n v="2.41"/>
    <n v="23.4"/>
    <n v="0"/>
    <n v="10.76"/>
    <n v="3"/>
    <n v="0"/>
    <n v="4388"/>
    <n v="2572"/>
    <n v="253"/>
    <n v="894"/>
    <n v="0"/>
    <n v="669"/>
    <n v="0.1673"/>
    <n v="6.0000000000000001E-3"/>
    <n v="0"/>
  </r>
  <r>
    <n v="2003"/>
    <n v="8"/>
    <x v="2"/>
    <x v="2"/>
    <s v="SEA"/>
    <s v="Seattle, WA: Seattle/Tacoma International"/>
    <n v="372"/>
    <n v="41"/>
    <n v="23"/>
    <n v="2"/>
    <n v="4"/>
    <n v="2"/>
    <n v="10"/>
    <n v="5"/>
    <n v="0"/>
    <n v="1736"/>
    <n v="806"/>
    <n v="36"/>
    <n v="104"/>
    <n v="203"/>
    <n v="587"/>
    <n v="0.11020000000000001"/>
    <n v="1.34E-2"/>
    <n v="0"/>
  </r>
  <r>
    <n v="2003"/>
    <n v="8"/>
    <x v="24"/>
    <x v="24"/>
    <s v="SEA"/>
    <s v="Seattle, WA: Seattle/Tacoma International"/>
    <n v="86"/>
    <n v="13"/>
    <n v="4.47"/>
    <n v="0"/>
    <n v="2.2400000000000002"/>
    <n v="1"/>
    <n v="5.3"/>
    <n v="0"/>
    <n v="0"/>
    <n v="743"/>
    <n v="192"/>
    <n v="0"/>
    <n v="132"/>
    <n v="106"/>
    <n v="313"/>
    <n v="0.1512"/>
    <n v="0"/>
    <n v="0"/>
  </r>
  <r>
    <n v="2003"/>
    <n v="8"/>
    <x v="9"/>
    <x v="9"/>
    <s v="SEA"/>
    <s v="Seattle, WA: Seattle/Tacoma International"/>
    <n v="1195"/>
    <n v="148"/>
    <n v="40.15"/>
    <n v="8.48"/>
    <n v="34.880000000000003"/>
    <n v="0"/>
    <n v="64.489999999999995"/>
    <n v="5"/>
    <n v="0"/>
    <n v="9807"/>
    <n v="2410"/>
    <n v="696"/>
    <n v="1406"/>
    <n v="0"/>
    <n v="5295"/>
    <n v="0.12379999999999999"/>
    <n v="4.1999999999999997E-3"/>
    <n v="0"/>
  </r>
  <r>
    <n v="2003"/>
    <n v="8"/>
    <x v="15"/>
    <x v="15"/>
    <s v="SEA"/>
    <s v="Seattle, WA: Seattle/Tacoma International"/>
    <n v="242"/>
    <n v="78"/>
    <n v="15.44"/>
    <n v="4.38"/>
    <n v="21.73"/>
    <n v="0"/>
    <n v="36.44"/>
    <n v="0"/>
    <n v="1"/>
    <n v="4870"/>
    <n v="658"/>
    <n v="252"/>
    <n v="1365"/>
    <n v="0"/>
    <n v="2595"/>
    <n v="0.32229999999999998"/>
    <n v="0"/>
    <n v="4.1000000000000003E-3"/>
  </r>
  <r>
    <n v="2003"/>
    <n v="8"/>
    <x v="10"/>
    <x v="10"/>
    <s v="SEA"/>
    <s v="Seattle, WA: Seattle/Tacoma International"/>
    <n v="1179"/>
    <n v="84"/>
    <n v="15.48"/>
    <n v="1"/>
    <n v="8.0500000000000007"/>
    <n v="2.0499999999999998"/>
    <n v="57.42"/>
    <n v="2"/>
    <n v="3"/>
    <n v="3798"/>
    <n v="500"/>
    <n v="30"/>
    <n v="175"/>
    <n v="85"/>
    <n v="3008"/>
    <n v="7.1199999999999999E-2"/>
    <n v="1.6999999999999999E-3"/>
    <n v="2.5000000000000001E-3"/>
  </r>
  <r>
    <n v="2003"/>
    <n v="7"/>
    <x v="4"/>
    <x v="4"/>
    <s v="SEA"/>
    <s v="Seattle, WA: Seattle/Tacoma International"/>
    <n v="661"/>
    <n v="185"/>
    <n v="64.39"/>
    <n v="17.059999999999999"/>
    <n v="64.47"/>
    <n v="0.36"/>
    <n v="38.71"/>
    <n v="1"/>
    <n v="0"/>
    <n v="9234"/>
    <n v="3112"/>
    <n v="1177"/>
    <n v="2481"/>
    <n v="8"/>
    <n v="2456"/>
    <n v="0.27989999999999998"/>
    <n v="1.5E-3"/>
    <n v="0"/>
  </r>
  <r>
    <n v="2003"/>
    <n v="7"/>
    <x v="5"/>
    <x v="5"/>
    <s v="SEA"/>
    <s v="Seattle, WA: Seattle/Tacoma International"/>
    <n v="4581"/>
    <n v="709"/>
    <n v="194.53"/>
    <n v="18.84"/>
    <n v="125.59"/>
    <n v="24.93"/>
    <n v="345.11"/>
    <n v="68"/>
    <n v="2"/>
    <n v="33110"/>
    <n v="10325"/>
    <n v="1401"/>
    <n v="3673"/>
    <n v="603"/>
    <n v="17108"/>
    <n v="0.15479999999999999"/>
    <n v="1.4800000000000001E-2"/>
    <n v="4.0000000000000002E-4"/>
  </r>
  <r>
    <n v="2003"/>
    <n v="7"/>
    <x v="6"/>
    <x v="6"/>
    <s v="SEA"/>
    <s v="Seattle, WA: Seattle/Tacoma International"/>
    <n v="31"/>
    <n v="9"/>
    <n v="1.79"/>
    <n v="0"/>
    <n v="3.42"/>
    <n v="0"/>
    <n v="3.79"/>
    <n v="0"/>
    <n v="0"/>
    <n v="342"/>
    <n v="42"/>
    <n v="0"/>
    <n v="169"/>
    <n v="0"/>
    <n v="131"/>
    <n v="0.2903"/>
    <n v="0"/>
    <n v="0"/>
  </r>
  <r>
    <n v="2003"/>
    <n v="7"/>
    <x v="17"/>
    <x v="17"/>
    <s v="SEA"/>
    <s v="Seattle, WA: Seattle/Tacoma International"/>
    <n v="396"/>
    <n v="76"/>
    <n v="18.05"/>
    <n v="0.56000000000000005"/>
    <n v="43.31"/>
    <n v="0.21"/>
    <n v="13.88"/>
    <n v="0"/>
    <n v="0"/>
    <n v="3286"/>
    <n v="610"/>
    <n v="11"/>
    <n v="1672"/>
    <n v="6"/>
    <n v="987"/>
    <n v="0.19189999999999999"/>
    <n v="0"/>
    <n v="0"/>
  </r>
  <r>
    <n v="2003"/>
    <n v="7"/>
    <x v="7"/>
    <x v="7"/>
    <s v="SEA"/>
    <s v="Seattle, WA: Seattle/Tacoma International"/>
    <n v="491"/>
    <n v="89"/>
    <n v="31.34"/>
    <n v="2.72"/>
    <n v="33.159999999999997"/>
    <n v="0"/>
    <n v="21.78"/>
    <n v="0"/>
    <n v="1"/>
    <n v="4549"/>
    <n v="1658"/>
    <n v="265"/>
    <n v="1148"/>
    <n v="0"/>
    <n v="1478"/>
    <n v="0.18129999999999999"/>
    <n v="0"/>
    <n v="2E-3"/>
  </r>
  <r>
    <n v="2003"/>
    <n v="7"/>
    <x v="21"/>
    <x v="21"/>
    <s v="SEA"/>
    <s v="Seattle, WA: Seattle/Tacoma International"/>
    <n v="279"/>
    <n v="55"/>
    <n v="22.62"/>
    <n v="1.61"/>
    <n v="15.24"/>
    <n v="0"/>
    <n v="15.52"/>
    <n v="1"/>
    <n v="0"/>
    <n v="3062"/>
    <n v="1371"/>
    <n v="182"/>
    <n v="565"/>
    <n v="0"/>
    <n v="944"/>
    <n v="0.1971"/>
    <n v="3.5999999999999999E-3"/>
    <n v="0"/>
  </r>
  <r>
    <n v="2003"/>
    <n v="7"/>
    <x v="18"/>
    <x v="18"/>
    <s v="SEA"/>
    <s v="Seattle, WA: Seattle/Tacoma International"/>
    <n v="465"/>
    <n v="96"/>
    <n v="46.9"/>
    <n v="3.54"/>
    <n v="33.86"/>
    <n v="0.5"/>
    <n v="11.2"/>
    <n v="2"/>
    <n v="0"/>
    <n v="5105"/>
    <n v="2585"/>
    <n v="151"/>
    <n v="1018"/>
    <n v="11"/>
    <n v="1340"/>
    <n v="0.20649999999999999"/>
    <n v="4.3E-3"/>
    <n v="0"/>
  </r>
  <r>
    <n v="2003"/>
    <n v="7"/>
    <x v="2"/>
    <x v="2"/>
    <s v="SEA"/>
    <s v="Seattle, WA: Seattle/Tacoma International"/>
    <n v="376"/>
    <n v="28"/>
    <n v="20"/>
    <n v="1"/>
    <n v="1"/>
    <n v="0"/>
    <n v="6"/>
    <n v="2"/>
    <n v="0"/>
    <n v="721"/>
    <n v="546"/>
    <n v="19"/>
    <n v="17"/>
    <n v="0"/>
    <n v="139"/>
    <n v="7.4499999999999997E-2"/>
    <n v="5.3E-3"/>
    <n v="0"/>
  </r>
  <r>
    <n v="2003"/>
    <n v="7"/>
    <x v="24"/>
    <x v="24"/>
    <s v="SEA"/>
    <s v="Seattle, WA: Seattle/Tacoma International"/>
    <n v="87"/>
    <n v="24"/>
    <n v="6.78"/>
    <n v="0.64"/>
    <n v="10.17"/>
    <n v="0"/>
    <n v="6.42"/>
    <n v="1"/>
    <n v="0"/>
    <n v="1815"/>
    <n v="387"/>
    <n v="44"/>
    <n v="441"/>
    <n v="0"/>
    <n v="943"/>
    <n v="0.27589999999999998"/>
    <n v="1.15E-2"/>
    <n v="0"/>
  </r>
  <r>
    <n v="2003"/>
    <n v="7"/>
    <x v="9"/>
    <x v="9"/>
    <s v="SEA"/>
    <s v="Seattle, WA: Seattle/Tacoma International"/>
    <n v="1205"/>
    <n v="177"/>
    <n v="47.56"/>
    <n v="9.23"/>
    <n v="48.69"/>
    <n v="0"/>
    <n v="71.52"/>
    <n v="3"/>
    <n v="0"/>
    <n v="10731"/>
    <n v="2370"/>
    <n v="551"/>
    <n v="2029"/>
    <n v="0"/>
    <n v="5781"/>
    <n v="0.1469"/>
    <n v="2.5000000000000001E-3"/>
    <n v="0"/>
  </r>
  <r>
    <n v="2003"/>
    <n v="7"/>
    <x v="15"/>
    <x v="15"/>
    <s v="SEA"/>
    <s v="Seattle, WA: Seattle/Tacoma International"/>
    <n v="241"/>
    <n v="96"/>
    <n v="27.29"/>
    <n v="7.59"/>
    <n v="34.340000000000003"/>
    <n v="0"/>
    <n v="26.78"/>
    <n v="0"/>
    <n v="0"/>
    <n v="6021"/>
    <n v="1198"/>
    <n v="786"/>
    <n v="2022"/>
    <n v="0"/>
    <n v="2015"/>
    <n v="0.39829999999999999"/>
    <n v="0"/>
    <n v="0"/>
  </r>
  <r>
    <n v="2003"/>
    <n v="7"/>
    <x v="10"/>
    <x v="10"/>
    <s v="SEA"/>
    <s v="Seattle, WA: Seattle/Tacoma International"/>
    <n v="1179"/>
    <n v="110"/>
    <n v="23.81"/>
    <n v="1.52"/>
    <n v="9.23"/>
    <n v="0.16"/>
    <n v="75.290000000000006"/>
    <n v="4"/>
    <n v="2"/>
    <n v="5244"/>
    <n v="921"/>
    <n v="209"/>
    <n v="383"/>
    <n v="3"/>
    <n v="3728"/>
    <n v="9.3299999999999994E-2"/>
    <n v="3.3999999999999998E-3"/>
    <n v="1.6999999999999999E-3"/>
  </r>
  <r>
    <n v="2003"/>
    <n v="6"/>
    <x v="21"/>
    <x v="21"/>
    <s v="SEA"/>
    <s v="Seattle, WA: Seattle/Tacoma International"/>
    <n v="240"/>
    <n v="90"/>
    <n v="32.21"/>
    <n v="0"/>
    <n v="47.3"/>
    <n v="0"/>
    <n v="10.49"/>
    <n v="0"/>
    <n v="0"/>
    <n v="2658"/>
    <n v="1145"/>
    <n v="0"/>
    <n v="1148"/>
    <n v="0"/>
    <n v="365"/>
    <n v="0.375"/>
    <n v="0"/>
    <n v="0"/>
  </r>
  <r>
    <n v="2003"/>
    <n v="6"/>
    <x v="18"/>
    <x v="18"/>
    <s v="SEA"/>
    <s v="Seattle, WA: Seattle/Tacoma International"/>
    <n v="403"/>
    <n v="68"/>
    <n v="33.520000000000003"/>
    <n v="1.56"/>
    <n v="26.59"/>
    <n v="0"/>
    <n v="6.32"/>
    <n v="1"/>
    <n v="0"/>
    <n v="3414"/>
    <n v="2423"/>
    <n v="54"/>
    <n v="727"/>
    <n v="0"/>
    <n v="210"/>
    <n v="0.16869999999999999"/>
    <n v="2.5000000000000001E-3"/>
    <n v="0"/>
  </r>
  <r>
    <n v="2003"/>
    <n v="6"/>
    <x v="2"/>
    <x v="2"/>
    <s v="SEA"/>
    <s v="Seattle, WA: Seattle/Tacoma International"/>
    <n v="365"/>
    <n v="19"/>
    <n v="14"/>
    <n v="1"/>
    <n v="1"/>
    <n v="0"/>
    <n v="3"/>
    <n v="0"/>
    <n v="0"/>
    <n v="457"/>
    <n v="349"/>
    <n v="16"/>
    <n v="20"/>
    <n v="0"/>
    <n v="72"/>
    <n v="5.21E-2"/>
    <n v="0"/>
    <n v="0"/>
  </r>
  <r>
    <n v="2003"/>
    <n v="6"/>
    <x v="24"/>
    <x v="24"/>
    <s v="SEA"/>
    <s v="Seattle, WA: Seattle/Tacoma International"/>
    <n v="86"/>
    <n v="14"/>
    <n v="6.67"/>
    <n v="0"/>
    <n v="3.61"/>
    <n v="0"/>
    <n v="3.72"/>
    <n v="0"/>
    <n v="0"/>
    <n v="501"/>
    <n v="231"/>
    <n v="0"/>
    <n v="100"/>
    <n v="0"/>
    <n v="170"/>
    <n v="0.1628"/>
    <n v="0"/>
    <n v="0"/>
  </r>
  <r>
    <n v="2003"/>
    <n v="6"/>
    <x v="9"/>
    <x v="9"/>
    <s v="SEA"/>
    <s v="Seattle, WA: Seattle/Tacoma International"/>
    <n v="1082"/>
    <n v="139"/>
    <n v="41.35"/>
    <n v="8.82"/>
    <n v="37.31"/>
    <n v="1.86"/>
    <n v="49.66"/>
    <n v="1"/>
    <n v="1"/>
    <n v="7694"/>
    <n v="2240"/>
    <n v="623"/>
    <n v="1191"/>
    <n v="311"/>
    <n v="3329"/>
    <n v="0.1285"/>
    <n v="8.9999999999999998E-4"/>
    <n v="8.9999999999999998E-4"/>
  </r>
  <r>
    <n v="2003"/>
    <n v="6"/>
    <x v="15"/>
    <x v="15"/>
    <s v="SEA"/>
    <s v="Seattle, WA: Seattle/Tacoma International"/>
    <n v="215"/>
    <n v="55"/>
    <n v="13.6"/>
    <n v="1.57"/>
    <n v="19.25"/>
    <n v="0"/>
    <n v="20.57"/>
    <n v="0"/>
    <n v="0"/>
    <n v="2596"/>
    <n v="460"/>
    <n v="95"/>
    <n v="1089"/>
    <n v="0"/>
    <n v="952"/>
    <n v="0.25580000000000003"/>
    <n v="0"/>
    <n v="0"/>
  </r>
  <r>
    <n v="2003"/>
    <n v="6"/>
    <x v="10"/>
    <x v="10"/>
    <s v="SEA"/>
    <s v="Seattle, WA: Seattle/Tacoma International"/>
    <n v="1138"/>
    <n v="129"/>
    <n v="25.4"/>
    <n v="0.27"/>
    <n v="14.57"/>
    <n v="1.04"/>
    <n v="87.72"/>
    <n v="0"/>
    <n v="0"/>
    <n v="4910"/>
    <n v="835"/>
    <n v="12"/>
    <n v="435"/>
    <n v="24"/>
    <n v="3604"/>
    <n v="0.1134"/>
    <n v="0"/>
    <n v="0"/>
  </r>
  <r>
    <n v="2003"/>
    <n v="6"/>
    <x v="4"/>
    <x v="4"/>
    <s v="SEA"/>
    <s v="Seattle, WA: Seattle/Tacoma International"/>
    <n v="606"/>
    <n v="124"/>
    <n v="48.22"/>
    <n v="11.28"/>
    <n v="35.83"/>
    <n v="2"/>
    <n v="26.67"/>
    <n v="3"/>
    <n v="0"/>
    <n v="7378"/>
    <n v="2448"/>
    <n v="1565"/>
    <n v="1447"/>
    <n v="40"/>
    <n v="1878"/>
    <n v="0.2046"/>
    <n v="5.0000000000000001E-3"/>
    <n v="0"/>
  </r>
  <r>
    <n v="2003"/>
    <n v="6"/>
    <x v="5"/>
    <x v="5"/>
    <s v="SEA"/>
    <s v="Seattle, WA: Seattle/Tacoma International"/>
    <n v="4267"/>
    <n v="740"/>
    <n v="192.59"/>
    <n v="4.07"/>
    <n v="208.83"/>
    <n v="22.77"/>
    <n v="311.73"/>
    <n v="58"/>
    <n v="8"/>
    <n v="33252"/>
    <n v="11009"/>
    <n v="212"/>
    <n v="5851"/>
    <n v="720"/>
    <n v="15460"/>
    <n v="0.1734"/>
    <n v="1.3599999999999999E-2"/>
    <n v="1.9E-3"/>
  </r>
  <r>
    <n v="2003"/>
    <n v="6"/>
    <x v="6"/>
    <x v="6"/>
    <s v="SEA"/>
    <s v="Seattle, WA: Seattle/Tacoma International"/>
    <n v="30"/>
    <n v="4"/>
    <n v="1.03"/>
    <n v="0"/>
    <n v="1.62"/>
    <n v="0.1"/>
    <n v="1.26"/>
    <n v="0"/>
    <n v="0"/>
    <n v="116"/>
    <n v="40"/>
    <n v="0"/>
    <n v="33"/>
    <n v="2"/>
    <n v="41"/>
    <n v="0.1333"/>
    <n v="0"/>
    <n v="0"/>
  </r>
  <r>
    <n v="2003"/>
    <n v="6"/>
    <x v="17"/>
    <x v="17"/>
    <s v="SEA"/>
    <s v="Seattle, WA: Seattle/Tacoma International"/>
    <n v="334"/>
    <n v="50"/>
    <n v="13.15"/>
    <n v="4.28"/>
    <n v="23.4"/>
    <n v="0"/>
    <n v="9.17"/>
    <n v="0"/>
    <n v="0"/>
    <n v="1953"/>
    <n v="489"/>
    <n v="209"/>
    <n v="796"/>
    <n v="0"/>
    <n v="459"/>
    <n v="0.1497"/>
    <n v="0"/>
    <n v="0"/>
  </r>
  <r>
    <n v="2003"/>
    <n v="6"/>
    <x v="7"/>
    <x v="7"/>
    <s v="SEA"/>
    <s v="Seattle, WA: Seattle/Tacoma International"/>
    <n v="480"/>
    <n v="84"/>
    <n v="25.69"/>
    <n v="3.09"/>
    <n v="33.96"/>
    <n v="0"/>
    <n v="21.26"/>
    <n v="0"/>
    <n v="0"/>
    <n v="3744"/>
    <n v="978"/>
    <n v="164"/>
    <n v="1023"/>
    <n v="0"/>
    <n v="1579"/>
    <n v="0.17499999999999999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683415-5F01-4A80-9A29-9C9C97FBB37C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F30" firstHeaderRow="0" firstDataRow="1" firstDataCol="2"/>
  <pivotFields count="24">
    <pivotField compact="0" outline="0" subtotalTop="0" showAll="0" defaultSubtotal="0"/>
    <pivotField compact="0" outline="0" subtotalTop="0" showAll="0" defaultSubtotal="0"/>
    <pivotField axis="axisRow" dataField="1" compact="0" outline="0" subtotalTop="0" showAll="0" defaultSubtotal="0">
      <items count="26">
        <item x="4"/>
        <item x="5"/>
        <item x="6"/>
        <item x="17"/>
        <item x="12"/>
        <item x="22"/>
        <item x="7"/>
        <item x="23"/>
        <item x="8"/>
        <item x="16"/>
        <item x="0"/>
        <item x="21"/>
        <item x="11"/>
        <item x="1"/>
        <item x="18"/>
        <item x="25"/>
        <item x="2"/>
        <item x="3"/>
        <item x="24"/>
        <item x="9"/>
        <item x="15"/>
        <item x="14"/>
        <item x="10"/>
        <item x="19"/>
        <item x="20"/>
        <item x="13"/>
      </items>
    </pivotField>
    <pivotField axis="axisRow" compact="0" outline="0" subtotalTop="0" showAll="0" defaultSubtotal="0">
      <items count="26">
        <item x="16"/>
        <item x="5"/>
        <item x="21"/>
        <item x="4"/>
        <item x="24"/>
        <item x="23"/>
        <item x="25"/>
        <item x="12"/>
        <item x="17"/>
        <item x="7"/>
        <item x="11"/>
        <item x="19"/>
        <item x="8"/>
        <item x="0"/>
        <item x="3"/>
        <item x="22"/>
        <item x="6"/>
        <item x="20"/>
        <item x="18"/>
        <item x="13"/>
        <item x="2"/>
        <item x="10"/>
        <item x="1"/>
        <item x="9"/>
        <item x="15"/>
        <item x="14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numFmtId="10" outline="0" subtotalTop="0" showAll="0" defaultSubtotal="0"/>
    <pivotField dataField="1" compact="0" numFmtId="10" outline="0" subtotalTop="0" showAll="0" defaultSubtotal="0"/>
    <pivotField dataField="1" compact="0" numFmtId="10" outline="0" subtotalTop="0" showAll="0" defaultSubtotal="0"/>
  </pivotFields>
  <rowFields count="2">
    <field x="2"/>
    <field x="3"/>
  </rowFields>
  <rowItems count="27">
    <i>
      <x/>
      <x v="3"/>
    </i>
    <i>
      <x v="1"/>
      <x v="1"/>
    </i>
    <i>
      <x v="2"/>
      <x v="16"/>
    </i>
    <i>
      <x v="3"/>
      <x v="8"/>
    </i>
    <i>
      <x v="4"/>
      <x v="7"/>
    </i>
    <i>
      <x v="5"/>
      <x v="15"/>
    </i>
    <i>
      <x v="6"/>
      <x v="9"/>
    </i>
    <i>
      <x v="7"/>
      <x v="5"/>
    </i>
    <i>
      <x v="8"/>
      <x v="12"/>
    </i>
    <i>
      <x v="9"/>
      <x/>
    </i>
    <i>
      <x v="10"/>
      <x v="13"/>
    </i>
    <i>
      <x v="11"/>
      <x v="2"/>
    </i>
    <i>
      <x v="12"/>
      <x v="10"/>
    </i>
    <i>
      <x v="13"/>
      <x v="22"/>
    </i>
    <i>
      <x v="14"/>
      <x v="18"/>
    </i>
    <i>
      <x v="15"/>
      <x v="6"/>
    </i>
    <i>
      <x v="16"/>
      <x v="20"/>
    </i>
    <i>
      <x v="17"/>
      <x v="14"/>
    </i>
    <i>
      <x v="18"/>
      <x v="4"/>
    </i>
    <i>
      <x v="19"/>
      <x v="23"/>
    </i>
    <i>
      <x v="20"/>
      <x v="24"/>
    </i>
    <i>
      <x v="21"/>
      <x v="25"/>
    </i>
    <i>
      <x v="22"/>
      <x v="21"/>
    </i>
    <i>
      <x v="23"/>
      <x v="11"/>
    </i>
    <i>
      <x v="24"/>
      <x v="17"/>
    </i>
    <i>
      <x v="25"/>
      <x v="1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carrier" fld="2" subtotal="count" baseField="0" baseItem="0"/>
    <dataField name="Average of delay_percentage" fld="21" subtotal="average" baseField="3" baseItem="3" numFmtId="10"/>
    <dataField name="Average of cancel_percentage" fld="22" subtotal="average" baseField="3" baseItem="3" numFmtId="10"/>
    <dataField name="Average of diverted_percentage" fld="23" subtotal="average" baseField="3" baseItem="3" numFmtId="10"/>
  </dataFields>
  <formats count="28">
    <format dxfId="31">
      <pivotArea outline="0" fieldPosition="0">
        <references count="3">
          <reference field="4294967294" count="1" selected="0">
            <x v="0"/>
          </reference>
          <reference field="2" count="3" selected="0">
            <x v="0"/>
            <x v="1"/>
            <x v="2"/>
          </reference>
          <reference field="3" count="3" selected="0">
            <x v="1"/>
            <x v="3"/>
            <x v="16"/>
          </reference>
        </references>
      </pivotArea>
    </format>
    <format dxfId="30">
      <pivotArea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3" count="1" selected="0">
            <x v="9"/>
          </reference>
        </references>
      </pivotArea>
    </format>
    <format dxfId="29">
      <pivotArea outline="0" fieldPosition="0">
        <references count="3">
          <reference field="4294967294" count="1" selected="0">
            <x v="0"/>
          </reference>
          <reference field="2" count="1" selected="0">
            <x v="16"/>
          </reference>
          <reference field="3" count="1" selected="0">
            <x v="20"/>
          </reference>
        </references>
      </pivotArea>
    </format>
    <format dxfId="28">
      <pivotArea outline="0" fieldPosition="0">
        <references count="3">
          <reference field="4294967294" count="1" selected="0">
            <x v="0"/>
          </reference>
          <reference field="2" count="1" selected="0">
            <x v="19"/>
          </reference>
          <reference field="3" count="1" selected="0">
            <x v="23"/>
          </reference>
        </references>
      </pivotArea>
    </format>
    <format dxfId="27">
      <pivotArea outline="0" fieldPosition="0">
        <references count="3">
          <reference field="4294967294" count="1" selected="0">
            <x v="0"/>
          </reference>
          <reference field="2" count="1" selected="0">
            <x v="22"/>
          </reference>
          <reference field="3" count="1" selected="0">
            <x v="21"/>
          </reference>
        </references>
      </pivotArea>
    </format>
    <format dxfId="26">
      <pivotArea outline="0" fieldPosition="0">
        <references count="2">
          <reference field="2" count="3" selected="0">
            <x v="0"/>
            <x v="1"/>
            <x v="2"/>
          </reference>
          <reference field="3" count="3" selected="0">
            <x v="1"/>
            <x v="3"/>
            <x v="16"/>
          </reference>
        </references>
      </pivotArea>
    </format>
    <format dxfId="25">
      <pivotArea dataOnly="0" labelOnly="1" outline="0" fieldPosition="0">
        <references count="1">
          <reference field="2" count="3">
            <x v="0"/>
            <x v="1"/>
            <x v="2"/>
          </reference>
        </references>
      </pivotArea>
    </format>
    <format dxfId="24">
      <pivotArea dataOnly="0" labelOnly="1" outline="0" fieldPosition="0">
        <references count="2">
          <reference field="2" count="1" selected="0">
            <x v="0"/>
          </reference>
          <reference field="3" count="1">
            <x v="3"/>
          </reference>
        </references>
      </pivotArea>
    </format>
    <format dxfId="23">
      <pivotArea dataOnly="0" labelOnly="1" outline="0" fieldPosition="0">
        <references count="2">
          <reference field="2" count="1" selected="0">
            <x v="1"/>
          </reference>
          <reference field="3" count="1">
            <x v="1"/>
          </reference>
        </references>
      </pivotArea>
    </format>
    <format dxfId="22">
      <pivotArea dataOnly="0" labelOnly="1" outline="0" fieldPosition="0">
        <references count="2">
          <reference field="2" count="1" selected="0">
            <x v="2"/>
          </reference>
          <reference field="3" count="1">
            <x v="16"/>
          </reference>
        </references>
      </pivotArea>
    </format>
    <format dxfId="21">
      <pivotArea outline="0" fieldPosition="0">
        <references count="2">
          <reference field="2" count="1" selected="0">
            <x v="6"/>
          </reference>
          <reference field="3" count="1" selected="0">
            <x v="9"/>
          </reference>
        </references>
      </pivotArea>
    </format>
    <format dxfId="20">
      <pivotArea dataOnly="0" labelOnly="1" outline="0" fieldPosition="0">
        <references count="1">
          <reference field="2" count="1">
            <x v="6"/>
          </reference>
        </references>
      </pivotArea>
    </format>
    <format dxfId="19">
      <pivotArea dataOnly="0" labelOnly="1" outline="0" fieldPosition="0">
        <references count="2">
          <reference field="2" count="1" selected="0">
            <x v="6"/>
          </reference>
          <reference field="3" count="1">
            <x v="9"/>
          </reference>
        </references>
      </pivotArea>
    </format>
    <format dxfId="18">
      <pivotArea outline="0" fieldPosition="0">
        <references count="2">
          <reference field="2" count="1" selected="0">
            <x v="16"/>
          </reference>
          <reference field="3" count="1" selected="0">
            <x v="20"/>
          </reference>
        </references>
      </pivotArea>
    </format>
    <format dxfId="17">
      <pivotArea dataOnly="0" labelOnly="1" outline="0" fieldPosition="0">
        <references count="1">
          <reference field="2" count="1">
            <x v="16"/>
          </reference>
        </references>
      </pivotArea>
    </format>
    <format dxfId="16">
      <pivotArea dataOnly="0" labelOnly="1" outline="0" fieldPosition="0">
        <references count="2">
          <reference field="2" count="1" selected="0">
            <x v="16"/>
          </reference>
          <reference field="3" count="1">
            <x v="20"/>
          </reference>
        </references>
      </pivotArea>
    </format>
    <format dxfId="15">
      <pivotArea outline="0" fieldPosition="0">
        <references count="2">
          <reference field="2" count="1" selected="0">
            <x v="19"/>
          </reference>
          <reference field="3" count="1" selected="0">
            <x v="23"/>
          </reference>
        </references>
      </pivotArea>
    </format>
    <format dxfId="14">
      <pivotArea dataOnly="0" labelOnly="1" outline="0" fieldPosition="0">
        <references count="1">
          <reference field="2" count="1">
            <x v="19"/>
          </reference>
        </references>
      </pivotArea>
    </format>
    <format dxfId="13">
      <pivotArea dataOnly="0" labelOnly="1" outline="0" fieldPosition="0">
        <references count="2">
          <reference field="2" count="1" selected="0">
            <x v="19"/>
          </reference>
          <reference field="3" count="1">
            <x v="23"/>
          </reference>
        </references>
      </pivotArea>
    </format>
    <format dxfId="12">
      <pivotArea outline="0" fieldPosition="0">
        <references count="2">
          <reference field="2" count="1" selected="0">
            <x v="22"/>
          </reference>
          <reference field="3" count="1" selected="0">
            <x v="21"/>
          </reference>
        </references>
      </pivotArea>
    </format>
    <format dxfId="11">
      <pivotArea dataOnly="0" labelOnly="1" outline="0" fieldPosition="0">
        <references count="1">
          <reference field="2" count="1">
            <x v="22"/>
          </reference>
        </references>
      </pivotArea>
    </format>
    <format dxfId="10">
      <pivotArea dataOnly="0" labelOnly="1" outline="0" fieldPosition="0">
        <references count="2">
          <reference field="2" count="1" selected="0">
            <x v="22"/>
          </reference>
          <reference field="3" count="1">
            <x v="21"/>
          </reference>
        </references>
      </pivotArea>
    </format>
    <format dxfId="9">
      <pivotArea outline="0" fieldPosition="0">
        <references count="2">
          <reference field="2" count="1" selected="0">
            <x v="10"/>
          </reference>
          <reference field="3" count="1" selected="0">
            <x v="13"/>
          </reference>
        </references>
      </pivotArea>
    </format>
    <format dxfId="8">
      <pivotArea dataOnly="0" labelOnly="1" outline="0" fieldPosition="0">
        <references count="1">
          <reference field="2" count="1">
            <x v="10"/>
          </reference>
        </references>
      </pivotArea>
    </format>
    <format dxfId="7">
      <pivotArea dataOnly="0" labelOnly="1" outline="0" fieldPosition="0">
        <references count="2">
          <reference field="2" count="1" selected="0">
            <x v="10"/>
          </reference>
          <reference field="3" count="1">
            <x v="13"/>
          </reference>
        </references>
      </pivotArea>
    </format>
    <format dxfId="6">
      <pivotArea outline="0" fieldPosition="0">
        <references count="2">
          <reference field="2" count="1" selected="0">
            <x v="8"/>
          </reference>
          <reference field="3" count="1" selected="0">
            <x v="12"/>
          </reference>
        </references>
      </pivotArea>
    </format>
    <format dxfId="5">
      <pivotArea dataOnly="0" labelOnly="1" outline="0" fieldPosition="0">
        <references count="1">
          <reference field="2" count="1">
            <x v="8"/>
          </reference>
        </references>
      </pivotArea>
    </format>
    <format dxfId="4">
      <pivotArea dataOnly="0" labelOnly="1" outline="0" fieldPosition="0">
        <references count="2">
          <reference field="2" count="1" selected="0">
            <x v="8"/>
          </reference>
          <reference field="3" count="1">
            <x v="1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66ECED-79C5-494E-9B0C-BA509C4D192F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1:H28" firstHeaderRow="1" firstDataRow="1" firstDataCol="2"/>
  <pivotFields count="24">
    <pivotField compact="0" outline="0" subtotalTop="0" showAll="0" defaultSubtotal="0"/>
    <pivotField compact="0" outline="0" subtotalTop="0" showAll="0" defaultSubtotal="0"/>
    <pivotField axis="axisRow" compact="0" outline="0" subtotalTop="0" showAll="0" defaultSubtotal="0">
      <items count="26">
        <item x="4"/>
        <item x="5"/>
        <item x="6"/>
        <item x="17"/>
        <item x="12"/>
        <item x="22"/>
        <item x="7"/>
        <item x="23"/>
        <item x="8"/>
        <item x="16"/>
        <item x="0"/>
        <item x="21"/>
        <item x="11"/>
        <item x="1"/>
        <item x="18"/>
        <item x="25"/>
        <item x="2"/>
        <item x="3"/>
        <item x="24"/>
        <item x="9"/>
        <item x="15"/>
        <item x="14"/>
        <item x="10"/>
        <item x="19"/>
        <item x="20"/>
        <item x="13"/>
      </items>
    </pivotField>
    <pivotField axis="axisRow" dataField="1" compact="0" outline="0" subtotalTop="0" showAll="0" defaultSubtotal="0">
      <items count="26">
        <item x="16"/>
        <item x="5"/>
        <item x="21"/>
        <item x="4"/>
        <item x="24"/>
        <item x="23"/>
        <item x="25"/>
        <item x="12"/>
        <item x="17"/>
        <item x="7"/>
        <item x="11"/>
        <item x="19"/>
        <item x="8"/>
        <item x="0"/>
        <item x="3"/>
        <item x="22"/>
        <item x="6"/>
        <item x="20"/>
        <item x="18"/>
        <item x="13"/>
        <item x="2"/>
        <item x="10"/>
        <item x="1"/>
        <item x="9"/>
        <item x="15"/>
        <item x="14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numFmtId="10" outline="0" subtotalTop="0" showAll="0" defaultSubtotal="0"/>
    <pivotField compact="0" numFmtId="10" outline="0" subtotalTop="0" showAll="0" defaultSubtotal="0"/>
    <pivotField compact="0" numFmtId="10" outline="0" subtotalTop="0" showAll="0" defaultSubtotal="0"/>
  </pivotFields>
  <rowFields count="2">
    <field x="2"/>
    <field x="3"/>
  </rowFields>
  <rowItems count="27">
    <i>
      <x/>
      <x v="3"/>
    </i>
    <i>
      <x v="1"/>
      <x v="1"/>
    </i>
    <i>
      <x v="2"/>
      <x v="16"/>
    </i>
    <i>
      <x v="3"/>
      <x v="8"/>
    </i>
    <i>
      <x v="4"/>
      <x v="7"/>
    </i>
    <i>
      <x v="5"/>
      <x v="15"/>
    </i>
    <i>
      <x v="6"/>
      <x v="9"/>
    </i>
    <i>
      <x v="7"/>
      <x v="5"/>
    </i>
    <i>
      <x v="8"/>
      <x v="12"/>
    </i>
    <i>
      <x v="9"/>
      <x/>
    </i>
    <i>
      <x v="10"/>
      <x v="13"/>
    </i>
    <i>
      <x v="11"/>
      <x v="2"/>
    </i>
    <i>
      <x v="12"/>
      <x v="10"/>
    </i>
    <i>
      <x v="13"/>
      <x v="22"/>
    </i>
    <i>
      <x v="14"/>
      <x v="18"/>
    </i>
    <i>
      <x v="15"/>
      <x v="6"/>
    </i>
    <i>
      <x v="16"/>
      <x v="20"/>
    </i>
    <i>
      <x v="17"/>
      <x v="14"/>
    </i>
    <i>
      <x v="18"/>
      <x v="4"/>
    </i>
    <i>
      <x v="19"/>
      <x v="23"/>
    </i>
    <i>
      <x v="20"/>
      <x v="24"/>
    </i>
    <i>
      <x v="21"/>
      <x v="25"/>
    </i>
    <i>
      <x v="22"/>
      <x v="21"/>
    </i>
    <i>
      <x v="23"/>
      <x v="11"/>
    </i>
    <i>
      <x v="24"/>
      <x v="17"/>
    </i>
    <i>
      <x v="25"/>
      <x v="19"/>
    </i>
    <i t="grand">
      <x/>
    </i>
  </rowItems>
  <colItems count="1">
    <i/>
  </colItems>
  <dataFields count="1">
    <dataField name="Count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FD3151-95C5-4386-BB4D-EDB6976AA064}" name="Table1" displayName="Table1" ref="A1:F10" totalsRowShown="0" dataDxfId="0" dataCellStyle="Percent">
  <autoFilter ref="A1:F10" xr:uid="{D7FD3151-95C5-4386-BB4D-EDB6976AA064}"/>
  <tableColumns count="6">
    <tableColumn id="1" xr3:uid="{EB893278-9E72-4091-A13C-07B754905AEA}" name="carrier"/>
    <tableColumn id="2" xr3:uid="{7BDA702F-D3B6-44F7-B3AF-DA5AF4421A2B}" name="carrier_name"/>
    <tableColumn id="3" xr3:uid="{7A8359E8-0FCF-43E7-9DB5-679CFEBD03C7}" name="Count of carrier"/>
    <tableColumn id="4" xr3:uid="{841FC9C1-9869-4528-B940-46C04AC2B75A}" name="Average of delay_percentage" dataDxfId="3" dataCellStyle="Percent"/>
    <tableColumn id="5" xr3:uid="{20EA35B5-AE4F-4506-86F2-0F14E0A417C5}" name="Average of cancel_percentage" dataDxfId="2" dataCellStyle="Percent"/>
    <tableColumn id="6" xr3:uid="{C241592A-7956-43BF-AB11-DF27A3AE0CE9}" name="Average of diverted_percentage" dataDxfId="1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AB6E-260C-4BD4-8986-FE2531E4B7C6}">
  <dimension ref="A1:F1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2" max="2" width="20.7109375" bestFit="1" customWidth="1"/>
    <col min="3" max="3" width="17.28515625" customWidth="1"/>
    <col min="4" max="4" width="28.85546875" customWidth="1"/>
    <col min="5" max="5" width="29.85546875" customWidth="1"/>
    <col min="6" max="6" width="31.5703125" customWidth="1"/>
  </cols>
  <sheetData>
    <row r="1" spans="1:6" x14ac:dyDescent="0.25">
      <c r="A1" t="s">
        <v>2</v>
      </c>
      <c r="B1" t="s">
        <v>3</v>
      </c>
      <c r="C1" t="s">
        <v>91</v>
      </c>
      <c r="D1" t="s">
        <v>88</v>
      </c>
      <c r="E1" t="s">
        <v>89</v>
      </c>
      <c r="F1" t="s">
        <v>90</v>
      </c>
    </row>
    <row r="2" spans="1:6" x14ac:dyDescent="0.25">
      <c r="A2" t="s">
        <v>39</v>
      </c>
      <c r="B2" t="s">
        <v>58</v>
      </c>
      <c r="C2">
        <v>240</v>
      </c>
      <c r="D2" s="1">
        <v>0.25256333333333331</v>
      </c>
      <c r="E2" s="1">
        <v>8.2237500000000036E-3</v>
      </c>
      <c r="F2" s="1">
        <v>5.7374999999999993E-4</v>
      </c>
    </row>
    <row r="3" spans="1:6" x14ac:dyDescent="0.25">
      <c r="A3" t="s">
        <v>43</v>
      </c>
      <c r="B3" t="s">
        <v>56</v>
      </c>
      <c r="C3">
        <v>263</v>
      </c>
      <c r="D3" s="1">
        <v>0.20542585551330794</v>
      </c>
      <c r="E3" s="1">
        <v>7.8216730038022687E-3</v>
      </c>
      <c r="F3" s="1">
        <v>1.1144486692015218E-3</v>
      </c>
    </row>
    <row r="4" spans="1:6" x14ac:dyDescent="0.25">
      <c r="A4" t="s">
        <v>41</v>
      </c>
      <c r="B4" t="s">
        <v>55</v>
      </c>
      <c r="C4">
        <v>263</v>
      </c>
      <c r="D4" s="1">
        <v>0.20108288973384036</v>
      </c>
      <c r="E4" s="1">
        <v>1.0638022813688213E-2</v>
      </c>
      <c r="F4" s="1">
        <v>1.3319391634980988E-3</v>
      </c>
    </row>
    <row r="5" spans="1:6" x14ac:dyDescent="0.25">
      <c r="A5" t="s">
        <v>33</v>
      </c>
      <c r="B5" t="s">
        <v>54</v>
      </c>
      <c r="C5">
        <v>263</v>
      </c>
      <c r="D5" s="1">
        <v>0.16817984790874529</v>
      </c>
      <c r="E5" s="1">
        <v>1.259467680608365E-2</v>
      </c>
      <c r="F5" s="1">
        <v>1.519771863117873E-3</v>
      </c>
    </row>
    <row r="6" spans="1:6" x14ac:dyDescent="0.25">
      <c r="A6" t="s">
        <v>37</v>
      </c>
      <c r="B6" t="s">
        <v>57</v>
      </c>
      <c r="C6">
        <v>263</v>
      </c>
      <c r="D6" s="1">
        <v>0.17069315589353604</v>
      </c>
      <c r="E6" s="1">
        <v>5.9091254752851735E-3</v>
      </c>
      <c r="F6" s="1">
        <v>1.5482889733840312E-3</v>
      </c>
    </row>
    <row r="7" spans="1:6" x14ac:dyDescent="0.25">
      <c r="A7" t="s">
        <v>27</v>
      </c>
      <c r="B7" t="s">
        <v>28</v>
      </c>
      <c r="C7">
        <v>263</v>
      </c>
      <c r="D7" s="1">
        <v>0.13591558935361217</v>
      </c>
      <c r="E7" s="1">
        <v>1.3230038022813691E-2</v>
      </c>
      <c r="F7" s="1">
        <v>2.0673003802281374E-3</v>
      </c>
    </row>
    <row r="8" spans="1:6" x14ac:dyDescent="0.25">
      <c r="A8" t="s">
        <v>31</v>
      </c>
      <c r="B8" t="s">
        <v>53</v>
      </c>
      <c r="C8">
        <v>263</v>
      </c>
      <c r="D8" s="1">
        <v>0.24293307984790857</v>
      </c>
      <c r="E8" s="1">
        <v>1.229847908745247E-2</v>
      </c>
      <c r="F8" s="1">
        <v>2.4380228136882129E-3</v>
      </c>
    </row>
    <row r="9" spans="1:6" x14ac:dyDescent="0.25">
      <c r="A9" t="s">
        <v>21</v>
      </c>
      <c r="B9" t="s">
        <v>59</v>
      </c>
      <c r="C9">
        <v>256</v>
      </c>
      <c r="D9" s="1">
        <v>0.26403906250000003</v>
      </c>
      <c r="E9" s="1">
        <v>2.7749999999999997E-3</v>
      </c>
      <c r="F9" s="1">
        <v>2.7019531250000012E-3</v>
      </c>
    </row>
    <row r="10" spans="1:6" x14ac:dyDescent="0.25">
      <c r="A10" t="s">
        <v>35</v>
      </c>
      <c r="B10" t="s">
        <v>36</v>
      </c>
      <c r="C10">
        <v>263</v>
      </c>
      <c r="D10" s="1">
        <v>0.24086273764258542</v>
      </c>
      <c r="E10" s="1">
        <v>1.0236121673003805E-2</v>
      </c>
      <c r="F10" s="1">
        <v>3.0441064638783268E-3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54FEB-4AEC-4FBF-95C4-88E4983D9842}">
  <dimension ref="A3:F30"/>
  <sheetViews>
    <sheetView workbookViewId="0"/>
  </sheetViews>
  <sheetFormatPr defaultRowHeight="15" x14ac:dyDescent="0.25"/>
  <cols>
    <col min="1" max="1" width="11.28515625" bestFit="1" customWidth="1"/>
    <col min="2" max="2" width="26.28515625" bestFit="1" customWidth="1"/>
    <col min="3" max="3" width="15.28515625" bestFit="1" customWidth="1"/>
    <col min="4" max="4" width="27.28515625" bestFit="1" customWidth="1"/>
    <col min="5" max="5" width="28.28515625" bestFit="1" customWidth="1"/>
    <col min="6" max="6" width="30.140625" bestFit="1" customWidth="1"/>
  </cols>
  <sheetData>
    <row r="3" spans="1:6" x14ac:dyDescent="0.25">
      <c r="A3" s="2" t="s">
        <v>2</v>
      </c>
      <c r="B3" s="2" t="s">
        <v>3</v>
      </c>
      <c r="C3" t="s">
        <v>91</v>
      </c>
      <c r="D3" t="s">
        <v>88</v>
      </c>
      <c r="E3" t="s">
        <v>89</v>
      </c>
      <c r="F3" t="s">
        <v>90</v>
      </c>
    </row>
    <row r="4" spans="1:6" x14ac:dyDescent="0.25">
      <c r="A4" s="10" t="s">
        <v>31</v>
      </c>
      <c r="B4" s="10" t="s">
        <v>53</v>
      </c>
      <c r="C4" s="9">
        <v>263</v>
      </c>
      <c r="D4" s="11">
        <v>0.24293307984790857</v>
      </c>
      <c r="E4" s="11">
        <v>1.229847908745247E-2</v>
      </c>
      <c r="F4" s="11">
        <v>2.4380228136882129E-3</v>
      </c>
    </row>
    <row r="5" spans="1:6" x14ac:dyDescent="0.25">
      <c r="A5" s="10" t="s">
        <v>33</v>
      </c>
      <c r="B5" s="10" t="s">
        <v>54</v>
      </c>
      <c r="C5" s="9">
        <v>263</v>
      </c>
      <c r="D5" s="11">
        <v>0.16817984790874529</v>
      </c>
      <c r="E5" s="11">
        <v>1.259467680608365E-2</v>
      </c>
      <c r="F5" s="11">
        <v>1.519771863117873E-3</v>
      </c>
    </row>
    <row r="6" spans="1:6" x14ac:dyDescent="0.25">
      <c r="A6" s="10" t="s">
        <v>35</v>
      </c>
      <c r="B6" s="10" t="s">
        <v>36</v>
      </c>
      <c r="C6" s="9">
        <v>263</v>
      </c>
      <c r="D6" s="11">
        <v>0.24086273764258542</v>
      </c>
      <c r="E6" s="11">
        <v>1.0236121673003805E-2</v>
      </c>
      <c r="F6" s="11">
        <v>3.0441064638783268E-3</v>
      </c>
    </row>
    <row r="7" spans="1:6" x14ac:dyDescent="0.25">
      <c r="A7" t="s">
        <v>65</v>
      </c>
      <c r="B7" t="s">
        <v>66</v>
      </c>
      <c r="C7" s="5">
        <v>103</v>
      </c>
      <c r="D7" s="8">
        <v>0.26455631067961172</v>
      </c>
      <c r="E7" s="8">
        <v>4.310679611650485E-3</v>
      </c>
      <c r="F7" s="8">
        <v>1.0233009708737865E-3</v>
      </c>
    </row>
    <row r="8" spans="1:6" x14ac:dyDescent="0.25">
      <c r="A8" t="s">
        <v>47</v>
      </c>
      <c r="B8" t="s">
        <v>48</v>
      </c>
      <c r="C8" s="5">
        <v>28</v>
      </c>
      <c r="D8" s="8">
        <v>0.20869285714285715</v>
      </c>
      <c r="E8" s="8">
        <v>3.2796428571428581E-2</v>
      </c>
      <c r="F8" s="8">
        <v>2.3749999999999991E-3</v>
      </c>
    </row>
    <row r="9" spans="1:6" x14ac:dyDescent="0.25">
      <c r="A9" t="s">
        <v>75</v>
      </c>
      <c r="B9" t="s">
        <v>76</v>
      </c>
      <c r="C9" s="5">
        <v>7</v>
      </c>
      <c r="D9" s="8">
        <v>0.29962857142857141</v>
      </c>
      <c r="E9" s="8">
        <v>1.4285714285714287E-2</v>
      </c>
      <c r="F9" s="8">
        <v>1.6371428571428571E-2</v>
      </c>
    </row>
    <row r="10" spans="1:6" x14ac:dyDescent="0.25">
      <c r="A10" s="10" t="s">
        <v>37</v>
      </c>
      <c r="B10" s="10" t="s">
        <v>57</v>
      </c>
      <c r="C10" s="9">
        <v>263</v>
      </c>
      <c r="D10" s="11">
        <v>0.17069315589353604</v>
      </c>
      <c r="E10" s="11">
        <v>5.9091254752851735E-3</v>
      </c>
      <c r="F10" s="11">
        <v>1.5482889733840312E-3</v>
      </c>
    </row>
    <row r="11" spans="1:6" x14ac:dyDescent="0.25">
      <c r="A11" t="s">
        <v>77</v>
      </c>
      <c r="B11" t="s">
        <v>78</v>
      </c>
      <c r="C11" s="5">
        <v>7</v>
      </c>
      <c r="D11" s="8">
        <v>0.29084285714285713</v>
      </c>
      <c r="E11" s="8">
        <v>1.2014285714285715E-2</v>
      </c>
      <c r="F11" s="8">
        <v>0</v>
      </c>
    </row>
    <row r="12" spans="1:6" x14ac:dyDescent="0.25">
      <c r="A12" s="10" t="s">
        <v>39</v>
      </c>
      <c r="B12" s="10" t="s">
        <v>58</v>
      </c>
      <c r="C12" s="9">
        <v>240</v>
      </c>
      <c r="D12" s="11">
        <v>0.25256333333333331</v>
      </c>
      <c r="E12" s="11">
        <v>8.2237500000000036E-3</v>
      </c>
      <c r="F12" s="11">
        <v>5.7374999999999993E-4</v>
      </c>
    </row>
    <row r="13" spans="1:6" x14ac:dyDescent="0.25">
      <c r="A13" t="s">
        <v>63</v>
      </c>
      <c r="B13" t="s">
        <v>64</v>
      </c>
      <c r="C13" s="5">
        <v>60</v>
      </c>
      <c r="D13" s="8">
        <v>0.25192333333333333</v>
      </c>
      <c r="E13" s="8">
        <v>3.1216666666666667E-3</v>
      </c>
      <c r="F13" s="8">
        <v>1.0466666666666667E-3</v>
      </c>
    </row>
    <row r="14" spans="1:6" x14ac:dyDescent="0.25">
      <c r="A14" s="10" t="s">
        <v>21</v>
      </c>
      <c r="B14" s="10" t="s">
        <v>59</v>
      </c>
      <c r="C14" s="9">
        <v>256</v>
      </c>
      <c r="D14" s="11">
        <v>0.26403906250000003</v>
      </c>
      <c r="E14" s="11">
        <v>2.7749999999999997E-3</v>
      </c>
      <c r="F14" s="11">
        <v>2.7019531250000012E-3</v>
      </c>
    </row>
    <row r="15" spans="1:6" x14ac:dyDescent="0.25">
      <c r="A15" t="s">
        <v>73</v>
      </c>
      <c r="B15" t="s">
        <v>74</v>
      </c>
      <c r="C15" s="5">
        <v>31</v>
      </c>
      <c r="D15" s="8">
        <v>0.21804838709677415</v>
      </c>
      <c r="E15" s="8">
        <v>8.2903225806451632E-3</v>
      </c>
      <c r="F15" s="8">
        <v>1.4258064516129033E-3</v>
      </c>
    </row>
    <row r="16" spans="1:6" x14ac:dyDescent="0.25">
      <c r="A16" t="s">
        <v>45</v>
      </c>
      <c r="B16" t="s">
        <v>46</v>
      </c>
      <c r="C16" s="5">
        <v>17</v>
      </c>
      <c r="D16" s="8">
        <v>0.16338823529411761</v>
      </c>
      <c r="E16" s="8">
        <v>0</v>
      </c>
      <c r="F16" s="8">
        <v>6.0588235294117649E-3</v>
      </c>
    </row>
    <row r="17" spans="1:6" x14ac:dyDescent="0.25">
      <c r="A17" t="s">
        <v>25</v>
      </c>
      <c r="B17" t="s">
        <v>26</v>
      </c>
      <c r="C17" s="5">
        <v>110</v>
      </c>
      <c r="D17" s="8">
        <v>0.19050090909090908</v>
      </c>
      <c r="E17" s="8">
        <v>1.6684545454545459E-2</v>
      </c>
      <c r="F17" s="8">
        <v>6.0000000000000006E-4</v>
      </c>
    </row>
    <row r="18" spans="1:6" x14ac:dyDescent="0.25">
      <c r="A18" t="s">
        <v>67</v>
      </c>
      <c r="B18" t="s">
        <v>68</v>
      </c>
      <c r="C18" s="5">
        <v>79</v>
      </c>
      <c r="D18" s="8">
        <v>0.26868607594936705</v>
      </c>
      <c r="E18" s="8">
        <v>3.3860759493670894E-3</v>
      </c>
      <c r="F18" s="8">
        <v>2.3531645569620247E-3</v>
      </c>
    </row>
    <row r="19" spans="1:6" x14ac:dyDescent="0.25">
      <c r="A19" t="s">
        <v>81</v>
      </c>
      <c r="B19" t="s">
        <v>82</v>
      </c>
      <c r="C19" s="5">
        <v>3</v>
      </c>
      <c r="D19" s="8">
        <v>0.23836666666666664</v>
      </c>
      <c r="E19" s="8">
        <v>1.0766666666666667E-2</v>
      </c>
      <c r="F19" s="8">
        <v>0</v>
      </c>
    </row>
    <row r="20" spans="1:6" x14ac:dyDescent="0.25">
      <c r="A20" s="10" t="s">
        <v>27</v>
      </c>
      <c r="B20" s="10" t="s">
        <v>28</v>
      </c>
      <c r="C20" s="9">
        <v>263</v>
      </c>
      <c r="D20" s="11">
        <v>0.13591558935361217</v>
      </c>
      <c r="E20" s="11">
        <v>1.3230038022813691E-2</v>
      </c>
      <c r="F20" s="11">
        <v>2.0673003802281374E-3</v>
      </c>
    </row>
    <row r="21" spans="1:6" x14ac:dyDescent="0.25">
      <c r="A21" t="s">
        <v>29</v>
      </c>
      <c r="B21" t="s">
        <v>30</v>
      </c>
      <c r="C21" s="5">
        <v>88</v>
      </c>
      <c r="D21" s="8">
        <v>0.15464886363636365</v>
      </c>
      <c r="E21" s="8">
        <v>1.975795454545454E-2</v>
      </c>
      <c r="F21" s="8">
        <v>1.2511363636363638E-3</v>
      </c>
    </row>
    <row r="22" spans="1:6" x14ac:dyDescent="0.25">
      <c r="A22" t="s">
        <v>79</v>
      </c>
      <c r="B22" t="s">
        <v>80</v>
      </c>
      <c r="C22" s="5">
        <v>23</v>
      </c>
      <c r="D22" s="8">
        <v>0.26591739130434783</v>
      </c>
      <c r="E22" s="8">
        <v>3.8173913043478263E-3</v>
      </c>
      <c r="F22" s="8">
        <v>0</v>
      </c>
    </row>
    <row r="23" spans="1:6" x14ac:dyDescent="0.25">
      <c r="A23" s="10" t="s">
        <v>41</v>
      </c>
      <c r="B23" s="10" t="s">
        <v>55</v>
      </c>
      <c r="C23" s="9">
        <v>263</v>
      </c>
      <c r="D23" s="11">
        <v>0.20108288973384036</v>
      </c>
      <c r="E23" s="11">
        <v>1.0638022813688213E-2</v>
      </c>
      <c r="F23" s="11">
        <v>1.3319391634980988E-3</v>
      </c>
    </row>
    <row r="24" spans="1:6" x14ac:dyDescent="0.25">
      <c r="A24" t="s">
        <v>61</v>
      </c>
      <c r="B24" t="s">
        <v>62</v>
      </c>
      <c r="C24" s="5">
        <v>145</v>
      </c>
      <c r="D24" s="8">
        <v>0.2298827586206896</v>
      </c>
      <c r="E24" s="8">
        <v>4.2131034482758636E-3</v>
      </c>
      <c r="F24" s="8">
        <v>3.1110344827586195E-3</v>
      </c>
    </row>
    <row r="25" spans="1:6" x14ac:dyDescent="0.25">
      <c r="A25" t="s">
        <v>51</v>
      </c>
      <c r="B25" t="s">
        <v>52</v>
      </c>
      <c r="C25" s="5">
        <v>75</v>
      </c>
      <c r="D25" s="8">
        <v>0.17711199999999999</v>
      </c>
      <c r="E25" s="8">
        <v>6.2506666666666665E-3</v>
      </c>
      <c r="F25" s="8">
        <v>1.7466666666666667E-4</v>
      </c>
    </row>
    <row r="26" spans="1:6" x14ac:dyDescent="0.25">
      <c r="A26" s="10" t="s">
        <v>43</v>
      </c>
      <c r="B26" s="10" t="s">
        <v>56</v>
      </c>
      <c r="C26" s="9">
        <v>263</v>
      </c>
      <c r="D26" s="11">
        <v>0.20542585551330794</v>
      </c>
      <c r="E26" s="11">
        <v>7.8216730038022687E-3</v>
      </c>
      <c r="F26" s="11">
        <v>1.1144486692015218E-3</v>
      </c>
    </row>
    <row r="27" spans="1:6" x14ac:dyDescent="0.25">
      <c r="A27" t="s">
        <v>69</v>
      </c>
      <c r="B27" t="s">
        <v>70</v>
      </c>
      <c r="C27" s="5">
        <v>16</v>
      </c>
      <c r="D27" s="8">
        <v>0.30014374999999993</v>
      </c>
      <c r="E27" s="8">
        <v>1.61875E-3</v>
      </c>
      <c r="F27" s="8">
        <v>1.1249999999999999E-3</v>
      </c>
    </row>
    <row r="28" spans="1:6" x14ac:dyDescent="0.25">
      <c r="A28" t="s">
        <v>71</v>
      </c>
      <c r="B28" t="s">
        <v>72</v>
      </c>
      <c r="C28" s="5">
        <v>20</v>
      </c>
      <c r="D28" s="8">
        <v>0.22797499999999998</v>
      </c>
      <c r="E28" s="8">
        <v>1.272E-2</v>
      </c>
      <c r="F28" s="8">
        <v>1.3850000000000001E-2</v>
      </c>
    </row>
    <row r="29" spans="1:6" x14ac:dyDescent="0.25">
      <c r="A29" t="s">
        <v>49</v>
      </c>
      <c r="B29" t="s">
        <v>50</v>
      </c>
      <c r="C29" s="5">
        <v>2</v>
      </c>
      <c r="D29" s="8">
        <v>0.1111</v>
      </c>
      <c r="E29" s="8">
        <v>0</v>
      </c>
      <c r="F29" s="8">
        <v>0</v>
      </c>
    </row>
    <row r="30" spans="1:6" x14ac:dyDescent="0.25">
      <c r="A30" t="s">
        <v>86</v>
      </c>
      <c r="C30" s="5">
        <v>3151</v>
      </c>
      <c r="D30" s="8">
        <v>0.21197372262773692</v>
      </c>
      <c r="E30" s="8">
        <v>9.2427483338622732E-3</v>
      </c>
      <c r="F30" s="8">
        <v>1.8669946048873369E-3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57712-6507-4750-A362-6D527AB80AAA}">
  <dimension ref="A1:H35"/>
  <sheetViews>
    <sheetView workbookViewId="0">
      <selection activeCell="H1" sqref="H1"/>
    </sheetView>
  </sheetViews>
  <sheetFormatPr defaultRowHeight="15" x14ac:dyDescent="0.25"/>
  <cols>
    <col min="2" max="2" width="26.28515625" bestFit="1" customWidth="1"/>
    <col min="3" max="3" width="9.140625" customWidth="1"/>
    <col min="6" max="6" width="11.28515625" bestFit="1" customWidth="1"/>
    <col min="7" max="7" width="26.28515625" bestFit="1" customWidth="1"/>
    <col min="8" max="8" width="9.28515625" customWidth="1"/>
  </cols>
  <sheetData>
    <row r="1" spans="1:8" x14ac:dyDescent="0.25">
      <c r="A1" s="6" t="s">
        <v>2</v>
      </c>
      <c r="B1" s="6" t="s">
        <v>3</v>
      </c>
      <c r="C1" s="6" t="s">
        <v>87</v>
      </c>
      <c r="F1" s="2" t="s">
        <v>2</v>
      </c>
      <c r="G1" s="2" t="s">
        <v>3</v>
      </c>
      <c r="H1" t="s">
        <v>87</v>
      </c>
    </row>
    <row r="2" spans="1:8" x14ac:dyDescent="0.25">
      <c r="A2" s="3" t="s">
        <v>31</v>
      </c>
      <c r="B2" t="s">
        <v>53</v>
      </c>
      <c r="C2" s="5">
        <v>175</v>
      </c>
      <c r="F2" t="s">
        <v>31</v>
      </c>
      <c r="G2" t="s">
        <v>53</v>
      </c>
      <c r="H2" s="5">
        <v>263</v>
      </c>
    </row>
    <row r="3" spans="1:8" x14ac:dyDescent="0.25">
      <c r="A3" s="4" t="s">
        <v>31</v>
      </c>
      <c r="B3" t="s">
        <v>32</v>
      </c>
      <c r="C3" s="5">
        <v>88</v>
      </c>
      <c r="F3" t="s">
        <v>33</v>
      </c>
      <c r="G3" t="s">
        <v>54</v>
      </c>
      <c r="H3" s="5">
        <v>263</v>
      </c>
    </row>
    <row r="4" spans="1:8" x14ac:dyDescent="0.25">
      <c r="A4" s="3" t="s">
        <v>33</v>
      </c>
      <c r="B4" t="s">
        <v>54</v>
      </c>
      <c r="C4" s="5">
        <v>175</v>
      </c>
      <c r="F4" t="s">
        <v>35</v>
      </c>
      <c r="G4" t="s">
        <v>36</v>
      </c>
      <c r="H4" s="5">
        <v>263</v>
      </c>
    </row>
    <row r="5" spans="1:8" x14ac:dyDescent="0.25">
      <c r="A5" s="4" t="s">
        <v>33</v>
      </c>
      <c r="B5" t="s">
        <v>34</v>
      </c>
      <c r="C5" s="5">
        <v>88</v>
      </c>
      <c r="F5" t="s">
        <v>65</v>
      </c>
      <c r="G5" t="s">
        <v>66</v>
      </c>
      <c r="H5" s="5">
        <v>103</v>
      </c>
    </row>
    <row r="6" spans="1:8" x14ac:dyDescent="0.25">
      <c r="A6" s="4" t="s">
        <v>35</v>
      </c>
      <c r="B6" t="s">
        <v>36</v>
      </c>
      <c r="C6" s="5">
        <v>263</v>
      </c>
      <c r="F6" t="s">
        <v>47</v>
      </c>
      <c r="G6" t="s">
        <v>48</v>
      </c>
      <c r="H6" s="5">
        <v>28</v>
      </c>
    </row>
    <row r="7" spans="1:8" x14ac:dyDescent="0.25">
      <c r="A7" s="4" t="s">
        <v>65</v>
      </c>
      <c r="B7" t="s">
        <v>66</v>
      </c>
      <c r="C7" s="5">
        <v>103</v>
      </c>
      <c r="F7" t="s">
        <v>75</v>
      </c>
      <c r="G7" t="s">
        <v>76</v>
      </c>
      <c r="H7" s="5">
        <v>7</v>
      </c>
    </row>
    <row r="8" spans="1:8" x14ac:dyDescent="0.25">
      <c r="A8" s="4" t="s">
        <v>47</v>
      </c>
      <c r="B8" t="s">
        <v>48</v>
      </c>
      <c r="C8" s="5">
        <v>28</v>
      </c>
      <c r="F8" t="s">
        <v>37</v>
      </c>
      <c r="G8" t="s">
        <v>57</v>
      </c>
      <c r="H8" s="5">
        <v>263</v>
      </c>
    </row>
    <row r="9" spans="1:8" x14ac:dyDescent="0.25">
      <c r="A9" s="4" t="s">
        <v>75</v>
      </c>
      <c r="B9" t="s">
        <v>76</v>
      </c>
      <c r="C9" s="5">
        <v>7</v>
      </c>
      <c r="F9" t="s">
        <v>77</v>
      </c>
      <c r="G9" t="s">
        <v>78</v>
      </c>
      <c r="H9" s="5">
        <v>7</v>
      </c>
    </row>
    <row r="10" spans="1:8" x14ac:dyDescent="0.25">
      <c r="A10" s="3" t="s">
        <v>37</v>
      </c>
      <c r="B10" t="s">
        <v>57</v>
      </c>
      <c r="C10" s="5">
        <v>175</v>
      </c>
      <c r="F10" t="s">
        <v>39</v>
      </c>
      <c r="G10" t="s">
        <v>58</v>
      </c>
      <c r="H10" s="5">
        <v>240</v>
      </c>
    </row>
    <row r="11" spans="1:8" x14ac:dyDescent="0.25">
      <c r="A11" s="4" t="s">
        <v>37</v>
      </c>
      <c r="B11" t="s">
        <v>38</v>
      </c>
      <c r="C11" s="5">
        <v>88</v>
      </c>
      <c r="F11" t="s">
        <v>63</v>
      </c>
      <c r="G11" t="s">
        <v>64</v>
      </c>
      <c r="H11" s="5">
        <v>60</v>
      </c>
    </row>
    <row r="12" spans="1:8" x14ac:dyDescent="0.25">
      <c r="A12" s="4" t="s">
        <v>77</v>
      </c>
      <c r="B12" t="s">
        <v>78</v>
      </c>
      <c r="C12" s="5">
        <v>7</v>
      </c>
      <c r="F12" t="s">
        <v>21</v>
      </c>
      <c r="G12" t="s">
        <v>59</v>
      </c>
      <c r="H12" s="5">
        <v>256</v>
      </c>
    </row>
    <row r="13" spans="1:8" x14ac:dyDescent="0.25">
      <c r="A13" s="7" t="s">
        <v>39</v>
      </c>
      <c r="B13" t="s">
        <v>58</v>
      </c>
      <c r="C13" s="5">
        <v>152</v>
      </c>
      <c r="F13" t="s">
        <v>73</v>
      </c>
      <c r="G13" t="s">
        <v>74</v>
      </c>
      <c r="H13" s="5">
        <v>31</v>
      </c>
    </row>
    <row r="14" spans="1:8" x14ac:dyDescent="0.25">
      <c r="A14" s="4" t="s">
        <v>39</v>
      </c>
      <c r="B14" t="s">
        <v>40</v>
      </c>
      <c r="C14" s="5">
        <v>88</v>
      </c>
      <c r="F14" t="s">
        <v>45</v>
      </c>
      <c r="G14" t="s">
        <v>46</v>
      </c>
      <c r="H14" s="5">
        <v>17</v>
      </c>
    </row>
    <row r="15" spans="1:8" x14ac:dyDescent="0.25">
      <c r="A15" s="4" t="s">
        <v>63</v>
      </c>
      <c r="B15" t="s">
        <v>64</v>
      </c>
      <c r="C15" s="5">
        <v>60</v>
      </c>
      <c r="F15" t="s">
        <v>25</v>
      </c>
      <c r="G15" t="s">
        <v>26</v>
      </c>
      <c r="H15" s="5">
        <v>110</v>
      </c>
    </row>
    <row r="16" spans="1:8" x14ac:dyDescent="0.25">
      <c r="A16" s="3" t="s">
        <v>21</v>
      </c>
      <c r="B16" t="s">
        <v>59</v>
      </c>
      <c r="C16" s="5">
        <v>170</v>
      </c>
      <c r="F16" t="s">
        <v>67</v>
      </c>
      <c r="G16" t="s">
        <v>68</v>
      </c>
      <c r="H16" s="5">
        <v>79</v>
      </c>
    </row>
    <row r="17" spans="1:8" x14ac:dyDescent="0.25">
      <c r="A17" s="4" t="s">
        <v>21</v>
      </c>
      <c r="B17" t="s">
        <v>22</v>
      </c>
      <c r="C17" s="5">
        <v>86</v>
      </c>
      <c r="F17" t="s">
        <v>81</v>
      </c>
      <c r="G17" t="s">
        <v>82</v>
      </c>
      <c r="H17" s="5">
        <v>3</v>
      </c>
    </row>
    <row r="18" spans="1:8" x14ac:dyDescent="0.25">
      <c r="A18" s="4" t="s">
        <v>73</v>
      </c>
      <c r="B18" t="s">
        <v>74</v>
      </c>
      <c r="C18" s="5">
        <v>31</v>
      </c>
      <c r="F18" t="s">
        <v>27</v>
      </c>
      <c r="G18" t="s">
        <v>28</v>
      </c>
      <c r="H18" s="5">
        <v>263</v>
      </c>
    </row>
    <row r="19" spans="1:8" x14ac:dyDescent="0.25">
      <c r="A19" s="4" t="s">
        <v>45</v>
      </c>
      <c r="B19" t="s">
        <v>46</v>
      </c>
      <c r="C19" s="5">
        <v>17</v>
      </c>
      <c r="F19" t="s">
        <v>29</v>
      </c>
      <c r="G19" t="s">
        <v>30</v>
      </c>
      <c r="H19" s="5">
        <v>88</v>
      </c>
    </row>
    <row r="20" spans="1:8" x14ac:dyDescent="0.25">
      <c r="A20" s="7" t="s">
        <v>25</v>
      </c>
      <c r="B20" t="s">
        <v>26</v>
      </c>
      <c r="C20" s="5">
        <v>88</v>
      </c>
      <c r="F20" t="s">
        <v>79</v>
      </c>
      <c r="G20" t="s">
        <v>80</v>
      </c>
      <c r="H20" s="5">
        <v>23</v>
      </c>
    </row>
    <row r="21" spans="1:8" x14ac:dyDescent="0.25">
      <c r="A21" s="4" t="s">
        <v>25</v>
      </c>
      <c r="B21" t="s">
        <v>60</v>
      </c>
      <c r="C21" s="5">
        <v>22</v>
      </c>
      <c r="F21" t="s">
        <v>41</v>
      </c>
      <c r="G21" t="s">
        <v>55</v>
      </c>
      <c r="H21" s="5">
        <v>263</v>
      </c>
    </row>
    <row r="22" spans="1:8" x14ac:dyDescent="0.25">
      <c r="A22" s="4" t="s">
        <v>67</v>
      </c>
      <c r="B22" t="s">
        <v>68</v>
      </c>
      <c r="C22" s="5">
        <v>79</v>
      </c>
      <c r="F22" t="s">
        <v>61</v>
      </c>
      <c r="G22" t="s">
        <v>62</v>
      </c>
      <c r="H22" s="5">
        <v>145</v>
      </c>
    </row>
    <row r="23" spans="1:8" x14ac:dyDescent="0.25">
      <c r="A23" s="4" t="s">
        <v>81</v>
      </c>
      <c r="B23" t="s">
        <v>82</v>
      </c>
      <c r="C23" s="5">
        <v>3</v>
      </c>
      <c r="F23" t="s">
        <v>51</v>
      </c>
      <c r="G23" t="s">
        <v>52</v>
      </c>
      <c r="H23" s="5">
        <v>75</v>
      </c>
    </row>
    <row r="24" spans="1:8" x14ac:dyDescent="0.25">
      <c r="A24" s="4" t="s">
        <v>27</v>
      </c>
      <c r="B24" t="s">
        <v>28</v>
      </c>
      <c r="C24" s="5">
        <v>263</v>
      </c>
      <c r="F24" t="s">
        <v>43</v>
      </c>
      <c r="G24" t="s">
        <v>56</v>
      </c>
      <c r="H24" s="5">
        <v>263</v>
      </c>
    </row>
    <row r="25" spans="1:8" x14ac:dyDescent="0.25">
      <c r="A25" s="4" t="s">
        <v>29</v>
      </c>
      <c r="B25" t="s">
        <v>30</v>
      </c>
      <c r="C25" s="5">
        <v>88</v>
      </c>
      <c r="F25" t="s">
        <v>69</v>
      </c>
      <c r="G25" t="s">
        <v>70</v>
      </c>
      <c r="H25" s="5">
        <v>16</v>
      </c>
    </row>
    <row r="26" spans="1:8" x14ac:dyDescent="0.25">
      <c r="A26" s="4" t="s">
        <v>79</v>
      </c>
      <c r="B26" t="s">
        <v>80</v>
      </c>
      <c r="C26" s="5">
        <v>23</v>
      </c>
      <c r="F26" t="s">
        <v>71</v>
      </c>
      <c r="G26" t="s">
        <v>72</v>
      </c>
      <c r="H26" s="5">
        <v>20</v>
      </c>
    </row>
    <row r="27" spans="1:8" x14ac:dyDescent="0.25">
      <c r="A27" s="3" t="s">
        <v>41</v>
      </c>
      <c r="B27" t="s">
        <v>55</v>
      </c>
      <c r="C27" s="5">
        <v>175</v>
      </c>
      <c r="F27" t="s">
        <v>49</v>
      </c>
      <c r="G27" t="s">
        <v>50</v>
      </c>
      <c r="H27" s="5">
        <v>2</v>
      </c>
    </row>
    <row r="28" spans="1:8" x14ac:dyDescent="0.25">
      <c r="A28" s="4" t="s">
        <v>41</v>
      </c>
      <c r="B28" t="s">
        <v>42</v>
      </c>
      <c r="C28" s="5">
        <v>88</v>
      </c>
      <c r="F28" t="s">
        <v>86</v>
      </c>
      <c r="H28" s="5">
        <v>3151</v>
      </c>
    </row>
    <row r="29" spans="1:8" x14ac:dyDescent="0.25">
      <c r="A29" s="4" t="s">
        <v>61</v>
      </c>
      <c r="B29" t="s">
        <v>62</v>
      </c>
      <c r="C29" s="5">
        <v>145</v>
      </c>
    </row>
    <row r="30" spans="1:8" x14ac:dyDescent="0.25">
      <c r="A30" s="4" t="s">
        <v>51</v>
      </c>
      <c r="B30" t="s">
        <v>52</v>
      </c>
      <c r="C30" s="5">
        <v>75</v>
      </c>
    </row>
    <row r="31" spans="1:8" x14ac:dyDescent="0.25">
      <c r="A31" s="7" t="s">
        <v>43</v>
      </c>
      <c r="B31" t="s">
        <v>56</v>
      </c>
      <c r="C31" s="5">
        <v>175</v>
      </c>
    </row>
    <row r="32" spans="1:8" x14ac:dyDescent="0.25">
      <c r="A32" s="4" t="s">
        <v>43</v>
      </c>
      <c r="B32" t="s">
        <v>44</v>
      </c>
      <c r="C32" s="5">
        <v>88</v>
      </c>
    </row>
    <row r="33" spans="1:3" x14ac:dyDescent="0.25">
      <c r="A33" s="4" t="s">
        <v>69</v>
      </c>
      <c r="B33" t="s">
        <v>70</v>
      </c>
      <c r="C33" s="5">
        <v>16</v>
      </c>
    </row>
    <row r="34" spans="1:3" x14ac:dyDescent="0.25">
      <c r="A34" s="4" t="s">
        <v>71</v>
      </c>
      <c r="B34" t="s">
        <v>72</v>
      </c>
      <c r="C34" s="5">
        <v>20</v>
      </c>
    </row>
    <row r="35" spans="1:3" x14ac:dyDescent="0.25">
      <c r="A35" s="4" t="s">
        <v>49</v>
      </c>
      <c r="B35" t="s">
        <v>50</v>
      </c>
      <c r="C35" s="5">
        <v>2</v>
      </c>
    </row>
  </sheetData>
  <sortState xmlns:xlrd2="http://schemas.microsoft.com/office/spreadsheetml/2017/richdata2" ref="A2:C35">
    <sortCondition ref="A2:A35"/>
    <sortCondition descending="1" ref="C2:C3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F4B34-352F-4FAA-BACE-C02D1080ED2D}">
  <dimension ref="A1:X3152"/>
  <sheetViews>
    <sheetView workbookViewId="0">
      <pane ySplit="1" topLeftCell="A3118" activePane="bottomLeft" state="frozen"/>
      <selection pane="bottomLeft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83</v>
      </c>
      <c r="W1" t="s">
        <v>84</v>
      </c>
      <c r="X1" t="s">
        <v>85</v>
      </c>
    </row>
    <row r="2" spans="1:24" x14ac:dyDescent="0.25">
      <c r="A2">
        <v>2025</v>
      </c>
      <c r="B2">
        <v>4</v>
      </c>
      <c r="C2" t="s">
        <v>21</v>
      </c>
      <c r="D2" t="str">
        <f>_xlfn.XLOOKUP(C2,'Carrier Name Rename'!A:A,'Carrier Name Rename'!B:B)</f>
        <v>Hawaiian Airlines Inc.</v>
      </c>
      <c r="E2" t="s">
        <v>23</v>
      </c>
      <c r="F2" t="s">
        <v>24</v>
      </c>
      <c r="G2">
        <v>109</v>
      </c>
      <c r="H2">
        <v>44</v>
      </c>
      <c r="I2">
        <v>41.12</v>
      </c>
      <c r="J2">
        <v>7.0000000000000007E-2</v>
      </c>
      <c r="K2">
        <v>0</v>
      </c>
      <c r="L2">
        <v>1</v>
      </c>
      <c r="M2">
        <v>1.82</v>
      </c>
      <c r="N2">
        <v>0</v>
      </c>
      <c r="O2">
        <v>0</v>
      </c>
      <c r="P2">
        <v>1531</v>
      </c>
      <c r="Q2">
        <v>1462</v>
      </c>
      <c r="R2">
        <v>2</v>
      </c>
      <c r="S2">
        <v>0</v>
      </c>
      <c r="T2">
        <v>28</v>
      </c>
      <c r="U2">
        <v>39</v>
      </c>
      <c r="V2" s="1">
        <f>ROUND(H2/G2,4)</f>
        <v>0.4037</v>
      </c>
      <c r="W2" s="1">
        <f>ROUND(N2/G2,4)</f>
        <v>0</v>
      </c>
      <c r="X2" s="1">
        <f>ROUND(O2/G2,4)</f>
        <v>0</v>
      </c>
    </row>
    <row r="3" spans="1:24" x14ac:dyDescent="0.25">
      <c r="A3">
        <v>2025</v>
      </c>
      <c r="B3">
        <v>4</v>
      </c>
      <c r="C3" t="s">
        <v>25</v>
      </c>
      <c r="D3" t="str">
        <f>_xlfn.XLOOKUP(C3,'Carrier Name Rename'!A:A,'Carrier Name Rename'!B:B)</f>
        <v>Spirit Airlines</v>
      </c>
      <c r="E3" t="s">
        <v>23</v>
      </c>
      <c r="F3" t="s">
        <v>24</v>
      </c>
      <c r="G3">
        <v>62</v>
      </c>
      <c r="H3">
        <v>9</v>
      </c>
      <c r="I3">
        <v>1.62</v>
      </c>
      <c r="J3">
        <v>0</v>
      </c>
      <c r="K3">
        <v>3.77</v>
      </c>
      <c r="L3">
        <v>0.64</v>
      </c>
      <c r="M3">
        <v>2.97</v>
      </c>
      <c r="N3">
        <v>1</v>
      </c>
      <c r="O3">
        <v>0</v>
      </c>
      <c r="P3">
        <v>701</v>
      </c>
      <c r="Q3">
        <v>379</v>
      </c>
      <c r="R3">
        <v>0</v>
      </c>
      <c r="S3">
        <v>76</v>
      </c>
      <c r="T3">
        <v>14</v>
      </c>
      <c r="U3">
        <v>232</v>
      </c>
      <c r="V3" s="1">
        <f t="shared" ref="V3:V66" si="0">ROUND(H3/G3,4)</f>
        <v>0.1452</v>
      </c>
      <c r="W3" s="1">
        <f t="shared" ref="W3:W66" si="1">ROUND(N3/G3,4)</f>
        <v>1.61E-2</v>
      </c>
      <c r="X3" s="1">
        <f t="shared" ref="X3:X66" si="2">ROUND(O3/G3,4)</f>
        <v>0</v>
      </c>
    </row>
    <row r="4" spans="1:24" x14ac:dyDescent="0.25">
      <c r="A4">
        <v>2025</v>
      </c>
      <c r="B4">
        <v>4</v>
      </c>
      <c r="C4" t="s">
        <v>27</v>
      </c>
      <c r="D4" t="str">
        <f>_xlfn.XLOOKUP(C4,'Carrier Name Rename'!A:A,'Carrier Name Rename'!B:B)</f>
        <v>SkyWest Airlines Inc.</v>
      </c>
      <c r="E4" t="s">
        <v>23</v>
      </c>
      <c r="F4" t="s">
        <v>24</v>
      </c>
      <c r="G4">
        <v>2226</v>
      </c>
      <c r="H4">
        <v>245</v>
      </c>
      <c r="I4">
        <v>151.53</v>
      </c>
      <c r="J4">
        <v>19.510000000000002</v>
      </c>
      <c r="K4">
        <v>34.799999999999997</v>
      </c>
      <c r="L4">
        <v>0</v>
      </c>
      <c r="M4">
        <v>39.17</v>
      </c>
      <c r="N4">
        <v>0</v>
      </c>
      <c r="O4">
        <v>0</v>
      </c>
      <c r="P4">
        <v>11529</v>
      </c>
      <c r="Q4">
        <v>7543</v>
      </c>
      <c r="R4">
        <v>892</v>
      </c>
      <c r="S4">
        <v>1245</v>
      </c>
      <c r="T4">
        <v>0</v>
      </c>
      <c r="U4">
        <v>1849</v>
      </c>
      <c r="V4" s="1">
        <f t="shared" si="0"/>
        <v>0.1101</v>
      </c>
      <c r="W4" s="1">
        <f t="shared" si="1"/>
        <v>0</v>
      </c>
      <c r="X4" s="1">
        <f t="shared" si="2"/>
        <v>0</v>
      </c>
    </row>
    <row r="5" spans="1:24" x14ac:dyDescent="0.25">
      <c r="A5">
        <v>2025</v>
      </c>
      <c r="B5">
        <v>4</v>
      </c>
      <c r="C5" t="s">
        <v>29</v>
      </c>
      <c r="D5" t="str">
        <f>_xlfn.XLOOKUP(C5,'Carrier Name Rename'!A:A,'Carrier Name Rename'!B:B)</f>
        <v>Horizon Air</v>
      </c>
      <c r="E5" t="s">
        <v>23</v>
      </c>
      <c r="F5" t="s">
        <v>24</v>
      </c>
      <c r="G5">
        <v>1719</v>
      </c>
      <c r="H5">
        <v>254</v>
      </c>
      <c r="I5">
        <v>43.8</v>
      </c>
      <c r="J5">
        <v>0</v>
      </c>
      <c r="K5">
        <v>120.71</v>
      </c>
      <c r="L5">
        <v>0</v>
      </c>
      <c r="M5">
        <v>89.49</v>
      </c>
      <c r="N5">
        <v>7</v>
      </c>
      <c r="O5">
        <v>0</v>
      </c>
      <c r="P5">
        <v>9997</v>
      </c>
      <c r="Q5">
        <v>2621</v>
      </c>
      <c r="R5">
        <v>0</v>
      </c>
      <c r="S5">
        <v>3128</v>
      </c>
      <c r="T5">
        <v>0</v>
      </c>
      <c r="U5">
        <v>4248</v>
      </c>
      <c r="V5" s="1">
        <f t="shared" si="0"/>
        <v>0.14779999999999999</v>
      </c>
      <c r="W5" s="1">
        <f t="shared" si="1"/>
        <v>4.1000000000000003E-3</v>
      </c>
      <c r="X5" s="1">
        <f t="shared" si="2"/>
        <v>0</v>
      </c>
    </row>
    <row r="6" spans="1:24" x14ac:dyDescent="0.25">
      <c r="A6">
        <v>2025</v>
      </c>
      <c r="B6">
        <v>4</v>
      </c>
      <c r="C6" t="s">
        <v>31</v>
      </c>
      <c r="D6" t="str">
        <f>_xlfn.XLOOKUP(C6,'Carrier Name Rename'!A:A,'Carrier Name Rename'!B:B)</f>
        <v>American Airlines Inc.</v>
      </c>
      <c r="E6" t="s">
        <v>23</v>
      </c>
      <c r="F6" t="s">
        <v>24</v>
      </c>
      <c r="G6">
        <v>450</v>
      </c>
      <c r="H6">
        <v>95</v>
      </c>
      <c r="I6">
        <v>45.56</v>
      </c>
      <c r="J6">
        <v>7.96</v>
      </c>
      <c r="K6">
        <v>13.73</v>
      </c>
      <c r="L6">
        <v>0</v>
      </c>
      <c r="M6">
        <v>27.74</v>
      </c>
      <c r="N6">
        <v>6</v>
      </c>
      <c r="O6">
        <v>0</v>
      </c>
      <c r="P6">
        <v>6490</v>
      </c>
      <c r="Q6">
        <v>2670</v>
      </c>
      <c r="R6">
        <v>754</v>
      </c>
      <c r="S6">
        <v>542</v>
      </c>
      <c r="T6">
        <v>0</v>
      </c>
      <c r="U6">
        <v>2524</v>
      </c>
      <c r="V6" s="1">
        <f t="shared" si="0"/>
        <v>0.21110000000000001</v>
      </c>
      <c r="W6" s="1">
        <f t="shared" si="1"/>
        <v>1.3299999999999999E-2</v>
      </c>
      <c r="X6" s="1">
        <f t="shared" si="2"/>
        <v>0</v>
      </c>
    </row>
    <row r="7" spans="1:24" x14ac:dyDescent="0.25">
      <c r="A7">
        <v>2025</v>
      </c>
      <c r="B7">
        <v>4</v>
      </c>
      <c r="C7" t="s">
        <v>33</v>
      </c>
      <c r="D7" t="str">
        <f>_xlfn.XLOOKUP(C7,'Carrier Name Rename'!A:A,'Carrier Name Rename'!B:B)</f>
        <v>Alaska Airlines Inc.</v>
      </c>
      <c r="E7" t="s">
        <v>23</v>
      </c>
      <c r="F7" t="s">
        <v>24</v>
      </c>
      <c r="G7">
        <v>5840</v>
      </c>
      <c r="H7">
        <v>1119</v>
      </c>
      <c r="I7">
        <v>232.04</v>
      </c>
      <c r="J7">
        <v>21.87</v>
      </c>
      <c r="K7">
        <v>421.2</v>
      </c>
      <c r="L7">
        <v>8.32</v>
      </c>
      <c r="M7">
        <v>435.57</v>
      </c>
      <c r="N7">
        <v>32</v>
      </c>
      <c r="O7">
        <v>4</v>
      </c>
      <c r="P7">
        <v>56280</v>
      </c>
      <c r="Q7">
        <v>16292</v>
      </c>
      <c r="R7">
        <v>1068</v>
      </c>
      <c r="S7">
        <v>12563</v>
      </c>
      <c r="T7">
        <v>317</v>
      </c>
      <c r="U7">
        <v>26040</v>
      </c>
      <c r="V7" s="1">
        <f t="shared" si="0"/>
        <v>0.19159999999999999</v>
      </c>
      <c r="W7" s="1">
        <f t="shared" si="1"/>
        <v>5.4999999999999997E-3</v>
      </c>
      <c r="X7" s="1">
        <f t="shared" si="2"/>
        <v>6.9999999999999999E-4</v>
      </c>
    </row>
    <row r="8" spans="1:24" x14ac:dyDescent="0.25">
      <c r="A8">
        <v>2025</v>
      </c>
      <c r="B8">
        <v>4</v>
      </c>
      <c r="C8" t="s">
        <v>35</v>
      </c>
      <c r="D8" t="str">
        <f>_xlfn.XLOOKUP(C8,'Carrier Name Rename'!A:A,'Carrier Name Rename'!B:B)</f>
        <v>JetBlue Airways</v>
      </c>
      <c r="E8" t="s">
        <v>23</v>
      </c>
      <c r="F8" t="s">
        <v>24</v>
      </c>
      <c r="G8">
        <v>31</v>
      </c>
      <c r="H8">
        <v>6</v>
      </c>
      <c r="I8">
        <v>1.47</v>
      </c>
      <c r="J8">
        <v>0</v>
      </c>
      <c r="K8">
        <v>1.56</v>
      </c>
      <c r="L8">
        <v>0</v>
      </c>
      <c r="M8">
        <v>2.97</v>
      </c>
      <c r="N8">
        <v>0</v>
      </c>
      <c r="O8">
        <v>0</v>
      </c>
      <c r="P8">
        <v>194</v>
      </c>
      <c r="Q8">
        <v>28</v>
      </c>
      <c r="R8">
        <v>0</v>
      </c>
      <c r="S8">
        <v>57</v>
      </c>
      <c r="T8">
        <v>0</v>
      </c>
      <c r="U8">
        <v>109</v>
      </c>
      <c r="V8" s="1">
        <f t="shared" si="0"/>
        <v>0.19350000000000001</v>
      </c>
      <c r="W8" s="1">
        <f t="shared" si="1"/>
        <v>0</v>
      </c>
      <c r="X8" s="1">
        <f t="shared" si="2"/>
        <v>0</v>
      </c>
    </row>
    <row r="9" spans="1:24" x14ac:dyDescent="0.25">
      <c r="A9">
        <v>2025</v>
      </c>
      <c r="B9">
        <v>4</v>
      </c>
      <c r="C9" t="s">
        <v>37</v>
      </c>
      <c r="D9" t="str">
        <f>_xlfn.XLOOKUP(C9,'Carrier Name Rename'!A:A,'Carrier Name Rename'!B:B)</f>
        <v>Delta Air Lines Inc.</v>
      </c>
      <c r="E9" t="s">
        <v>23</v>
      </c>
      <c r="F9" t="s">
        <v>24</v>
      </c>
      <c r="G9">
        <v>2596</v>
      </c>
      <c r="H9">
        <v>289</v>
      </c>
      <c r="I9">
        <v>111.67</v>
      </c>
      <c r="J9">
        <v>8.32</v>
      </c>
      <c r="K9">
        <v>72.209999999999994</v>
      </c>
      <c r="L9">
        <v>0</v>
      </c>
      <c r="M9">
        <v>96.8</v>
      </c>
      <c r="N9">
        <v>6</v>
      </c>
      <c r="O9">
        <v>1</v>
      </c>
      <c r="P9">
        <v>23546</v>
      </c>
      <c r="Q9">
        <v>14229</v>
      </c>
      <c r="R9">
        <v>548</v>
      </c>
      <c r="S9">
        <v>2465</v>
      </c>
      <c r="T9">
        <v>0</v>
      </c>
      <c r="U9">
        <v>6304</v>
      </c>
      <c r="V9" s="1">
        <f t="shared" si="0"/>
        <v>0.1113</v>
      </c>
      <c r="W9" s="1">
        <f t="shared" si="1"/>
        <v>2.3E-3</v>
      </c>
      <c r="X9" s="1">
        <f t="shared" si="2"/>
        <v>4.0000000000000002E-4</v>
      </c>
    </row>
    <row r="10" spans="1:24" x14ac:dyDescent="0.25">
      <c r="A10">
        <v>2025</v>
      </c>
      <c r="B10">
        <v>4</v>
      </c>
      <c r="C10" t="s">
        <v>39</v>
      </c>
      <c r="D10" t="str">
        <f>_xlfn.XLOOKUP(C10,'Carrier Name Rename'!A:A,'Carrier Name Rename'!B:B)</f>
        <v>Frontier Airlines Inc.</v>
      </c>
      <c r="E10" t="s">
        <v>23</v>
      </c>
      <c r="F10" t="s">
        <v>24</v>
      </c>
      <c r="G10">
        <v>142</v>
      </c>
      <c r="H10">
        <v>24</v>
      </c>
      <c r="I10">
        <v>4.3600000000000003</v>
      </c>
      <c r="J10">
        <v>0</v>
      </c>
      <c r="K10">
        <v>12.04</v>
      </c>
      <c r="L10">
        <v>0</v>
      </c>
      <c r="M10">
        <v>7.59</v>
      </c>
      <c r="N10">
        <v>0</v>
      </c>
      <c r="O10">
        <v>0</v>
      </c>
      <c r="P10">
        <v>1250</v>
      </c>
      <c r="Q10">
        <v>310</v>
      </c>
      <c r="R10">
        <v>0</v>
      </c>
      <c r="S10">
        <v>560</v>
      </c>
      <c r="T10">
        <v>0</v>
      </c>
      <c r="U10">
        <v>380</v>
      </c>
      <c r="V10" s="1">
        <f t="shared" si="0"/>
        <v>0.16900000000000001</v>
      </c>
      <c r="W10" s="1">
        <f t="shared" si="1"/>
        <v>0</v>
      </c>
      <c r="X10" s="1">
        <f t="shared" si="2"/>
        <v>0</v>
      </c>
    </row>
    <row r="11" spans="1:24" x14ac:dyDescent="0.25">
      <c r="A11">
        <v>2025</v>
      </c>
      <c r="B11">
        <v>4</v>
      </c>
      <c r="C11" t="s">
        <v>41</v>
      </c>
      <c r="D11" t="str">
        <f>_xlfn.XLOOKUP(C11,'Carrier Name Rename'!A:A,'Carrier Name Rename'!B:B)</f>
        <v>United Air Lines Inc.</v>
      </c>
      <c r="E11" t="s">
        <v>23</v>
      </c>
      <c r="F11" t="s">
        <v>24</v>
      </c>
      <c r="G11">
        <v>697</v>
      </c>
      <c r="H11">
        <v>115</v>
      </c>
      <c r="I11">
        <v>40.54</v>
      </c>
      <c r="J11">
        <v>1.78</v>
      </c>
      <c r="K11">
        <v>28.05</v>
      </c>
      <c r="L11">
        <v>0</v>
      </c>
      <c r="M11">
        <v>44.64</v>
      </c>
      <c r="N11">
        <v>1</v>
      </c>
      <c r="O11">
        <v>0</v>
      </c>
      <c r="P11">
        <v>7216</v>
      </c>
      <c r="Q11">
        <v>2543</v>
      </c>
      <c r="R11">
        <v>102</v>
      </c>
      <c r="S11">
        <v>979</v>
      </c>
      <c r="T11">
        <v>0</v>
      </c>
      <c r="U11">
        <v>3592</v>
      </c>
      <c r="V11" s="1">
        <f t="shared" si="0"/>
        <v>0.16500000000000001</v>
      </c>
      <c r="W11" s="1">
        <f t="shared" si="1"/>
        <v>1.4E-3</v>
      </c>
      <c r="X11" s="1">
        <f t="shared" si="2"/>
        <v>0</v>
      </c>
    </row>
    <row r="12" spans="1:24" x14ac:dyDescent="0.25">
      <c r="A12">
        <v>2025</v>
      </c>
      <c r="B12">
        <v>4</v>
      </c>
      <c r="C12" t="s">
        <v>43</v>
      </c>
      <c r="D12" t="str">
        <f>_xlfn.XLOOKUP(C12,'Carrier Name Rename'!A:A,'Carrier Name Rename'!B:B)</f>
        <v>Southwest Airlines Co.</v>
      </c>
      <c r="E12" t="s">
        <v>23</v>
      </c>
      <c r="F12" t="s">
        <v>24</v>
      </c>
      <c r="G12">
        <v>570</v>
      </c>
      <c r="H12">
        <v>125</v>
      </c>
      <c r="I12">
        <v>42.38</v>
      </c>
      <c r="J12">
        <v>0.21</v>
      </c>
      <c r="K12">
        <v>9.93</v>
      </c>
      <c r="L12">
        <v>0</v>
      </c>
      <c r="M12">
        <v>72.47</v>
      </c>
      <c r="N12">
        <v>0</v>
      </c>
      <c r="O12">
        <v>0</v>
      </c>
      <c r="P12">
        <v>6876</v>
      </c>
      <c r="Q12">
        <v>1979</v>
      </c>
      <c r="R12">
        <v>25</v>
      </c>
      <c r="S12">
        <v>318</v>
      </c>
      <c r="T12">
        <v>0</v>
      </c>
      <c r="U12">
        <v>4554</v>
      </c>
      <c r="V12" s="1">
        <f t="shared" si="0"/>
        <v>0.21929999999999999</v>
      </c>
      <c r="W12" s="1">
        <f t="shared" si="1"/>
        <v>0</v>
      </c>
      <c r="X12" s="1">
        <f t="shared" si="2"/>
        <v>0</v>
      </c>
    </row>
    <row r="13" spans="1:24" x14ac:dyDescent="0.25">
      <c r="A13">
        <v>2025</v>
      </c>
      <c r="B13">
        <v>3</v>
      </c>
      <c r="C13" t="s">
        <v>21</v>
      </c>
      <c r="D13" t="str">
        <f>_xlfn.XLOOKUP(C13,'Carrier Name Rename'!A:A,'Carrier Name Rename'!B:B)</f>
        <v>Hawaiian Airlines Inc.</v>
      </c>
      <c r="E13" t="s">
        <v>23</v>
      </c>
      <c r="F13" t="s">
        <v>24</v>
      </c>
      <c r="G13">
        <v>75</v>
      </c>
      <c r="H13">
        <v>24</v>
      </c>
      <c r="I13">
        <v>17.72</v>
      </c>
      <c r="J13">
        <v>0</v>
      </c>
      <c r="K13">
        <v>0.96</v>
      </c>
      <c r="L13">
        <v>1</v>
      </c>
      <c r="M13">
        <v>4.32</v>
      </c>
      <c r="N13">
        <v>0</v>
      </c>
      <c r="O13">
        <v>0</v>
      </c>
      <c r="P13">
        <v>881</v>
      </c>
      <c r="Q13">
        <v>494</v>
      </c>
      <c r="R13">
        <v>0</v>
      </c>
      <c r="S13">
        <v>47</v>
      </c>
      <c r="T13">
        <v>17</v>
      </c>
      <c r="U13">
        <v>323</v>
      </c>
      <c r="V13" s="1">
        <f t="shared" si="0"/>
        <v>0.32</v>
      </c>
      <c r="W13" s="1">
        <f t="shared" si="1"/>
        <v>0</v>
      </c>
      <c r="X13" s="1">
        <f t="shared" si="2"/>
        <v>0</v>
      </c>
    </row>
    <row r="14" spans="1:24" x14ac:dyDescent="0.25">
      <c r="A14">
        <v>2025</v>
      </c>
      <c r="B14">
        <v>3</v>
      </c>
      <c r="C14" t="s">
        <v>45</v>
      </c>
      <c r="D14" t="str">
        <f>_xlfn.XLOOKUP(C14,'Carrier Name Rename'!A:A,'Carrier Name Rename'!B:B)</f>
        <v>Envoy Air</v>
      </c>
      <c r="E14" t="s">
        <v>23</v>
      </c>
      <c r="F14" t="s">
        <v>24</v>
      </c>
      <c r="G14">
        <v>3</v>
      </c>
      <c r="H14">
        <v>1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25</v>
      </c>
      <c r="Q14">
        <v>0</v>
      </c>
      <c r="R14">
        <v>0</v>
      </c>
      <c r="S14">
        <v>25</v>
      </c>
      <c r="T14">
        <v>0</v>
      </c>
      <c r="U14">
        <v>0</v>
      </c>
      <c r="V14" s="1">
        <f t="shared" si="0"/>
        <v>0.33329999999999999</v>
      </c>
      <c r="W14" s="1">
        <f t="shared" si="1"/>
        <v>0</v>
      </c>
      <c r="X14" s="1">
        <f t="shared" si="2"/>
        <v>0</v>
      </c>
    </row>
    <row r="15" spans="1:24" x14ac:dyDescent="0.25">
      <c r="A15">
        <v>2025</v>
      </c>
      <c r="B15">
        <v>3</v>
      </c>
      <c r="C15" t="s">
        <v>25</v>
      </c>
      <c r="D15" t="str">
        <f>_xlfn.XLOOKUP(C15,'Carrier Name Rename'!A:A,'Carrier Name Rename'!B:B)</f>
        <v>Spirit Airlines</v>
      </c>
      <c r="E15" t="s">
        <v>23</v>
      </c>
      <c r="F15" t="s">
        <v>24</v>
      </c>
      <c r="G15">
        <v>56</v>
      </c>
      <c r="H15">
        <v>4</v>
      </c>
      <c r="I15">
        <v>2.2599999999999998</v>
      </c>
      <c r="J15">
        <v>0</v>
      </c>
      <c r="K15">
        <v>1.74</v>
      </c>
      <c r="L15">
        <v>0</v>
      </c>
      <c r="M15">
        <v>0</v>
      </c>
      <c r="N15">
        <v>0</v>
      </c>
      <c r="O15">
        <v>0</v>
      </c>
      <c r="P15">
        <v>108</v>
      </c>
      <c r="Q15">
        <v>72</v>
      </c>
      <c r="R15">
        <v>0</v>
      </c>
      <c r="S15">
        <v>36</v>
      </c>
      <c r="T15">
        <v>0</v>
      </c>
      <c r="U15">
        <v>0</v>
      </c>
      <c r="V15" s="1">
        <f t="shared" si="0"/>
        <v>7.1400000000000005E-2</v>
      </c>
      <c r="W15" s="1">
        <f t="shared" si="1"/>
        <v>0</v>
      </c>
      <c r="X15" s="1">
        <f t="shared" si="2"/>
        <v>0</v>
      </c>
    </row>
    <row r="16" spans="1:24" x14ac:dyDescent="0.25">
      <c r="A16">
        <v>2025</v>
      </c>
      <c r="B16">
        <v>3</v>
      </c>
      <c r="C16" t="s">
        <v>27</v>
      </c>
      <c r="D16" t="str">
        <f>_xlfn.XLOOKUP(C16,'Carrier Name Rename'!A:A,'Carrier Name Rename'!B:B)</f>
        <v>SkyWest Airlines Inc.</v>
      </c>
      <c r="E16" t="s">
        <v>23</v>
      </c>
      <c r="F16" t="s">
        <v>24</v>
      </c>
      <c r="G16">
        <v>2296</v>
      </c>
      <c r="H16">
        <v>315</v>
      </c>
      <c r="I16">
        <v>161.61000000000001</v>
      </c>
      <c r="J16">
        <v>34.369999999999997</v>
      </c>
      <c r="K16">
        <v>55.64</v>
      </c>
      <c r="L16">
        <v>0.7</v>
      </c>
      <c r="M16">
        <v>62.68</v>
      </c>
      <c r="N16">
        <v>4</v>
      </c>
      <c r="O16">
        <v>11</v>
      </c>
      <c r="P16">
        <v>19660</v>
      </c>
      <c r="Q16">
        <v>10097</v>
      </c>
      <c r="R16">
        <v>3041</v>
      </c>
      <c r="S16">
        <v>2833</v>
      </c>
      <c r="T16">
        <v>31</v>
      </c>
      <c r="U16">
        <v>3658</v>
      </c>
      <c r="V16" s="1">
        <f t="shared" si="0"/>
        <v>0.13719999999999999</v>
      </c>
      <c r="W16" s="1">
        <f t="shared" si="1"/>
        <v>1.6999999999999999E-3</v>
      </c>
      <c r="X16" s="1">
        <f t="shared" si="2"/>
        <v>4.7999999999999996E-3</v>
      </c>
    </row>
    <row r="17" spans="1:24" x14ac:dyDescent="0.25">
      <c r="A17">
        <v>2025</v>
      </c>
      <c r="B17">
        <v>3</v>
      </c>
      <c r="C17" t="s">
        <v>29</v>
      </c>
      <c r="D17" t="str">
        <f>_xlfn.XLOOKUP(C17,'Carrier Name Rename'!A:A,'Carrier Name Rename'!B:B)</f>
        <v>Horizon Air</v>
      </c>
      <c r="E17" t="s">
        <v>23</v>
      </c>
      <c r="F17" t="s">
        <v>24</v>
      </c>
      <c r="G17">
        <v>1700</v>
      </c>
      <c r="H17">
        <v>249</v>
      </c>
      <c r="I17">
        <v>47.08</v>
      </c>
      <c r="J17">
        <v>8.36</v>
      </c>
      <c r="K17">
        <v>97.95</v>
      </c>
      <c r="L17">
        <v>0</v>
      </c>
      <c r="M17">
        <v>95.61</v>
      </c>
      <c r="N17">
        <v>8</v>
      </c>
      <c r="O17">
        <v>5</v>
      </c>
      <c r="P17">
        <v>12130</v>
      </c>
      <c r="Q17">
        <v>4030</v>
      </c>
      <c r="R17">
        <v>644</v>
      </c>
      <c r="S17">
        <v>3175</v>
      </c>
      <c r="T17">
        <v>0</v>
      </c>
      <c r="U17">
        <v>4281</v>
      </c>
      <c r="V17" s="1">
        <f t="shared" si="0"/>
        <v>0.14649999999999999</v>
      </c>
      <c r="W17" s="1">
        <f t="shared" si="1"/>
        <v>4.7000000000000002E-3</v>
      </c>
      <c r="X17" s="1">
        <f t="shared" si="2"/>
        <v>2.8999999999999998E-3</v>
      </c>
    </row>
    <row r="18" spans="1:24" x14ac:dyDescent="0.25">
      <c r="A18">
        <v>2025</v>
      </c>
      <c r="B18">
        <v>3</v>
      </c>
      <c r="C18" t="s">
        <v>41</v>
      </c>
      <c r="D18" t="str">
        <f>_xlfn.XLOOKUP(C18,'Carrier Name Rename'!A:A,'Carrier Name Rename'!B:B)</f>
        <v>United Air Lines Inc.</v>
      </c>
      <c r="E18" t="s">
        <v>23</v>
      </c>
      <c r="F18" t="s">
        <v>24</v>
      </c>
      <c r="G18">
        <v>660</v>
      </c>
      <c r="H18">
        <v>123</v>
      </c>
      <c r="I18">
        <v>35.25</v>
      </c>
      <c r="J18">
        <v>3.61</v>
      </c>
      <c r="K18">
        <v>33.96</v>
      </c>
      <c r="L18">
        <v>0</v>
      </c>
      <c r="M18">
        <v>50.19</v>
      </c>
      <c r="N18">
        <v>0</v>
      </c>
      <c r="O18">
        <v>0</v>
      </c>
      <c r="P18">
        <v>6754</v>
      </c>
      <c r="Q18">
        <v>1796</v>
      </c>
      <c r="R18">
        <v>415</v>
      </c>
      <c r="S18">
        <v>1071</v>
      </c>
      <c r="T18">
        <v>0</v>
      </c>
      <c r="U18">
        <v>3472</v>
      </c>
      <c r="V18" s="1">
        <f t="shared" si="0"/>
        <v>0.18640000000000001</v>
      </c>
      <c r="W18" s="1">
        <f t="shared" si="1"/>
        <v>0</v>
      </c>
      <c r="X18" s="1">
        <f t="shared" si="2"/>
        <v>0</v>
      </c>
    </row>
    <row r="19" spans="1:24" x14ac:dyDescent="0.25">
      <c r="A19">
        <v>2025</v>
      </c>
      <c r="B19">
        <v>3</v>
      </c>
      <c r="C19" t="s">
        <v>43</v>
      </c>
      <c r="D19" t="str">
        <f>_xlfn.XLOOKUP(C19,'Carrier Name Rename'!A:A,'Carrier Name Rename'!B:B)</f>
        <v>Southwest Airlines Co.</v>
      </c>
      <c r="E19" t="s">
        <v>23</v>
      </c>
      <c r="F19" t="s">
        <v>24</v>
      </c>
      <c r="G19">
        <v>552</v>
      </c>
      <c r="H19">
        <v>114</v>
      </c>
      <c r="I19">
        <v>41.44</v>
      </c>
      <c r="J19">
        <v>1.86</v>
      </c>
      <c r="K19">
        <v>16.489999999999998</v>
      </c>
      <c r="L19">
        <v>0</v>
      </c>
      <c r="M19">
        <v>54.21</v>
      </c>
      <c r="N19">
        <v>1</v>
      </c>
      <c r="O19">
        <v>1</v>
      </c>
      <c r="P19">
        <v>4896</v>
      </c>
      <c r="Q19">
        <v>1670</v>
      </c>
      <c r="R19">
        <v>79</v>
      </c>
      <c r="S19">
        <v>556</v>
      </c>
      <c r="T19">
        <v>0</v>
      </c>
      <c r="U19">
        <v>2591</v>
      </c>
      <c r="V19" s="1">
        <f t="shared" si="0"/>
        <v>0.20649999999999999</v>
      </c>
      <c r="W19" s="1">
        <f t="shared" si="1"/>
        <v>1.8E-3</v>
      </c>
      <c r="X19" s="1">
        <f t="shared" si="2"/>
        <v>1.8E-3</v>
      </c>
    </row>
    <row r="20" spans="1:24" x14ac:dyDescent="0.25">
      <c r="A20">
        <v>2025</v>
      </c>
      <c r="B20">
        <v>3</v>
      </c>
      <c r="C20" t="s">
        <v>31</v>
      </c>
      <c r="D20" t="str">
        <f>_xlfn.XLOOKUP(C20,'Carrier Name Rename'!A:A,'Carrier Name Rename'!B:B)</f>
        <v>American Airlines Inc.</v>
      </c>
      <c r="E20" t="s">
        <v>23</v>
      </c>
      <c r="F20" t="s">
        <v>24</v>
      </c>
      <c r="G20">
        <v>439</v>
      </c>
      <c r="H20">
        <v>132</v>
      </c>
      <c r="I20">
        <v>43.93</v>
      </c>
      <c r="J20">
        <v>0.68</v>
      </c>
      <c r="K20">
        <v>42.09</v>
      </c>
      <c r="L20">
        <v>2</v>
      </c>
      <c r="M20">
        <v>43.3</v>
      </c>
      <c r="N20">
        <v>6</v>
      </c>
      <c r="O20">
        <v>0</v>
      </c>
      <c r="P20">
        <v>6334</v>
      </c>
      <c r="Q20">
        <v>2295</v>
      </c>
      <c r="R20">
        <v>42</v>
      </c>
      <c r="S20">
        <v>1317</v>
      </c>
      <c r="T20">
        <v>31</v>
      </c>
      <c r="U20">
        <v>2649</v>
      </c>
      <c r="V20" s="1">
        <f t="shared" si="0"/>
        <v>0.30070000000000002</v>
      </c>
      <c r="W20" s="1">
        <f t="shared" si="1"/>
        <v>1.37E-2</v>
      </c>
      <c r="X20" s="1">
        <f t="shared" si="2"/>
        <v>0</v>
      </c>
    </row>
    <row r="21" spans="1:24" x14ac:dyDescent="0.25">
      <c r="A21">
        <v>2025</v>
      </c>
      <c r="B21">
        <v>3</v>
      </c>
      <c r="C21" t="s">
        <v>33</v>
      </c>
      <c r="D21" t="str">
        <f>_xlfn.XLOOKUP(C21,'Carrier Name Rename'!A:A,'Carrier Name Rename'!B:B)</f>
        <v>Alaska Airlines Inc.</v>
      </c>
      <c r="E21" t="s">
        <v>23</v>
      </c>
      <c r="F21" t="s">
        <v>24</v>
      </c>
      <c r="G21">
        <v>5720</v>
      </c>
      <c r="H21">
        <v>1085</v>
      </c>
      <c r="I21">
        <v>221.65</v>
      </c>
      <c r="J21">
        <v>35.92</v>
      </c>
      <c r="K21">
        <v>433.98</v>
      </c>
      <c r="L21">
        <v>4.1500000000000004</v>
      </c>
      <c r="M21">
        <v>389.3</v>
      </c>
      <c r="N21">
        <v>41</v>
      </c>
      <c r="O21">
        <v>8</v>
      </c>
      <c r="P21">
        <v>57643</v>
      </c>
      <c r="Q21">
        <v>16613</v>
      </c>
      <c r="R21">
        <v>3239</v>
      </c>
      <c r="S21">
        <v>14311</v>
      </c>
      <c r="T21">
        <v>95</v>
      </c>
      <c r="U21">
        <v>23385</v>
      </c>
      <c r="V21" s="1">
        <f t="shared" si="0"/>
        <v>0.18970000000000001</v>
      </c>
      <c r="W21" s="1">
        <f t="shared" si="1"/>
        <v>7.1999999999999998E-3</v>
      </c>
      <c r="X21" s="1">
        <f t="shared" si="2"/>
        <v>1.4E-3</v>
      </c>
    </row>
    <row r="22" spans="1:24" x14ac:dyDescent="0.25">
      <c r="A22">
        <v>2025</v>
      </c>
      <c r="B22">
        <v>3</v>
      </c>
      <c r="C22" t="s">
        <v>35</v>
      </c>
      <c r="D22" t="str">
        <f>_xlfn.XLOOKUP(C22,'Carrier Name Rename'!A:A,'Carrier Name Rename'!B:B)</f>
        <v>JetBlue Airways</v>
      </c>
      <c r="E22" t="s">
        <v>23</v>
      </c>
      <c r="F22" t="s">
        <v>24</v>
      </c>
      <c r="G22">
        <v>31</v>
      </c>
      <c r="H22">
        <v>12</v>
      </c>
      <c r="I22">
        <v>3.84</v>
      </c>
      <c r="J22">
        <v>0</v>
      </c>
      <c r="K22">
        <v>2.4</v>
      </c>
      <c r="L22">
        <v>0</v>
      </c>
      <c r="M22">
        <v>5.76</v>
      </c>
      <c r="N22">
        <v>0</v>
      </c>
      <c r="O22">
        <v>0</v>
      </c>
      <c r="P22">
        <v>565</v>
      </c>
      <c r="Q22">
        <v>147</v>
      </c>
      <c r="R22">
        <v>0</v>
      </c>
      <c r="S22">
        <v>62</v>
      </c>
      <c r="T22">
        <v>0</v>
      </c>
      <c r="U22">
        <v>356</v>
      </c>
      <c r="V22" s="1">
        <f t="shared" si="0"/>
        <v>0.3871</v>
      </c>
      <c r="W22" s="1">
        <f t="shared" si="1"/>
        <v>0</v>
      </c>
      <c r="X22" s="1">
        <f t="shared" si="2"/>
        <v>0</v>
      </c>
    </row>
    <row r="23" spans="1:24" x14ac:dyDescent="0.25">
      <c r="A23">
        <v>2025</v>
      </c>
      <c r="B23">
        <v>3</v>
      </c>
      <c r="C23" t="s">
        <v>37</v>
      </c>
      <c r="D23" t="str">
        <f>_xlfn.XLOOKUP(C23,'Carrier Name Rename'!A:A,'Carrier Name Rename'!B:B)</f>
        <v>Delta Air Lines Inc.</v>
      </c>
      <c r="E23" t="s">
        <v>23</v>
      </c>
      <c r="F23" t="s">
        <v>24</v>
      </c>
      <c r="G23">
        <v>2591</v>
      </c>
      <c r="H23">
        <v>339</v>
      </c>
      <c r="I23">
        <v>124.93</v>
      </c>
      <c r="J23">
        <v>3.64</v>
      </c>
      <c r="K23">
        <v>89.13</v>
      </c>
      <c r="L23">
        <v>1</v>
      </c>
      <c r="M23">
        <v>120.3</v>
      </c>
      <c r="N23">
        <v>8</v>
      </c>
      <c r="O23">
        <v>16</v>
      </c>
      <c r="P23">
        <v>22428</v>
      </c>
      <c r="Q23">
        <v>9722</v>
      </c>
      <c r="R23">
        <v>389</v>
      </c>
      <c r="S23">
        <v>3464</v>
      </c>
      <c r="T23">
        <v>30</v>
      </c>
      <c r="U23">
        <v>8823</v>
      </c>
      <c r="V23" s="1">
        <f t="shared" si="0"/>
        <v>0.1308</v>
      </c>
      <c r="W23" s="1">
        <f t="shared" si="1"/>
        <v>3.0999999999999999E-3</v>
      </c>
      <c r="X23" s="1">
        <f t="shared" si="2"/>
        <v>6.1999999999999998E-3</v>
      </c>
    </row>
    <row r="24" spans="1:24" x14ac:dyDescent="0.25">
      <c r="A24">
        <v>2025</v>
      </c>
      <c r="B24">
        <v>3</v>
      </c>
      <c r="C24" t="s">
        <v>39</v>
      </c>
      <c r="D24" t="str">
        <f>_xlfn.XLOOKUP(C24,'Carrier Name Rename'!A:A,'Carrier Name Rename'!B:B)</f>
        <v>Frontier Airlines Inc.</v>
      </c>
      <c r="E24" t="s">
        <v>23</v>
      </c>
      <c r="F24" t="s">
        <v>24</v>
      </c>
      <c r="G24">
        <v>149</v>
      </c>
      <c r="H24">
        <v>29</v>
      </c>
      <c r="I24">
        <v>6.85</v>
      </c>
      <c r="J24">
        <v>0.65</v>
      </c>
      <c r="K24">
        <v>11.34</v>
      </c>
      <c r="L24">
        <v>0</v>
      </c>
      <c r="M24">
        <v>10.16</v>
      </c>
      <c r="N24">
        <v>1</v>
      </c>
      <c r="O24">
        <v>0</v>
      </c>
      <c r="P24">
        <v>1342</v>
      </c>
      <c r="Q24">
        <v>383</v>
      </c>
      <c r="R24">
        <v>17</v>
      </c>
      <c r="S24">
        <v>311</v>
      </c>
      <c r="T24">
        <v>0</v>
      </c>
      <c r="U24">
        <v>631</v>
      </c>
      <c r="V24" s="1">
        <f t="shared" si="0"/>
        <v>0.1946</v>
      </c>
      <c r="W24" s="1">
        <f t="shared" si="1"/>
        <v>6.7000000000000002E-3</v>
      </c>
      <c r="X24" s="1">
        <f t="shared" si="2"/>
        <v>0</v>
      </c>
    </row>
    <row r="25" spans="1:24" x14ac:dyDescent="0.25">
      <c r="A25">
        <v>2025</v>
      </c>
      <c r="B25">
        <v>2</v>
      </c>
      <c r="C25" t="s">
        <v>31</v>
      </c>
      <c r="D25" t="str">
        <f>_xlfn.XLOOKUP(C25,'Carrier Name Rename'!A:A,'Carrier Name Rename'!B:B)</f>
        <v>American Airlines Inc.</v>
      </c>
      <c r="E25" t="s">
        <v>23</v>
      </c>
      <c r="F25" t="s">
        <v>24</v>
      </c>
      <c r="G25">
        <v>345</v>
      </c>
      <c r="H25">
        <v>76</v>
      </c>
      <c r="I25">
        <v>29.61</v>
      </c>
      <c r="J25">
        <v>4.18</v>
      </c>
      <c r="K25">
        <v>23.9</v>
      </c>
      <c r="L25">
        <v>0</v>
      </c>
      <c r="M25">
        <v>18.309999999999999</v>
      </c>
      <c r="N25">
        <v>0</v>
      </c>
      <c r="O25">
        <v>0</v>
      </c>
      <c r="P25">
        <v>4885</v>
      </c>
      <c r="Q25">
        <v>1484</v>
      </c>
      <c r="R25">
        <v>1009</v>
      </c>
      <c r="S25">
        <v>922</v>
      </c>
      <c r="T25">
        <v>0</v>
      </c>
      <c r="U25">
        <v>1470</v>
      </c>
      <c r="V25" s="1">
        <f t="shared" si="0"/>
        <v>0.2203</v>
      </c>
      <c r="W25" s="1">
        <f t="shared" si="1"/>
        <v>0</v>
      </c>
      <c r="X25" s="1">
        <f t="shared" si="2"/>
        <v>0</v>
      </c>
    </row>
    <row r="26" spans="1:24" x14ac:dyDescent="0.25">
      <c r="A26">
        <v>2025</v>
      </c>
      <c r="B26">
        <v>2</v>
      </c>
      <c r="C26" t="s">
        <v>33</v>
      </c>
      <c r="D26" t="str">
        <f>_xlfn.XLOOKUP(C26,'Carrier Name Rename'!A:A,'Carrier Name Rename'!B:B)</f>
        <v>Alaska Airlines Inc.</v>
      </c>
      <c r="E26" t="s">
        <v>23</v>
      </c>
      <c r="F26" t="s">
        <v>24</v>
      </c>
      <c r="G26">
        <v>5005</v>
      </c>
      <c r="H26">
        <v>1065</v>
      </c>
      <c r="I26">
        <v>202.54</v>
      </c>
      <c r="J26">
        <v>40.049999999999997</v>
      </c>
      <c r="K26">
        <v>435.9</v>
      </c>
      <c r="L26">
        <v>7.76</v>
      </c>
      <c r="M26">
        <v>378.74</v>
      </c>
      <c r="N26">
        <v>124</v>
      </c>
      <c r="O26">
        <v>7</v>
      </c>
      <c r="P26">
        <v>58538</v>
      </c>
      <c r="Q26">
        <v>15525</v>
      </c>
      <c r="R26">
        <v>2827</v>
      </c>
      <c r="S26">
        <v>17318</v>
      </c>
      <c r="T26">
        <v>436</v>
      </c>
      <c r="U26">
        <v>22432</v>
      </c>
      <c r="V26" s="1">
        <f t="shared" si="0"/>
        <v>0.21279999999999999</v>
      </c>
      <c r="W26" s="1">
        <f t="shared" si="1"/>
        <v>2.4799999999999999E-2</v>
      </c>
      <c r="X26" s="1">
        <f t="shared" si="2"/>
        <v>1.4E-3</v>
      </c>
    </row>
    <row r="27" spans="1:24" x14ac:dyDescent="0.25">
      <c r="A27">
        <v>2025</v>
      </c>
      <c r="B27">
        <v>2</v>
      </c>
      <c r="C27" t="s">
        <v>35</v>
      </c>
      <c r="D27" t="str">
        <f>_xlfn.XLOOKUP(C27,'Carrier Name Rename'!A:A,'Carrier Name Rename'!B:B)</f>
        <v>JetBlue Airways</v>
      </c>
      <c r="E27" t="s">
        <v>23</v>
      </c>
      <c r="F27" t="s">
        <v>24</v>
      </c>
      <c r="G27">
        <v>28</v>
      </c>
      <c r="H27">
        <v>10</v>
      </c>
      <c r="I27">
        <v>3.76</v>
      </c>
      <c r="J27">
        <v>0.42</v>
      </c>
      <c r="K27">
        <v>3.58</v>
      </c>
      <c r="L27">
        <v>0</v>
      </c>
      <c r="M27">
        <v>2.25</v>
      </c>
      <c r="N27">
        <v>3</v>
      </c>
      <c r="O27">
        <v>0</v>
      </c>
      <c r="P27">
        <v>1225</v>
      </c>
      <c r="Q27">
        <v>457</v>
      </c>
      <c r="R27">
        <v>32</v>
      </c>
      <c r="S27">
        <v>276</v>
      </c>
      <c r="T27">
        <v>0</v>
      </c>
      <c r="U27">
        <v>460</v>
      </c>
      <c r="V27" s="1">
        <f t="shared" si="0"/>
        <v>0.35709999999999997</v>
      </c>
      <c r="W27" s="1">
        <f t="shared" si="1"/>
        <v>0.1071</v>
      </c>
      <c r="X27" s="1">
        <f t="shared" si="2"/>
        <v>0</v>
      </c>
    </row>
    <row r="28" spans="1:24" x14ac:dyDescent="0.25">
      <c r="A28">
        <v>2025</v>
      </c>
      <c r="B28">
        <v>2</v>
      </c>
      <c r="C28" t="s">
        <v>37</v>
      </c>
      <c r="D28" t="str">
        <f>_xlfn.XLOOKUP(C28,'Carrier Name Rename'!A:A,'Carrier Name Rename'!B:B)</f>
        <v>Delta Air Lines Inc.</v>
      </c>
      <c r="E28" t="s">
        <v>23</v>
      </c>
      <c r="F28" t="s">
        <v>24</v>
      </c>
      <c r="G28">
        <v>2131</v>
      </c>
      <c r="H28">
        <v>338</v>
      </c>
      <c r="I28">
        <v>106.08</v>
      </c>
      <c r="J28">
        <v>15.01</v>
      </c>
      <c r="K28">
        <v>116.62</v>
      </c>
      <c r="L28">
        <v>0</v>
      </c>
      <c r="M28">
        <v>100.29</v>
      </c>
      <c r="N28">
        <v>6</v>
      </c>
      <c r="O28">
        <v>2</v>
      </c>
      <c r="P28">
        <v>21716</v>
      </c>
      <c r="Q28">
        <v>8262</v>
      </c>
      <c r="R28">
        <v>1313</v>
      </c>
      <c r="S28">
        <v>4505</v>
      </c>
      <c r="T28">
        <v>0</v>
      </c>
      <c r="U28">
        <v>7636</v>
      </c>
      <c r="V28" s="1">
        <f t="shared" si="0"/>
        <v>0.15859999999999999</v>
      </c>
      <c r="W28" s="1">
        <f t="shared" si="1"/>
        <v>2.8E-3</v>
      </c>
      <c r="X28" s="1">
        <f t="shared" si="2"/>
        <v>8.9999999999999998E-4</v>
      </c>
    </row>
    <row r="29" spans="1:24" x14ac:dyDescent="0.25">
      <c r="A29">
        <v>2025</v>
      </c>
      <c r="B29">
        <v>2</v>
      </c>
      <c r="C29" t="s">
        <v>39</v>
      </c>
      <c r="D29" t="str">
        <f>_xlfn.XLOOKUP(C29,'Carrier Name Rename'!A:A,'Carrier Name Rename'!B:B)</f>
        <v>Frontier Airlines Inc.</v>
      </c>
      <c r="E29" t="s">
        <v>23</v>
      </c>
      <c r="F29" t="s">
        <v>24</v>
      </c>
      <c r="G29">
        <v>112</v>
      </c>
      <c r="H29">
        <v>19</v>
      </c>
      <c r="I29">
        <v>7.62</v>
      </c>
      <c r="J29">
        <v>0</v>
      </c>
      <c r="K29">
        <v>5.88</v>
      </c>
      <c r="L29">
        <v>0</v>
      </c>
      <c r="M29">
        <v>5.5</v>
      </c>
      <c r="N29">
        <v>0</v>
      </c>
      <c r="O29">
        <v>0</v>
      </c>
      <c r="P29">
        <v>1347</v>
      </c>
      <c r="Q29">
        <v>754</v>
      </c>
      <c r="R29">
        <v>0</v>
      </c>
      <c r="S29">
        <v>191</v>
      </c>
      <c r="T29">
        <v>0</v>
      </c>
      <c r="U29">
        <v>402</v>
      </c>
      <c r="V29" s="1">
        <f t="shared" si="0"/>
        <v>0.1696</v>
      </c>
      <c r="W29" s="1">
        <f t="shared" si="1"/>
        <v>0</v>
      </c>
      <c r="X29" s="1">
        <f t="shared" si="2"/>
        <v>0</v>
      </c>
    </row>
    <row r="30" spans="1:24" x14ac:dyDescent="0.25">
      <c r="A30">
        <v>2025</v>
      </c>
      <c r="B30">
        <v>2</v>
      </c>
      <c r="C30" t="s">
        <v>21</v>
      </c>
      <c r="D30" t="str">
        <f>_xlfn.XLOOKUP(C30,'Carrier Name Rename'!A:A,'Carrier Name Rename'!B:B)</f>
        <v>Hawaiian Airlines Inc.</v>
      </c>
      <c r="E30" t="s">
        <v>23</v>
      </c>
      <c r="F30" t="s">
        <v>24</v>
      </c>
      <c r="G30">
        <v>56</v>
      </c>
      <c r="H30">
        <v>14</v>
      </c>
      <c r="I30">
        <v>12.47</v>
      </c>
      <c r="J30">
        <v>0.53</v>
      </c>
      <c r="K30">
        <v>0</v>
      </c>
      <c r="L30">
        <v>0</v>
      </c>
      <c r="M30">
        <v>1</v>
      </c>
      <c r="N30">
        <v>0</v>
      </c>
      <c r="O30">
        <v>2</v>
      </c>
      <c r="P30">
        <v>1261</v>
      </c>
      <c r="Q30">
        <v>1213</v>
      </c>
      <c r="R30">
        <v>9</v>
      </c>
      <c r="S30">
        <v>0</v>
      </c>
      <c r="T30">
        <v>0</v>
      </c>
      <c r="U30">
        <v>39</v>
      </c>
      <c r="V30" s="1">
        <f t="shared" si="0"/>
        <v>0.25</v>
      </c>
      <c r="W30" s="1">
        <f t="shared" si="1"/>
        <v>0</v>
      </c>
      <c r="X30" s="1">
        <f t="shared" si="2"/>
        <v>3.5700000000000003E-2</v>
      </c>
    </row>
    <row r="31" spans="1:24" x14ac:dyDescent="0.25">
      <c r="A31">
        <v>2025</v>
      </c>
      <c r="B31">
        <v>2</v>
      </c>
      <c r="C31" t="s">
        <v>45</v>
      </c>
      <c r="D31" t="str">
        <f>_xlfn.XLOOKUP(C31,'Carrier Name Rename'!A:A,'Carrier Name Rename'!B:B)</f>
        <v>Envoy Air</v>
      </c>
      <c r="E31" t="s">
        <v>23</v>
      </c>
      <c r="F31" t="s">
        <v>24</v>
      </c>
      <c r="G31">
        <v>7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s="1">
        <f t="shared" si="0"/>
        <v>0</v>
      </c>
      <c r="W31" s="1">
        <f t="shared" si="1"/>
        <v>0</v>
      </c>
      <c r="X31" s="1">
        <f t="shared" si="2"/>
        <v>0</v>
      </c>
    </row>
    <row r="32" spans="1:24" x14ac:dyDescent="0.25">
      <c r="A32">
        <v>2025</v>
      </c>
      <c r="B32">
        <v>2</v>
      </c>
      <c r="C32" t="s">
        <v>25</v>
      </c>
      <c r="D32" t="str">
        <f>_xlfn.XLOOKUP(C32,'Carrier Name Rename'!A:A,'Carrier Name Rename'!B:B)</f>
        <v>Spirit Airlines</v>
      </c>
      <c r="E32" t="s">
        <v>23</v>
      </c>
      <c r="F32" t="s">
        <v>24</v>
      </c>
      <c r="G32">
        <v>61</v>
      </c>
      <c r="H32">
        <v>11</v>
      </c>
      <c r="I32">
        <v>5.49</v>
      </c>
      <c r="J32">
        <v>0</v>
      </c>
      <c r="K32">
        <v>3.64</v>
      </c>
      <c r="L32">
        <v>0</v>
      </c>
      <c r="M32">
        <v>1.87</v>
      </c>
      <c r="N32">
        <v>0</v>
      </c>
      <c r="O32">
        <v>0</v>
      </c>
      <c r="P32">
        <v>356</v>
      </c>
      <c r="Q32">
        <v>155</v>
      </c>
      <c r="R32">
        <v>0</v>
      </c>
      <c r="S32">
        <v>130</v>
      </c>
      <c r="T32">
        <v>0</v>
      </c>
      <c r="U32">
        <v>71</v>
      </c>
      <c r="V32" s="1">
        <f t="shared" si="0"/>
        <v>0.18029999999999999</v>
      </c>
      <c r="W32" s="1">
        <f t="shared" si="1"/>
        <v>0</v>
      </c>
      <c r="X32" s="1">
        <f t="shared" si="2"/>
        <v>0</v>
      </c>
    </row>
    <row r="33" spans="1:24" x14ac:dyDescent="0.25">
      <c r="A33">
        <v>2025</v>
      </c>
      <c r="B33">
        <v>2</v>
      </c>
      <c r="C33" t="s">
        <v>27</v>
      </c>
      <c r="D33" t="str">
        <f>_xlfn.XLOOKUP(C33,'Carrier Name Rename'!A:A,'Carrier Name Rename'!B:B)</f>
        <v>SkyWest Airlines Inc.</v>
      </c>
      <c r="E33" t="s">
        <v>23</v>
      </c>
      <c r="F33" t="s">
        <v>24</v>
      </c>
      <c r="G33">
        <v>1963</v>
      </c>
      <c r="H33">
        <v>460</v>
      </c>
      <c r="I33">
        <v>208.06</v>
      </c>
      <c r="J33">
        <v>85.01</v>
      </c>
      <c r="K33">
        <v>83.88</v>
      </c>
      <c r="L33">
        <v>0.1</v>
      </c>
      <c r="M33">
        <v>82.96</v>
      </c>
      <c r="N33">
        <v>21</v>
      </c>
      <c r="O33">
        <v>2</v>
      </c>
      <c r="P33">
        <v>30164</v>
      </c>
      <c r="Q33">
        <v>13476</v>
      </c>
      <c r="R33">
        <v>6296</v>
      </c>
      <c r="S33">
        <v>5059</v>
      </c>
      <c r="T33">
        <v>6</v>
      </c>
      <c r="U33">
        <v>5327</v>
      </c>
      <c r="V33" s="1">
        <f t="shared" si="0"/>
        <v>0.23430000000000001</v>
      </c>
      <c r="W33" s="1">
        <f t="shared" si="1"/>
        <v>1.0699999999999999E-2</v>
      </c>
      <c r="X33" s="1">
        <f t="shared" si="2"/>
        <v>1E-3</v>
      </c>
    </row>
    <row r="34" spans="1:24" x14ac:dyDescent="0.25">
      <c r="A34">
        <v>2025</v>
      </c>
      <c r="B34">
        <v>2</v>
      </c>
      <c r="C34" t="s">
        <v>29</v>
      </c>
      <c r="D34" t="str">
        <f>_xlfn.XLOOKUP(C34,'Carrier Name Rename'!A:A,'Carrier Name Rename'!B:B)</f>
        <v>Horizon Air</v>
      </c>
      <c r="E34" t="s">
        <v>23</v>
      </c>
      <c r="F34" t="s">
        <v>24</v>
      </c>
      <c r="G34">
        <v>1522</v>
      </c>
      <c r="H34">
        <v>414</v>
      </c>
      <c r="I34">
        <v>58.95</v>
      </c>
      <c r="J34">
        <v>19.190000000000001</v>
      </c>
      <c r="K34">
        <v>181.63</v>
      </c>
      <c r="L34">
        <v>0.03</v>
      </c>
      <c r="M34">
        <v>154.19999999999999</v>
      </c>
      <c r="N34">
        <v>34</v>
      </c>
      <c r="O34">
        <v>2</v>
      </c>
      <c r="P34">
        <v>20932</v>
      </c>
      <c r="Q34">
        <v>3500</v>
      </c>
      <c r="R34">
        <v>1968</v>
      </c>
      <c r="S34">
        <v>6138</v>
      </c>
      <c r="T34">
        <v>1</v>
      </c>
      <c r="U34">
        <v>9325</v>
      </c>
      <c r="V34" s="1">
        <f t="shared" si="0"/>
        <v>0.27200000000000002</v>
      </c>
      <c r="W34" s="1">
        <f t="shared" si="1"/>
        <v>2.23E-2</v>
      </c>
      <c r="X34" s="1">
        <f t="shared" si="2"/>
        <v>1.2999999999999999E-3</v>
      </c>
    </row>
    <row r="35" spans="1:24" x14ac:dyDescent="0.25">
      <c r="A35">
        <v>2025</v>
      </c>
      <c r="B35">
        <v>2</v>
      </c>
      <c r="C35" t="s">
        <v>41</v>
      </c>
      <c r="D35" t="str">
        <f>_xlfn.XLOOKUP(C35,'Carrier Name Rename'!A:A,'Carrier Name Rename'!B:B)</f>
        <v>United Air Lines Inc.</v>
      </c>
      <c r="E35" t="s">
        <v>23</v>
      </c>
      <c r="F35" t="s">
        <v>24</v>
      </c>
      <c r="G35">
        <v>554</v>
      </c>
      <c r="H35">
        <v>116</v>
      </c>
      <c r="I35">
        <v>43.71</v>
      </c>
      <c r="J35">
        <v>2.88</v>
      </c>
      <c r="K35">
        <v>46.83</v>
      </c>
      <c r="L35">
        <v>0</v>
      </c>
      <c r="M35">
        <v>22.57</v>
      </c>
      <c r="N35">
        <v>0</v>
      </c>
      <c r="O35">
        <v>1</v>
      </c>
      <c r="P35">
        <v>6288</v>
      </c>
      <c r="Q35">
        <v>2443</v>
      </c>
      <c r="R35">
        <v>203</v>
      </c>
      <c r="S35">
        <v>1788</v>
      </c>
      <c r="T35">
        <v>0</v>
      </c>
      <c r="U35">
        <v>1854</v>
      </c>
      <c r="V35" s="1">
        <f t="shared" si="0"/>
        <v>0.2094</v>
      </c>
      <c r="W35" s="1">
        <f t="shared" si="1"/>
        <v>0</v>
      </c>
      <c r="X35" s="1">
        <f t="shared" si="2"/>
        <v>1.8E-3</v>
      </c>
    </row>
    <row r="36" spans="1:24" x14ac:dyDescent="0.25">
      <c r="A36">
        <v>2025</v>
      </c>
      <c r="B36">
        <v>2</v>
      </c>
      <c r="C36" t="s">
        <v>43</v>
      </c>
      <c r="D36" t="str">
        <f>_xlfn.XLOOKUP(C36,'Carrier Name Rename'!A:A,'Carrier Name Rename'!B:B)</f>
        <v>Southwest Airlines Co.</v>
      </c>
      <c r="E36" t="s">
        <v>23</v>
      </c>
      <c r="F36" t="s">
        <v>24</v>
      </c>
      <c r="G36">
        <v>468</v>
      </c>
      <c r="H36">
        <v>89</v>
      </c>
      <c r="I36">
        <v>27.2</v>
      </c>
      <c r="J36">
        <v>0</v>
      </c>
      <c r="K36">
        <v>25.12</v>
      </c>
      <c r="L36">
        <v>0</v>
      </c>
      <c r="M36">
        <v>36.68</v>
      </c>
      <c r="N36">
        <v>1</v>
      </c>
      <c r="O36">
        <v>1</v>
      </c>
      <c r="P36">
        <v>4232</v>
      </c>
      <c r="Q36">
        <v>991</v>
      </c>
      <c r="R36">
        <v>0</v>
      </c>
      <c r="S36">
        <v>966</v>
      </c>
      <c r="T36">
        <v>0</v>
      </c>
      <c r="U36">
        <v>2275</v>
      </c>
      <c r="V36" s="1">
        <f t="shared" si="0"/>
        <v>0.19020000000000001</v>
      </c>
      <c r="W36" s="1">
        <f t="shared" si="1"/>
        <v>2.0999999999999999E-3</v>
      </c>
      <c r="X36" s="1">
        <f t="shared" si="2"/>
        <v>2.0999999999999999E-3</v>
      </c>
    </row>
    <row r="37" spans="1:24" x14ac:dyDescent="0.25">
      <c r="A37">
        <v>2025</v>
      </c>
      <c r="B37">
        <v>1</v>
      </c>
      <c r="C37" t="s">
        <v>21</v>
      </c>
      <c r="D37" t="str">
        <f>_xlfn.XLOOKUP(C37,'Carrier Name Rename'!A:A,'Carrier Name Rename'!B:B)</f>
        <v>Hawaiian Airlines Inc.</v>
      </c>
      <c r="E37" t="s">
        <v>23</v>
      </c>
      <c r="F37" t="s">
        <v>24</v>
      </c>
      <c r="G37">
        <v>68</v>
      </c>
      <c r="H37">
        <v>13</v>
      </c>
      <c r="I37">
        <v>10</v>
      </c>
      <c r="J37">
        <v>1</v>
      </c>
      <c r="K37">
        <v>0</v>
      </c>
      <c r="L37">
        <v>0</v>
      </c>
      <c r="M37">
        <v>2</v>
      </c>
      <c r="N37">
        <v>1</v>
      </c>
      <c r="O37">
        <v>0</v>
      </c>
      <c r="P37">
        <v>889</v>
      </c>
      <c r="Q37">
        <v>523</v>
      </c>
      <c r="R37">
        <v>265</v>
      </c>
      <c r="S37">
        <v>0</v>
      </c>
      <c r="T37">
        <v>0</v>
      </c>
      <c r="U37">
        <v>101</v>
      </c>
      <c r="V37" s="1">
        <f t="shared" si="0"/>
        <v>0.19120000000000001</v>
      </c>
      <c r="W37" s="1">
        <f t="shared" si="1"/>
        <v>1.47E-2</v>
      </c>
      <c r="X37" s="1">
        <f t="shared" si="2"/>
        <v>0</v>
      </c>
    </row>
    <row r="38" spans="1:24" x14ac:dyDescent="0.25">
      <c r="A38">
        <v>2025</v>
      </c>
      <c r="B38">
        <v>1</v>
      </c>
      <c r="C38" t="s">
        <v>45</v>
      </c>
      <c r="D38" t="str">
        <f>_xlfn.XLOOKUP(C38,'Carrier Name Rename'!A:A,'Carrier Name Rename'!B:B)</f>
        <v>Envoy Air</v>
      </c>
      <c r="E38" t="s">
        <v>23</v>
      </c>
      <c r="F38" t="s">
        <v>24</v>
      </c>
      <c r="G38">
        <v>14</v>
      </c>
      <c r="H38">
        <v>1</v>
      </c>
      <c r="I38">
        <v>0.72</v>
      </c>
      <c r="J38">
        <v>0</v>
      </c>
      <c r="K38">
        <v>0</v>
      </c>
      <c r="L38">
        <v>0</v>
      </c>
      <c r="M38">
        <v>0.28000000000000003</v>
      </c>
      <c r="N38">
        <v>0</v>
      </c>
      <c r="O38">
        <v>0</v>
      </c>
      <c r="P38">
        <v>18</v>
      </c>
      <c r="Q38">
        <v>13</v>
      </c>
      <c r="R38">
        <v>0</v>
      </c>
      <c r="S38">
        <v>0</v>
      </c>
      <c r="T38">
        <v>0</v>
      </c>
      <c r="U38">
        <v>5</v>
      </c>
      <c r="V38" s="1">
        <f t="shared" si="0"/>
        <v>7.1400000000000005E-2</v>
      </c>
      <c r="W38" s="1">
        <f t="shared" si="1"/>
        <v>0</v>
      </c>
      <c r="X38" s="1">
        <f t="shared" si="2"/>
        <v>0</v>
      </c>
    </row>
    <row r="39" spans="1:24" x14ac:dyDescent="0.25">
      <c r="A39">
        <v>2025</v>
      </c>
      <c r="B39">
        <v>1</v>
      </c>
      <c r="C39" t="s">
        <v>25</v>
      </c>
      <c r="D39" t="str">
        <f>_xlfn.XLOOKUP(C39,'Carrier Name Rename'!A:A,'Carrier Name Rename'!B:B)</f>
        <v>Spirit Airlines</v>
      </c>
      <c r="E39" t="s">
        <v>23</v>
      </c>
      <c r="F39" t="s">
        <v>24</v>
      </c>
      <c r="G39">
        <v>60</v>
      </c>
      <c r="H39">
        <v>6</v>
      </c>
      <c r="I39">
        <v>1.23</v>
      </c>
      <c r="J39">
        <v>0</v>
      </c>
      <c r="K39">
        <v>1.88</v>
      </c>
      <c r="L39">
        <v>0</v>
      </c>
      <c r="M39">
        <v>2.89</v>
      </c>
      <c r="N39">
        <v>0</v>
      </c>
      <c r="O39">
        <v>0</v>
      </c>
      <c r="P39">
        <v>289</v>
      </c>
      <c r="Q39">
        <v>43</v>
      </c>
      <c r="R39">
        <v>0</v>
      </c>
      <c r="S39">
        <v>127</v>
      </c>
      <c r="T39">
        <v>0</v>
      </c>
      <c r="U39">
        <v>119</v>
      </c>
      <c r="V39" s="1">
        <f t="shared" si="0"/>
        <v>0.1</v>
      </c>
      <c r="W39" s="1">
        <f t="shared" si="1"/>
        <v>0</v>
      </c>
      <c r="X39" s="1">
        <f t="shared" si="2"/>
        <v>0</v>
      </c>
    </row>
    <row r="40" spans="1:24" x14ac:dyDescent="0.25">
      <c r="A40">
        <v>2025</v>
      </c>
      <c r="B40">
        <v>1</v>
      </c>
      <c r="C40" t="s">
        <v>27</v>
      </c>
      <c r="D40" t="str">
        <f>_xlfn.XLOOKUP(C40,'Carrier Name Rename'!A:A,'Carrier Name Rename'!B:B)</f>
        <v>SkyWest Airlines Inc.</v>
      </c>
      <c r="E40" t="s">
        <v>23</v>
      </c>
      <c r="F40" t="s">
        <v>24</v>
      </c>
      <c r="G40">
        <v>2135</v>
      </c>
      <c r="H40">
        <v>338</v>
      </c>
      <c r="I40">
        <v>161.32</v>
      </c>
      <c r="J40">
        <v>66.83</v>
      </c>
      <c r="K40">
        <v>48.11</v>
      </c>
      <c r="L40">
        <v>1</v>
      </c>
      <c r="M40">
        <v>60.74</v>
      </c>
      <c r="N40">
        <v>23</v>
      </c>
      <c r="O40">
        <v>13</v>
      </c>
      <c r="P40">
        <v>24184</v>
      </c>
      <c r="Q40">
        <v>10386</v>
      </c>
      <c r="R40">
        <v>7214</v>
      </c>
      <c r="S40">
        <v>2841</v>
      </c>
      <c r="T40">
        <v>42</v>
      </c>
      <c r="U40">
        <v>3701</v>
      </c>
      <c r="V40" s="1">
        <f t="shared" si="0"/>
        <v>0.1583</v>
      </c>
      <c r="W40" s="1">
        <f t="shared" si="1"/>
        <v>1.0800000000000001E-2</v>
      </c>
      <c r="X40" s="1">
        <f t="shared" si="2"/>
        <v>6.1000000000000004E-3</v>
      </c>
    </row>
    <row r="41" spans="1:24" x14ac:dyDescent="0.25">
      <c r="A41">
        <v>2025</v>
      </c>
      <c r="B41">
        <v>1</v>
      </c>
      <c r="C41" t="s">
        <v>31</v>
      </c>
      <c r="D41" t="str">
        <f>_xlfn.XLOOKUP(C41,'Carrier Name Rename'!A:A,'Carrier Name Rename'!B:B)</f>
        <v>American Airlines Inc.</v>
      </c>
      <c r="E41" t="s">
        <v>23</v>
      </c>
      <c r="F41" t="s">
        <v>24</v>
      </c>
      <c r="G41">
        <v>374</v>
      </c>
      <c r="H41">
        <v>78</v>
      </c>
      <c r="I41">
        <v>36.950000000000003</v>
      </c>
      <c r="J41">
        <v>8.14</v>
      </c>
      <c r="K41">
        <v>19.48</v>
      </c>
      <c r="L41">
        <v>0</v>
      </c>
      <c r="M41">
        <v>13.43</v>
      </c>
      <c r="N41">
        <v>9</v>
      </c>
      <c r="O41">
        <v>0</v>
      </c>
      <c r="P41">
        <v>4403</v>
      </c>
      <c r="Q41">
        <v>1659</v>
      </c>
      <c r="R41">
        <v>977</v>
      </c>
      <c r="S41">
        <v>827</v>
      </c>
      <c r="T41">
        <v>0</v>
      </c>
      <c r="U41">
        <v>940</v>
      </c>
      <c r="V41" s="1">
        <f t="shared" si="0"/>
        <v>0.20860000000000001</v>
      </c>
      <c r="W41" s="1">
        <f t="shared" si="1"/>
        <v>2.41E-2</v>
      </c>
      <c r="X41" s="1">
        <f t="shared" si="2"/>
        <v>0</v>
      </c>
    </row>
    <row r="42" spans="1:24" x14ac:dyDescent="0.25">
      <c r="A42">
        <v>2025</v>
      </c>
      <c r="B42">
        <v>1</v>
      </c>
      <c r="C42" t="s">
        <v>33</v>
      </c>
      <c r="D42" t="str">
        <f>_xlfn.XLOOKUP(C42,'Carrier Name Rename'!A:A,'Carrier Name Rename'!B:B)</f>
        <v>Alaska Airlines Inc.</v>
      </c>
      <c r="E42" t="s">
        <v>23</v>
      </c>
      <c r="F42" t="s">
        <v>24</v>
      </c>
      <c r="G42">
        <v>5599</v>
      </c>
      <c r="H42">
        <v>1036</v>
      </c>
      <c r="I42">
        <v>226.9</v>
      </c>
      <c r="J42">
        <v>46.48</v>
      </c>
      <c r="K42">
        <v>410.03</v>
      </c>
      <c r="L42">
        <v>15.08</v>
      </c>
      <c r="M42">
        <v>337.51</v>
      </c>
      <c r="N42">
        <v>77</v>
      </c>
      <c r="O42">
        <v>7</v>
      </c>
      <c r="P42">
        <v>54450</v>
      </c>
      <c r="Q42">
        <v>15725</v>
      </c>
      <c r="R42">
        <v>3814</v>
      </c>
      <c r="S42">
        <v>13258</v>
      </c>
      <c r="T42">
        <v>504</v>
      </c>
      <c r="U42">
        <v>21149</v>
      </c>
      <c r="V42" s="1">
        <f t="shared" si="0"/>
        <v>0.185</v>
      </c>
      <c r="W42" s="1">
        <f t="shared" si="1"/>
        <v>1.38E-2</v>
      </c>
      <c r="X42" s="1">
        <f t="shared" si="2"/>
        <v>1.2999999999999999E-3</v>
      </c>
    </row>
    <row r="43" spans="1:24" x14ac:dyDescent="0.25">
      <c r="A43">
        <v>2025</v>
      </c>
      <c r="B43">
        <v>1</v>
      </c>
      <c r="C43" t="s">
        <v>35</v>
      </c>
      <c r="D43" t="str">
        <f>_xlfn.XLOOKUP(C43,'Carrier Name Rename'!A:A,'Carrier Name Rename'!B:B)</f>
        <v>JetBlue Airways</v>
      </c>
      <c r="E43" t="s">
        <v>23</v>
      </c>
      <c r="F43" t="s">
        <v>24</v>
      </c>
      <c r="G43">
        <v>31</v>
      </c>
      <c r="H43">
        <v>3</v>
      </c>
      <c r="I43">
        <v>0.97</v>
      </c>
      <c r="J43">
        <v>0</v>
      </c>
      <c r="K43">
        <v>1.27</v>
      </c>
      <c r="L43">
        <v>0</v>
      </c>
      <c r="M43">
        <v>0.76</v>
      </c>
      <c r="N43">
        <v>0</v>
      </c>
      <c r="O43">
        <v>0</v>
      </c>
      <c r="P43">
        <v>459</v>
      </c>
      <c r="Q43">
        <v>108</v>
      </c>
      <c r="R43">
        <v>0</v>
      </c>
      <c r="S43">
        <v>54</v>
      </c>
      <c r="T43">
        <v>0</v>
      </c>
      <c r="U43">
        <v>297</v>
      </c>
      <c r="V43" s="1">
        <f t="shared" si="0"/>
        <v>9.6799999999999997E-2</v>
      </c>
      <c r="W43" s="1">
        <f t="shared" si="1"/>
        <v>0</v>
      </c>
      <c r="X43" s="1">
        <f t="shared" si="2"/>
        <v>0</v>
      </c>
    </row>
    <row r="44" spans="1:24" x14ac:dyDescent="0.25">
      <c r="A44">
        <v>2025</v>
      </c>
      <c r="B44">
        <v>1</v>
      </c>
      <c r="C44" t="s">
        <v>37</v>
      </c>
      <c r="D44" t="str">
        <f>_xlfn.XLOOKUP(C44,'Carrier Name Rename'!A:A,'Carrier Name Rename'!B:B)</f>
        <v>Delta Air Lines Inc.</v>
      </c>
      <c r="E44" t="s">
        <v>23</v>
      </c>
      <c r="F44" t="s">
        <v>24</v>
      </c>
      <c r="G44">
        <v>2364</v>
      </c>
      <c r="H44">
        <v>338</v>
      </c>
      <c r="I44">
        <v>130.38999999999999</v>
      </c>
      <c r="J44">
        <v>15.48</v>
      </c>
      <c r="K44">
        <v>78.430000000000007</v>
      </c>
      <c r="L44">
        <v>1</v>
      </c>
      <c r="M44">
        <v>112.7</v>
      </c>
      <c r="N44">
        <v>21</v>
      </c>
      <c r="O44">
        <v>5</v>
      </c>
      <c r="P44">
        <v>28953</v>
      </c>
      <c r="Q44">
        <v>13457</v>
      </c>
      <c r="R44">
        <v>3564</v>
      </c>
      <c r="S44">
        <v>2777</v>
      </c>
      <c r="T44">
        <v>39</v>
      </c>
      <c r="U44">
        <v>9116</v>
      </c>
      <c r="V44" s="1">
        <f t="shared" si="0"/>
        <v>0.14299999999999999</v>
      </c>
      <c r="W44" s="1">
        <f t="shared" si="1"/>
        <v>8.8999999999999999E-3</v>
      </c>
      <c r="X44" s="1">
        <f t="shared" si="2"/>
        <v>2.0999999999999999E-3</v>
      </c>
    </row>
    <row r="45" spans="1:24" x14ac:dyDescent="0.25">
      <c r="A45">
        <v>2025</v>
      </c>
      <c r="B45">
        <v>1</v>
      </c>
      <c r="C45" t="s">
        <v>39</v>
      </c>
      <c r="D45" t="str">
        <f>_xlfn.XLOOKUP(C45,'Carrier Name Rename'!A:A,'Carrier Name Rename'!B:B)</f>
        <v>Frontier Airlines Inc.</v>
      </c>
      <c r="E45" t="s">
        <v>23</v>
      </c>
      <c r="F45" t="s">
        <v>24</v>
      </c>
      <c r="G45">
        <v>117</v>
      </c>
      <c r="H45">
        <v>20</v>
      </c>
      <c r="I45">
        <v>4.42</v>
      </c>
      <c r="J45">
        <v>1.24</v>
      </c>
      <c r="K45">
        <v>4.21</v>
      </c>
      <c r="L45">
        <v>0</v>
      </c>
      <c r="M45">
        <v>10.119999999999999</v>
      </c>
      <c r="N45">
        <v>2</v>
      </c>
      <c r="O45">
        <v>0</v>
      </c>
      <c r="P45">
        <v>1212</v>
      </c>
      <c r="Q45">
        <v>297</v>
      </c>
      <c r="R45">
        <v>40</v>
      </c>
      <c r="S45">
        <v>122</v>
      </c>
      <c r="T45">
        <v>0</v>
      </c>
      <c r="U45">
        <v>753</v>
      </c>
      <c r="V45" s="1">
        <f t="shared" si="0"/>
        <v>0.1709</v>
      </c>
      <c r="W45" s="1">
        <f t="shared" si="1"/>
        <v>1.7100000000000001E-2</v>
      </c>
      <c r="X45" s="1">
        <f t="shared" si="2"/>
        <v>0</v>
      </c>
    </row>
    <row r="46" spans="1:24" x14ac:dyDescent="0.25">
      <c r="A46">
        <v>2025</v>
      </c>
      <c r="B46">
        <v>1</v>
      </c>
      <c r="C46" t="s">
        <v>29</v>
      </c>
      <c r="D46" t="str">
        <f>_xlfn.XLOOKUP(C46,'Carrier Name Rename'!A:A,'Carrier Name Rename'!B:B)</f>
        <v>Horizon Air</v>
      </c>
      <c r="E46" t="s">
        <v>23</v>
      </c>
      <c r="F46" t="s">
        <v>24</v>
      </c>
      <c r="G46">
        <v>1732</v>
      </c>
      <c r="H46">
        <v>300</v>
      </c>
      <c r="I46">
        <v>66.150000000000006</v>
      </c>
      <c r="J46">
        <v>10.4</v>
      </c>
      <c r="K46">
        <v>111.05</v>
      </c>
      <c r="L46">
        <v>0.15</v>
      </c>
      <c r="M46">
        <v>112.24</v>
      </c>
      <c r="N46">
        <v>31</v>
      </c>
      <c r="O46">
        <v>2</v>
      </c>
      <c r="P46">
        <v>16712</v>
      </c>
      <c r="Q46">
        <v>5257</v>
      </c>
      <c r="R46">
        <v>1164</v>
      </c>
      <c r="S46">
        <v>3758</v>
      </c>
      <c r="T46">
        <v>14</v>
      </c>
      <c r="U46">
        <v>6519</v>
      </c>
      <c r="V46" s="1">
        <f t="shared" si="0"/>
        <v>0.17319999999999999</v>
      </c>
      <c r="W46" s="1">
        <f t="shared" si="1"/>
        <v>1.7899999999999999E-2</v>
      </c>
      <c r="X46" s="1">
        <f t="shared" si="2"/>
        <v>1.1999999999999999E-3</v>
      </c>
    </row>
    <row r="47" spans="1:24" x14ac:dyDescent="0.25">
      <c r="A47">
        <v>2025</v>
      </c>
      <c r="B47">
        <v>1</v>
      </c>
      <c r="C47" t="s">
        <v>41</v>
      </c>
      <c r="D47" t="str">
        <f>_xlfn.XLOOKUP(C47,'Carrier Name Rename'!A:A,'Carrier Name Rename'!B:B)</f>
        <v>United Air Lines Inc.</v>
      </c>
      <c r="E47" t="s">
        <v>23</v>
      </c>
      <c r="F47" t="s">
        <v>24</v>
      </c>
      <c r="G47">
        <v>611</v>
      </c>
      <c r="H47">
        <v>97</v>
      </c>
      <c r="I47">
        <v>37.86</v>
      </c>
      <c r="J47">
        <v>2.04</v>
      </c>
      <c r="K47">
        <v>23.91</v>
      </c>
      <c r="L47">
        <v>0</v>
      </c>
      <c r="M47">
        <v>33.19</v>
      </c>
      <c r="N47">
        <v>3</v>
      </c>
      <c r="O47">
        <v>2</v>
      </c>
      <c r="P47">
        <v>5726</v>
      </c>
      <c r="Q47">
        <v>1994</v>
      </c>
      <c r="R47">
        <v>150</v>
      </c>
      <c r="S47">
        <v>1026</v>
      </c>
      <c r="T47">
        <v>0</v>
      </c>
      <c r="U47">
        <v>2556</v>
      </c>
      <c r="V47" s="1">
        <f t="shared" si="0"/>
        <v>0.1588</v>
      </c>
      <c r="W47" s="1">
        <f t="shared" si="1"/>
        <v>4.8999999999999998E-3</v>
      </c>
      <c r="X47" s="1">
        <f t="shared" si="2"/>
        <v>3.3E-3</v>
      </c>
    </row>
    <row r="48" spans="1:24" x14ac:dyDescent="0.25">
      <c r="A48">
        <v>2025</v>
      </c>
      <c r="B48">
        <v>1</v>
      </c>
      <c r="C48" t="s">
        <v>43</v>
      </c>
      <c r="D48" t="str">
        <f>_xlfn.XLOOKUP(C48,'Carrier Name Rename'!A:A,'Carrier Name Rename'!B:B)</f>
        <v>Southwest Airlines Co.</v>
      </c>
      <c r="E48" t="s">
        <v>23</v>
      </c>
      <c r="F48" t="s">
        <v>24</v>
      </c>
      <c r="G48">
        <v>520</v>
      </c>
      <c r="H48">
        <v>85</v>
      </c>
      <c r="I48">
        <v>35.020000000000003</v>
      </c>
      <c r="J48">
        <v>0.86</v>
      </c>
      <c r="K48">
        <v>17.46</v>
      </c>
      <c r="L48">
        <v>0.34</v>
      </c>
      <c r="M48">
        <v>31.31</v>
      </c>
      <c r="N48">
        <v>0</v>
      </c>
      <c r="O48">
        <v>1</v>
      </c>
      <c r="P48">
        <v>4351</v>
      </c>
      <c r="Q48">
        <v>1731</v>
      </c>
      <c r="R48">
        <v>32</v>
      </c>
      <c r="S48">
        <v>734</v>
      </c>
      <c r="T48">
        <v>12</v>
      </c>
      <c r="U48">
        <v>1842</v>
      </c>
      <c r="V48" s="1">
        <f t="shared" si="0"/>
        <v>0.16350000000000001</v>
      </c>
      <c r="W48" s="1">
        <f t="shared" si="1"/>
        <v>0</v>
      </c>
      <c r="X48" s="1">
        <f t="shared" si="2"/>
        <v>1.9E-3</v>
      </c>
    </row>
    <row r="49" spans="1:24" x14ac:dyDescent="0.25">
      <c r="A49">
        <v>2024</v>
      </c>
      <c r="B49">
        <v>12</v>
      </c>
      <c r="C49" t="s">
        <v>25</v>
      </c>
      <c r="D49" t="str">
        <f>_xlfn.XLOOKUP(C49,'Carrier Name Rename'!A:A,'Carrier Name Rename'!B:B)</f>
        <v>Spirit Airlines</v>
      </c>
      <c r="E49" t="s">
        <v>23</v>
      </c>
      <c r="F49" t="s">
        <v>24</v>
      </c>
      <c r="G49">
        <v>70</v>
      </c>
      <c r="H49">
        <v>17</v>
      </c>
      <c r="I49">
        <v>3.49</v>
      </c>
      <c r="J49">
        <v>0</v>
      </c>
      <c r="K49">
        <v>7.68</v>
      </c>
      <c r="L49">
        <v>0.15</v>
      </c>
      <c r="M49">
        <v>5.68</v>
      </c>
      <c r="N49">
        <v>0</v>
      </c>
      <c r="O49">
        <v>0</v>
      </c>
      <c r="P49">
        <v>1055</v>
      </c>
      <c r="Q49">
        <v>161</v>
      </c>
      <c r="R49">
        <v>0</v>
      </c>
      <c r="S49">
        <v>527</v>
      </c>
      <c r="T49">
        <v>44</v>
      </c>
      <c r="U49">
        <v>323</v>
      </c>
      <c r="V49" s="1">
        <f t="shared" si="0"/>
        <v>0.2429</v>
      </c>
      <c r="W49" s="1">
        <f t="shared" si="1"/>
        <v>0</v>
      </c>
      <c r="X49" s="1">
        <f t="shared" si="2"/>
        <v>0</v>
      </c>
    </row>
    <row r="50" spans="1:24" x14ac:dyDescent="0.25">
      <c r="A50">
        <v>2024</v>
      </c>
      <c r="B50">
        <v>12</v>
      </c>
      <c r="C50" t="s">
        <v>27</v>
      </c>
      <c r="D50" t="str">
        <f>_xlfn.XLOOKUP(C50,'Carrier Name Rename'!A:A,'Carrier Name Rename'!B:B)</f>
        <v>SkyWest Airlines Inc.</v>
      </c>
      <c r="E50" t="s">
        <v>23</v>
      </c>
      <c r="F50" t="s">
        <v>24</v>
      </c>
      <c r="G50">
        <v>2087</v>
      </c>
      <c r="H50">
        <v>350</v>
      </c>
      <c r="I50">
        <v>152.02000000000001</v>
      </c>
      <c r="J50">
        <v>101.18</v>
      </c>
      <c r="K50">
        <v>49.9</v>
      </c>
      <c r="L50">
        <v>2</v>
      </c>
      <c r="M50">
        <v>44.89</v>
      </c>
      <c r="N50">
        <v>29</v>
      </c>
      <c r="O50">
        <v>9</v>
      </c>
      <c r="P50">
        <v>23147</v>
      </c>
      <c r="Q50">
        <v>8669</v>
      </c>
      <c r="R50">
        <v>9888</v>
      </c>
      <c r="S50">
        <v>2264</v>
      </c>
      <c r="T50">
        <v>155</v>
      </c>
      <c r="U50">
        <v>2171</v>
      </c>
      <c r="V50" s="1">
        <f t="shared" si="0"/>
        <v>0.16769999999999999</v>
      </c>
      <c r="W50" s="1">
        <f t="shared" si="1"/>
        <v>1.3899999999999999E-2</v>
      </c>
      <c r="X50" s="1">
        <f t="shared" si="2"/>
        <v>4.3E-3</v>
      </c>
    </row>
    <row r="51" spans="1:24" x14ac:dyDescent="0.25">
      <c r="A51">
        <v>2024</v>
      </c>
      <c r="B51">
        <v>12</v>
      </c>
      <c r="C51" t="s">
        <v>29</v>
      </c>
      <c r="D51" t="str">
        <f>_xlfn.XLOOKUP(C51,'Carrier Name Rename'!A:A,'Carrier Name Rename'!B:B)</f>
        <v>Horizon Air</v>
      </c>
      <c r="E51" t="s">
        <v>23</v>
      </c>
      <c r="F51" t="s">
        <v>24</v>
      </c>
      <c r="G51">
        <v>1788</v>
      </c>
      <c r="H51">
        <v>312</v>
      </c>
      <c r="I51">
        <v>61.5</v>
      </c>
      <c r="J51">
        <v>5.79</v>
      </c>
      <c r="K51">
        <v>118.03</v>
      </c>
      <c r="L51">
        <v>0.67</v>
      </c>
      <c r="M51">
        <v>126.01</v>
      </c>
      <c r="N51">
        <v>47</v>
      </c>
      <c r="O51">
        <v>1</v>
      </c>
      <c r="P51">
        <v>15378</v>
      </c>
      <c r="Q51">
        <v>3972</v>
      </c>
      <c r="R51">
        <v>474</v>
      </c>
      <c r="S51">
        <v>3698</v>
      </c>
      <c r="T51">
        <v>21</v>
      </c>
      <c r="U51">
        <v>7213</v>
      </c>
      <c r="V51" s="1">
        <f t="shared" si="0"/>
        <v>0.17449999999999999</v>
      </c>
      <c r="W51" s="1">
        <f t="shared" si="1"/>
        <v>2.63E-2</v>
      </c>
      <c r="X51" s="1">
        <f t="shared" si="2"/>
        <v>5.9999999999999995E-4</v>
      </c>
    </row>
    <row r="52" spans="1:24" x14ac:dyDescent="0.25">
      <c r="A52">
        <v>2024</v>
      </c>
      <c r="B52">
        <v>12</v>
      </c>
      <c r="C52" t="s">
        <v>41</v>
      </c>
      <c r="D52" t="str">
        <f>_xlfn.XLOOKUP(C52,'Carrier Name Rename'!A:A,'Carrier Name Rename'!B:B)</f>
        <v>United Air Lines Inc.</v>
      </c>
      <c r="E52" t="s">
        <v>23</v>
      </c>
      <c r="F52" t="s">
        <v>24</v>
      </c>
      <c r="G52">
        <v>643</v>
      </c>
      <c r="H52">
        <v>91</v>
      </c>
      <c r="I52">
        <v>33.07</v>
      </c>
      <c r="J52">
        <v>3.22</v>
      </c>
      <c r="K52">
        <v>16.079999999999998</v>
      </c>
      <c r="L52">
        <v>0</v>
      </c>
      <c r="M52">
        <v>38.630000000000003</v>
      </c>
      <c r="N52">
        <v>2</v>
      </c>
      <c r="O52">
        <v>2</v>
      </c>
      <c r="P52">
        <v>5003</v>
      </c>
      <c r="Q52">
        <v>1780</v>
      </c>
      <c r="R52">
        <v>517</v>
      </c>
      <c r="S52">
        <v>549</v>
      </c>
      <c r="T52">
        <v>0</v>
      </c>
      <c r="U52">
        <v>2157</v>
      </c>
      <c r="V52" s="1">
        <f t="shared" si="0"/>
        <v>0.14149999999999999</v>
      </c>
      <c r="W52" s="1">
        <f t="shared" si="1"/>
        <v>3.0999999999999999E-3</v>
      </c>
      <c r="X52" s="1">
        <f t="shared" si="2"/>
        <v>3.0999999999999999E-3</v>
      </c>
    </row>
    <row r="53" spans="1:24" x14ac:dyDescent="0.25">
      <c r="A53">
        <v>2024</v>
      </c>
      <c r="B53">
        <v>12</v>
      </c>
      <c r="C53" t="s">
        <v>43</v>
      </c>
      <c r="D53" t="str">
        <f>_xlfn.XLOOKUP(C53,'Carrier Name Rename'!A:A,'Carrier Name Rename'!B:B)</f>
        <v>Southwest Airlines Co.</v>
      </c>
      <c r="E53" t="s">
        <v>23</v>
      </c>
      <c r="F53" t="s">
        <v>24</v>
      </c>
      <c r="G53">
        <v>558</v>
      </c>
      <c r="H53">
        <v>129</v>
      </c>
      <c r="I53">
        <v>45.2</v>
      </c>
      <c r="J53">
        <v>0</v>
      </c>
      <c r="K53">
        <v>20.95</v>
      </c>
      <c r="L53">
        <v>0</v>
      </c>
      <c r="M53">
        <v>62.84</v>
      </c>
      <c r="N53">
        <v>1</v>
      </c>
      <c r="O53">
        <v>1</v>
      </c>
      <c r="P53">
        <v>6043</v>
      </c>
      <c r="Q53">
        <v>1944</v>
      </c>
      <c r="R53">
        <v>0</v>
      </c>
      <c r="S53">
        <v>641</v>
      </c>
      <c r="T53">
        <v>0</v>
      </c>
      <c r="U53">
        <v>3458</v>
      </c>
      <c r="V53" s="1">
        <f t="shared" si="0"/>
        <v>0.23119999999999999</v>
      </c>
      <c r="W53" s="1">
        <f t="shared" si="1"/>
        <v>1.8E-3</v>
      </c>
      <c r="X53" s="1">
        <f t="shared" si="2"/>
        <v>1.8E-3</v>
      </c>
    </row>
    <row r="54" spans="1:24" x14ac:dyDescent="0.25">
      <c r="A54">
        <v>2024</v>
      </c>
      <c r="B54">
        <v>12</v>
      </c>
      <c r="C54" t="s">
        <v>31</v>
      </c>
      <c r="D54" t="str">
        <f>_xlfn.XLOOKUP(C54,'Carrier Name Rename'!A:A,'Carrier Name Rename'!B:B)</f>
        <v>American Airlines Inc.</v>
      </c>
      <c r="E54" t="s">
        <v>23</v>
      </c>
      <c r="F54" t="s">
        <v>24</v>
      </c>
      <c r="G54">
        <v>444</v>
      </c>
      <c r="H54">
        <v>111</v>
      </c>
      <c r="I54">
        <v>44.29</v>
      </c>
      <c r="J54">
        <v>5.0999999999999996</v>
      </c>
      <c r="K54">
        <v>25.78</v>
      </c>
      <c r="L54">
        <v>0</v>
      </c>
      <c r="M54">
        <v>35.83</v>
      </c>
      <c r="N54">
        <v>6</v>
      </c>
      <c r="O54">
        <v>3</v>
      </c>
      <c r="P54">
        <v>6115</v>
      </c>
      <c r="Q54">
        <v>1954</v>
      </c>
      <c r="R54">
        <v>356</v>
      </c>
      <c r="S54">
        <v>978</v>
      </c>
      <c r="T54">
        <v>0</v>
      </c>
      <c r="U54">
        <v>2827</v>
      </c>
      <c r="V54" s="1">
        <f t="shared" si="0"/>
        <v>0.25</v>
      </c>
      <c r="W54" s="1">
        <f t="shared" si="1"/>
        <v>1.35E-2</v>
      </c>
      <c r="X54" s="1">
        <f t="shared" si="2"/>
        <v>6.7999999999999996E-3</v>
      </c>
    </row>
    <row r="55" spans="1:24" x14ac:dyDescent="0.25">
      <c r="A55">
        <v>2024</v>
      </c>
      <c r="B55">
        <v>12</v>
      </c>
      <c r="C55" t="s">
        <v>33</v>
      </c>
      <c r="D55" t="str">
        <f>_xlfn.XLOOKUP(C55,'Carrier Name Rename'!A:A,'Carrier Name Rename'!B:B)</f>
        <v>Alaska Airlines Inc.</v>
      </c>
      <c r="E55" t="s">
        <v>23</v>
      </c>
      <c r="F55" t="s">
        <v>24</v>
      </c>
      <c r="G55">
        <v>5939</v>
      </c>
      <c r="H55">
        <v>1140</v>
      </c>
      <c r="I55">
        <v>239.32</v>
      </c>
      <c r="J55">
        <v>32.340000000000003</v>
      </c>
      <c r="K55">
        <v>394.85</v>
      </c>
      <c r="L55">
        <v>12.31</v>
      </c>
      <c r="M55">
        <v>461.19</v>
      </c>
      <c r="N55">
        <v>37</v>
      </c>
      <c r="O55">
        <v>6</v>
      </c>
      <c r="P55">
        <v>62757</v>
      </c>
      <c r="Q55">
        <v>16603</v>
      </c>
      <c r="R55">
        <v>2541</v>
      </c>
      <c r="S55">
        <v>13429</v>
      </c>
      <c r="T55">
        <v>427</v>
      </c>
      <c r="U55">
        <v>29757</v>
      </c>
      <c r="V55" s="1">
        <f t="shared" si="0"/>
        <v>0.192</v>
      </c>
      <c r="W55" s="1">
        <f t="shared" si="1"/>
        <v>6.1999999999999998E-3</v>
      </c>
      <c r="X55" s="1">
        <f t="shared" si="2"/>
        <v>1E-3</v>
      </c>
    </row>
    <row r="56" spans="1:24" x14ac:dyDescent="0.25">
      <c r="A56">
        <v>2024</v>
      </c>
      <c r="B56">
        <v>12</v>
      </c>
      <c r="C56" t="s">
        <v>35</v>
      </c>
      <c r="D56" t="str">
        <f>_xlfn.XLOOKUP(C56,'Carrier Name Rename'!A:A,'Carrier Name Rename'!B:B)</f>
        <v>JetBlue Airways</v>
      </c>
      <c r="E56" t="s">
        <v>23</v>
      </c>
      <c r="F56" t="s">
        <v>24</v>
      </c>
      <c r="G56">
        <v>31</v>
      </c>
      <c r="H56">
        <v>8</v>
      </c>
      <c r="I56">
        <v>2.4300000000000002</v>
      </c>
      <c r="J56">
        <v>0</v>
      </c>
      <c r="K56">
        <v>5.16</v>
      </c>
      <c r="L56">
        <v>0</v>
      </c>
      <c r="M56">
        <v>0.41</v>
      </c>
      <c r="N56">
        <v>0</v>
      </c>
      <c r="O56">
        <v>0</v>
      </c>
      <c r="P56">
        <v>335</v>
      </c>
      <c r="Q56">
        <v>173</v>
      </c>
      <c r="R56">
        <v>0</v>
      </c>
      <c r="S56">
        <v>134</v>
      </c>
      <c r="T56">
        <v>0</v>
      </c>
      <c r="U56">
        <v>28</v>
      </c>
      <c r="V56" s="1">
        <f t="shared" si="0"/>
        <v>0.2581</v>
      </c>
      <c r="W56" s="1">
        <f t="shared" si="1"/>
        <v>0</v>
      </c>
      <c r="X56" s="1">
        <f t="shared" si="2"/>
        <v>0</v>
      </c>
    </row>
    <row r="57" spans="1:24" x14ac:dyDescent="0.25">
      <c r="A57">
        <v>2024</v>
      </c>
      <c r="B57">
        <v>12</v>
      </c>
      <c r="C57" t="s">
        <v>37</v>
      </c>
      <c r="D57" t="str">
        <f>_xlfn.XLOOKUP(C57,'Carrier Name Rename'!A:A,'Carrier Name Rename'!B:B)</f>
        <v>Delta Air Lines Inc.</v>
      </c>
      <c r="E57" t="s">
        <v>23</v>
      </c>
      <c r="F57" t="s">
        <v>24</v>
      </c>
      <c r="G57">
        <v>2626</v>
      </c>
      <c r="H57">
        <v>360</v>
      </c>
      <c r="I57">
        <v>130.56</v>
      </c>
      <c r="J57">
        <v>11.97</v>
      </c>
      <c r="K57">
        <v>78.22</v>
      </c>
      <c r="L57">
        <v>0</v>
      </c>
      <c r="M57">
        <v>139.25</v>
      </c>
      <c r="N57">
        <v>4</v>
      </c>
      <c r="O57">
        <v>4</v>
      </c>
      <c r="P57">
        <v>29880</v>
      </c>
      <c r="Q57">
        <v>12002</v>
      </c>
      <c r="R57">
        <v>3269</v>
      </c>
      <c r="S57">
        <v>2800</v>
      </c>
      <c r="T57">
        <v>0</v>
      </c>
      <c r="U57">
        <v>11809</v>
      </c>
      <c r="V57" s="1">
        <f t="shared" si="0"/>
        <v>0.1371</v>
      </c>
      <c r="W57" s="1">
        <f t="shared" si="1"/>
        <v>1.5E-3</v>
      </c>
      <c r="X57" s="1">
        <f t="shared" si="2"/>
        <v>1.5E-3</v>
      </c>
    </row>
    <row r="58" spans="1:24" x14ac:dyDescent="0.25">
      <c r="A58">
        <v>2024</v>
      </c>
      <c r="B58">
        <v>12</v>
      </c>
      <c r="C58" t="s">
        <v>39</v>
      </c>
      <c r="D58" t="str">
        <f>_xlfn.XLOOKUP(C58,'Carrier Name Rename'!A:A,'Carrier Name Rename'!B:B)</f>
        <v>Frontier Airlines Inc.</v>
      </c>
      <c r="E58" t="s">
        <v>23</v>
      </c>
      <c r="F58" t="s">
        <v>24</v>
      </c>
      <c r="G58">
        <v>112</v>
      </c>
      <c r="H58">
        <v>18</v>
      </c>
      <c r="I58">
        <v>3.56</v>
      </c>
      <c r="J58">
        <v>0</v>
      </c>
      <c r="K58">
        <v>6.13</v>
      </c>
      <c r="L58">
        <v>0</v>
      </c>
      <c r="M58">
        <v>8.31</v>
      </c>
      <c r="N58">
        <v>0</v>
      </c>
      <c r="O58">
        <v>0</v>
      </c>
      <c r="P58">
        <v>773</v>
      </c>
      <c r="Q58">
        <v>151</v>
      </c>
      <c r="R58">
        <v>0</v>
      </c>
      <c r="S58">
        <v>173</v>
      </c>
      <c r="T58">
        <v>0</v>
      </c>
      <c r="U58">
        <v>449</v>
      </c>
      <c r="V58" s="1">
        <f t="shared" si="0"/>
        <v>0.16070000000000001</v>
      </c>
      <c r="W58" s="1">
        <f t="shared" si="1"/>
        <v>0</v>
      </c>
      <c r="X58" s="1">
        <f t="shared" si="2"/>
        <v>0</v>
      </c>
    </row>
    <row r="59" spans="1:24" x14ac:dyDescent="0.25">
      <c r="A59">
        <v>2024</v>
      </c>
      <c r="B59">
        <v>12</v>
      </c>
      <c r="C59" t="s">
        <v>21</v>
      </c>
      <c r="D59" t="str">
        <f>_xlfn.XLOOKUP(C59,'Carrier Name Rename'!A:A,'Carrier Name Rename'!B:B)</f>
        <v>Hawaiian Airlines Inc.</v>
      </c>
      <c r="E59" t="s">
        <v>23</v>
      </c>
      <c r="F59" t="s">
        <v>24</v>
      </c>
      <c r="G59">
        <v>79</v>
      </c>
      <c r="H59">
        <v>26</v>
      </c>
      <c r="I59">
        <v>14.54</v>
      </c>
      <c r="J59">
        <v>0.63</v>
      </c>
      <c r="K59">
        <v>0</v>
      </c>
      <c r="L59">
        <v>0.82</v>
      </c>
      <c r="M59">
        <v>10.02</v>
      </c>
      <c r="N59">
        <v>3</v>
      </c>
      <c r="O59">
        <v>0</v>
      </c>
      <c r="P59">
        <v>1023</v>
      </c>
      <c r="Q59">
        <v>461</v>
      </c>
      <c r="R59">
        <v>25</v>
      </c>
      <c r="S59">
        <v>0</v>
      </c>
      <c r="T59">
        <v>56</v>
      </c>
      <c r="U59">
        <v>481</v>
      </c>
      <c r="V59" s="1">
        <f t="shared" si="0"/>
        <v>0.3291</v>
      </c>
      <c r="W59" s="1">
        <f t="shared" si="1"/>
        <v>3.7999999999999999E-2</v>
      </c>
      <c r="X59" s="1">
        <f t="shared" si="2"/>
        <v>0</v>
      </c>
    </row>
    <row r="60" spans="1:24" x14ac:dyDescent="0.25">
      <c r="A60">
        <v>2024</v>
      </c>
      <c r="B60">
        <v>11</v>
      </c>
      <c r="C60" t="s">
        <v>31</v>
      </c>
      <c r="D60" t="str">
        <f>_xlfn.XLOOKUP(C60,'Carrier Name Rename'!A:A,'Carrier Name Rename'!B:B)</f>
        <v>American Airlines Inc.</v>
      </c>
      <c r="E60" t="s">
        <v>23</v>
      </c>
      <c r="F60" t="s">
        <v>24</v>
      </c>
      <c r="G60">
        <v>372</v>
      </c>
      <c r="H60">
        <v>60</v>
      </c>
      <c r="I60">
        <v>22.71</v>
      </c>
      <c r="J60">
        <v>5</v>
      </c>
      <c r="K60">
        <v>19.510000000000002</v>
      </c>
      <c r="L60">
        <v>0</v>
      </c>
      <c r="M60">
        <v>12.78</v>
      </c>
      <c r="N60">
        <v>3</v>
      </c>
      <c r="O60">
        <v>1</v>
      </c>
      <c r="P60">
        <v>3436</v>
      </c>
      <c r="Q60">
        <v>927</v>
      </c>
      <c r="R60">
        <v>943</v>
      </c>
      <c r="S60">
        <v>707</v>
      </c>
      <c r="T60">
        <v>0</v>
      </c>
      <c r="U60">
        <v>859</v>
      </c>
      <c r="V60" s="1">
        <f t="shared" si="0"/>
        <v>0.1613</v>
      </c>
      <c r="W60" s="1">
        <f t="shared" si="1"/>
        <v>8.0999999999999996E-3</v>
      </c>
      <c r="X60" s="1">
        <f t="shared" si="2"/>
        <v>2.7000000000000001E-3</v>
      </c>
    </row>
    <row r="61" spans="1:24" x14ac:dyDescent="0.25">
      <c r="A61">
        <v>2024</v>
      </c>
      <c r="B61">
        <v>11</v>
      </c>
      <c r="C61" t="s">
        <v>33</v>
      </c>
      <c r="D61" t="str">
        <f>_xlfn.XLOOKUP(C61,'Carrier Name Rename'!A:A,'Carrier Name Rename'!B:B)</f>
        <v>Alaska Airlines Inc.</v>
      </c>
      <c r="E61" t="s">
        <v>23</v>
      </c>
      <c r="F61" t="s">
        <v>24</v>
      </c>
      <c r="G61">
        <v>5918</v>
      </c>
      <c r="H61">
        <v>857</v>
      </c>
      <c r="I61">
        <v>199.39</v>
      </c>
      <c r="J61">
        <v>9.41</v>
      </c>
      <c r="K61">
        <v>375.5</v>
      </c>
      <c r="L61">
        <v>7.09</v>
      </c>
      <c r="M61">
        <v>265.62</v>
      </c>
      <c r="N61">
        <v>34</v>
      </c>
      <c r="O61">
        <v>14</v>
      </c>
      <c r="P61">
        <v>39146</v>
      </c>
      <c r="Q61">
        <v>12233</v>
      </c>
      <c r="R61">
        <v>706</v>
      </c>
      <c r="S61">
        <v>11455</v>
      </c>
      <c r="T61">
        <v>274</v>
      </c>
      <c r="U61">
        <v>14478</v>
      </c>
      <c r="V61" s="1">
        <f t="shared" si="0"/>
        <v>0.14480000000000001</v>
      </c>
      <c r="W61" s="1">
        <f t="shared" si="1"/>
        <v>5.7000000000000002E-3</v>
      </c>
      <c r="X61" s="1">
        <f t="shared" si="2"/>
        <v>2.3999999999999998E-3</v>
      </c>
    </row>
    <row r="62" spans="1:24" x14ac:dyDescent="0.25">
      <c r="A62">
        <v>2024</v>
      </c>
      <c r="B62">
        <v>11</v>
      </c>
      <c r="C62" t="s">
        <v>35</v>
      </c>
      <c r="D62" t="str">
        <f>_xlfn.XLOOKUP(C62,'Carrier Name Rename'!A:A,'Carrier Name Rename'!B:B)</f>
        <v>JetBlue Airways</v>
      </c>
      <c r="E62" t="s">
        <v>23</v>
      </c>
      <c r="F62" t="s">
        <v>24</v>
      </c>
      <c r="G62">
        <v>30</v>
      </c>
      <c r="H62">
        <v>2</v>
      </c>
      <c r="I62">
        <v>0</v>
      </c>
      <c r="J62">
        <v>0</v>
      </c>
      <c r="K62">
        <v>2</v>
      </c>
      <c r="L62">
        <v>0</v>
      </c>
      <c r="M62">
        <v>0</v>
      </c>
      <c r="N62">
        <v>0</v>
      </c>
      <c r="O62">
        <v>0</v>
      </c>
      <c r="P62">
        <v>56</v>
      </c>
      <c r="Q62">
        <v>0</v>
      </c>
      <c r="R62">
        <v>0</v>
      </c>
      <c r="S62">
        <v>56</v>
      </c>
      <c r="T62">
        <v>0</v>
      </c>
      <c r="U62">
        <v>0</v>
      </c>
      <c r="V62" s="1">
        <f t="shared" si="0"/>
        <v>6.6699999999999995E-2</v>
      </c>
      <c r="W62" s="1">
        <f t="shared" si="1"/>
        <v>0</v>
      </c>
      <c r="X62" s="1">
        <f t="shared" si="2"/>
        <v>0</v>
      </c>
    </row>
    <row r="63" spans="1:24" x14ac:dyDescent="0.25">
      <c r="A63">
        <v>2024</v>
      </c>
      <c r="B63">
        <v>11</v>
      </c>
      <c r="C63" t="s">
        <v>37</v>
      </c>
      <c r="D63" t="str">
        <f>_xlfn.XLOOKUP(C63,'Carrier Name Rename'!A:A,'Carrier Name Rename'!B:B)</f>
        <v>Delta Air Lines Inc.</v>
      </c>
      <c r="E63" t="s">
        <v>23</v>
      </c>
      <c r="F63" t="s">
        <v>24</v>
      </c>
      <c r="G63">
        <v>2502</v>
      </c>
      <c r="H63">
        <v>218</v>
      </c>
      <c r="I63">
        <v>86.81</v>
      </c>
      <c r="J63">
        <v>10.43</v>
      </c>
      <c r="K63">
        <v>57.19</v>
      </c>
      <c r="L63">
        <v>0</v>
      </c>
      <c r="M63">
        <v>63.58</v>
      </c>
      <c r="N63">
        <v>6</v>
      </c>
      <c r="O63">
        <v>11</v>
      </c>
      <c r="P63">
        <v>15299</v>
      </c>
      <c r="Q63">
        <v>7445</v>
      </c>
      <c r="R63">
        <v>1064</v>
      </c>
      <c r="S63">
        <v>1995</v>
      </c>
      <c r="T63">
        <v>0</v>
      </c>
      <c r="U63">
        <v>4795</v>
      </c>
      <c r="V63" s="1">
        <f t="shared" si="0"/>
        <v>8.7099999999999997E-2</v>
      </c>
      <c r="W63" s="1">
        <f t="shared" si="1"/>
        <v>2.3999999999999998E-3</v>
      </c>
      <c r="X63" s="1">
        <f t="shared" si="2"/>
        <v>4.4000000000000003E-3</v>
      </c>
    </row>
    <row r="64" spans="1:24" x14ac:dyDescent="0.25">
      <c r="A64">
        <v>2024</v>
      </c>
      <c r="B64">
        <v>11</v>
      </c>
      <c r="C64" t="s">
        <v>39</v>
      </c>
      <c r="D64" t="str">
        <f>_xlfn.XLOOKUP(C64,'Carrier Name Rename'!A:A,'Carrier Name Rename'!B:B)</f>
        <v>Frontier Airlines Inc.</v>
      </c>
      <c r="E64" t="s">
        <v>23</v>
      </c>
      <c r="F64" t="s">
        <v>24</v>
      </c>
      <c r="G64">
        <v>147</v>
      </c>
      <c r="H64">
        <v>35</v>
      </c>
      <c r="I64">
        <v>8.5399999999999991</v>
      </c>
      <c r="J64">
        <v>0.74</v>
      </c>
      <c r="K64">
        <v>12.99</v>
      </c>
      <c r="L64">
        <v>0</v>
      </c>
      <c r="M64">
        <v>12.73</v>
      </c>
      <c r="N64">
        <v>3</v>
      </c>
      <c r="O64">
        <v>0</v>
      </c>
      <c r="P64">
        <v>2082</v>
      </c>
      <c r="Q64">
        <v>508</v>
      </c>
      <c r="R64">
        <v>31</v>
      </c>
      <c r="S64">
        <v>420</v>
      </c>
      <c r="T64">
        <v>0</v>
      </c>
      <c r="U64">
        <v>1123</v>
      </c>
      <c r="V64" s="1">
        <f t="shared" si="0"/>
        <v>0.23810000000000001</v>
      </c>
      <c r="W64" s="1">
        <f t="shared" si="1"/>
        <v>2.0400000000000001E-2</v>
      </c>
      <c r="X64" s="1">
        <f t="shared" si="2"/>
        <v>0</v>
      </c>
    </row>
    <row r="65" spans="1:24" x14ac:dyDescent="0.25">
      <c r="A65">
        <v>2024</v>
      </c>
      <c r="B65">
        <v>11</v>
      </c>
      <c r="C65" t="s">
        <v>21</v>
      </c>
      <c r="D65" t="str">
        <f>_xlfn.XLOOKUP(C65,'Carrier Name Rename'!A:A,'Carrier Name Rename'!B:B)</f>
        <v>Hawaiian Airlines Inc.</v>
      </c>
      <c r="E65" t="s">
        <v>23</v>
      </c>
      <c r="F65" t="s">
        <v>24</v>
      </c>
      <c r="G65">
        <v>65</v>
      </c>
      <c r="H65">
        <v>13</v>
      </c>
      <c r="I65">
        <v>9.33</v>
      </c>
      <c r="J65">
        <v>0</v>
      </c>
      <c r="K65">
        <v>0</v>
      </c>
      <c r="L65">
        <v>0</v>
      </c>
      <c r="M65">
        <v>3.67</v>
      </c>
      <c r="N65">
        <v>2</v>
      </c>
      <c r="O65">
        <v>0</v>
      </c>
      <c r="P65">
        <v>514</v>
      </c>
      <c r="Q65">
        <v>406</v>
      </c>
      <c r="R65">
        <v>0</v>
      </c>
      <c r="S65">
        <v>0</v>
      </c>
      <c r="T65">
        <v>0</v>
      </c>
      <c r="U65">
        <v>108</v>
      </c>
      <c r="V65" s="1">
        <f t="shared" si="0"/>
        <v>0.2</v>
      </c>
      <c r="W65" s="1">
        <f t="shared" si="1"/>
        <v>3.0800000000000001E-2</v>
      </c>
      <c r="X65" s="1">
        <f t="shared" si="2"/>
        <v>0</v>
      </c>
    </row>
    <row r="66" spans="1:24" x14ac:dyDescent="0.25">
      <c r="A66">
        <v>2024</v>
      </c>
      <c r="B66">
        <v>11</v>
      </c>
      <c r="C66" t="s">
        <v>45</v>
      </c>
      <c r="D66" t="str">
        <f>_xlfn.XLOOKUP(C66,'Carrier Name Rename'!A:A,'Carrier Name Rename'!B:B)</f>
        <v>Envoy Air</v>
      </c>
      <c r="E66" t="s">
        <v>23</v>
      </c>
      <c r="F66" t="s">
        <v>24</v>
      </c>
      <c r="G66">
        <v>10</v>
      </c>
      <c r="H66">
        <v>1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16</v>
      </c>
      <c r="Q66">
        <v>0</v>
      </c>
      <c r="R66">
        <v>0</v>
      </c>
      <c r="S66">
        <v>16</v>
      </c>
      <c r="T66">
        <v>0</v>
      </c>
      <c r="U66">
        <v>0</v>
      </c>
      <c r="V66" s="1">
        <f t="shared" si="0"/>
        <v>0.1</v>
      </c>
      <c r="W66" s="1">
        <f t="shared" si="1"/>
        <v>0</v>
      </c>
      <c r="X66" s="1">
        <f t="shared" si="2"/>
        <v>0</v>
      </c>
    </row>
    <row r="67" spans="1:24" x14ac:dyDescent="0.25">
      <c r="A67">
        <v>2024</v>
      </c>
      <c r="B67">
        <v>11</v>
      </c>
      <c r="C67" t="s">
        <v>25</v>
      </c>
      <c r="D67" t="str">
        <f>_xlfn.XLOOKUP(C67,'Carrier Name Rename'!A:A,'Carrier Name Rename'!B:B)</f>
        <v>Spirit Airlines</v>
      </c>
      <c r="E67" t="s">
        <v>23</v>
      </c>
      <c r="F67" t="s">
        <v>24</v>
      </c>
      <c r="G67">
        <v>79</v>
      </c>
      <c r="H67">
        <v>10</v>
      </c>
      <c r="I67">
        <v>2.04</v>
      </c>
      <c r="J67">
        <v>0</v>
      </c>
      <c r="K67">
        <v>3.48</v>
      </c>
      <c r="L67">
        <v>0</v>
      </c>
      <c r="M67">
        <v>4.47</v>
      </c>
      <c r="N67">
        <v>0</v>
      </c>
      <c r="O67">
        <v>0</v>
      </c>
      <c r="P67">
        <v>582</v>
      </c>
      <c r="Q67">
        <v>183</v>
      </c>
      <c r="R67">
        <v>0</v>
      </c>
      <c r="S67">
        <v>211</v>
      </c>
      <c r="T67">
        <v>0</v>
      </c>
      <c r="U67">
        <v>188</v>
      </c>
      <c r="V67" s="1">
        <f t="shared" ref="V67:V130" si="3">ROUND(H67/G67,4)</f>
        <v>0.12659999999999999</v>
      </c>
      <c r="W67" s="1">
        <f t="shared" ref="W67:W130" si="4">ROUND(N67/G67,4)</f>
        <v>0</v>
      </c>
      <c r="X67" s="1">
        <f t="shared" ref="X67:X130" si="5">ROUND(O67/G67,4)</f>
        <v>0</v>
      </c>
    </row>
    <row r="68" spans="1:24" x14ac:dyDescent="0.25">
      <c r="A68">
        <v>2024</v>
      </c>
      <c r="B68">
        <v>11</v>
      </c>
      <c r="C68" t="s">
        <v>27</v>
      </c>
      <c r="D68" t="str">
        <f>_xlfn.XLOOKUP(C68,'Carrier Name Rename'!A:A,'Carrier Name Rename'!B:B)</f>
        <v>SkyWest Airlines Inc.</v>
      </c>
      <c r="E68" t="s">
        <v>23</v>
      </c>
      <c r="F68" t="s">
        <v>24</v>
      </c>
      <c r="G68">
        <v>2084</v>
      </c>
      <c r="H68">
        <v>251</v>
      </c>
      <c r="I68">
        <v>153.91999999999999</v>
      </c>
      <c r="J68">
        <v>31.21</v>
      </c>
      <c r="K68">
        <v>35.18</v>
      </c>
      <c r="L68">
        <v>1</v>
      </c>
      <c r="M68">
        <v>29.69</v>
      </c>
      <c r="N68">
        <v>5</v>
      </c>
      <c r="O68">
        <v>1</v>
      </c>
      <c r="P68">
        <v>13558</v>
      </c>
      <c r="Q68">
        <v>7297</v>
      </c>
      <c r="R68">
        <v>2456</v>
      </c>
      <c r="S68">
        <v>2332</v>
      </c>
      <c r="T68">
        <v>63</v>
      </c>
      <c r="U68">
        <v>1410</v>
      </c>
      <c r="V68" s="1">
        <f t="shared" si="3"/>
        <v>0.12039999999999999</v>
      </c>
      <c r="W68" s="1">
        <f t="shared" si="4"/>
        <v>2.3999999999999998E-3</v>
      </c>
      <c r="X68" s="1">
        <f t="shared" si="5"/>
        <v>5.0000000000000001E-4</v>
      </c>
    </row>
    <row r="69" spans="1:24" x14ac:dyDescent="0.25">
      <c r="A69">
        <v>2024</v>
      </c>
      <c r="B69">
        <v>11</v>
      </c>
      <c r="C69" t="s">
        <v>29</v>
      </c>
      <c r="D69" t="str">
        <f>_xlfn.XLOOKUP(C69,'Carrier Name Rename'!A:A,'Carrier Name Rename'!B:B)</f>
        <v>Horizon Air</v>
      </c>
      <c r="E69" t="s">
        <v>23</v>
      </c>
      <c r="F69" t="s">
        <v>24</v>
      </c>
      <c r="G69">
        <v>1615</v>
      </c>
      <c r="H69">
        <v>196</v>
      </c>
      <c r="I69">
        <v>37.299999999999997</v>
      </c>
      <c r="J69">
        <v>2.73</v>
      </c>
      <c r="K69">
        <v>84.19</v>
      </c>
      <c r="L69">
        <v>2.62</v>
      </c>
      <c r="M69">
        <v>69.17</v>
      </c>
      <c r="N69">
        <v>24</v>
      </c>
      <c r="O69">
        <v>3</v>
      </c>
      <c r="P69">
        <v>10517</v>
      </c>
      <c r="Q69">
        <v>3023</v>
      </c>
      <c r="R69">
        <v>536</v>
      </c>
      <c r="S69">
        <v>2279</v>
      </c>
      <c r="T69">
        <v>63</v>
      </c>
      <c r="U69">
        <v>4616</v>
      </c>
      <c r="V69" s="1">
        <f t="shared" si="3"/>
        <v>0.12139999999999999</v>
      </c>
      <c r="W69" s="1">
        <f t="shared" si="4"/>
        <v>1.49E-2</v>
      </c>
      <c r="X69" s="1">
        <f t="shared" si="5"/>
        <v>1.9E-3</v>
      </c>
    </row>
    <row r="70" spans="1:24" x14ac:dyDescent="0.25">
      <c r="A70">
        <v>2024</v>
      </c>
      <c r="B70">
        <v>11</v>
      </c>
      <c r="C70" t="s">
        <v>41</v>
      </c>
      <c r="D70" t="str">
        <f>_xlfn.XLOOKUP(C70,'Carrier Name Rename'!A:A,'Carrier Name Rename'!B:B)</f>
        <v>United Air Lines Inc.</v>
      </c>
      <c r="E70" t="s">
        <v>23</v>
      </c>
      <c r="F70" t="s">
        <v>24</v>
      </c>
      <c r="G70">
        <v>709</v>
      </c>
      <c r="H70">
        <v>108</v>
      </c>
      <c r="I70">
        <v>29.69</v>
      </c>
      <c r="J70">
        <v>2.33</v>
      </c>
      <c r="K70">
        <v>34.83</v>
      </c>
      <c r="L70">
        <v>0</v>
      </c>
      <c r="M70">
        <v>41.15</v>
      </c>
      <c r="N70">
        <v>1</v>
      </c>
      <c r="O70">
        <v>0</v>
      </c>
      <c r="P70">
        <v>5547</v>
      </c>
      <c r="Q70">
        <v>1482</v>
      </c>
      <c r="R70">
        <v>120</v>
      </c>
      <c r="S70">
        <v>1264</v>
      </c>
      <c r="T70">
        <v>0</v>
      </c>
      <c r="U70">
        <v>2681</v>
      </c>
      <c r="V70" s="1">
        <f t="shared" si="3"/>
        <v>0.15229999999999999</v>
      </c>
      <c r="W70" s="1">
        <f t="shared" si="4"/>
        <v>1.4E-3</v>
      </c>
      <c r="X70" s="1">
        <f t="shared" si="5"/>
        <v>0</v>
      </c>
    </row>
    <row r="71" spans="1:24" x14ac:dyDescent="0.25">
      <c r="A71">
        <v>2024</v>
      </c>
      <c r="B71">
        <v>11</v>
      </c>
      <c r="C71" t="s">
        <v>43</v>
      </c>
      <c r="D71" t="str">
        <f>_xlfn.XLOOKUP(C71,'Carrier Name Rename'!A:A,'Carrier Name Rename'!B:B)</f>
        <v>Southwest Airlines Co.</v>
      </c>
      <c r="E71" t="s">
        <v>23</v>
      </c>
      <c r="F71" t="s">
        <v>24</v>
      </c>
      <c r="G71">
        <v>535</v>
      </c>
      <c r="H71">
        <v>91</v>
      </c>
      <c r="I71">
        <v>31.07</v>
      </c>
      <c r="J71">
        <v>1.5</v>
      </c>
      <c r="K71">
        <v>21.68</v>
      </c>
      <c r="L71">
        <v>0</v>
      </c>
      <c r="M71">
        <v>36.75</v>
      </c>
      <c r="N71">
        <v>2</v>
      </c>
      <c r="O71">
        <v>1</v>
      </c>
      <c r="P71">
        <v>4170</v>
      </c>
      <c r="Q71">
        <v>1404</v>
      </c>
      <c r="R71">
        <v>71</v>
      </c>
      <c r="S71">
        <v>735</v>
      </c>
      <c r="T71">
        <v>0</v>
      </c>
      <c r="U71">
        <v>1960</v>
      </c>
      <c r="V71" s="1">
        <f t="shared" si="3"/>
        <v>0.1701</v>
      </c>
      <c r="W71" s="1">
        <f t="shared" si="4"/>
        <v>3.7000000000000002E-3</v>
      </c>
      <c r="X71" s="1">
        <f t="shared" si="5"/>
        <v>1.9E-3</v>
      </c>
    </row>
    <row r="72" spans="1:24" x14ac:dyDescent="0.25">
      <c r="A72">
        <v>2024</v>
      </c>
      <c r="B72">
        <v>10</v>
      </c>
      <c r="C72" t="s">
        <v>27</v>
      </c>
      <c r="D72" t="str">
        <f>_xlfn.XLOOKUP(C72,'Carrier Name Rename'!A:A,'Carrier Name Rename'!B:B)</f>
        <v>SkyWest Airlines Inc.</v>
      </c>
      <c r="E72" t="s">
        <v>23</v>
      </c>
      <c r="F72" t="s">
        <v>24</v>
      </c>
      <c r="G72">
        <v>2100</v>
      </c>
      <c r="H72">
        <v>229</v>
      </c>
      <c r="I72">
        <v>137.4</v>
      </c>
      <c r="J72">
        <v>33.03</v>
      </c>
      <c r="K72">
        <v>24.52</v>
      </c>
      <c r="L72">
        <v>0</v>
      </c>
      <c r="M72">
        <v>34.06</v>
      </c>
      <c r="N72">
        <v>0</v>
      </c>
      <c r="O72">
        <v>2</v>
      </c>
      <c r="P72">
        <v>14154</v>
      </c>
      <c r="Q72">
        <v>8386</v>
      </c>
      <c r="R72">
        <v>2918</v>
      </c>
      <c r="S72">
        <v>1094</v>
      </c>
      <c r="T72">
        <v>0</v>
      </c>
      <c r="U72">
        <v>1756</v>
      </c>
      <c r="V72" s="1">
        <f t="shared" si="3"/>
        <v>0.109</v>
      </c>
      <c r="W72" s="1">
        <f t="shared" si="4"/>
        <v>0</v>
      </c>
      <c r="X72" s="1">
        <f t="shared" si="5"/>
        <v>1E-3</v>
      </c>
    </row>
    <row r="73" spans="1:24" x14ac:dyDescent="0.25">
      <c r="A73">
        <v>2024</v>
      </c>
      <c r="B73">
        <v>10</v>
      </c>
      <c r="C73" t="s">
        <v>29</v>
      </c>
      <c r="D73" t="str">
        <f>_xlfn.XLOOKUP(C73,'Carrier Name Rename'!A:A,'Carrier Name Rename'!B:B)</f>
        <v>Horizon Air</v>
      </c>
      <c r="E73" t="s">
        <v>23</v>
      </c>
      <c r="F73" t="s">
        <v>24</v>
      </c>
      <c r="G73">
        <v>1727</v>
      </c>
      <c r="H73">
        <v>221</v>
      </c>
      <c r="I73">
        <v>42.2</v>
      </c>
      <c r="J73">
        <v>1.92</v>
      </c>
      <c r="K73">
        <v>99.07</v>
      </c>
      <c r="L73">
        <v>1.54</v>
      </c>
      <c r="M73">
        <v>76.27</v>
      </c>
      <c r="N73">
        <v>4</v>
      </c>
      <c r="O73">
        <v>0</v>
      </c>
      <c r="P73">
        <v>9723</v>
      </c>
      <c r="Q73">
        <v>3295</v>
      </c>
      <c r="R73">
        <v>208</v>
      </c>
      <c r="S73">
        <v>2641</v>
      </c>
      <c r="T73">
        <v>84</v>
      </c>
      <c r="U73">
        <v>3495</v>
      </c>
      <c r="V73" s="1">
        <f t="shared" si="3"/>
        <v>0.128</v>
      </c>
      <c r="W73" s="1">
        <f t="shared" si="4"/>
        <v>2.3E-3</v>
      </c>
      <c r="X73" s="1">
        <f t="shared" si="5"/>
        <v>0</v>
      </c>
    </row>
    <row r="74" spans="1:24" x14ac:dyDescent="0.25">
      <c r="A74">
        <v>2024</v>
      </c>
      <c r="B74">
        <v>10</v>
      </c>
      <c r="C74" t="s">
        <v>41</v>
      </c>
      <c r="D74" t="str">
        <f>_xlfn.XLOOKUP(C74,'Carrier Name Rename'!A:A,'Carrier Name Rename'!B:B)</f>
        <v>United Air Lines Inc.</v>
      </c>
      <c r="E74" t="s">
        <v>23</v>
      </c>
      <c r="F74" t="s">
        <v>24</v>
      </c>
      <c r="G74">
        <v>799</v>
      </c>
      <c r="H74">
        <v>95</v>
      </c>
      <c r="I74">
        <v>28.5</v>
      </c>
      <c r="J74">
        <v>0</v>
      </c>
      <c r="K74">
        <v>36.6</v>
      </c>
      <c r="L74">
        <v>0</v>
      </c>
      <c r="M74">
        <v>29.9</v>
      </c>
      <c r="N74">
        <v>4</v>
      </c>
      <c r="O74">
        <v>1</v>
      </c>
      <c r="P74">
        <v>4367</v>
      </c>
      <c r="Q74">
        <v>1458</v>
      </c>
      <c r="R74">
        <v>0</v>
      </c>
      <c r="S74">
        <v>1035</v>
      </c>
      <c r="T74">
        <v>0</v>
      </c>
      <c r="U74">
        <v>1874</v>
      </c>
      <c r="V74" s="1">
        <f t="shared" si="3"/>
        <v>0.11890000000000001</v>
      </c>
      <c r="W74" s="1">
        <f t="shared" si="4"/>
        <v>5.0000000000000001E-3</v>
      </c>
      <c r="X74" s="1">
        <f t="shared" si="5"/>
        <v>1.2999999999999999E-3</v>
      </c>
    </row>
    <row r="75" spans="1:24" x14ac:dyDescent="0.25">
      <c r="A75">
        <v>2024</v>
      </c>
      <c r="B75">
        <v>10</v>
      </c>
      <c r="C75" t="s">
        <v>43</v>
      </c>
      <c r="D75" t="str">
        <f>_xlfn.XLOOKUP(C75,'Carrier Name Rename'!A:A,'Carrier Name Rename'!B:B)</f>
        <v>Southwest Airlines Co.</v>
      </c>
      <c r="E75" t="s">
        <v>23</v>
      </c>
      <c r="F75" t="s">
        <v>24</v>
      </c>
      <c r="G75">
        <v>654</v>
      </c>
      <c r="H75">
        <v>128</v>
      </c>
      <c r="I75">
        <v>44.69</v>
      </c>
      <c r="J75">
        <v>0</v>
      </c>
      <c r="K75">
        <v>34.01</v>
      </c>
      <c r="L75">
        <v>0</v>
      </c>
      <c r="M75">
        <v>49.3</v>
      </c>
      <c r="N75">
        <v>0</v>
      </c>
      <c r="O75">
        <v>0</v>
      </c>
      <c r="P75">
        <v>5178</v>
      </c>
      <c r="Q75">
        <v>1879</v>
      </c>
      <c r="R75">
        <v>0</v>
      </c>
      <c r="S75">
        <v>976</v>
      </c>
      <c r="T75">
        <v>0</v>
      </c>
      <c r="U75">
        <v>2323</v>
      </c>
      <c r="V75" s="1">
        <f t="shared" si="3"/>
        <v>0.19570000000000001</v>
      </c>
      <c r="W75" s="1">
        <f t="shared" si="4"/>
        <v>0</v>
      </c>
      <c r="X75" s="1">
        <f t="shared" si="5"/>
        <v>0</v>
      </c>
    </row>
    <row r="76" spans="1:24" x14ac:dyDescent="0.25">
      <c r="A76">
        <v>2024</v>
      </c>
      <c r="B76">
        <v>10</v>
      </c>
      <c r="C76" t="s">
        <v>31</v>
      </c>
      <c r="D76" t="str">
        <f>_xlfn.XLOOKUP(C76,'Carrier Name Rename'!A:A,'Carrier Name Rename'!B:B)</f>
        <v>American Airlines Inc.</v>
      </c>
      <c r="E76" t="s">
        <v>23</v>
      </c>
      <c r="F76" t="s">
        <v>24</v>
      </c>
      <c r="G76">
        <v>484</v>
      </c>
      <c r="H76">
        <v>96</v>
      </c>
      <c r="I76">
        <v>36.85</v>
      </c>
      <c r="J76">
        <v>0</v>
      </c>
      <c r="K76">
        <v>31.48</v>
      </c>
      <c r="L76">
        <v>0.31</v>
      </c>
      <c r="M76">
        <v>27.35</v>
      </c>
      <c r="N76">
        <v>1</v>
      </c>
      <c r="O76">
        <v>1</v>
      </c>
      <c r="P76">
        <v>5594</v>
      </c>
      <c r="Q76">
        <v>2735</v>
      </c>
      <c r="R76">
        <v>0</v>
      </c>
      <c r="S76">
        <v>1105</v>
      </c>
      <c r="T76">
        <v>22</v>
      </c>
      <c r="U76">
        <v>1732</v>
      </c>
      <c r="V76" s="1">
        <f t="shared" si="3"/>
        <v>0.1983</v>
      </c>
      <c r="W76" s="1">
        <f t="shared" si="4"/>
        <v>2.0999999999999999E-3</v>
      </c>
      <c r="X76" s="1">
        <f t="shared" si="5"/>
        <v>2.0999999999999999E-3</v>
      </c>
    </row>
    <row r="77" spans="1:24" x14ac:dyDescent="0.25">
      <c r="A77">
        <v>2024</v>
      </c>
      <c r="B77">
        <v>10</v>
      </c>
      <c r="C77" t="s">
        <v>33</v>
      </c>
      <c r="D77" t="str">
        <f>_xlfn.XLOOKUP(C77,'Carrier Name Rename'!A:A,'Carrier Name Rename'!B:B)</f>
        <v>Alaska Airlines Inc.</v>
      </c>
      <c r="E77" t="s">
        <v>23</v>
      </c>
      <c r="F77" t="s">
        <v>24</v>
      </c>
      <c r="G77">
        <v>6540</v>
      </c>
      <c r="H77">
        <v>925</v>
      </c>
      <c r="I77">
        <v>206.94</v>
      </c>
      <c r="J77">
        <v>20.34</v>
      </c>
      <c r="K77">
        <v>341.73</v>
      </c>
      <c r="L77">
        <v>7.92</v>
      </c>
      <c r="M77">
        <v>348.07</v>
      </c>
      <c r="N77">
        <v>55</v>
      </c>
      <c r="O77">
        <v>5</v>
      </c>
      <c r="P77">
        <v>46885</v>
      </c>
      <c r="Q77">
        <v>15511</v>
      </c>
      <c r="R77">
        <v>1894</v>
      </c>
      <c r="S77">
        <v>11133</v>
      </c>
      <c r="T77">
        <v>589</v>
      </c>
      <c r="U77">
        <v>17758</v>
      </c>
      <c r="V77" s="1">
        <f t="shared" si="3"/>
        <v>0.1414</v>
      </c>
      <c r="W77" s="1">
        <f t="shared" si="4"/>
        <v>8.3999999999999995E-3</v>
      </c>
      <c r="X77" s="1">
        <f t="shared" si="5"/>
        <v>8.0000000000000004E-4</v>
      </c>
    </row>
    <row r="78" spans="1:24" x14ac:dyDescent="0.25">
      <c r="A78">
        <v>2024</v>
      </c>
      <c r="B78">
        <v>10</v>
      </c>
      <c r="C78" t="s">
        <v>35</v>
      </c>
      <c r="D78" t="str">
        <f>_xlfn.XLOOKUP(C78,'Carrier Name Rename'!A:A,'Carrier Name Rename'!B:B)</f>
        <v>JetBlue Airways</v>
      </c>
      <c r="E78" t="s">
        <v>23</v>
      </c>
      <c r="F78" t="s">
        <v>24</v>
      </c>
      <c r="G78">
        <v>57</v>
      </c>
      <c r="H78">
        <v>10</v>
      </c>
      <c r="I78">
        <v>1.1299999999999999</v>
      </c>
      <c r="J78">
        <v>0</v>
      </c>
      <c r="K78">
        <v>7.63</v>
      </c>
      <c r="L78">
        <v>0</v>
      </c>
      <c r="M78">
        <v>1.25</v>
      </c>
      <c r="N78">
        <v>0</v>
      </c>
      <c r="O78">
        <v>0</v>
      </c>
      <c r="P78">
        <v>340</v>
      </c>
      <c r="Q78">
        <v>37</v>
      </c>
      <c r="R78">
        <v>0</v>
      </c>
      <c r="S78">
        <v>212</v>
      </c>
      <c r="T78">
        <v>0</v>
      </c>
      <c r="U78">
        <v>91</v>
      </c>
      <c r="V78" s="1">
        <f t="shared" si="3"/>
        <v>0.1754</v>
      </c>
      <c r="W78" s="1">
        <f t="shared" si="4"/>
        <v>0</v>
      </c>
      <c r="X78" s="1">
        <f t="shared" si="5"/>
        <v>0</v>
      </c>
    </row>
    <row r="79" spans="1:24" x14ac:dyDescent="0.25">
      <c r="A79">
        <v>2024</v>
      </c>
      <c r="B79">
        <v>10</v>
      </c>
      <c r="C79" t="s">
        <v>37</v>
      </c>
      <c r="D79" t="str">
        <f>_xlfn.XLOOKUP(C79,'Carrier Name Rename'!A:A,'Carrier Name Rename'!B:B)</f>
        <v>Delta Air Lines Inc.</v>
      </c>
      <c r="E79" t="s">
        <v>23</v>
      </c>
      <c r="F79" t="s">
        <v>24</v>
      </c>
      <c r="G79">
        <v>2732</v>
      </c>
      <c r="H79">
        <v>242</v>
      </c>
      <c r="I79">
        <v>97.85</v>
      </c>
      <c r="J79">
        <v>5.93</v>
      </c>
      <c r="K79">
        <v>63.68</v>
      </c>
      <c r="L79">
        <v>1</v>
      </c>
      <c r="M79">
        <v>73.53</v>
      </c>
      <c r="N79">
        <v>9</v>
      </c>
      <c r="O79">
        <v>1</v>
      </c>
      <c r="P79">
        <v>16241</v>
      </c>
      <c r="Q79">
        <v>8519</v>
      </c>
      <c r="R79">
        <v>1096</v>
      </c>
      <c r="S79">
        <v>1914</v>
      </c>
      <c r="T79">
        <v>55</v>
      </c>
      <c r="U79">
        <v>4657</v>
      </c>
      <c r="V79" s="1">
        <f t="shared" si="3"/>
        <v>8.8599999999999998E-2</v>
      </c>
      <c r="W79" s="1">
        <f t="shared" si="4"/>
        <v>3.3E-3</v>
      </c>
      <c r="X79" s="1">
        <f t="shared" si="5"/>
        <v>4.0000000000000002E-4</v>
      </c>
    </row>
    <row r="80" spans="1:24" x14ac:dyDescent="0.25">
      <c r="A80">
        <v>2024</v>
      </c>
      <c r="B80">
        <v>10</v>
      </c>
      <c r="C80" t="s">
        <v>39</v>
      </c>
      <c r="D80" t="str">
        <f>_xlfn.XLOOKUP(C80,'Carrier Name Rename'!A:A,'Carrier Name Rename'!B:B)</f>
        <v>Frontier Airlines Inc.</v>
      </c>
      <c r="E80" t="s">
        <v>23</v>
      </c>
      <c r="F80" t="s">
        <v>24</v>
      </c>
      <c r="G80">
        <v>148</v>
      </c>
      <c r="H80">
        <v>29</v>
      </c>
      <c r="I80">
        <v>5.0199999999999996</v>
      </c>
      <c r="J80">
        <v>0.02</v>
      </c>
      <c r="K80">
        <v>8.8699999999999992</v>
      </c>
      <c r="L80">
        <v>0</v>
      </c>
      <c r="M80">
        <v>15.09</v>
      </c>
      <c r="N80">
        <v>0</v>
      </c>
      <c r="O80">
        <v>0</v>
      </c>
      <c r="P80">
        <v>1456</v>
      </c>
      <c r="Q80">
        <v>244</v>
      </c>
      <c r="R80">
        <v>1</v>
      </c>
      <c r="S80">
        <v>268</v>
      </c>
      <c r="T80">
        <v>0</v>
      </c>
      <c r="U80">
        <v>943</v>
      </c>
      <c r="V80" s="1">
        <f t="shared" si="3"/>
        <v>0.19589999999999999</v>
      </c>
      <c r="W80" s="1">
        <f t="shared" si="4"/>
        <v>0</v>
      </c>
      <c r="X80" s="1">
        <f t="shared" si="5"/>
        <v>0</v>
      </c>
    </row>
    <row r="81" spans="1:24" x14ac:dyDescent="0.25">
      <c r="A81">
        <v>2024</v>
      </c>
      <c r="B81">
        <v>10</v>
      </c>
      <c r="C81" t="s">
        <v>21</v>
      </c>
      <c r="D81" t="str">
        <f>_xlfn.XLOOKUP(C81,'Carrier Name Rename'!A:A,'Carrier Name Rename'!B:B)</f>
        <v>Hawaiian Airlines Inc.</v>
      </c>
      <c r="E81" t="s">
        <v>23</v>
      </c>
      <c r="F81" t="s">
        <v>24</v>
      </c>
      <c r="G81">
        <v>62</v>
      </c>
      <c r="H81">
        <v>18</v>
      </c>
      <c r="I81">
        <v>16.309999999999999</v>
      </c>
      <c r="J81">
        <v>0</v>
      </c>
      <c r="K81">
        <v>0</v>
      </c>
      <c r="L81">
        <v>0</v>
      </c>
      <c r="M81">
        <v>1.69</v>
      </c>
      <c r="N81">
        <v>1</v>
      </c>
      <c r="O81">
        <v>0</v>
      </c>
      <c r="P81">
        <v>926</v>
      </c>
      <c r="Q81">
        <v>855</v>
      </c>
      <c r="R81">
        <v>0</v>
      </c>
      <c r="S81">
        <v>0</v>
      </c>
      <c r="T81">
        <v>0</v>
      </c>
      <c r="U81">
        <v>71</v>
      </c>
      <c r="V81" s="1">
        <f t="shared" si="3"/>
        <v>0.2903</v>
      </c>
      <c r="W81" s="1">
        <f t="shared" si="4"/>
        <v>1.61E-2</v>
      </c>
      <c r="X81" s="1">
        <f t="shared" si="5"/>
        <v>0</v>
      </c>
    </row>
    <row r="82" spans="1:24" x14ac:dyDescent="0.25">
      <c r="A82">
        <v>2024</v>
      </c>
      <c r="B82">
        <v>10</v>
      </c>
      <c r="C82" t="s">
        <v>45</v>
      </c>
      <c r="D82" t="str">
        <f>_xlfn.XLOOKUP(C82,'Carrier Name Rename'!A:A,'Carrier Name Rename'!B:B)</f>
        <v>Envoy Air</v>
      </c>
      <c r="E82" t="s">
        <v>23</v>
      </c>
      <c r="F82" t="s">
        <v>24</v>
      </c>
      <c r="G82">
        <v>81</v>
      </c>
      <c r="H82">
        <v>8</v>
      </c>
      <c r="I82">
        <v>2.96</v>
      </c>
      <c r="J82">
        <v>0</v>
      </c>
      <c r="K82">
        <v>3.02</v>
      </c>
      <c r="L82">
        <v>0</v>
      </c>
      <c r="M82">
        <v>2.02</v>
      </c>
      <c r="N82">
        <v>0</v>
      </c>
      <c r="O82">
        <v>0</v>
      </c>
      <c r="P82">
        <v>383</v>
      </c>
      <c r="Q82">
        <v>131</v>
      </c>
      <c r="R82">
        <v>0</v>
      </c>
      <c r="S82">
        <v>85</v>
      </c>
      <c r="T82">
        <v>0</v>
      </c>
      <c r="U82">
        <v>167</v>
      </c>
      <c r="V82" s="1">
        <f t="shared" si="3"/>
        <v>9.8799999999999999E-2</v>
      </c>
      <c r="W82" s="1">
        <f t="shared" si="4"/>
        <v>0</v>
      </c>
      <c r="X82" s="1">
        <f t="shared" si="5"/>
        <v>0</v>
      </c>
    </row>
    <row r="83" spans="1:24" x14ac:dyDescent="0.25">
      <c r="A83">
        <v>2024</v>
      </c>
      <c r="B83">
        <v>10</v>
      </c>
      <c r="C83" t="s">
        <v>25</v>
      </c>
      <c r="D83" t="str">
        <f>_xlfn.XLOOKUP(C83,'Carrier Name Rename'!A:A,'Carrier Name Rename'!B:B)</f>
        <v>Spirit Airlines</v>
      </c>
      <c r="E83" t="s">
        <v>23</v>
      </c>
      <c r="F83" t="s">
        <v>24</v>
      </c>
      <c r="G83">
        <v>99</v>
      </c>
      <c r="H83">
        <v>17</v>
      </c>
      <c r="I83">
        <v>3.48</v>
      </c>
      <c r="J83">
        <v>0</v>
      </c>
      <c r="K83">
        <v>10.73</v>
      </c>
      <c r="L83">
        <v>0</v>
      </c>
      <c r="M83">
        <v>2.79</v>
      </c>
      <c r="N83">
        <v>0</v>
      </c>
      <c r="O83">
        <v>0</v>
      </c>
      <c r="P83">
        <v>1687</v>
      </c>
      <c r="Q83">
        <v>990</v>
      </c>
      <c r="R83">
        <v>0</v>
      </c>
      <c r="S83">
        <v>552</v>
      </c>
      <c r="T83">
        <v>0</v>
      </c>
      <c r="U83">
        <v>145</v>
      </c>
      <c r="V83" s="1">
        <f t="shared" si="3"/>
        <v>0.17169999999999999</v>
      </c>
      <c r="W83" s="1">
        <f t="shared" si="4"/>
        <v>0</v>
      </c>
      <c r="X83" s="1">
        <f t="shared" si="5"/>
        <v>0</v>
      </c>
    </row>
    <row r="84" spans="1:24" x14ac:dyDescent="0.25">
      <c r="A84">
        <v>2024</v>
      </c>
      <c r="B84">
        <v>9</v>
      </c>
      <c r="C84" t="s">
        <v>31</v>
      </c>
      <c r="D84" t="str">
        <f>_xlfn.XLOOKUP(C84,'Carrier Name Rename'!A:A,'Carrier Name Rename'!B:B)</f>
        <v>American Airlines Inc.</v>
      </c>
      <c r="E84" t="s">
        <v>23</v>
      </c>
      <c r="F84" t="s">
        <v>24</v>
      </c>
      <c r="G84">
        <v>494</v>
      </c>
      <c r="H84">
        <v>96</v>
      </c>
      <c r="I84">
        <v>33.049999999999997</v>
      </c>
      <c r="J84">
        <v>3.32</v>
      </c>
      <c r="K84">
        <v>29.01</v>
      </c>
      <c r="L84">
        <v>0.63</v>
      </c>
      <c r="M84">
        <v>30</v>
      </c>
      <c r="N84">
        <v>4</v>
      </c>
      <c r="O84">
        <v>2</v>
      </c>
      <c r="P84">
        <v>6103</v>
      </c>
      <c r="Q84">
        <v>2401</v>
      </c>
      <c r="R84">
        <v>248</v>
      </c>
      <c r="S84">
        <v>958</v>
      </c>
      <c r="T84">
        <v>46</v>
      </c>
      <c r="U84">
        <v>2450</v>
      </c>
      <c r="V84" s="1">
        <f t="shared" si="3"/>
        <v>0.1943</v>
      </c>
      <c r="W84" s="1">
        <f t="shared" si="4"/>
        <v>8.0999999999999996E-3</v>
      </c>
      <c r="X84" s="1">
        <f t="shared" si="5"/>
        <v>4.0000000000000001E-3</v>
      </c>
    </row>
    <row r="85" spans="1:24" x14ac:dyDescent="0.25">
      <c r="A85">
        <v>2024</v>
      </c>
      <c r="B85">
        <v>9</v>
      </c>
      <c r="C85" t="s">
        <v>33</v>
      </c>
      <c r="D85" t="str">
        <f>_xlfn.XLOOKUP(C85,'Carrier Name Rename'!A:A,'Carrier Name Rename'!B:B)</f>
        <v>Alaska Airlines Inc.</v>
      </c>
      <c r="E85" t="s">
        <v>23</v>
      </c>
      <c r="F85" t="s">
        <v>24</v>
      </c>
      <c r="G85">
        <v>7225</v>
      </c>
      <c r="H85">
        <v>1439</v>
      </c>
      <c r="I85">
        <v>252.39</v>
      </c>
      <c r="J85">
        <v>21.24</v>
      </c>
      <c r="K85">
        <v>596.37</v>
      </c>
      <c r="L85">
        <v>8.18</v>
      </c>
      <c r="M85">
        <v>560.80999999999995</v>
      </c>
      <c r="N85">
        <v>54</v>
      </c>
      <c r="O85">
        <v>17</v>
      </c>
      <c r="P85">
        <v>70485</v>
      </c>
      <c r="Q85">
        <v>18116</v>
      </c>
      <c r="R85">
        <v>1564</v>
      </c>
      <c r="S85">
        <v>20424</v>
      </c>
      <c r="T85">
        <v>373</v>
      </c>
      <c r="U85">
        <v>30008</v>
      </c>
      <c r="V85" s="1">
        <f t="shared" si="3"/>
        <v>0.19919999999999999</v>
      </c>
      <c r="W85" s="1">
        <f t="shared" si="4"/>
        <v>7.4999999999999997E-3</v>
      </c>
      <c r="X85" s="1">
        <f t="shared" si="5"/>
        <v>2.3999999999999998E-3</v>
      </c>
    </row>
    <row r="86" spans="1:24" x14ac:dyDescent="0.25">
      <c r="A86">
        <v>2024</v>
      </c>
      <c r="B86">
        <v>9</v>
      </c>
      <c r="C86" t="s">
        <v>35</v>
      </c>
      <c r="D86" t="str">
        <f>_xlfn.XLOOKUP(C86,'Carrier Name Rename'!A:A,'Carrier Name Rename'!B:B)</f>
        <v>JetBlue Airways</v>
      </c>
      <c r="E86" t="s">
        <v>23</v>
      </c>
      <c r="F86" t="s">
        <v>24</v>
      </c>
      <c r="G86">
        <v>63</v>
      </c>
      <c r="H86">
        <v>5</v>
      </c>
      <c r="I86">
        <v>3.26</v>
      </c>
      <c r="J86">
        <v>0.71</v>
      </c>
      <c r="K86">
        <v>0.61</v>
      </c>
      <c r="L86">
        <v>0</v>
      </c>
      <c r="M86">
        <v>0.42</v>
      </c>
      <c r="N86">
        <v>0</v>
      </c>
      <c r="O86">
        <v>0</v>
      </c>
      <c r="P86">
        <v>236</v>
      </c>
      <c r="Q86">
        <v>145</v>
      </c>
      <c r="R86">
        <v>17</v>
      </c>
      <c r="S86">
        <v>36</v>
      </c>
      <c r="T86">
        <v>0</v>
      </c>
      <c r="U86">
        <v>38</v>
      </c>
      <c r="V86" s="1">
        <f t="shared" si="3"/>
        <v>7.9399999999999998E-2</v>
      </c>
      <c r="W86" s="1">
        <f t="shared" si="4"/>
        <v>0</v>
      </c>
      <c r="X86" s="1">
        <f t="shared" si="5"/>
        <v>0</v>
      </c>
    </row>
    <row r="87" spans="1:24" x14ac:dyDescent="0.25">
      <c r="A87">
        <v>2024</v>
      </c>
      <c r="B87">
        <v>9</v>
      </c>
      <c r="C87" t="s">
        <v>37</v>
      </c>
      <c r="D87" t="str">
        <f>_xlfn.XLOOKUP(C87,'Carrier Name Rename'!A:A,'Carrier Name Rename'!B:B)</f>
        <v>Delta Air Lines Inc.</v>
      </c>
      <c r="E87" t="s">
        <v>23</v>
      </c>
      <c r="F87" t="s">
        <v>24</v>
      </c>
      <c r="G87">
        <v>2762</v>
      </c>
      <c r="H87">
        <v>279</v>
      </c>
      <c r="I87">
        <v>113.41</v>
      </c>
      <c r="J87">
        <v>7.48</v>
      </c>
      <c r="K87">
        <v>80.52</v>
      </c>
      <c r="L87">
        <v>0</v>
      </c>
      <c r="M87">
        <v>77.59</v>
      </c>
      <c r="N87">
        <v>6</v>
      </c>
      <c r="O87">
        <v>2</v>
      </c>
      <c r="P87">
        <v>19531</v>
      </c>
      <c r="Q87">
        <v>11679</v>
      </c>
      <c r="R87">
        <v>1017</v>
      </c>
      <c r="S87">
        <v>2319</v>
      </c>
      <c r="T87">
        <v>0</v>
      </c>
      <c r="U87">
        <v>4516</v>
      </c>
      <c r="V87" s="1">
        <f t="shared" si="3"/>
        <v>0.10100000000000001</v>
      </c>
      <c r="W87" s="1">
        <f t="shared" si="4"/>
        <v>2.2000000000000001E-3</v>
      </c>
      <c r="X87" s="1">
        <f t="shared" si="5"/>
        <v>6.9999999999999999E-4</v>
      </c>
    </row>
    <row r="88" spans="1:24" x14ac:dyDescent="0.25">
      <c r="A88">
        <v>2024</v>
      </c>
      <c r="B88">
        <v>9</v>
      </c>
      <c r="C88" t="s">
        <v>39</v>
      </c>
      <c r="D88" t="str">
        <f>_xlfn.XLOOKUP(C88,'Carrier Name Rename'!A:A,'Carrier Name Rename'!B:B)</f>
        <v>Frontier Airlines Inc.</v>
      </c>
      <c r="E88" t="s">
        <v>23</v>
      </c>
      <c r="F88" t="s">
        <v>24</v>
      </c>
      <c r="G88">
        <v>141</v>
      </c>
      <c r="H88">
        <v>31</v>
      </c>
      <c r="I88">
        <v>7.28</v>
      </c>
      <c r="J88">
        <v>0.2</v>
      </c>
      <c r="K88">
        <v>11.6</v>
      </c>
      <c r="L88">
        <v>0</v>
      </c>
      <c r="M88">
        <v>11.92</v>
      </c>
      <c r="N88">
        <v>2</v>
      </c>
      <c r="O88">
        <v>0</v>
      </c>
      <c r="P88">
        <v>1612</v>
      </c>
      <c r="Q88">
        <v>355</v>
      </c>
      <c r="R88">
        <v>7</v>
      </c>
      <c r="S88">
        <v>372</v>
      </c>
      <c r="T88">
        <v>0</v>
      </c>
      <c r="U88">
        <v>878</v>
      </c>
      <c r="V88" s="1">
        <f t="shared" si="3"/>
        <v>0.21990000000000001</v>
      </c>
      <c r="W88" s="1">
        <f t="shared" si="4"/>
        <v>1.4200000000000001E-2</v>
      </c>
      <c r="X88" s="1">
        <f t="shared" si="5"/>
        <v>0</v>
      </c>
    </row>
    <row r="89" spans="1:24" x14ac:dyDescent="0.25">
      <c r="A89">
        <v>2024</v>
      </c>
      <c r="B89">
        <v>9</v>
      </c>
      <c r="C89" t="s">
        <v>21</v>
      </c>
      <c r="D89" t="str">
        <f>_xlfn.XLOOKUP(C89,'Carrier Name Rename'!A:A,'Carrier Name Rename'!B:B)</f>
        <v>Hawaiian Airlines Inc.</v>
      </c>
      <c r="E89" t="s">
        <v>23</v>
      </c>
      <c r="F89" t="s">
        <v>24</v>
      </c>
      <c r="G89">
        <v>60</v>
      </c>
      <c r="H89">
        <v>17</v>
      </c>
      <c r="I89">
        <v>13.95</v>
      </c>
      <c r="J89">
        <v>0</v>
      </c>
      <c r="K89">
        <v>1</v>
      </c>
      <c r="L89">
        <v>0</v>
      </c>
      <c r="M89">
        <v>2.0499999999999998</v>
      </c>
      <c r="N89">
        <v>0</v>
      </c>
      <c r="O89">
        <v>0</v>
      </c>
      <c r="P89">
        <v>615</v>
      </c>
      <c r="Q89">
        <v>516</v>
      </c>
      <c r="R89">
        <v>0</v>
      </c>
      <c r="S89">
        <v>16</v>
      </c>
      <c r="T89">
        <v>0</v>
      </c>
      <c r="U89">
        <v>83</v>
      </c>
      <c r="V89" s="1">
        <f t="shared" si="3"/>
        <v>0.2833</v>
      </c>
      <c r="W89" s="1">
        <f t="shared" si="4"/>
        <v>0</v>
      </c>
      <c r="X89" s="1">
        <f t="shared" si="5"/>
        <v>0</v>
      </c>
    </row>
    <row r="90" spans="1:24" x14ac:dyDescent="0.25">
      <c r="A90">
        <v>2024</v>
      </c>
      <c r="B90">
        <v>9</v>
      </c>
      <c r="C90" t="s">
        <v>45</v>
      </c>
      <c r="D90" t="str">
        <f>_xlfn.XLOOKUP(C90,'Carrier Name Rename'!A:A,'Carrier Name Rename'!B:B)</f>
        <v>Envoy Air</v>
      </c>
      <c r="E90" t="s">
        <v>23</v>
      </c>
      <c r="F90" t="s">
        <v>24</v>
      </c>
      <c r="G90">
        <v>48</v>
      </c>
      <c r="H90">
        <v>5</v>
      </c>
      <c r="I90">
        <v>1.5</v>
      </c>
      <c r="J90">
        <v>0</v>
      </c>
      <c r="K90">
        <v>3.03</v>
      </c>
      <c r="L90">
        <v>0</v>
      </c>
      <c r="M90">
        <v>0.47</v>
      </c>
      <c r="N90">
        <v>0</v>
      </c>
      <c r="O90">
        <v>0</v>
      </c>
      <c r="P90">
        <v>174</v>
      </c>
      <c r="Q90">
        <v>72</v>
      </c>
      <c r="R90">
        <v>0</v>
      </c>
      <c r="S90">
        <v>64</v>
      </c>
      <c r="T90">
        <v>0</v>
      </c>
      <c r="U90">
        <v>38</v>
      </c>
      <c r="V90" s="1">
        <f t="shared" si="3"/>
        <v>0.1042</v>
      </c>
      <c r="W90" s="1">
        <f t="shared" si="4"/>
        <v>0</v>
      </c>
      <c r="X90" s="1">
        <f t="shared" si="5"/>
        <v>0</v>
      </c>
    </row>
    <row r="91" spans="1:24" x14ac:dyDescent="0.25">
      <c r="A91">
        <v>2024</v>
      </c>
      <c r="B91">
        <v>9</v>
      </c>
      <c r="C91" t="s">
        <v>25</v>
      </c>
      <c r="D91" t="str">
        <f>_xlfn.XLOOKUP(C91,'Carrier Name Rename'!A:A,'Carrier Name Rename'!B:B)</f>
        <v>Spirit Airlines</v>
      </c>
      <c r="E91" t="s">
        <v>23</v>
      </c>
      <c r="F91" t="s">
        <v>24</v>
      </c>
      <c r="G91">
        <v>104</v>
      </c>
      <c r="H91">
        <v>15</v>
      </c>
      <c r="I91">
        <v>2.17</v>
      </c>
      <c r="J91">
        <v>0</v>
      </c>
      <c r="K91">
        <v>11.25</v>
      </c>
      <c r="L91">
        <v>0</v>
      </c>
      <c r="M91">
        <v>1.58</v>
      </c>
      <c r="N91">
        <v>0</v>
      </c>
      <c r="O91">
        <v>0</v>
      </c>
      <c r="P91">
        <v>558</v>
      </c>
      <c r="Q91">
        <v>82</v>
      </c>
      <c r="R91">
        <v>0</v>
      </c>
      <c r="S91">
        <v>405</v>
      </c>
      <c r="T91">
        <v>0</v>
      </c>
      <c r="U91">
        <v>71</v>
      </c>
      <c r="V91" s="1">
        <f t="shared" si="3"/>
        <v>0.14419999999999999</v>
      </c>
      <c r="W91" s="1">
        <f t="shared" si="4"/>
        <v>0</v>
      </c>
      <c r="X91" s="1">
        <f t="shared" si="5"/>
        <v>0</v>
      </c>
    </row>
    <row r="92" spans="1:24" x14ac:dyDescent="0.25">
      <c r="A92">
        <v>2024</v>
      </c>
      <c r="B92">
        <v>9</v>
      </c>
      <c r="C92" t="s">
        <v>27</v>
      </c>
      <c r="D92" t="str">
        <f>_xlfn.XLOOKUP(C92,'Carrier Name Rename'!A:A,'Carrier Name Rename'!B:B)</f>
        <v>SkyWest Airlines Inc.</v>
      </c>
      <c r="E92" t="s">
        <v>23</v>
      </c>
      <c r="F92" t="s">
        <v>24</v>
      </c>
      <c r="G92">
        <v>2216</v>
      </c>
      <c r="H92">
        <v>456</v>
      </c>
      <c r="I92">
        <v>169.44</v>
      </c>
      <c r="J92">
        <v>57.45</v>
      </c>
      <c r="K92">
        <v>140.49</v>
      </c>
      <c r="L92">
        <v>0</v>
      </c>
      <c r="M92">
        <v>88.63</v>
      </c>
      <c r="N92">
        <v>3</v>
      </c>
      <c r="O92">
        <v>3</v>
      </c>
      <c r="P92">
        <v>22873</v>
      </c>
      <c r="Q92">
        <v>9396</v>
      </c>
      <c r="R92">
        <v>3794</v>
      </c>
      <c r="S92">
        <v>4915</v>
      </c>
      <c r="T92">
        <v>0</v>
      </c>
      <c r="U92">
        <v>4768</v>
      </c>
      <c r="V92" s="1">
        <f t="shared" si="3"/>
        <v>0.20580000000000001</v>
      </c>
      <c r="W92" s="1">
        <f t="shared" si="4"/>
        <v>1.4E-3</v>
      </c>
      <c r="X92" s="1">
        <f t="shared" si="5"/>
        <v>1.4E-3</v>
      </c>
    </row>
    <row r="93" spans="1:24" x14ac:dyDescent="0.25">
      <c r="A93">
        <v>2024</v>
      </c>
      <c r="B93">
        <v>9</v>
      </c>
      <c r="C93" t="s">
        <v>29</v>
      </c>
      <c r="D93" t="str">
        <f>_xlfn.XLOOKUP(C93,'Carrier Name Rename'!A:A,'Carrier Name Rename'!B:B)</f>
        <v>Horizon Air</v>
      </c>
      <c r="E93" t="s">
        <v>23</v>
      </c>
      <c r="F93" t="s">
        <v>24</v>
      </c>
      <c r="G93">
        <v>1868</v>
      </c>
      <c r="H93">
        <v>435</v>
      </c>
      <c r="I93">
        <v>68.17</v>
      </c>
      <c r="J93">
        <v>6.39</v>
      </c>
      <c r="K93">
        <v>230.19</v>
      </c>
      <c r="L93">
        <v>0.49</v>
      </c>
      <c r="M93">
        <v>129.76</v>
      </c>
      <c r="N93">
        <v>2</v>
      </c>
      <c r="O93">
        <v>0</v>
      </c>
      <c r="P93">
        <v>17924</v>
      </c>
      <c r="Q93">
        <v>4647</v>
      </c>
      <c r="R93">
        <v>407</v>
      </c>
      <c r="S93">
        <v>7563</v>
      </c>
      <c r="T93">
        <v>22</v>
      </c>
      <c r="U93">
        <v>5285</v>
      </c>
      <c r="V93" s="1">
        <f t="shared" si="3"/>
        <v>0.2329</v>
      </c>
      <c r="W93" s="1">
        <f t="shared" si="4"/>
        <v>1.1000000000000001E-3</v>
      </c>
      <c r="X93" s="1">
        <f t="shared" si="5"/>
        <v>0</v>
      </c>
    </row>
    <row r="94" spans="1:24" x14ac:dyDescent="0.25">
      <c r="A94">
        <v>2024</v>
      </c>
      <c r="B94">
        <v>9</v>
      </c>
      <c r="C94" t="s">
        <v>41</v>
      </c>
      <c r="D94" t="str">
        <f>_xlfn.XLOOKUP(C94,'Carrier Name Rename'!A:A,'Carrier Name Rename'!B:B)</f>
        <v>United Air Lines Inc.</v>
      </c>
      <c r="E94" t="s">
        <v>23</v>
      </c>
      <c r="F94" t="s">
        <v>24</v>
      </c>
      <c r="G94">
        <v>848</v>
      </c>
      <c r="H94">
        <v>111</v>
      </c>
      <c r="I94">
        <v>33.32</v>
      </c>
      <c r="J94">
        <v>0.44</v>
      </c>
      <c r="K94">
        <v>39.81</v>
      </c>
      <c r="L94">
        <v>0</v>
      </c>
      <c r="M94">
        <v>37.43</v>
      </c>
      <c r="N94">
        <v>1</v>
      </c>
      <c r="O94">
        <v>1</v>
      </c>
      <c r="P94">
        <v>5912</v>
      </c>
      <c r="Q94">
        <v>1793</v>
      </c>
      <c r="R94">
        <v>46</v>
      </c>
      <c r="S94">
        <v>1498</v>
      </c>
      <c r="T94">
        <v>0</v>
      </c>
      <c r="U94">
        <v>2575</v>
      </c>
      <c r="V94" s="1">
        <f t="shared" si="3"/>
        <v>0.13089999999999999</v>
      </c>
      <c r="W94" s="1">
        <f t="shared" si="4"/>
        <v>1.1999999999999999E-3</v>
      </c>
      <c r="X94" s="1">
        <f t="shared" si="5"/>
        <v>1.1999999999999999E-3</v>
      </c>
    </row>
    <row r="95" spans="1:24" x14ac:dyDescent="0.25">
      <c r="A95">
        <v>2024</v>
      </c>
      <c r="B95">
        <v>9</v>
      </c>
      <c r="C95" t="s">
        <v>43</v>
      </c>
      <c r="D95" t="str">
        <f>_xlfn.XLOOKUP(C95,'Carrier Name Rename'!A:A,'Carrier Name Rename'!B:B)</f>
        <v>Southwest Airlines Co.</v>
      </c>
      <c r="E95" t="s">
        <v>23</v>
      </c>
      <c r="F95" t="s">
        <v>24</v>
      </c>
      <c r="G95">
        <v>849</v>
      </c>
      <c r="H95">
        <v>233</v>
      </c>
      <c r="I95">
        <v>56.73</v>
      </c>
      <c r="J95">
        <v>0.54</v>
      </c>
      <c r="K95">
        <v>113.57</v>
      </c>
      <c r="L95">
        <v>0</v>
      </c>
      <c r="M95">
        <v>62.15</v>
      </c>
      <c r="N95">
        <v>0</v>
      </c>
      <c r="O95">
        <v>2</v>
      </c>
      <c r="P95">
        <v>8541</v>
      </c>
      <c r="Q95">
        <v>2053</v>
      </c>
      <c r="R95">
        <v>32</v>
      </c>
      <c r="S95">
        <v>3608</v>
      </c>
      <c r="T95">
        <v>0</v>
      </c>
      <c r="U95">
        <v>2848</v>
      </c>
      <c r="V95" s="1">
        <f t="shared" si="3"/>
        <v>0.27439999999999998</v>
      </c>
      <c r="W95" s="1">
        <f t="shared" si="4"/>
        <v>0</v>
      </c>
      <c r="X95" s="1">
        <f t="shared" si="5"/>
        <v>2.3999999999999998E-3</v>
      </c>
    </row>
    <row r="96" spans="1:24" x14ac:dyDescent="0.25">
      <c r="A96">
        <v>2024</v>
      </c>
      <c r="B96">
        <v>8</v>
      </c>
      <c r="C96" t="s">
        <v>31</v>
      </c>
      <c r="D96" t="str">
        <f>_xlfn.XLOOKUP(C96,'Carrier Name Rename'!A:A,'Carrier Name Rename'!B:B)</f>
        <v>American Airlines Inc.</v>
      </c>
      <c r="E96" t="s">
        <v>23</v>
      </c>
      <c r="F96" t="s">
        <v>24</v>
      </c>
      <c r="G96">
        <v>601</v>
      </c>
      <c r="H96">
        <v>211</v>
      </c>
      <c r="I96">
        <v>83.4</v>
      </c>
      <c r="J96">
        <v>6.6</v>
      </c>
      <c r="K96">
        <v>46.79</v>
      </c>
      <c r="L96">
        <v>1.48</v>
      </c>
      <c r="M96">
        <v>72.72</v>
      </c>
      <c r="N96">
        <v>12</v>
      </c>
      <c r="O96">
        <v>1</v>
      </c>
      <c r="P96">
        <v>20187</v>
      </c>
      <c r="Q96">
        <v>8231</v>
      </c>
      <c r="R96">
        <v>1650</v>
      </c>
      <c r="S96">
        <v>2173</v>
      </c>
      <c r="T96">
        <v>81</v>
      </c>
      <c r="U96">
        <v>8052</v>
      </c>
      <c r="V96" s="1">
        <f t="shared" si="3"/>
        <v>0.35110000000000002</v>
      </c>
      <c r="W96" s="1">
        <f t="shared" si="4"/>
        <v>0.02</v>
      </c>
      <c r="X96" s="1">
        <f t="shared" si="5"/>
        <v>1.6999999999999999E-3</v>
      </c>
    </row>
    <row r="97" spans="1:24" x14ac:dyDescent="0.25">
      <c r="A97">
        <v>2024</v>
      </c>
      <c r="B97">
        <v>8</v>
      </c>
      <c r="C97" t="s">
        <v>33</v>
      </c>
      <c r="D97" t="str">
        <f>_xlfn.XLOOKUP(C97,'Carrier Name Rename'!A:A,'Carrier Name Rename'!B:B)</f>
        <v>Alaska Airlines Inc.</v>
      </c>
      <c r="E97" t="s">
        <v>23</v>
      </c>
      <c r="F97" t="s">
        <v>24</v>
      </c>
      <c r="G97">
        <v>7576</v>
      </c>
      <c r="H97">
        <v>1839</v>
      </c>
      <c r="I97">
        <v>307.49</v>
      </c>
      <c r="J97">
        <v>59.92</v>
      </c>
      <c r="K97">
        <v>649</v>
      </c>
      <c r="L97">
        <v>13.15</v>
      </c>
      <c r="M97">
        <v>809.43</v>
      </c>
      <c r="N97">
        <v>84</v>
      </c>
      <c r="O97">
        <v>27</v>
      </c>
      <c r="P97">
        <v>103175</v>
      </c>
      <c r="Q97">
        <v>22723</v>
      </c>
      <c r="R97">
        <v>5604</v>
      </c>
      <c r="S97">
        <v>27993</v>
      </c>
      <c r="T97">
        <v>512</v>
      </c>
      <c r="U97">
        <v>46343</v>
      </c>
      <c r="V97" s="1">
        <f t="shared" si="3"/>
        <v>0.2427</v>
      </c>
      <c r="W97" s="1">
        <f t="shared" si="4"/>
        <v>1.11E-2</v>
      </c>
      <c r="X97" s="1">
        <f t="shared" si="5"/>
        <v>3.5999999999999999E-3</v>
      </c>
    </row>
    <row r="98" spans="1:24" x14ac:dyDescent="0.25">
      <c r="A98">
        <v>2024</v>
      </c>
      <c r="B98">
        <v>8</v>
      </c>
      <c r="C98" t="s">
        <v>35</v>
      </c>
      <c r="D98" t="str">
        <f>_xlfn.XLOOKUP(C98,'Carrier Name Rename'!A:A,'Carrier Name Rename'!B:B)</f>
        <v>JetBlue Airways</v>
      </c>
      <c r="E98" t="s">
        <v>23</v>
      </c>
      <c r="F98" t="s">
        <v>24</v>
      </c>
      <c r="G98">
        <v>93</v>
      </c>
      <c r="H98">
        <v>44</v>
      </c>
      <c r="I98">
        <v>15.85</v>
      </c>
      <c r="J98">
        <v>0</v>
      </c>
      <c r="K98">
        <v>21.4</v>
      </c>
      <c r="L98">
        <v>0</v>
      </c>
      <c r="M98">
        <v>6.76</v>
      </c>
      <c r="N98">
        <v>2</v>
      </c>
      <c r="O98">
        <v>1</v>
      </c>
      <c r="P98">
        <v>2444</v>
      </c>
      <c r="Q98">
        <v>1142</v>
      </c>
      <c r="R98">
        <v>0</v>
      </c>
      <c r="S98">
        <v>909</v>
      </c>
      <c r="T98">
        <v>0</v>
      </c>
      <c r="U98">
        <v>393</v>
      </c>
      <c r="V98" s="1">
        <f t="shared" si="3"/>
        <v>0.47310000000000002</v>
      </c>
      <c r="W98" s="1">
        <f t="shared" si="4"/>
        <v>2.1499999999999998E-2</v>
      </c>
      <c r="X98" s="1">
        <f t="shared" si="5"/>
        <v>1.0800000000000001E-2</v>
      </c>
    </row>
    <row r="99" spans="1:24" x14ac:dyDescent="0.25">
      <c r="A99">
        <v>2024</v>
      </c>
      <c r="B99">
        <v>8</v>
      </c>
      <c r="C99" t="s">
        <v>37</v>
      </c>
      <c r="D99" t="str">
        <f>_xlfn.XLOOKUP(C99,'Carrier Name Rename'!A:A,'Carrier Name Rename'!B:B)</f>
        <v>Delta Air Lines Inc.</v>
      </c>
      <c r="E99" t="s">
        <v>23</v>
      </c>
      <c r="F99" t="s">
        <v>24</v>
      </c>
      <c r="G99">
        <v>2960</v>
      </c>
      <c r="H99">
        <v>499</v>
      </c>
      <c r="I99">
        <v>164.27</v>
      </c>
      <c r="J99">
        <v>16.79</v>
      </c>
      <c r="K99">
        <v>164.08</v>
      </c>
      <c r="L99">
        <v>1</v>
      </c>
      <c r="M99">
        <v>152.87</v>
      </c>
      <c r="N99">
        <v>11</v>
      </c>
      <c r="O99">
        <v>10</v>
      </c>
      <c r="P99">
        <v>36000</v>
      </c>
      <c r="Q99">
        <v>15534</v>
      </c>
      <c r="R99">
        <v>2654</v>
      </c>
      <c r="S99">
        <v>6653</v>
      </c>
      <c r="T99">
        <v>48</v>
      </c>
      <c r="U99">
        <v>11111</v>
      </c>
      <c r="V99" s="1">
        <f t="shared" si="3"/>
        <v>0.1686</v>
      </c>
      <c r="W99" s="1">
        <f t="shared" si="4"/>
        <v>3.7000000000000002E-3</v>
      </c>
      <c r="X99" s="1">
        <f t="shared" si="5"/>
        <v>3.3999999999999998E-3</v>
      </c>
    </row>
    <row r="100" spans="1:24" x14ac:dyDescent="0.25">
      <c r="A100">
        <v>2024</v>
      </c>
      <c r="B100">
        <v>8</v>
      </c>
      <c r="C100" t="s">
        <v>39</v>
      </c>
      <c r="D100" t="str">
        <f>_xlfn.XLOOKUP(C100,'Carrier Name Rename'!A:A,'Carrier Name Rename'!B:B)</f>
        <v>Frontier Airlines Inc.</v>
      </c>
      <c r="E100" t="s">
        <v>23</v>
      </c>
      <c r="F100" t="s">
        <v>24</v>
      </c>
      <c r="G100">
        <v>164</v>
      </c>
      <c r="H100">
        <v>48</v>
      </c>
      <c r="I100">
        <v>6.91</v>
      </c>
      <c r="J100">
        <v>0</v>
      </c>
      <c r="K100">
        <v>14.58</v>
      </c>
      <c r="L100">
        <v>0</v>
      </c>
      <c r="M100">
        <v>26.51</v>
      </c>
      <c r="N100">
        <v>5</v>
      </c>
      <c r="O100">
        <v>0</v>
      </c>
      <c r="P100">
        <v>2779</v>
      </c>
      <c r="Q100">
        <v>334</v>
      </c>
      <c r="R100">
        <v>0</v>
      </c>
      <c r="S100">
        <v>661</v>
      </c>
      <c r="T100">
        <v>0</v>
      </c>
      <c r="U100">
        <v>1784</v>
      </c>
      <c r="V100" s="1">
        <f t="shared" si="3"/>
        <v>0.29270000000000002</v>
      </c>
      <c r="W100" s="1">
        <f t="shared" si="4"/>
        <v>3.0499999999999999E-2</v>
      </c>
      <c r="X100" s="1">
        <f t="shared" si="5"/>
        <v>0</v>
      </c>
    </row>
    <row r="101" spans="1:24" x14ac:dyDescent="0.25">
      <c r="A101">
        <v>2024</v>
      </c>
      <c r="B101">
        <v>8</v>
      </c>
      <c r="C101" t="s">
        <v>21</v>
      </c>
      <c r="D101" t="str">
        <f>_xlfn.XLOOKUP(C101,'Carrier Name Rename'!A:A,'Carrier Name Rename'!B:B)</f>
        <v>Hawaiian Airlines Inc.</v>
      </c>
      <c r="E101" t="s">
        <v>23</v>
      </c>
      <c r="F101" t="s">
        <v>24</v>
      </c>
      <c r="G101">
        <v>62</v>
      </c>
      <c r="H101">
        <v>22</v>
      </c>
      <c r="I101">
        <v>18.63</v>
      </c>
      <c r="J101">
        <v>0.71</v>
      </c>
      <c r="K101">
        <v>0</v>
      </c>
      <c r="L101">
        <v>0</v>
      </c>
      <c r="M101">
        <v>2.66</v>
      </c>
      <c r="N101">
        <v>0</v>
      </c>
      <c r="O101">
        <v>0</v>
      </c>
      <c r="P101">
        <v>1061</v>
      </c>
      <c r="Q101">
        <v>790</v>
      </c>
      <c r="R101">
        <v>25</v>
      </c>
      <c r="S101">
        <v>0</v>
      </c>
      <c r="T101">
        <v>0</v>
      </c>
      <c r="U101">
        <v>246</v>
      </c>
      <c r="V101" s="1">
        <f t="shared" si="3"/>
        <v>0.3548</v>
      </c>
      <c r="W101" s="1">
        <f t="shared" si="4"/>
        <v>0</v>
      </c>
      <c r="X101" s="1">
        <f t="shared" si="5"/>
        <v>0</v>
      </c>
    </row>
    <row r="102" spans="1:24" x14ac:dyDescent="0.25">
      <c r="A102">
        <v>2024</v>
      </c>
      <c r="B102">
        <v>8</v>
      </c>
      <c r="C102" t="s">
        <v>45</v>
      </c>
      <c r="D102" t="str">
        <f>_xlfn.XLOOKUP(C102,'Carrier Name Rename'!A:A,'Carrier Name Rename'!B:B)</f>
        <v>Envoy Air</v>
      </c>
      <c r="E102" t="s">
        <v>23</v>
      </c>
      <c r="F102" t="s">
        <v>24</v>
      </c>
      <c r="G102">
        <v>46</v>
      </c>
      <c r="H102">
        <v>12</v>
      </c>
      <c r="I102">
        <v>4.46</v>
      </c>
      <c r="J102">
        <v>0.7</v>
      </c>
      <c r="K102">
        <v>3.02</v>
      </c>
      <c r="L102">
        <v>0</v>
      </c>
      <c r="M102">
        <v>3.82</v>
      </c>
      <c r="N102">
        <v>0</v>
      </c>
      <c r="O102">
        <v>1</v>
      </c>
      <c r="P102">
        <v>692</v>
      </c>
      <c r="Q102">
        <v>218</v>
      </c>
      <c r="R102">
        <v>100</v>
      </c>
      <c r="S102">
        <v>128</v>
      </c>
      <c r="T102">
        <v>0</v>
      </c>
      <c r="U102">
        <v>246</v>
      </c>
      <c r="V102" s="1">
        <f t="shared" si="3"/>
        <v>0.26090000000000002</v>
      </c>
      <c r="W102" s="1">
        <f t="shared" si="4"/>
        <v>0</v>
      </c>
      <c r="X102" s="1">
        <f t="shared" si="5"/>
        <v>2.1700000000000001E-2</v>
      </c>
    </row>
    <row r="103" spans="1:24" x14ac:dyDescent="0.25">
      <c r="A103">
        <v>2024</v>
      </c>
      <c r="B103">
        <v>8</v>
      </c>
      <c r="C103" t="s">
        <v>25</v>
      </c>
      <c r="D103" t="str">
        <f>_xlfn.XLOOKUP(C103,'Carrier Name Rename'!A:A,'Carrier Name Rename'!B:B)</f>
        <v>Spirit Airlines</v>
      </c>
      <c r="E103" t="s">
        <v>23</v>
      </c>
      <c r="F103" t="s">
        <v>24</v>
      </c>
      <c r="G103">
        <v>132</v>
      </c>
      <c r="H103">
        <v>48</v>
      </c>
      <c r="I103">
        <v>10.44</v>
      </c>
      <c r="J103">
        <v>2.5499999999999998</v>
      </c>
      <c r="K103">
        <v>27.19</v>
      </c>
      <c r="L103">
        <v>0</v>
      </c>
      <c r="M103">
        <v>7.82</v>
      </c>
      <c r="N103">
        <v>4</v>
      </c>
      <c r="O103">
        <v>0</v>
      </c>
      <c r="P103">
        <v>3035</v>
      </c>
      <c r="Q103">
        <v>525</v>
      </c>
      <c r="R103">
        <v>126</v>
      </c>
      <c r="S103">
        <v>1759</v>
      </c>
      <c r="T103">
        <v>0</v>
      </c>
      <c r="U103">
        <v>625</v>
      </c>
      <c r="V103" s="1">
        <f t="shared" si="3"/>
        <v>0.36359999999999998</v>
      </c>
      <c r="W103" s="1">
        <f t="shared" si="4"/>
        <v>3.0300000000000001E-2</v>
      </c>
      <c r="X103" s="1">
        <f t="shared" si="5"/>
        <v>0</v>
      </c>
    </row>
    <row r="104" spans="1:24" x14ac:dyDescent="0.25">
      <c r="A104">
        <v>2024</v>
      </c>
      <c r="B104">
        <v>8</v>
      </c>
      <c r="C104" t="s">
        <v>27</v>
      </c>
      <c r="D104" t="str">
        <f>_xlfn.XLOOKUP(C104,'Carrier Name Rename'!A:A,'Carrier Name Rename'!B:B)</f>
        <v>SkyWest Airlines Inc.</v>
      </c>
      <c r="E104" t="s">
        <v>23</v>
      </c>
      <c r="F104" t="s">
        <v>24</v>
      </c>
      <c r="G104">
        <v>2510</v>
      </c>
      <c r="H104">
        <v>511</v>
      </c>
      <c r="I104">
        <v>228.72</v>
      </c>
      <c r="J104">
        <v>57.62</v>
      </c>
      <c r="K104">
        <v>137.96</v>
      </c>
      <c r="L104">
        <v>3.6</v>
      </c>
      <c r="M104">
        <v>83.09</v>
      </c>
      <c r="N104">
        <v>6</v>
      </c>
      <c r="O104">
        <v>4</v>
      </c>
      <c r="P104">
        <v>29005</v>
      </c>
      <c r="Q104">
        <v>12114</v>
      </c>
      <c r="R104">
        <v>3901</v>
      </c>
      <c r="S104">
        <v>8141</v>
      </c>
      <c r="T104">
        <v>139</v>
      </c>
      <c r="U104">
        <v>4710</v>
      </c>
      <c r="V104" s="1">
        <f t="shared" si="3"/>
        <v>0.2036</v>
      </c>
      <c r="W104" s="1">
        <f t="shared" si="4"/>
        <v>2.3999999999999998E-3</v>
      </c>
      <c r="X104" s="1">
        <f t="shared" si="5"/>
        <v>1.6000000000000001E-3</v>
      </c>
    </row>
    <row r="105" spans="1:24" x14ac:dyDescent="0.25">
      <c r="A105">
        <v>2024</v>
      </c>
      <c r="B105">
        <v>8</v>
      </c>
      <c r="C105" t="s">
        <v>29</v>
      </c>
      <c r="D105" t="str">
        <f>_xlfn.XLOOKUP(C105,'Carrier Name Rename'!A:A,'Carrier Name Rename'!B:B)</f>
        <v>Horizon Air</v>
      </c>
      <c r="E105" t="s">
        <v>23</v>
      </c>
      <c r="F105" t="s">
        <v>24</v>
      </c>
      <c r="G105">
        <v>2136</v>
      </c>
      <c r="H105">
        <v>517</v>
      </c>
      <c r="I105">
        <v>58.99</v>
      </c>
      <c r="J105">
        <v>9.06</v>
      </c>
      <c r="K105">
        <v>229.2</v>
      </c>
      <c r="L105">
        <v>0</v>
      </c>
      <c r="M105">
        <v>219.75</v>
      </c>
      <c r="N105">
        <v>19</v>
      </c>
      <c r="O105">
        <v>7</v>
      </c>
      <c r="P105">
        <v>27139</v>
      </c>
      <c r="Q105">
        <v>5154</v>
      </c>
      <c r="R105">
        <v>682</v>
      </c>
      <c r="S105">
        <v>9954</v>
      </c>
      <c r="T105">
        <v>0</v>
      </c>
      <c r="U105">
        <v>11349</v>
      </c>
      <c r="V105" s="1">
        <f t="shared" si="3"/>
        <v>0.24199999999999999</v>
      </c>
      <c r="W105" s="1">
        <f t="shared" si="4"/>
        <v>8.8999999999999999E-3</v>
      </c>
      <c r="X105" s="1">
        <f t="shared" si="5"/>
        <v>3.3E-3</v>
      </c>
    </row>
    <row r="106" spans="1:24" x14ac:dyDescent="0.25">
      <c r="A106">
        <v>2024</v>
      </c>
      <c r="B106">
        <v>8</v>
      </c>
      <c r="C106" t="s">
        <v>41</v>
      </c>
      <c r="D106" t="str">
        <f>_xlfn.XLOOKUP(C106,'Carrier Name Rename'!A:A,'Carrier Name Rename'!B:B)</f>
        <v>United Air Lines Inc.</v>
      </c>
      <c r="E106" t="s">
        <v>23</v>
      </c>
      <c r="F106" t="s">
        <v>24</v>
      </c>
      <c r="G106">
        <v>965</v>
      </c>
      <c r="H106">
        <v>251</v>
      </c>
      <c r="I106">
        <v>66.010000000000005</v>
      </c>
      <c r="J106">
        <v>7.01</v>
      </c>
      <c r="K106">
        <v>72.77</v>
      </c>
      <c r="L106">
        <v>0</v>
      </c>
      <c r="M106">
        <v>105.21</v>
      </c>
      <c r="N106">
        <v>14</v>
      </c>
      <c r="O106">
        <v>5</v>
      </c>
      <c r="P106">
        <v>16504</v>
      </c>
      <c r="Q106">
        <v>4375</v>
      </c>
      <c r="R106">
        <v>300</v>
      </c>
      <c r="S106">
        <v>3386</v>
      </c>
      <c r="T106">
        <v>0</v>
      </c>
      <c r="U106">
        <v>8443</v>
      </c>
      <c r="V106" s="1">
        <f t="shared" si="3"/>
        <v>0.2601</v>
      </c>
      <c r="W106" s="1">
        <f t="shared" si="4"/>
        <v>1.4500000000000001E-2</v>
      </c>
      <c r="X106" s="1">
        <f t="shared" si="5"/>
        <v>5.1999999999999998E-3</v>
      </c>
    </row>
    <row r="107" spans="1:24" x14ac:dyDescent="0.25">
      <c r="A107">
        <v>2024</v>
      </c>
      <c r="B107">
        <v>8</v>
      </c>
      <c r="C107" t="s">
        <v>43</v>
      </c>
      <c r="D107" t="str">
        <f>_xlfn.XLOOKUP(C107,'Carrier Name Rename'!A:A,'Carrier Name Rename'!B:B)</f>
        <v>Southwest Airlines Co.</v>
      </c>
      <c r="E107" t="s">
        <v>23</v>
      </c>
      <c r="F107" t="s">
        <v>24</v>
      </c>
      <c r="G107">
        <v>874</v>
      </c>
      <c r="H107">
        <v>281</v>
      </c>
      <c r="I107">
        <v>65.5</v>
      </c>
      <c r="J107">
        <v>3.79</v>
      </c>
      <c r="K107">
        <v>117.88</v>
      </c>
      <c r="L107">
        <v>0.87</v>
      </c>
      <c r="M107">
        <v>92.96</v>
      </c>
      <c r="N107">
        <v>1</v>
      </c>
      <c r="O107">
        <v>3</v>
      </c>
      <c r="P107">
        <v>13027</v>
      </c>
      <c r="Q107">
        <v>3025</v>
      </c>
      <c r="R107">
        <v>380</v>
      </c>
      <c r="S107">
        <v>4565</v>
      </c>
      <c r="T107">
        <v>52</v>
      </c>
      <c r="U107">
        <v>5005</v>
      </c>
      <c r="V107" s="1">
        <f t="shared" si="3"/>
        <v>0.32150000000000001</v>
      </c>
      <c r="W107" s="1">
        <f t="shared" si="4"/>
        <v>1.1000000000000001E-3</v>
      </c>
      <c r="X107" s="1">
        <f t="shared" si="5"/>
        <v>3.3999999999999998E-3</v>
      </c>
    </row>
    <row r="108" spans="1:24" x14ac:dyDescent="0.25">
      <c r="A108">
        <v>2024</v>
      </c>
      <c r="B108">
        <v>7</v>
      </c>
      <c r="C108" t="s">
        <v>31</v>
      </c>
      <c r="D108" t="str">
        <f>_xlfn.XLOOKUP(C108,'Carrier Name Rename'!A:A,'Carrier Name Rename'!B:B)</f>
        <v>American Airlines Inc.</v>
      </c>
      <c r="E108" t="s">
        <v>23</v>
      </c>
      <c r="F108" t="s">
        <v>24</v>
      </c>
      <c r="G108">
        <v>611</v>
      </c>
      <c r="H108">
        <v>261</v>
      </c>
      <c r="I108">
        <v>100.44</v>
      </c>
      <c r="J108">
        <v>10.79</v>
      </c>
      <c r="K108">
        <v>49.74</v>
      </c>
      <c r="L108">
        <v>0.53</v>
      </c>
      <c r="M108">
        <v>99.51</v>
      </c>
      <c r="N108">
        <v>10</v>
      </c>
      <c r="O108">
        <v>1</v>
      </c>
      <c r="P108">
        <v>19816</v>
      </c>
      <c r="Q108">
        <v>7237</v>
      </c>
      <c r="R108">
        <v>1340</v>
      </c>
      <c r="S108">
        <v>2252</v>
      </c>
      <c r="T108">
        <v>24</v>
      </c>
      <c r="U108">
        <v>8963</v>
      </c>
      <c r="V108" s="1">
        <f t="shared" si="3"/>
        <v>0.42720000000000002</v>
      </c>
      <c r="W108" s="1">
        <f t="shared" si="4"/>
        <v>1.6400000000000001E-2</v>
      </c>
      <c r="X108" s="1">
        <f t="shared" si="5"/>
        <v>1.6000000000000001E-3</v>
      </c>
    </row>
    <row r="109" spans="1:24" x14ac:dyDescent="0.25">
      <c r="A109">
        <v>2024</v>
      </c>
      <c r="B109">
        <v>7</v>
      </c>
      <c r="C109" t="s">
        <v>33</v>
      </c>
      <c r="D109" t="str">
        <f>_xlfn.XLOOKUP(C109,'Carrier Name Rename'!A:A,'Carrier Name Rename'!B:B)</f>
        <v>Alaska Airlines Inc.</v>
      </c>
      <c r="E109" t="s">
        <v>23</v>
      </c>
      <c r="F109" t="s">
        <v>24</v>
      </c>
      <c r="G109">
        <v>7674</v>
      </c>
      <c r="H109">
        <v>1899</v>
      </c>
      <c r="I109">
        <v>366.19</v>
      </c>
      <c r="J109">
        <v>55.8</v>
      </c>
      <c r="K109">
        <v>641.36</v>
      </c>
      <c r="L109">
        <v>8.4499999999999993</v>
      </c>
      <c r="M109">
        <v>827.2</v>
      </c>
      <c r="N109">
        <v>81</v>
      </c>
      <c r="O109">
        <v>5</v>
      </c>
      <c r="P109">
        <v>96482</v>
      </c>
      <c r="Q109">
        <v>26678</v>
      </c>
      <c r="R109">
        <v>4423</v>
      </c>
      <c r="S109">
        <v>21532</v>
      </c>
      <c r="T109">
        <v>366</v>
      </c>
      <c r="U109">
        <v>43483</v>
      </c>
      <c r="V109" s="1">
        <f t="shared" si="3"/>
        <v>0.2475</v>
      </c>
      <c r="W109" s="1">
        <f t="shared" si="4"/>
        <v>1.06E-2</v>
      </c>
      <c r="X109" s="1">
        <f t="shared" si="5"/>
        <v>6.9999999999999999E-4</v>
      </c>
    </row>
    <row r="110" spans="1:24" x14ac:dyDescent="0.25">
      <c r="A110">
        <v>2024</v>
      </c>
      <c r="B110">
        <v>7</v>
      </c>
      <c r="C110" t="s">
        <v>35</v>
      </c>
      <c r="D110" t="str">
        <f>_xlfn.XLOOKUP(C110,'Carrier Name Rename'!A:A,'Carrier Name Rename'!B:B)</f>
        <v>JetBlue Airways</v>
      </c>
      <c r="E110" t="s">
        <v>23</v>
      </c>
      <c r="F110" t="s">
        <v>24</v>
      </c>
      <c r="G110">
        <v>93</v>
      </c>
      <c r="H110">
        <v>23</v>
      </c>
      <c r="I110">
        <v>8.92</v>
      </c>
      <c r="J110">
        <v>0.41</v>
      </c>
      <c r="K110">
        <v>10.130000000000001</v>
      </c>
      <c r="L110">
        <v>0</v>
      </c>
      <c r="M110">
        <v>3.54</v>
      </c>
      <c r="N110">
        <v>1</v>
      </c>
      <c r="O110">
        <v>0</v>
      </c>
      <c r="P110">
        <v>1608</v>
      </c>
      <c r="Q110">
        <v>838</v>
      </c>
      <c r="R110">
        <v>63</v>
      </c>
      <c r="S110">
        <v>464</v>
      </c>
      <c r="T110">
        <v>0</v>
      </c>
      <c r="U110">
        <v>243</v>
      </c>
      <c r="V110" s="1">
        <f t="shared" si="3"/>
        <v>0.24729999999999999</v>
      </c>
      <c r="W110" s="1">
        <f t="shared" si="4"/>
        <v>1.0800000000000001E-2</v>
      </c>
      <c r="X110" s="1">
        <f t="shared" si="5"/>
        <v>0</v>
      </c>
    </row>
    <row r="111" spans="1:24" x14ac:dyDescent="0.25">
      <c r="A111">
        <v>2024</v>
      </c>
      <c r="B111">
        <v>7</v>
      </c>
      <c r="C111" t="s">
        <v>37</v>
      </c>
      <c r="D111" t="str">
        <f>_xlfn.XLOOKUP(C111,'Carrier Name Rename'!A:A,'Carrier Name Rename'!B:B)</f>
        <v>Delta Air Lines Inc.</v>
      </c>
      <c r="E111" t="s">
        <v>23</v>
      </c>
      <c r="F111" t="s">
        <v>24</v>
      </c>
      <c r="G111">
        <v>2973</v>
      </c>
      <c r="H111">
        <v>640</v>
      </c>
      <c r="I111">
        <v>291.06</v>
      </c>
      <c r="J111">
        <v>16.64</v>
      </c>
      <c r="K111">
        <v>120.12</v>
      </c>
      <c r="L111">
        <v>0</v>
      </c>
      <c r="M111">
        <v>212.18</v>
      </c>
      <c r="N111">
        <v>150</v>
      </c>
      <c r="O111">
        <v>1</v>
      </c>
      <c r="P111">
        <v>63765</v>
      </c>
      <c r="Q111">
        <v>40174</v>
      </c>
      <c r="R111">
        <v>983</v>
      </c>
      <c r="S111">
        <v>5349</v>
      </c>
      <c r="T111">
        <v>0</v>
      </c>
      <c r="U111">
        <v>17259</v>
      </c>
      <c r="V111" s="1">
        <f t="shared" si="3"/>
        <v>0.21529999999999999</v>
      </c>
      <c r="W111" s="1">
        <f t="shared" si="4"/>
        <v>5.0500000000000003E-2</v>
      </c>
      <c r="X111" s="1">
        <f t="shared" si="5"/>
        <v>2.9999999999999997E-4</v>
      </c>
    </row>
    <row r="112" spans="1:24" x14ac:dyDescent="0.25">
      <c r="A112">
        <v>2024</v>
      </c>
      <c r="B112">
        <v>7</v>
      </c>
      <c r="C112" t="s">
        <v>39</v>
      </c>
      <c r="D112" t="str">
        <f>_xlfn.XLOOKUP(C112,'Carrier Name Rename'!A:A,'Carrier Name Rename'!B:B)</f>
        <v>Frontier Airlines Inc.</v>
      </c>
      <c r="E112" t="s">
        <v>23</v>
      </c>
      <c r="F112" t="s">
        <v>24</v>
      </c>
      <c r="G112">
        <v>158</v>
      </c>
      <c r="H112">
        <v>59</v>
      </c>
      <c r="I112">
        <v>15.76</v>
      </c>
      <c r="J112">
        <v>1.02</v>
      </c>
      <c r="K112">
        <v>7.1</v>
      </c>
      <c r="L112">
        <v>0</v>
      </c>
      <c r="M112">
        <v>35.119999999999997</v>
      </c>
      <c r="N112">
        <v>3</v>
      </c>
      <c r="O112">
        <v>0</v>
      </c>
      <c r="P112">
        <v>4854</v>
      </c>
      <c r="Q112">
        <v>1032</v>
      </c>
      <c r="R112">
        <v>19</v>
      </c>
      <c r="S112">
        <v>287</v>
      </c>
      <c r="T112">
        <v>0</v>
      </c>
      <c r="U112">
        <v>3516</v>
      </c>
      <c r="V112" s="1">
        <f t="shared" si="3"/>
        <v>0.37340000000000001</v>
      </c>
      <c r="W112" s="1">
        <f t="shared" si="4"/>
        <v>1.9E-2</v>
      </c>
      <c r="X112" s="1">
        <f t="shared" si="5"/>
        <v>0</v>
      </c>
    </row>
    <row r="113" spans="1:24" x14ac:dyDescent="0.25">
      <c r="A113">
        <v>2024</v>
      </c>
      <c r="B113">
        <v>7</v>
      </c>
      <c r="C113" t="s">
        <v>21</v>
      </c>
      <c r="D113" t="str">
        <f>_xlfn.XLOOKUP(C113,'Carrier Name Rename'!A:A,'Carrier Name Rename'!B:B)</f>
        <v>Hawaiian Airlines Inc.</v>
      </c>
      <c r="E113" t="s">
        <v>23</v>
      </c>
      <c r="F113" t="s">
        <v>24</v>
      </c>
      <c r="G113">
        <v>62</v>
      </c>
      <c r="H113">
        <v>21</v>
      </c>
      <c r="I113">
        <v>19.03</v>
      </c>
      <c r="J113">
        <v>0</v>
      </c>
      <c r="K113">
        <v>0</v>
      </c>
      <c r="L113">
        <v>1</v>
      </c>
      <c r="M113">
        <v>0.97</v>
      </c>
      <c r="N113">
        <v>1</v>
      </c>
      <c r="O113">
        <v>0</v>
      </c>
      <c r="P113">
        <v>794</v>
      </c>
      <c r="Q113">
        <v>641</v>
      </c>
      <c r="R113">
        <v>0</v>
      </c>
      <c r="S113">
        <v>0</v>
      </c>
      <c r="T113">
        <v>45</v>
      </c>
      <c r="U113">
        <v>108</v>
      </c>
      <c r="V113" s="1">
        <f t="shared" si="3"/>
        <v>0.3387</v>
      </c>
      <c r="W113" s="1">
        <f t="shared" si="4"/>
        <v>1.61E-2</v>
      </c>
      <c r="X113" s="1">
        <f t="shared" si="5"/>
        <v>0</v>
      </c>
    </row>
    <row r="114" spans="1:24" x14ac:dyDescent="0.25">
      <c r="A114">
        <v>2024</v>
      </c>
      <c r="B114">
        <v>7</v>
      </c>
      <c r="C114" t="s">
        <v>45</v>
      </c>
      <c r="D114" t="str">
        <f>_xlfn.XLOOKUP(C114,'Carrier Name Rename'!A:A,'Carrier Name Rename'!B:B)</f>
        <v>Envoy Air</v>
      </c>
      <c r="E114" t="s">
        <v>23</v>
      </c>
      <c r="F114" t="s">
        <v>24</v>
      </c>
      <c r="G114">
        <v>30</v>
      </c>
      <c r="H114">
        <v>5</v>
      </c>
      <c r="I114">
        <v>0.26</v>
      </c>
      <c r="J114">
        <v>0</v>
      </c>
      <c r="K114">
        <v>4.03</v>
      </c>
      <c r="L114">
        <v>0</v>
      </c>
      <c r="M114">
        <v>0.71</v>
      </c>
      <c r="N114">
        <v>0</v>
      </c>
      <c r="O114">
        <v>1</v>
      </c>
      <c r="P114">
        <v>147</v>
      </c>
      <c r="Q114">
        <v>11</v>
      </c>
      <c r="R114">
        <v>0</v>
      </c>
      <c r="S114">
        <v>94</v>
      </c>
      <c r="T114">
        <v>0</v>
      </c>
      <c r="U114">
        <v>42</v>
      </c>
      <c r="V114" s="1">
        <f t="shared" si="3"/>
        <v>0.16669999999999999</v>
      </c>
      <c r="W114" s="1">
        <f t="shared" si="4"/>
        <v>0</v>
      </c>
      <c r="X114" s="1">
        <f t="shared" si="5"/>
        <v>3.3300000000000003E-2</v>
      </c>
    </row>
    <row r="115" spans="1:24" x14ac:dyDescent="0.25">
      <c r="A115">
        <v>2024</v>
      </c>
      <c r="B115">
        <v>7</v>
      </c>
      <c r="C115" t="s">
        <v>25</v>
      </c>
      <c r="D115" t="str">
        <f>_xlfn.XLOOKUP(C115,'Carrier Name Rename'!A:A,'Carrier Name Rename'!B:B)</f>
        <v>Spirit Airlines</v>
      </c>
      <c r="E115" t="s">
        <v>23</v>
      </c>
      <c r="F115" t="s">
        <v>24</v>
      </c>
      <c r="G115">
        <v>101</v>
      </c>
      <c r="H115">
        <v>38</v>
      </c>
      <c r="I115">
        <v>17.32</v>
      </c>
      <c r="J115">
        <v>0.41</v>
      </c>
      <c r="K115">
        <v>13.34</v>
      </c>
      <c r="L115">
        <v>0</v>
      </c>
      <c r="M115">
        <v>6.92</v>
      </c>
      <c r="N115">
        <v>3</v>
      </c>
      <c r="O115">
        <v>0</v>
      </c>
      <c r="P115">
        <v>2463</v>
      </c>
      <c r="Q115">
        <v>1129</v>
      </c>
      <c r="R115">
        <v>17</v>
      </c>
      <c r="S115">
        <v>732</v>
      </c>
      <c r="T115">
        <v>0</v>
      </c>
      <c r="U115">
        <v>585</v>
      </c>
      <c r="V115" s="1">
        <f t="shared" si="3"/>
        <v>0.37619999999999998</v>
      </c>
      <c r="W115" s="1">
        <f t="shared" si="4"/>
        <v>2.9700000000000001E-2</v>
      </c>
      <c r="X115" s="1">
        <f t="shared" si="5"/>
        <v>0</v>
      </c>
    </row>
    <row r="116" spans="1:24" x14ac:dyDescent="0.25">
      <c r="A116">
        <v>2024</v>
      </c>
      <c r="B116">
        <v>7</v>
      </c>
      <c r="C116" t="s">
        <v>27</v>
      </c>
      <c r="D116" t="str">
        <f>_xlfn.XLOOKUP(C116,'Carrier Name Rename'!A:A,'Carrier Name Rename'!B:B)</f>
        <v>SkyWest Airlines Inc.</v>
      </c>
      <c r="E116" t="s">
        <v>23</v>
      </c>
      <c r="F116" t="s">
        <v>24</v>
      </c>
      <c r="G116">
        <v>2603</v>
      </c>
      <c r="H116">
        <v>439</v>
      </c>
      <c r="I116">
        <v>245.11</v>
      </c>
      <c r="J116">
        <v>34.51</v>
      </c>
      <c r="K116">
        <v>83.32</v>
      </c>
      <c r="L116">
        <v>6.6</v>
      </c>
      <c r="M116">
        <v>69.459999999999994</v>
      </c>
      <c r="N116">
        <v>5</v>
      </c>
      <c r="O116">
        <v>0</v>
      </c>
      <c r="P116">
        <v>23700</v>
      </c>
      <c r="Q116">
        <v>15293</v>
      </c>
      <c r="R116">
        <v>1462</v>
      </c>
      <c r="S116">
        <v>3509</v>
      </c>
      <c r="T116">
        <v>188</v>
      </c>
      <c r="U116">
        <v>3248</v>
      </c>
      <c r="V116" s="1">
        <f t="shared" si="3"/>
        <v>0.16869999999999999</v>
      </c>
      <c r="W116" s="1">
        <f t="shared" si="4"/>
        <v>1.9E-3</v>
      </c>
      <c r="X116" s="1">
        <f t="shared" si="5"/>
        <v>0</v>
      </c>
    </row>
    <row r="117" spans="1:24" x14ac:dyDescent="0.25">
      <c r="A117">
        <v>2024</v>
      </c>
      <c r="B117">
        <v>7</v>
      </c>
      <c r="C117" t="s">
        <v>29</v>
      </c>
      <c r="D117" t="str">
        <f>_xlfn.XLOOKUP(C117,'Carrier Name Rename'!A:A,'Carrier Name Rename'!B:B)</f>
        <v>Horizon Air</v>
      </c>
      <c r="E117" t="s">
        <v>23</v>
      </c>
      <c r="F117" t="s">
        <v>24</v>
      </c>
      <c r="G117">
        <v>2107</v>
      </c>
      <c r="H117">
        <v>357</v>
      </c>
      <c r="I117">
        <v>60.99</v>
      </c>
      <c r="J117">
        <v>9.9600000000000009</v>
      </c>
      <c r="K117">
        <v>143.22</v>
      </c>
      <c r="L117">
        <v>0.45</v>
      </c>
      <c r="M117">
        <v>142.38</v>
      </c>
      <c r="N117">
        <v>6</v>
      </c>
      <c r="O117">
        <v>0</v>
      </c>
      <c r="P117">
        <v>14465</v>
      </c>
      <c r="Q117">
        <v>4227</v>
      </c>
      <c r="R117">
        <v>454</v>
      </c>
      <c r="S117">
        <v>4538</v>
      </c>
      <c r="T117">
        <v>10</v>
      </c>
      <c r="U117">
        <v>5236</v>
      </c>
      <c r="V117" s="1">
        <f t="shared" si="3"/>
        <v>0.1694</v>
      </c>
      <c r="W117" s="1">
        <f t="shared" si="4"/>
        <v>2.8E-3</v>
      </c>
      <c r="X117" s="1">
        <f t="shared" si="5"/>
        <v>0</v>
      </c>
    </row>
    <row r="118" spans="1:24" x14ac:dyDescent="0.25">
      <c r="A118">
        <v>2024</v>
      </c>
      <c r="B118">
        <v>7</v>
      </c>
      <c r="C118" t="s">
        <v>41</v>
      </c>
      <c r="D118" t="str">
        <f>_xlfn.XLOOKUP(C118,'Carrier Name Rename'!A:A,'Carrier Name Rename'!B:B)</f>
        <v>United Air Lines Inc.</v>
      </c>
      <c r="E118" t="s">
        <v>23</v>
      </c>
      <c r="F118" t="s">
        <v>24</v>
      </c>
      <c r="G118">
        <v>1011</v>
      </c>
      <c r="H118">
        <v>296</v>
      </c>
      <c r="I118">
        <v>94.63</v>
      </c>
      <c r="J118">
        <v>10.19</v>
      </c>
      <c r="K118">
        <v>77.81</v>
      </c>
      <c r="L118">
        <v>0</v>
      </c>
      <c r="M118">
        <v>113.38</v>
      </c>
      <c r="N118">
        <v>35</v>
      </c>
      <c r="O118">
        <v>1</v>
      </c>
      <c r="P118">
        <v>20730</v>
      </c>
      <c r="Q118">
        <v>7055</v>
      </c>
      <c r="R118">
        <v>683</v>
      </c>
      <c r="S118">
        <v>3679</v>
      </c>
      <c r="T118">
        <v>0</v>
      </c>
      <c r="U118">
        <v>9313</v>
      </c>
      <c r="V118" s="1">
        <f t="shared" si="3"/>
        <v>0.2928</v>
      </c>
      <c r="W118" s="1">
        <f t="shared" si="4"/>
        <v>3.4599999999999999E-2</v>
      </c>
      <c r="X118" s="1">
        <f t="shared" si="5"/>
        <v>1E-3</v>
      </c>
    </row>
    <row r="119" spans="1:24" x14ac:dyDescent="0.25">
      <c r="A119">
        <v>2024</v>
      </c>
      <c r="B119">
        <v>7</v>
      </c>
      <c r="C119" t="s">
        <v>43</v>
      </c>
      <c r="D119" t="str">
        <f>_xlfn.XLOOKUP(C119,'Carrier Name Rename'!A:A,'Carrier Name Rename'!B:B)</f>
        <v>Southwest Airlines Co.</v>
      </c>
      <c r="E119" t="s">
        <v>23</v>
      </c>
      <c r="F119" t="s">
        <v>24</v>
      </c>
      <c r="G119">
        <v>884</v>
      </c>
      <c r="H119">
        <v>320</v>
      </c>
      <c r="I119">
        <v>103.35</v>
      </c>
      <c r="J119">
        <v>1.78</v>
      </c>
      <c r="K119">
        <v>91.76</v>
      </c>
      <c r="L119">
        <v>0</v>
      </c>
      <c r="M119">
        <v>123.11</v>
      </c>
      <c r="N119">
        <v>2</v>
      </c>
      <c r="O119">
        <v>1</v>
      </c>
      <c r="P119">
        <v>14573</v>
      </c>
      <c r="Q119">
        <v>4653</v>
      </c>
      <c r="R119">
        <v>79</v>
      </c>
      <c r="S119">
        <v>3160</v>
      </c>
      <c r="T119">
        <v>0</v>
      </c>
      <c r="U119">
        <v>6681</v>
      </c>
      <c r="V119" s="1">
        <f t="shared" si="3"/>
        <v>0.36199999999999999</v>
      </c>
      <c r="W119" s="1">
        <f t="shared" si="4"/>
        <v>2.3E-3</v>
      </c>
      <c r="X119" s="1">
        <f t="shared" si="5"/>
        <v>1.1000000000000001E-3</v>
      </c>
    </row>
    <row r="120" spans="1:24" x14ac:dyDescent="0.25">
      <c r="A120">
        <v>2024</v>
      </c>
      <c r="B120">
        <v>6</v>
      </c>
      <c r="C120" t="s">
        <v>21</v>
      </c>
      <c r="D120" t="str">
        <f>_xlfn.XLOOKUP(C120,'Carrier Name Rename'!A:A,'Carrier Name Rename'!B:B)</f>
        <v>Hawaiian Airlines Inc.</v>
      </c>
      <c r="E120" t="s">
        <v>23</v>
      </c>
      <c r="F120" t="s">
        <v>24</v>
      </c>
      <c r="G120">
        <v>60</v>
      </c>
      <c r="H120">
        <v>26</v>
      </c>
      <c r="I120">
        <v>25.2</v>
      </c>
      <c r="J120">
        <v>0</v>
      </c>
      <c r="K120">
        <v>0</v>
      </c>
      <c r="L120">
        <v>0</v>
      </c>
      <c r="M120">
        <v>0.8</v>
      </c>
      <c r="N120">
        <v>3</v>
      </c>
      <c r="O120">
        <v>0</v>
      </c>
      <c r="P120">
        <v>992</v>
      </c>
      <c r="Q120">
        <v>949</v>
      </c>
      <c r="R120">
        <v>0</v>
      </c>
      <c r="S120">
        <v>0</v>
      </c>
      <c r="T120">
        <v>0</v>
      </c>
      <c r="U120">
        <v>43</v>
      </c>
      <c r="V120" s="1">
        <f t="shared" si="3"/>
        <v>0.43330000000000002</v>
      </c>
      <c r="W120" s="1">
        <f t="shared" si="4"/>
        <v>0.05</v>
      </c>
      <c r="X120" s="1">
        <f t="shared" si="5"/>
        <v>0</v>
      </c>
    </row>
    <row r="121" spans="1:24" x14ac:dyDescent="0.25">
      <c r="A121">
        <v>2024</v>
      </c>
      <c r="B121">
        <v>6</v>
      </c>
      <c r="C121" t="s">
        <v>45</v>
      </c>
      <c r="D121" t="str">
        <f>_xlfn.XLOOKUP(C121,'Carrier Name Rename'!A:A,'Carrier Name Rename'!B:B)</f>
        <v>Envoy Air</v>
      </c>
      <c r="E121" t="s">
        <v>23</v>
      </c>
      <c r="F121" t="s">
        <v>24</v>
      </c>
      <c r="G121">
        <v>38</v>
      </c>
      <c r="H121">
        <v>15</v>
      </c>
      <c r="I121">
        <v>2.88</v>
      </c>
      <c r="J121">
        <v>0</v>
      </c>
      <c r="K121">
        <v>7.14</v>
      </c>
      <c r="L121">
        <v>0</v>
      </c>
      <c r="M121">
        <v>4.9800000000000004</v>
      </c>
      <c r="N121">
        <v>0</v>
      </c>
      <c r="O121">
        <v>0</v>
      </c>
      <c r="P121">
        <v>1031</v>
      </c>
      <c r="Q121">
        <v>246</v>
      </c>
      <c r="R121">
        <v>0</v>
      </c>
      <c r="S121">
        <v>222</v>
      </c>
      <c r="T121">
        <v>0</v>
      </c>
      <c r="U121">
        <v>563</v>
      </c>
      <c r="V121" s="1">
        <f t="shared" si="3"/>
        <v>0.3947</v>
      </c>
      <c r="W121" s="1">
        <f t="shared" si="4"/>
        <v>0</v>
      </c>
      <c r="X121" s="1">
        <f t="shared" si="5"/>
        <v>0</v>
      </c>
    </row>
    <row r="122" spans="1:24" x14ac:dyDescent="0.25">
      <c r="A122">
        <v>2024</v>
      </c>
      <c r="B122">
        <v>6</v>
      </c>
      <c r="C122" t="s">
        <v>25</v>
      </c>
      <c r="D122" t="str">
        <f>_xlfn.XLOOKUP(C122,'Carrier Name Rename'!A:A,'Carrier Name Rename'!B:B)</f>
        <v>Spirit Airlines</v>
      </c>
      <c r="E122" t="s">
        <v>23</v>
      </c>
      <c r="F122" t="s">
        <v>24</v>
      </c>
      <c r="G122">
        <v>60</v>
      </c>
      <c r="H122">
        <v>14</v>
      </c>
      <c r="I122">
        <v>7.32</v>
      </c>
      <c r="J122">
        <v>0.53</v>
      </c>
      <c r="K122">
        <v>2.39</v>
      </c>
      <c r="L122">
        <v>0</v>
      </c>
      <c r="M122">
        <v>3.76</v>
      </c>
      <c r="N122">
        <v>0</v>
      </c>
      <c r="O122">
        <v>0</v>
      </c>
      <c r="P122">
        <v>664</v>
      </c>
      <c r="Q122">
        <v>307</v>
      </c>
      <c r="R122">
        <v>21</v>
      </c>
      <c r="S122">
        <v>120</v>
      </c>
      <c r="T122">
        <v>0</v>
      </c>
      <c r="U122">
        <v>216</v>
      </c>
      <c r="V122" s="1">
        <f t="shared" si="3"/>
        <v>0.23330000000000001</v>
      </c>
      <c r="W122" s="1">
        <f t="shared" si="4"/>
        <v>0</v>
      </c>
      <c r="X122" s="1">
        <f t="shared" si="5"/>
        <v>0</v>
      </c>
    </row>
    <row r="123" spans="1:24" x14ac:dyDescent="0.25">
      <c r="A123">
        <v>2024</v>
      </c>
      <c r="B123">
        <v>6</v>
      </c>
      <c r="C123" t="s">
        <v>27</v>
      </c>
      <c r="D123" t="str">
        <f>_xlfn.XLOOKUP(C123,'Carrier Name Rename'!A:A,'Carrier Name Rename'!B:B)</f>
        <v>SkyWest Airlines Inc.</v>
      </c>
      <c r="E123" t="s">
        <v>23</v>
      </c>
      <c r="F123" t="s">
        <v>24</v>
      </c>
      <c r="G123">
        <v>2466</v>
      </c>
      <c r="H123">
        <v>491</v>
      </c>
      <c r="I123">
        <v>223.2</v>
      </c>
      <c r="J123">
        <v>51.8</v>
      </c>
      <c r="K123">
        <v>143.76</v>
      </c>
      <c r="L123">
        <v>0.39</v>
      </c>
      <c r="M123">
        <v>71.84</v>
      </c>
      <c r="N123">
        <v>4</v>
      </c>
      <c r="O123">
        <v>1</v>
      </c>
      <c r="P123">
        <v>26633</v>
      </c>
      <c r="Q123">
        <v>14984</v>
      </c>
      <c r="R123">
        <v>2711</v>
      </c>
      <c r="S123">
        <v>5113</v>
      </c>
      <c r="T123">
        <v>8</v>
      </c>
      <c r="U123">
        <v>3817</v>
      </c>
      <c r="V123" s="1">
        <f t="shared" si="3"/>
        <v>0.1991</v>
      </c>
      <c r="W123" s="1">
        <f t="shared" si="4"/>
        <v>1.6000000000000001E-3</v>
      </c>
      <c r="X123" s="1">
        <f t="shared" si="5"/>
        <v>4.0000000000000002E-4</v>
      </c>
    </row>
    <row r="124" spans="1:24" x14ac:dyDescent="0.25">
      <c r="A124">
        <v>2024</v>
      </c>
      <c r="B124">
        <v>6</v>
      </c>
      <c r="C124" t="s">
        <v>29</v>
      </c>
      <c r="D124" t="str">
        <f>_xlfn.XLOOKUP(C124,'Carrier Name Rename'!A:A,'Carrier Name Rename'!B:B)</f>
        <v>Horizon Air</v>
      </c>
      <c r="E124" t="s">
        <v>23</v>
      </c>
      <c r="F124" t="s">
        <v>24</v>
      </c>
      <c r="G124">
        <v>2067</v>
      </c>
      <c r="H124">
        <v>410</v>
      </c>
      <c r="I124">
        <v>79.44</v>
      </c>
      <c r="J124">
        <v>10.16</v>
      </c>
      <c r="K124">
        <v>184.4</v>
      </c>
      <c r="L124">
        <v>0</v>
      </c>
      <c r="M124">
        <v>135.99</v>
      </c>
      <c r="N124">
        <v>12</v>
      </c>
      <c r="O124">
        <v>2</v>
      </c>
      <c r="P124">
        <v>17290</v>
      </c>
      <c r="Q124">
        <v>4934</v>
      </c>
      <c r="R124">
        <v>554</v>
      </c>
      <c r="S124">
        <v>5820</v>
      </c>
      <c r="T124">
        <v>0</v>
      </c>
      <c r="U124">
        <v>5982</v>
      </c>
      <c r="V124" s="1">
        <f t="shared" si="3"/>
        <v>0.19839999999999999</v>
      </c>
      <c r="W124" s="1">
        <f t="shared" si="4"/>
        <v>5.7999999999999996E-3</v>
      </c>
      <c r="X124" s="1">
        <f t="shared" si="5"/>
        <v>1E-3</v>
      </c>
    </row>
    <row r="125" spans="1:24" x14ac:dyDescent="0.25">
      <c r="A125">
        <v>2024</v>
      </c>
      <c r="B125">
        <v>6</v>
      </c>
      <c r="C125" t="s">
        <v>41</v>
      </c>
      <c r="D125" t="str">
        <f>_xlfn.XLOOKUP(C125,'Carrier Name Rename'!A:A,'Carrier Name Rename'!B:B)</f>
        <v>United Air Lines Inc.</v>
      </c>
      <c r="E125" t="s">
        <v>23</v>
      </c>
      <c r="F125" t="s">
        <v>24</v>
      </c>
      <c r="G125">
        <v>899</v>
      </c>
      <c r="H125">
        <v>281</v>
      </c>
      <c r="I125">
        <v>85.54</v>
      </c>
      <c r="J125">
        <v>6.91</v>
      </c>
      <c r="K125">
        <v>99.58</v>
      </c>
      <c r="L125">
        <v>0</v>
      </c>
      <c r="M125">
        <v>88.97</v>
      </c>
      <c r="N125">
        <v>8</v>
      </c>
      <c r="O125">
        <v>1</v>
      </c>
      <c r="P125">
        <v>16861</v>
      </c>
      <c r="Q125">
        <v>4390</v>
      </c>
      <c r="R125">
        <v>891</v>
      </c>
      <c r="S125">
        <v>3452</v>
      </c>
      <c r="T125">
        <v>0</v>
      </c>
      <c r="U125">
        <v>8128</v>
      </c>
      <c r="V125" s="1">
        <f t="shared" si="3"/>
        <v>0.31259999999999999</v>
      </c>
      <c r="W125" s="1">
        <f t="shared" si="4"/>
        <v>8.8999999999999999E-3</v>
      </c>
      <c r="X125" s="1">
        <f t="shared" si="5"/>
        <v>1.1000000000000001E-3</v>
      </c>
    </row>
    <row r="126" spans="1:24" x14ac:dyDescent="0.25">
      <c r="A126">
        <v>2024</v>
      </c>
      <c r="B126">
        <v>6</v>
      </c>
      <c r="C126" t="s">
        <v>43</v>
      </c>
      <c r="D126" t="str">
        <f>_xlfn.XLOOKUP(C126,'Carrier Name Rename'!A:A,'Carrier Name Rename'!B:B)</f>
        <v>Southwest Airlines Co.</v>
      </c>
      <c r="E126" t="s">
        <v>23</v>
      </c>
      <c r="F126" t="s">
        <v>24</v>
      </c>
      <c r="G126">
        <v>839</v>
      </c>
      <c r="H126">
        <v>366</v>
      </c>
      <c r="I126">
        <v>115.86</v>
      </c>
      <c r="J126">
        <v>2.23</v>
      </c>
      <c r="K126">
        <v>113.52</v>
      </c>
      <c r="L126">
        <v>1.05</v>
      </c>
      <c r="M126">
        <v>133.34</v>
      </c>
      <c r="N126">
        <v>1</v>
      </c>
      <c r="O126">
        <v>4</v>
      </c>
      <c r="P126">
        <v>17807</v>
      </c>
      <c r="Q126">
        <v>5446</v>
      </c>
      <c r="R126">
        <v>93</v>
      </c>
      <c r="S126">
        <v>3992</v>
      </c>
      <c r="T126">
        <v>58</v>
      </c>
      <c r="U126">
        <v>8218</v>
      </c>
      <c r="V126" s="1">
        <f t="shared" si="3"/>
        <v>0.43619999999999998</v>
      </c>
      <c r="W126" s="1">
        <f t="shared" si="4"/>
        <v>1.1999999999999999E-3</v>
      </c>
      <c r="X126" s="1">
        <f t="shared" si="5"/>
        <v>4.7999999999999996E-3</v>
      </c>
    </row>
    <row r="127" spans="1:24" x14ac:dyDescent="0.25">
      <c r="A127">
        <v>2024</v>
      </c>
      <c r="B127">
        <v>6</v>
      </c>
      <c r="C127" t="s">
        <v>31</v>
      </c>
      <c r="D127" t="str">
        <f>_xlfn.XLOOKUP(C127,'Carrier Name Rename'!A:A,'Carrier Name Rename'!B:B)</f>
        <v>American Airlines Inc.</v>
      </c>
      <c r="E127" t="s">
        <v>23</v>
      </c>
      <c r="F127" t="s">
        <v>24</v>
      </c>
      <c r="G127">
        <v>610</v>
      </c>
      <c r="H127">
        <v>238</v>
      </c>
      <c r="I127">
        <v>90.69</v>
      </c>
      <c r="J127">
        <v>10.15</v>
      </c>
      <c r="K127">
        <v>59.54</v>
      </c>
      <c r="L127">
        <v>1.28</v>
      </c>
      <c r="M127">
        <v>76.349999999999994</v>
      </c>
      <c r="N127">
        <v>10</v>
      </c>
      <c r="O127">
        <v>1</v>
      </c>
      <c r="P127">
        <v>18532</v>
      </c>
      <c r="Q127">
        <v>6619</v>
      </c>
      <c r="R127">
        <v>1465</v>
      </c>
      <c r="S127">
        <v>3038</v>
      </c>
      <c r="T127">
        <v>42</v>
      </c>
      <c r="U127">
        <v>7368</v>
      </c>
      <c r="V127" s="1">
        <f t="shared" si="3"/>
        <v>0.39019999999999999</v>
      </c>
      <c r="W127" s="1">
        <f t="shared" si="4"/>
        <v>1.6400000000000001E-2</v>
      </c>
      <c r="X127" s="1">
        <f t="shared" si="5"/>
        <v>1.6000000000000001E-3</v>
      </c>
    </row>
    <row r="128" spans="1:24" x14ac:dyDescent="0.25">
      <c r="A128">
        <v>2024</v>
      </c>
      <c r="B128">
        <v>6</v>
      </c>
      <c r="C128" t="s">
        <v>33</v>
      </c>
      <c r="D128" t="str">
        <f>_xlfn.XLOOKUP(C128,'Carrier Name Rename'!A:A,'Carrier Name Rename'!B:B)</f>
        <v>Alaska Airlines Inc.</v>
      </c>
      <c r="E128" t="s">
        <v>23</v>
      </c>
      <c r="F128" t="s">
        <v>24</v>
      </c>
      <c r="G128">
        <v>7162</v>
      </c>
      <c r="H128">
        <v>1919</v>
      </c>
      <c r="I128">
        <v>386.14</v>
      </c>
      <c r="J128">
        <v>55.43</v>
      </c>
      <c r="K128">
        <v>761.64</v>
      </c>
      <c r="L128">
        <v>13.37</v>
      </c>
      <c r="M128">
        <v>702.41</v>
      </c>
      <c r="N128">
        <v>61</v>
      </c>
      <c r="O128">
        <v>11</v>
      </c>
      <c r="P128">
        <v>91706</v>
      </c>
      <c r="Q128">
        <v>24182</v>
      </c>
      <c r="R128">
        <v>4240</v>
      </c>
      <c r="S128">
        <v>24441</v>
      </c>
      <c r="T128">
        <v>518</v>
      </c>
      <c r="U128">
        <v>38325</v>
      </c>
      <c r="V128" s="1">
        <f t="shared" si="3"/>
        <v>0.26790000000000003</v>
      </c>
      <c r="W128" s="1">
        <f t="shared" si="4"/>
        <v>8.5000000000000006E-3</v>
      </c>
      <c r="X128" s="1">
        <f t="shared" si="5"/>
        <v>1.5E-3</v>
      </c>
    </row>
    <row r="129" spans="1:24" x14ac:dyDescent="0.25">
      <c r="A129">
        <v>2024</v>
      </c>
      <c r="B129">
        <v>6</v>
      </c>
      <c r="C129" t="s">
        <v>35</v>
      </c>
      <c r="D129" t="str">
        <f>_xlfn.XLOOKUP(C129,'Carrier Name Rename'!A:A,'Carrier Name Rename'!B:B)</f>
        <v>JetBlue Airways</v>
      </c>
      <c r="E129" t="s">
        <v>23</v>
      </c>
      <c r="F129" t="s">
        <v>24</v>
      </c>
      <c r="G129">
        <v>78</v>
      </c>
      <c r="H129">
        <v>42</v>
      </c>
      <c r="I129">
        <v>16.64</v>
      </c>
      <c r="J129">
        <v>0.03</v>
      </c>
      <c r="K129">
        <v>22.33</v>
      </c>
      <c r="L129">
        <v>0</v>
      </c>
      <c r="M129">
        <v>3</v>
      </c>
      <c r="N129">
        <v>0</v>
      </c>
      <c r="O129">
        <v>0</v>
      </c>
      <c r="P129">
        <v>2077</v>
      </c>
      <c r="Q129">
        <v>986</v>
      </c>
      <c r="R129">
        <v>1</v>
      </c>
      <c r="S129">
        <v>885</v>
      </c>
      <c r="T129">
        <v>0</v>
      </c>
      <c r="U129">
        <v>205</v>
      </c>
      <c r="V129" s="1">
        <f t="shared" si="3"/>
        <v>0.53849999999999998</v>
      </c>
      <c r="W129" s="1">
        <f t="shared" si="4"/>
        <v>0</v>
      </c>
      <c r="X129" s="1">
        <f t="shared" si="5"/>
        <v>0</v>
      </c>
    </row>
    <row r="130" spans="1:24" x14ac:dyDescent="0.25">
      <c r="A130">
        <v>2024</v>
      </c>
      <c r="B130">
        <v>6</v>
      </c>
      <c r="C130" t="s">
        <v>37</v>
      </c>
      <c r="D130" t="str">
        <f>_xlfn.XLOOKUP(C130,'Carrier Name Rename'!A:A,'Carrier Name Rename'!B:B)</f>
        <v>Delta Air Lines Inc.</v>
      </c>
      <c r="E130" t="s">
        <v>23</v>
      </c>
      <c r="F130" t="s">
        <v>24</v>
      </c>
      <c r="G130">
        <v>2828</v>
      </c>
      <c r="H130">
        <v>620</v>
      </c>
      <c r="I130">
        <v>197.6</v>
      </c>
      <c r="J130">
        <v>8.41</v>
      </c>
      <c r="K130">
        <v>233.85</v>
      </c>
      <c r="L130">
        <v>0</v>
      </c>
      <c r="M130">
        <v>180.14</v>
      </c>
      <c r="N130">
        <v>2</v>
      </c>
      <c r="O130">
        <v>5</v>
      </c>
      <c r="P130">
        <v>41790</v>
      </c>
      <c r="Q130">
        <v>18378</v>
      </c>
      <c r="R130">
        <v>473</v>
      </c>
      <c r="S130">
        <v>8132</v>
      </c>
      <c r="T130">
        <v>0</v>
      </c>
      <c r="U130">
        <v>14807</v>
      </c>
      <c r="V130" s="1">
        <f t="shared" si="3"/>
        <v>0.21920000000000001</v>
      </c>
      <c r="W130" s="1">
        <f t="shared" si="4"/>
        <v>6.9999999999999999E-4</v>
      </c>
      <c r="X130" s="1">
        <f t="shared" si="5"/>
        <v>1.8E-3</v>
      </c>
    </row>
    <row r="131" spans="1:24" x14ac:dyDescent="0.25">
      <c r="A131">
        <v>2024</v>
      </c>
      <c r="B131">
        <v>6</v>
      </c>
      <c r="C131" t="s">
        <v>39</v>
      </c>
      <c r="D131" t="str">
        <f>_xlfn.XLOOKUP(C131,'Carrier Name Rename'!A:A,'Carrier Name Rename'!B:B)</f>
        <v>Frontier Airlines Inc.</v>
      </c>
      <c r="E131" t="s">
        <v>23</v>
      </c>
      <c r="F131" t="s">
        <v>24</v>
      </c>
      <c r="G131">
        <v>146</v>
      </c>
      <c r="H131">
        <v>44</v>
      </c>
      <c r="I131">
        <v>15.9</v>
      </c>
      <c r="J131">
        <v>0.33</v>
      </c>
      <c r="K131">
        <v>8.11</v>
      </c>
      <c r="L131">
        <v>0</v>
      </c>
      <c r="M131">
        <v>19.670000000000002</v>
      </c>
      <c r="N131">
        <v>2</v>
      </c>
      <c r="O131">
        <v>1</v>
      </c>
      <c r="P131">
        <v>4099</v>
      </c>
      <c r="Q131">
        <v>2169</v>
      </c>
      <c r="R131">
        <v>13</v>
      </c>
      <c r="S131">
        <v>373</v>
      </c>
      <c r="T131">
        <v>0</v>
      </c>
      <c r="U131">
        <v>1544</v>
      </c>
      <c r="V131" s="1">
        <f t="shared" ref="V131:V194" si="6">ROUND(H131/G131,4)</f>
        <v>0.3014</v>
      </c>
      <c r="W131" s="1">
        <f t="shared" ref="W131:W194" si="7">ROUND(N131/G131,4)</f>
        <v>1.37E-2</v>
      </c>
      <c r="X131" s="1">
        <f t="shared" ref="X131:X194" si="8">ROUND(O131/G131,4)</f>
        <v>6.7999999999999996E-3</v>
      </c>
    </row>
    <row r="132" spans="1:24" x14ac:dyDescent="0.25">
      <c r="A132">
        <v>2024</v>
      </c>
      <c r="B132">
        <v>5</v>
      </c>
      <c r="C132" t="s">
        <v>21</v>
      </c>
      <c r="D132" t="str">
        <f>_xlfn.XLOOKUP(C132,'Carrier Name Rename'!A:A,'Carrier Name Rename'!B:B)</f>
        <v>Hawaiian Airlines Inc.</v>
      </c>
      <c r="E132" t="s">
        <v>23</v>
      </c>
      <c r="F132" t="s">
        <v>24</v>
      </c>
      <c r="G132">
        <v>62</v>
      </c>
      <c r="H132">
        <v>26</v>
      </c>
      <c r="I132">
        <v>20.73</v>
      </c>
      <c r="J132">
        <v>0</v>
      </c>
      <c r="K132">
        <v>0.17</v>
      </c>
      <c r="L132">
        <v>1.29</v>
      </c>
      <c r="M132">
        <v>3.81</v>
      </c>
      <c r="N132">
        <v>0</v>
      </c>
      <c r="O132">
        <v>0</v>
      </c>
      <c r="P132">
        <v>973</v>
      </c>
      <c r="Q132">
        <v>739</v>
      </c>
      <c r="R132">
        <v>0</v>
      </c>
      <c r="S132">
        <v>6</v>
      </c>
      <c r="T132">
        <v>53</v>
      </c>
      <c r="U132">
        <v>175</v>
      </c>
      <c r="V132" s="1">
        <f t="shared" si="6"/>
        <v>0.4194</v>
      </c>
      <c r="W132" s="1">
        <f t="shared" si="7"/>
        <v>0</v>
      </c>
      <c r="X132" s="1">
        <f t="shared" si="8"/>
        <v>0</v>
      </c>
    </row>
    <row r="133" spans="1:24" x14ac:dyDescent="0.25">
      <c r="A133">
        <v>2024</v>
      </c>
      <c r="B133">
        <v>5</v>
      </c>
      <c r="C133" t="s">
        <v>45</v>
      </c>
      <c r="D133" t="str">
        <f>_xlfn.XLOOKUP(C133,'Carrier Name Rename'!A:A,'Carrier Name Rename'!B:B)</f>
        <v>Envoy Air</v>
      </c>
      <c r="E133" t="s">
        <v>23</v>
      </c>
      <c r="F133" t="s">
        <v>24</v>
      </c>
      <c r="G133">
        <v>87</v>
      </c>
      <c r="H133">
        <v>15</v>
      </c>
      <c r="I133">
        <v>3.7</v>
      </c>
      <c r="J133">
        <v>0</v>
      </c>
      <c r="K133">
        <v>10.56</v>
      </c>
      <c r="L133">
        <v>0</v>
      </c>
      <c r="M133">
        <v>0.74</v>
      </c>
      <c r="N133">
        <v>0</v>
      </c>
      <c r="O133">
        <v>2</v>
      </c>
      <c r="P133">
        <v>746</v>
      </c>
      <c r="Q133">
        <v>393</v>
      </c>
      <c r="R133">
        <v>0</v>
      </c>
      <c r="S133">
        <v>319</v>
      </c>
      <c r="T133">
        <v>0</v>
      </c>
      <c r="U133">
        <v>34</v>
      </c>
      <c r="V133" s="1">
        <f t="shared" si="6"/>
        <v>0.1724</v>
      </c>
      <c r="W133" s="1">
        <f t="shared" si="7"/>
        <v>0</v>
      </c>
      <c r="X133" s="1">
        <f t="shared" si="8"/>
        <v>2.3E-2</v>
      </c>
    </row>
    <row r="134" spans="1:24" x14ac:dyDescent="0.25">
      <c r="A134">
        <v>2024</v>
      </c>
      <c r="B134">
        <v>5</v>
      </c>
      <c r="C134" t="s">
        <v>25</v>
      </c>
      <c r="D134" t="str">
        <f>_xlfn.XLOOKUP(C134,'Carrier Name Rename'!A:A,'Carrier Name Rename'!B:B)</f>
        <v>Spirit Airlines</v>
      </c>
      <c r="E134" t="s">
        <v>23</v>
      </c>
      <c r="F134" t="s">
        <v>24</v>
      </c>
      <c r="G134">
        <v>62</v>
      </c>
      <c r="H134">
        <v>11</v>
      </c>
      <c r="I134">
        <v>4.05</v>
      </c>
      <c r="J134">
        <v>0.24</v>
      </c>
      <c r="K134">
        <v>5.43</v>
      </c>
      <c r="L134">
        <v>0</v>
      </c>
      <c r="M134">
        <v>1.28</v>
      </c>
      <c r="N134">
        <v>0</v>
      </c>
      <c r="O134">
        <v>0</v>
      </c>
      <c r="P134">
        <v>446</v>
      </c>
      <c r="Q134">
        <v>143</v>
      </c>
      <c r="R134">
        <v>7</v>
      </c>
      <c r="S134">
        <v>242</v>
      </c>
      <c r="T134">
        <v>0</v>
      </c>
      <c r="U134">
        <v>54</v>
      </c>
      <c r="V134" s="1">
        <f t="shared" si="6"/>
        <v>0.1774</v>
      </c>
      <c r="W134" s="1">
        <f t="shared" si="7"/>
        <v>0</v>
      </c>
      <c r="X134" s="1">
        <f t="shared" si="8"/>
        <v>0</v>
      </c>
    </row>
    <row r="135" spans="1:24" x14ac:dyDescent="0.25">
      <c r="A135">
        <v>2024</v>
      </c>
      <c r="B135">
        <v>5</v>
      </c>
      <c r="C135" t="s">
        <v>27</v>
      </c>
      <c r="D135" t="str">
        <f>_xlfn.XLOOKUP(C135,'Carrier Name Rename'!A:A,'Carrier Name Rename'!B:B)</f>
        <v>SkyWest Airlines Inc.</v>
      </c>
      <c r="E135" t="s">
        <v>23</v>
      </c>
      <c r="F135" t="s">
        <v>24</v>
      </c>
      <c r="G135">
        <v>2258</v>
      </c>
      <c r="H135">
        <v>334</v>
      </c>
      <c r="I135">
        <v>185.46</v>
      </c>
      <c r="J135">
        <v>31.44</v>
      </c>
      <c r="K135">
        <v>71.430000000000007</v>
      </c>
      <c r="L135">
        <v>3</v>
      </c>
      <c r="M135">
        <v>42.67</v>
      </c>
      <c r="N135">
        <v>1</v>
      </c>
      <c r="O135">
        <v>0</v>
      </c>
      <c r="P135">
        <v>16517</v>
      </c>
      <c r="Q135">
        <v>9383</v>
      </c>
      <c r="R135">
        <v>1341</v>
      </c>
      <c r="S135">
        <v>3079</v>
      </c>
      <c r="T135">
        <v>120</v>
      </c>
      <c r="U135">
        <v>2594</v>
      </c>
      <c r="V135" s="1">
        <f t="shared" si="6"/>
        <v>0.1479</v>
      </c>
      <c r="W135" s="1">
        <f t="shared" si="7"/>
        <v>4.0000000000000002E-4</v>
      </c>
      <c r="X135" s="1">
        <f t="shared" si="8"/>
        <v>0</v>
      </c>
    </row>
    <row r="136" spans="1:24" x14ac:dyDescent="0.25">
      <c r="A136">
        <v>2024</v>
      </c>
      <c r="B136">
        <v>5</v>
      </c>
      <c r="C136" t="s">
        <v>29</v>
      </c>
      <c r="D136" t="str">
        <f>_xlfn.XLOOKUP(C136,'Carrier Name Rename'!A:A,'Carrier Name Rename'!B:B)</f>
        <v>Horizon Air</v>
      </c>
      <c r="E136" t="s">
        <v>23</v>
      </c>
      <c r="F136" t="s">
        <v>24</v>
      </c>
      <c r="G136">
        <v>1903</v>
      </c>
      <c r="H136">
        <v>300</v>
      </c>
      <c r="I136">
        <v>59.75</v>
      </c>
      <c r="J136">
        <v>3.13</v>
      </c>
      <c r="K136">
        <v>135.44999999999999</v>
      </c>
      <c r="L136">
        <v>0.53</v>
      </c>
      <c r="M136">
        <v>101.14</v>
      </c>
      <c r="N136">
        <v>4</v>
      </c>
      <c r="O136">
        <v>0</v>
      </c>
      <c r="P136">
        <v>14637</v>
      </c>
      <c r="Q136">
        <v>4788</v>
      </c>
      <c r="R136">
        <v>271</v>
      </c>
      <c r="S136">
        <v>4534</v>
      </c>
      <c r="T136">
        <v>8</v>
      </c>
      <c r="U136">
        <v>5036</v>
      </c>
      <c r="V136" s="1">
        <f t="shared" si="6"/>
        <v>0.15759999999999999</v>
      </c>
      <c r="W136" s="1">
        <f t="shared" si="7"/>
        <v>2.0999999999999999E-3</v>
      </c>
      <c r="X136" s="1">
        <f t="shared" si="8"/>
        <v>0</v>
      </c>
    </row>
    <row r="137" spans="1:24" x14ac:dyDescent="0.25">
      <c r="A137">
        <v>2024</v>
      </c>
      <c r="B137">
        <v>5</v>
      </c>
      <c r="C137" t="s">
        <v>41</v>
      </c>
      <c r="D137" t="str">
        <f>_xlfn.XLOOKUP(C137,'Carrier Name Rename'!A:A,'Carrier Name Rename'!B:B)</f>
        <v>United Air Lines Inc.</v>
      </c>
      <c r="E137" t="s">
        <v>23</v>
      </c>
      <c r="F137" t="s">
        <v>24</v>
      </c>
      <c r="G137">
        <v>839</v>
      </c>
      <c r="H137">
        <v>202</v>
      </c>
      <c r="I137">
        <v>68.92</v>
      </c>
      <c r="J137">
        <v>11.31</v>
      </c>
      <c r="K137">
        <v>45.37</v>
      </c>
      <c r="L137">
        <v>0</v>
      </c>
      <c r="M137">
        <v>76.400000000000006</v>
      </c>
      <c r="N137">
        <v>9</v>
      </c>
      <c r="O137">
        <v>0</v>
      </c>
      <c r="P137">
        <v>14859</v>
      </c>
      <c r="Q137">
        <v>4606</v>
      </c>
      <c r="R137">
        <v>1466</v>
      </c>
      <c r="S137">
        <v>1919</v>
      </c>
      <c r="T137">
        <v>0</v>
      </c>
      <c r="U137">
        <v>6868</v>
      </c>
      <c r="V137" s="1">
        <f t="shared" si="6"/>
        <v>0.24079999999999999</v>
      </c>
      <c r="W137" s="1">
        <f t="shared" si="7"/>
        <v>1.0699999999999999E-2</v>
      </c>
      <c r="X137" s="1">
        <f t="shared" si="8"/>
        <v>0</v>
      </c>
    </row>
    <row r="138" spans="1:24" x14ac:dyDescent="0.25">
      <c r="A138">
        <v>2024</v>
      </c>
      <c r="B138">
        <v>5</v>
      </c>
      <c r="C138" t="s">
        <v>43</v>
      </c>
      <c r="D138" t="str">
        <f>_xlfn.XLOOKUP(C138,'Carrier Name Rename'!A:A,'Carrier Name Rename'!B:B)</f>
        <v>Southwest Airlines Co.</v>
      </c>
      <c r="E138" t="s">
        <v>23</v>
      </c>
      <c r="F138" t="s">
        <v>24</v>
      </c>
      <c r="G138">
        <v>635</v>
      </c>
      <c r="H138">
        <v>214</v>
      </c>
      <c r="I138">
        <v>68.02</v>
      </c>
      <c r="J138">
        <v>3.62</v>
      </c>
      <c r="K138">
        <v>42.08</v>
      </c>
      <c r="L138">
        <v>0</v>
      </c>
      <c r="M138">
        <v>100.28</v>
      </c>
      <c r="N138">
        <v>0</v>
      </c>
      <c r="O138">
        <v>2</v>
      </c>
      <c r="P138">
        <v>10837</v>
      </c>
      <c r="Q138">
        <v>2985</v>
      </c>
      <c r="R138">
        <v>531</v>
      </c>
      <c r="S138">
        <v>1563</v>
      </c>
      <c r="T138">
        <v>0</v>
      </c>
      <c r="U138">
        <v>5758</v>
      </c>
      <c r="V138" s="1">
        <f t="shared" si="6"/>
        <v>0.33700000000000002</v>
      </c>
      <c r="W138" s="1">
        <f t="shared" si="7"/>
        <v>0</v>
      </c>
      <c r="X138" s="1">
        <f t="shared" si="8"/>
        <v>3.0999999999999999E-3</v>
      </c>
    </row>
    <row r="139" spans="1:24" x14ac:dyDescent="0.25">
      <c r="A139">
        <v>2024</v>
      </c>
      <c r="B139">
        <v>5</v>
      </c>
      <c r="C139" t="s">
        <v>31</v>
      </c>
      <c r="D139" t="str">
        <f>_xlfn.XLOOKUP(C139,'Carrier Name Rename'!A:A,'Carrier Name Rename'!B:B)</f>
        <v>American Airlines Inc.</v>
      </c>
      <c r="E139" t="s">
        <v>23</v>
      </c>
      <c r="F139" t="s">
        <v>24</v>
      </c>
      <c r="G139">
        <v>479</v>
      </c>
      <c r="H139">
        <v>216</v>
      </c>
      <c r="I139">
        <v>75.42</v>
      </c>
      <c r="J139">
        <v>14.08</v>
      </c>
      <c r="K139">
        <v>51.74</v>
      </c>
      <c r="L139">
        <v>1.61</v>
      </c>
      <c r="M139">
        <v>73.150000000000006</v>
      </c>
      <c r="N139">
        <v>26</v>
      </c>
      <c r="O139">
        <v>2</v>
      </c>
      <c r="P139">
        <v>17012</v>
      </c>
      <c r="Q139">
        <v>4971</v>
      </c>
      <c r="R139">
        <v>1745</v>
      </c>
      <c r="S139">
        <v>2892</v>
      </c>
      <c r="T139">
        <v>109</v>
      </c>
      <c r="U139">
        <v>7295</v>
      </c>
      <c r="V139" s="1">
        <f t="shared" si="6"/>
        <v>0.45090000000000002</v>
      </c>
      <c r="W139" s="1">
        <f t="shared" si="7"/>
        <v>5.4300000000000001E-2</v>
      </c>
      <c r="X139" s="1">
        <f t="shared" si="8"/>
        <v>4.1999999999999997E-3</v>
      </c>
    </row>
    <row r="140" spans="1:24" x14ac:dyDescent="0.25">
      <c r="A140">
        <v>2024</v>
      </c>
      <c r="B140">
        <v>5</v>
      </c>
      <c r="C140" t="s">
        <v>33</v>
      </c>
      <c r="D140" t="str">
        <f>_xlfn.XLOOKUP(C140,'Carrier Name Rename'!A:A,'Carrier Name Rename'!B:B)</f>
        <v>Alaska Airlines Inc.</v>
      </c>
      <c r="E140" t="s">
        <v>23</v>
      </c>
      <c r="F140" t="s">
        <v>24</v>
      </c>
      <c r="G140">
        <v>6878</v>
      </c>
      <c r="H140">
        <v>1653</v>
      </c>
      <c r="I140">
        <v>329.68</v>
      </c>
      <c r="J140">
        <v>41.57</v>
      </c>
      <c r="K140">
        <v>627.85</v>
      </c>
      <c r="L140">
        <v>10.74</v>
      </c>
      <c r="M140">
        <v>643.16</v>
      </c>
      <c r="N140">
        <v>38</v>
      </c>
      <c r="O140">
        <v>10</v>
      </c>
      <c r="P140">
        <v>82204</v>
      </c>
      <c r="Q140">
        <v>22671</v>
      </c>
      <c r="R140">
        <v>3132</v>
      </c>
      <c r="S140">
        <v>19757</v>
      </c>
      <c r="T140">
        <v>321</v>
      </c>
      <c r="U140">
        <v>36323</v>
      </c>
      <c r="V140" s="1">
        <f t="shared" si="6"/>
        <v>0.24030000000000001</v>
      </c>
      <c r="W140" s="1">
        <f t="shared" si="7"/>
        <v>5.4999999999999997E-3</v>
      </c>
      <c r="X140" s="1">
        <f t="shared" si="8"/>
        <v>1.5E-3</v>
      </c>
    </row>
    <row r="141" spans="1:24" x14ac:dyDescent="0.25">
      <c r="A141">
        <v>2024</v>
      </c>
      <c r="B141">
        <v>5</v>
      </c>
      <c r="C141" t="s">
        <v>35</v>
      </c>
      <c r="D141" t="str">
        <f>_xlfn.XLOOKUP(C141,'Carrier Name Rename'!A:A,'Carrier Name Rename'!B:B)</f>
        <v>JetBlue Airways</v>
      </c>
      <c r="E141" t="s">
        <v>23</v>
      </c>
      <c r="F141" t="s">
        <v>24</v>
      </c>
      <c r="G141">
        <v>62</v>
      </c>
      <c r="H141">
        <v>17</v>
      </c>
      <c r="I141">
        <v>10.75</v>
      </c>
      <c r="J141">
        <v>0</v>
      </c>
      <c r="K141">
        <v>4.12</v>
      </c>
      <c r="L141">
        <v>1</v>
      </c>
      <c r="M141">
        <v>1.1299999999999999</v>
      </c>
      <c r="N141">
        <v>0</v>
      </c>
      <c r="O141">
        <v>0</v>
      </c>
      <c r="P141">
        <v>1183</v>
      </c>
      <c r="Q141">
        <v>835</v>
      </c>
      <c r="R141">
        <v>0</v>
      </c>
      <c r="S141">
        <v>195</v>
      </c>
      <c r="T141">
        <v>43</v>
      </c>
      <c r="U141">
        <v>110</v>
      </c>
      <c r="V141" s="1">
        <f t="shared" si="6"/>
        <v>0.2742</v>
      </c>
      <c r="W141" s="1">
        <f t="shared" si="7"/>
        <v>0</v>
      </c>
      <c r="X141" s="1">
        <f t="shared" si="8"/>
        <v>0</v>
      </c>
    </row>
    <row r="142" spans="1:24" x14ac:dyDescent="0.25">
      <c r="A142">
        <v>2024</v>
      </c>
      <c r="B142">
        <v>5</v>
      </c>
      <c r="C142" t="s">
        <v>37</v>
      </c>
      <c r="D142" t="str">
        <f>_xlfn.XLOOKUP(C142,'Carrier Name Rename'!A:A,'Carrier Name Rename'!B:B)</f>
        <v>Delta Air Lines Inc.</v>
      </c>
      <c r="E142" t="s">
        <v>23</v>
      </c>
      <c r="F142" t="s">
        <v>24</v>
      </c>
      <c r="G142">
        <v>2859</v>
      </c>
      <c r="H142">
        <v>490</v>
      </c>
      <c r="I142">
        <v>153.12</v>
      </c>
      <c r="J142">
        <v>9.8699999999999992</v>
      </c>
      <c r="K142">
        <v>157.65</v>
      </c>
      <c r="L142">
        <v>1</v>
      </c>
      <c r="M142">
        <v>168.36</v>
      </c>
      <c r="N142">
        <v>1</v>
      </c>
      <c r="O142">
        <v>1</v>
      </c>
      <c r="P142">
        <v>29210</v>
      </c>
      <c r="Q142">
        <v>10688</v>
      </c>
      <c r="R142">
        <v>513</v>
      </c>
      <c r="S142">
        <v>5783</v>
      </c>
      <c r="T142">
        <v>47</v>
      </c>
      <c r="U142">
        <v>12179</v>
      </c>
      <c r="V142" s="1">
        <f t="shared" si="6"/>
        <v>0.1714</v>
      </c>
      <c r="W142" s="1">
        <f t="shared" si="7"/>
        <v>2.9999999999999997E-4</v>
      </c>
      <c r="X142" s="1">
        <f t="shared" si="8"/>
        <v>2.9999999999999997E-4</v>
      </c>
    </row>
    <row r="143" spans="1:24" x14ac:dyDescent="0.25">
      <c r="A143">
        <v>2024</v>
      </c>
      <c r="B143">
        <v>5</v>
      </c>
      <c r="C143" t="s">
        <v>39</v>
      </c>
      <c r="D143" t="str">
        <f>_xlfn.XLOOKUP(C143,'Carrier Name Rename'!A:A,'Carrier Name Rename'!B:B)</f>
        <v>Frontier Airlines Inc.</v>
      </c>
      <c r="E143" t="s">
        <v>23</v>
      </c>
      <c r="F143" t="s">
        <v>24</v>
      </c>
      <c r="G143">
        <v>112</v>
      </c>
      <c r="H143">
        <v>33</v>
      </c>
      <c r="I143">
        <v>9.09</v>
      </c>
      <c r="J143">
        <v>0.05</v>
      </c>
      <c r="K143">
        <v>6.2</v>
      </c>
      <c r="L143">
        <v>0</v>
      </c>
      <c r="M143">
        <v>17.66</v>
      </c>
      <c r="N143">
        <v>0</v>
      </c>
      <c r="O143">
        <v>0</v>
      </c>
      <c r="P143">
        <v>1636</v>
      </c>
      <c r="Q143">
        <v>454</v>
      </c>
      <c r="R143">
        <v>5</v>
      </c>
      <c r="S143">
        <v>151</v>
      </c>
      <c r="T143">
        <v>0</v>
      </c>
      <c r="U143">
        <v>1026</v>
      </c>
      <c r="V143" s="1">
        <f t="shared" si="6"/>
        <v>0.29459999999999997</v>
      </c>
      <c r="W143" s="1">
        <f t="shared" si="7"/>
        <v>0</v>
      </c>
      <c r="X143" s="1">
        <f t="shared" si="8"/>
        <v>0</v>
      </c>
    </row>
    <row r="144" spans="1:24" x14ac:dyDescent="0.25">
      <c r="A144">
        <v>2024</v>
      </c>
      <c r="B144">
        <v>4</v>
      </c>
      <c r="C144" t="s">
        <v>31</v>
      </c>
      <c r="D144" t="str">
        <f>_xlfn.XLOOKUP(C144,'Carrier Name Rename'!A:A,'Carrier Name Rename'!B:B)</f>
        <v>American Airlines Inc.</v>
      </c>
      <c r="E144" t="s">
        <v>23</v>
      </c>
      <c r="F144" t="s">
        <v>24</v>
      </c>
      <c r="G144">
        <v>385</v>
      </c>
      <c r="H144">
        <v>80</v>
      </c>
      <c r="I144">
        <v>32.549999999999997</v>
      </c>
      <c r="J144">
        <v>4.0199999999999996</v>
      </c>
      <c r="K144">
        <v>10.88</v>
      </c>
      <c r="L144">
        <v>0</v>
      </c>
      <c r="M144">
        <v>32.549999999999997</v>
      </c>
      <c r="N144">
        <v>4</v>
      </c>
      <c r="O144">
        <v>0</v>
      </c>
      <c r="P144">
        <v>4603</v>
      </c>
      <c r="Q144">
        <v>1795</v>
      </c>
      <c r="R144">
        <v>318</v>
      </c>
      <c r="S144">
        <v>391</v>
      </c>
      <c r="T144">
        <v>0</v>
      </c>
      <c r="U144">
        <v>2099</v>
      </c>
      <c r="V144" s="1">
        <f t="shared" si="6"/>
        <v>0.20780000000000001</v>
      </c>
      <c r="W144" s="1">
        <f t="shared" si="7"/>
        <v>1.04E-2</v>
      </c>
      <c r="X144" s="1">
        <f t="shared" si="8"/>
        <v>0</v>
      </c>
    </row>
    <row r="145" spans="1:24" x14ac:dyDescent="0.25">
      <c r="A145">
        <v>2024</v>
      </c>
      <c r="B145">
        <v>4</v>
      </c>
      <c r="C145" t="s">
        <v>39</v>
      </c>
      <c r="D145" t="str">
        <f>_xlfn.XLOOKUP(C145,'Carrier Name Rename'!A:A,'Carrier Name Rename'!B:B)</f>
        <v>Frontier Airlines Inc.</v>
      </c>
      <c r="E145" t="s">
        <v>23</v>
      </c>
      <c r="F145" t="s">
        <v>24</v>
      </c>
      <c r="G145">
        <v>91</v>
      </c>
      <c r="H145">
        <v>28</v>
      </c>
      <c r="I145">
        <v>6.61</v>
      </c>
      <c r="J145">
        <v>0.04</v>
      </c>
      <c r="K145">
        <v>3.2</v>
      </c>
      <c r="L145">
        <v>0</v>
      </c>
      <c r="M145">
        <v>18.149999999999999</v>
      </c>
      <c r="N145">
        <v>0</v>
      </c>
      <c r="O145">
        <v>0</v>
      </c>
      <c r="P145">
        <v>2161</v>
      </c>
      <c r="Q145">
        <v>317</v>
      </c>
      <c r="R145">
        <v>4</v>
      </c>
      <c r="S145">
        <v>201</v>
      </c>
      <c r="T145">
        <v>0</v>
      </c>
      <c r="U145">
        <v>1639</v>
      </c>
      <c r="V145" s="1">
        <f t="shared" si="6"/>
        <v>0.30769999999999997</v>
      </c>
      <c r="W145" s="1">
        <f t="shared" si="7"/>
        <v>0</v>
      </c>
      <c r="X145" s="1">
        <f t="shared" si="8"/>
        <v>0</v>
      </c>
    </row>
    <row r="146" spans="1:24" x14ac:dyDescent="0.25">
      <c r="A146">
        <v>2024</v>
      </c>
      <c r="B146">
        <v>4</v>
      </c>
      <c r="C146" t="s">
        <v>21</v>
      </c>
      <c r="D146" t="str">
        <f>_xlfn.XLOOKUP(C146,'Carrier Name Rename'!A:A,'Carrier Name Rename'!B:B)</f>
        <v>Hawaiian Airlines Inc.</v>
      </c>
      <c r="E146" t="s">
        <v>23</v>
      </c>
      <c r="F146" t="s">
        <v>24</v>
      </c>
      <c r="G146">
        <v>61</v>
      </c>
      <c r="H146">
        <v>19</v>
      </c>
      <c r="I146">
        <v>17.25</v>
      </c>
      <c r="J146">
        <v>0</v>
      </c>
      <c r="K146">
        <v>0</v>
      </c>
      <c r="L146">
        <v>0</v>
      </c>
      <c r="M146">
        <v>1.75</v>
      </c>
      <c r="N146">
        <v>1</v>
      </c>
      <c r="O146">
        <v>0</v>
      </c>
      <c r="P146">
        <v>712</v>
      </c>
      <c r="Q146">
        <v>645</v>
      </c>
      <c r="R146">
        <v>0</v>
      </c>
      <c r="S146">
        <v>0</v>
      </c>
      <c r="T146">
        <v>0</v>
      </c>
      <c r="U146">
        <v>67</v>
      </c>
      <c r="V146" s="1">
        <f t="shared" si="6"/>
        <v>0.3115</v>
      </c>
      <c r="W146" s="1">
        <f t="shared" si="7"/>
        <v>1.6400000000000001E-2</v>
      </c>
      <c r="X146" s="1">
        <f t="shared" si="8"/>
        <v>0</v>
      </c>
    </row>
    <row r="147" spans="1:24" x14ac:dyDescent="0.25">
      <c r="A147">
        <v>2024</v>
      </c>
      <c r="B147">
        <v>4</v>
      </c>
      <c r="C147" t="s">
        <v>29</v>
      </c>
      <c r="D147" t="str">
        <f>_xlfn.XLOOKUP(C147,'Carrier Name Rename'!A:A,'Carrier Name Rename'!B:B)</f>
        <v>Horizon Air</v>
      </c>
      <c r="E147" t="s">
        <v>23</v>
      </c>
      <c r="F147" t="s">
        <v>24</v>
      </c>
      <c r="G147">
        <v>1661</v>
      </c>
      <c r="H147">
        <v>199</v>
      </c>
      <c r="I147">
        <v>42.94</v>
      </c>
      <c r="J147">
        <v>2.3199999999999998</v>
      </c>
      <c r="K147">
        <v>92.75</v>
      </c>
      <c r="L147">
        <v>0.34</v>
      </c>
      <c r="M147">
        <v>60.65</v>
      </c>
      <c r="N147">
        <v>4</v>
      </c>
      <c r="O147">
        <v>0</v>
      </c>
      <c r="P147">
        <v>9167</v>
      </c>
      <c r="Q147">
        <v>3278</v>
      </c>
      <c r="R147">
        <v>112</v>
      </c>
      <c r="S147">
        <v>2785</v>
      </c>
      <c r="T147">
        <v>12</v>
      </c>
      <c r="U147">
        <v>2980</v>
      </c>
      <c r="V147" s="1">
        <f t="shared" si="6"/>
        <v>0.1198</v>
      </c>
      <c r="W147" s="1">
        <f t="shared" si="7"/>
        <v>2.3999999999999998E-3</v>
      </c>
      <c r="X147" s="1">
        <f t="shared" si="8"/>
        <v>0</v>
      </c>
    </row>
    <row r="148" spans="1:24" x14ac:dyDescent="0.25">
      <c r="A148">
        <v>2024</v>
      </c>
      <c r="B148">
        <v>4</v>
      </c>
      <c r="C148" t="s">
        <v>33</v>
      </c>
      <c r="D148" t="str">
        <f>_xlfn.XLOOKUP(C148,'Carrier Name Rename'!A:A,'Carrier Name Rename'!B:B)</f>
        <v>Alaska Airlines Inc.</v>
      </c>
      <c r="E148" t="s">
        <v>23</v>
      </c>
      <c r="F148" t="s">
        <v>24</v>
      </c>
      <c r="G148">
        <v>6189</v>
      </c>
      <c r="H148">
        <v>1082</v>
      </c>
      <c r="I148">
        <v>244.74</v>
      </c>
      <c r="J148">
        <v>14.11</v>
      </c>
      <c r="K148">
        <v>349.82</v>
      </c>
      <c r="L148">
        <v>6.72</v>
      </c>
      <c r="M148">
        <v>466.61</v>
      </c>
      <c r="N148">
        <v>34</v>
      </c>
      <c r="O148">
        <v>6</v>
      </c>
      <c r="P148">
        <v>58472</v>
      </c>
      <c r="Q148">
        <v>18271</v>
      </c>
      <c r="R148">
        <v>746</v>
      </c>
      <c r="S148">
        <v>11285</v>
      </c>
      <c r="T148">
        <v>377</v>
      </c>
      <c r="U148">
        <v>27793</v>
      </c>
      <c r="V148" s="1">
        <f t="shared" si="6"/>
        <v>0.17480000000000001</v>
      </c>
      <c r="W148" s="1">
        <f t="shared" si="7"/>
        <v>5.4999999999999997E-3</v>
      </c>
      <c r="X148" s="1">
        <f t="shared" si="8"/>
        <v>1E-3</v>
      </c>
    </row>
    <row r="149" spans="1:24" x14ac:dyDescent="0.25">
      <c r="A149">
        <v>2024</v>
      </c>
      <c r="B149">
        <v>4</v>
      </c>
      <c r="C149" t="s">
        <v>35</v>
      </c>
      <c r="D149" t="str">
        <f>_xlfn.XLOOKUP(C149,'Carrier Name Rename'!A:A,'Carrier Name Rename'!B:B)</f>
        <v>JetBlue Airways</v>
      </c>
      <c r="E149" t="s">
        <v>23</v>
      </c>
      <c r="F149" t="s">
        <v>24</v>
      </c>
      <c r="G149">
        <v>60</v>
      </c>
      <c r="H149">
        <v>22</v>
      </c>
      <c r="I149">
        <v>8.36</v>
      </c>
      <c r="J149">
        <v>0.77</v>
      </c>
      <c r="K149">
        <v>8.7899999999999991</v>
      </c>
      <c r="L149">
        <v>0</v>
      </c>
      <c r="M149">
        <v>4.08</v>
      </c>
      <c r="N149">
        <v>0</v>
      </c>
      <c r="O149">
        <v>0</v>
      </c>
      <c r="P149">
        <v>1923</v>
      </c>
      <c r="Q149">
        <v>982</v>
      </c>
      <c r="R149">
        <v>82</v>
      </c>
      <c r="S149">
        <v>391</v>
      </c>
      <c r="T149">
        <v>0</v>
      </c>
      <c r="U149">
        <v>468</v>
      </c>
      <c r="V149" s="1">
        <f t="shared" si="6"/>
        <v>0.36670000000000003</v>
      </c>
      <c r="W149" s="1">
        <f t="shared" si="7"/>
        <v>0</v>
      </c>
      <c r="X149" s="1">
        <f t="shared" si="8"/>
        <v>0</v>
      </c>
    </row>
    <row r="150" spans="1:24" x14ac:dyDescent="0.25">
      <c r="A150">
        <v>2024</v>
      </c>
      <c r="B150">
        <v>4</v>
      </c>
      <c r="C150" t="s">
        <v>45</v>
      </c>
      <c r="D150" t="str">
        <f>_xlfn.XLOOKUP(C150,'Carrier Name Rename'!A:A,'Carrier Name Rename'!B:B)</f>
        <v>Envoy Air</v>
      </c>
      <c r="E150" t="s">
        <v>23</v>
      </c>
      <c r="F150" t="s">
        <v>24</v>
      </c>
      <c r="G150">
        <v>55</v>
      </c>
      <c r="H150">
        <v>3</v>
      </c>
      <c r="I150">
        <v>1.1000000000000001</v>
      </c>
      <c r="J150">
        <v>0</v>
      </c>
      <c r="K150">
        <v>1</v>
      </c>
      <c r="L150">
        <v>0</v>
      </c>
      <c r="M150">
        <v>0.9</v>
      </c>
      <c r="N150">
        <v>0</v>
      </c>
      <c r="O150">
        <v>0</v>
      </c>
      <c r="P150">
        <v>239</v>
      </c>
      <c r="Q150">
        <v>126</v>
      </c>
      <c r="R150">
        <v>0</v>
      </c>
      <c r="S150">
        <v>34</v>
      </c>
      <c r="T150">
        <v>0</v>
      </c>
      <c r="U150">
        <v>79</v>
      </c>
      <c r="V150" s="1">
        <f t="shared" si="6"/>
        <v>5.45E-2</v>
      </c>
      <c r="W150" s="1">
        <f t="shared" si="7"/>
        <v>0</v>
      </c>
      <c r="X150" s="1">
        <f t="shared" si="8"/>
        <v>0</v>
      </c>
    </row>
    <row r="151" spans="1:24" x14ac:dyDescent="0.25">
      <c r="A151">
        <v>2024</v>
      </c>
      <c r="B151">
        <v>4</v>
      </c>
      <c r="C151" t="s">
        <v>25</v>
      </c>
      <c r="D151" t="str">
        <f>_xlfn.XLOOKUP(C151,'Carrier Name Rename'!A:A,'Carrier Name Rename'!B:B)</f>
        <v>Spirit Airlines</v>
      </c>
      <c r="E151" t="s">
        <v>23</v>
      </c>
      <c r="F151" t="s">
        <v>24</v>
      </c>
      <c r="G151">
        <v>60</v>
      </c>
      <c r="H151">
        <v>6</v>
      </c>
      <c r="I151">
        <v>2.16</v>
      </c>
      <c r="J151">
        <v>0.88</v>
      </c>
      <c r="K151">
        <v>2.96</v>
      </c>
      <c r="L151">
        <v>0</v>
      </c>
      <c r="M151">
        <v>0</v>
      </c>
      <c r="N151">
        <v>0</v>
      </c>
      <c r="O151">
        <v>0</v>
      </c>
      <c r="P151">
        <v>267</v>
      </c>
      <c r="Q151">
        <v>63</v>
      </c>
      <c r="R151">
        <v>96</v>
      </c>
      <c r="S151">
        <v>108</v>
      </c>
      <c r="T151">
        <v>0</v>
      </c>
      <c r="U151">
        <v>0</v>
      </c>
      <c r="V151" s="1">
        <f t="shared" si="6"/>
        <v>0.1</v>
      </c>
      <c r="W151" s="1">
        <f t="shared" si="7"/>
        <v>0</v>
      </c>
      <c r="X151" s="1">
        <f t="shared" si="8"/>
        <v>0</v>
      </c>
    </row>
    <row r="152" spans="1:24" x14ac:dyDescent="0.25">
      <c r="A152">
        <v>2024</v>
      </c>
      <c r="B152">
        <v>4</v>
      </c>
      <c r="C152" t="s">
        <v>41</v>
      </c>
      <c r="D152" t="str">
        <f>_xlfn.XLOOKUP(C152,'Carrier Name Rename'!A:A,'Carrier Name Rename'!B:B)</f>
        <v>United Air Lines Inc.</v>
      </c>
      <c r="E152" t="s">
        <v>23</v>
      </c>
      <c r="F152" t="s">
        <v>24</v>
      </c>
      <c r="G152">
        <v>638</v>
      </c>
      <c r="H152">
        <v>130</v>
      </c>
      <c r="I152">
        <v>44.73</v>
      </c>
      <c r="J152">
        <v>0.76</v>
      </c>
      <c r="K152">
        <v>22.25</v>
      </c>
      <c r="L152">
        <v>0</v>
      </c>
      <c r="M152">
        <v>62.26</v>
      </c>
      <c r="N152">
        <v>1</v>
      </c>
      <c r="O152">
        <v>1</v>
      </c>
      <c r="P152">
        <v>8199</v>
      </c>
      <c r="Q152">
        <v>2682</v>
      </c>
      <c r="R152">
        <v>80</v>
      </c>
      <c r="S152">
        <v>913</v>
      </c>
      <c r="T152">
        <v>0</v>
      </c>
      <c r="U152">
        <v>4524</v>
      </c>
      <c r="V152" s="1">
        <f t="shared" si="6"/>
        <v>0.20380000000000001</v>
      </c>
      <c r="W152" s="1">
        <f t="shared" si="7"/>
        <v>1.6000000000000001E-3</v>
      </c>
      <c r="X152" s="1">
        <f t="shared" si="8"/>
        <v>1.6000000000000001E-3</v>
      </c>
    </row>
    <row r="153" spans="1:24" x14ac:dyDescent="0.25">
      <c r="A153">
        <v>2024</v>
      </c>
      <c r="B153">
        <v>4</v>
      </c>
      <c r="C153" t="s">
        <v>37</v>
      </c>
      <c r="D153" t="str">
        <f>_xlfn.XLOOKUP(C153,'Carrier Name Rename'!A:A,'Carrier Name Rename'!B:B)</f>
        <v>Delta Air Lines Inc.</v>
      </c>
      <c r="E153" t="s">
        <v>23</v>
      </c>
      <c r="F153" t="s">
        <v>24</v>
      </c>
      <c r="G153">
        <v>2600</v>
      </c>
      <c r="H153">
        <v>332</v>
      </c>
      <c r="I153">
        <v>115.7</v>
      </c>
      <c r="J153">
        <v>3.28</v>
      </c>
      <c r="K153">
        <v>83.3</v>
      </c>
      <c r="L153">
        <v>0</v>
      </c>
      <c r="M153">
        <v>129.71</v>
      </c>
      <c r="N153">
        <v>1</v>
      </c>
      <c r="O153">
        <v>3</v>
      </c>
      <c r="P153">
        <v>19490</v>
      </c>
      <c r="Q153">
        <v>7869</v>
      </c>
      <c r="R153">
        <v>503</v>
      </c>
      <c r="S153">
        <v>2567</v>
      </c>
      <c r="T153">
        <v>0</v>
      </c>
      <c r="U153">
        <v>8551</v>
      </c>
      <c r="V153" s="1">
        <f t="shared" si="6"/>
        <v>0.12770000000000001</v>
      </c>
      <c r="W153" s="1">
        <f t="shared" si="7"/>
        <v>4.0000000000000002E-4</v>
      </c>
      <c r="X153" s="1">
        <f t="shared" si="8"/>
        <v>1.1999999999999999E-3</v>
      </c>
    </row>
    <row r="154" spans="1:24" x14ac:dyDescent="0.25">
      <c r="A154">
        <v>2024</v>
      </c>
      <c r="B154">
        <v>4</v>
      </c>
      <c r="C154" t="s">
        <v>27</v>
      </c>
      <c r="D154" t="str">
        <f>_xlfn.XLOOKUP(C154,'Carrier Name Rename'!A:A,'Carrier Name Rename'!B:B)</f>
        <v>SkyWest Airlines Inc.</v>
      </c>
      <c r="E154" t="s">
        <v>23</v>
      </c>
      <c r="F154" t="s">
        <v>24</v>
      </c>
      <c r="G154">
        <v>2175</v>
      </c>
      <c r="H154">
        <v>283</v>
      </c>
      <c r="I154">
        <v>163.85</v>
      </c>
      <c r="J154">
        <v>25.66</v>
      </c>
      <c r="K154">
        <v>56.69</v>
      </c>
      <c r="L154">
        <v>0.13</v>
      </c>
      <c r="M154">
        <v>36.67</v>
      </c>
      <c r="N154">
        <v>3</v>
      </c>
      <c r="O154">
        <v>1</v>
      </c>
      <c r="P154">
        <v>13559</v>
      </c>
      <c r="Q154">
        <v>9063</v>
      </c>
      <c r="R154">
        <v>765</v>
      </c>
      <c r="S154">
        <v>2131</v>
      </c>
      <c r="T154">
        <v>2</v>
      </c>
      <c r="U154">
        <v>1598</v>
      </c>
      <c r="V154" s="1">
        <f t="shared" si="6"/>
        <v>0.13009999999999999</v>
      </c>
      <c r="W154" s="1">
        <f t="shared" si="7"/>
        <v>1.4E-3</v>
      </c>
      <c r="X154" s="1">
        <f t="shared" si="8"/>
        <v>5.0000000000000001E-4</v>
      </c>
    </row>
    <row r="155" spans="1:24" x14ac:dyDescent="0.25">
      <c r="A155">
        <v>2024</v>
      </c>
      <c r="B155">
        <v>4</v>
      </c>
      <c r="C155" t="s">
        <v>43</v>
      </c>
      <c r="D155" t="str">
        <f>_xlfn.XLOOKUP(C155,'Carrier Name Rename'!A:A,'Carrier Name Rename'!B:B)</f>
        <v>Southwest Airlines Co.</v>
      </c>
      <c r="E155" t="s">
        <v>23</v>
      </c>
      <c r="F155" t="s">
        <v>24</v>
      </c>
      <c r="G155">
        <v>604</v>
      </c>
      <c r="H155">
        <v>162</v>
      </c>
      <c r="I155">
        <v>62.3</v>
      </c>
      <c r="J155">
        <v>0.94</v>
      </c>
      <c r="K155">
        <v>36.15</v>
      </c>
      <c r="L155">
        <v>0</v>
      </c>
      <c r="M155">
        <v>62.6</v>
      </c>
      <c r="N155">
        <v>0</v>
      </c>
      <c r="O155">
        <v>0</v>
      </c>
      <c r="P155">
        <v>7163</v>
      </c>
      <c r="Q155">
        <v>2716</v>
      </c>
      <c r="R155">
        <v>79</v>
      </c>
      <c r="S155">
        <v>1204</v>
      </c>
      <c r="T155">
        <v>0</v>
      </c>
      <c r="U155">
        <v>3164</v>
      </c>
      <c r="V155" s="1">
        <f t="shared" si="6"/>
        <v>0.26819999999999999</v>
      </c>
      <c r="W155" s="1">
        <f t="shared" si="7"/>
        <v>0</v>
      </c>
      <c r="X155" s="1">
        <f t="shared" si="8"/>
        <v>0</v>
      </c>
    </row>
    <row r="156" spans="1:24" x14ac:dyDescent="0.25">
      <c r="A156">
        <v>2024</v>
      </c>
      <c r="B156">
        <v>3</v>
      </c>
      <c r="C156" t="s">
        <v>21</v>
      </c>
      <c r="D156" t="str">
        <f>_xlfn.XLOOKUP(C156,'Carrier Name Rename'!A:A,'Carrier Name Rename'!B:B)</f>
        <v>Hawaiian Airlines Inc.</v>
      </c>
      <c r="E156" t="s">
        <v>23</v>
      </c>
      <c r="F156" t="s">
        <v>24</v>
      </c>
      <c r="G156">
        <v>63</v>
      </c>
      <c r="H156">
        <v>17</v>
      </c>
      <c r="I156">
        <v>12.68</v>
      </c>
      <c r="J156">
        <v>0</v>
      </c>
      <c r="K156">
        <v>0</v>
      </c>
      <c r="L156">
        <v>0</v>
      </c>
      <c r="M156">
        <v>4.32</v>
      </c>
      <c r="N156">
        <v>1</v>
      </c>
      <c r="O156">
        <v>1</v>
      </c>
      <c r="P156">
        <v>538</v>
      </c>
      <c r="Q156">
        <v>383</v>
      </c>
      <c r="R156">
        <v>0</v>
      </c>
      <c r="S156">
        <v>0</v>
      </c>
      <c r="T156">
        <v>0</v>
      </c>
      <c r="U156">
        <v>155</v>
      </c>
      <c r="V156" s="1">
        <f t="shared" si="6"/>
        <v>0.26979999999999998</v>
      </c>
      <c r="W156" s="1">
        <f t="shared" si="7"/>
        <v>1.5900000000000001E-2</v>
      </c>
      <c r="X156" s="1">
        <f t="shared" si="8"/>
        <v>1.5900000000000001E-2</v>
      </c>
    </row>
    <row r="157" spans="1:24" x14ac:dyDescent="0.25">
      <c r="A157">
        <v>2024</v>
      </c>
      <c r="B157">
        <v>3</v>
      </c>
      <c r="C157" t="s">
        <v>45</v>
      </c>
      <c r="D157" t="str">
        <f>_xlfn.XLOOKUP(C157,'Carrier Name Rename'!A:A,'Carrier Name Rename'!B:B)</f>
        <v>Envoy Air</v>
      </c>
      <c r="E157" t="s">
        <v>23</v>
      </c>
      <c r="F157" t="s">
        <v>24</v>
      </c>
      <c r="G157">
        <v>53</v>
      </c>
      <c r="H157">
        <v>4</v>
      </c>
      <c r="I157">
        <v>2.09</v>
      </c>
      <c r="J157">
        <v>0</v>
      </c>
      <c r="K157">
        <v>0.37</v>
      </c>
      <c r="L157">
        <v>0</v>
      </c>
      <c r="M157">
        <v>1.54</v>
      </c>
      <c r="N157">
        <v>0</v>
      </c>
      <c r="O157">
        <v>0</v>
      </c>
      <c r="P157">
        <v>96</v>
      </c>
      <c r="Q157">
        <v>39</v>
      </c>
      <c r="R157">
        <v>0</v>
      </c>
      <c r="S157">
        <v>7</v>
      </c>
      <c r="T157">
        <v>0</v>
      </c>
      <c r="U157">
        <v>50</v>
      </c>
      <c r="V157" s="1">
        <f t="shared" si="6"/>
        <v>7.5499999999999998E-2</v>
      </c>
      <c r="W157" s="1">
        <f t="shared" si="7"/>
        <v>0</v>
      </c>
      <c r="X157" s="1">
        <f t="shared" si="8"/>
        <v>0</v>
      </c>
    </row>
    <row r="158" spans="1:24" x14ac:dyDescent="0.25">
      <c r="A158">
        <v>2024</v>
      </c>
      <c r="B158">
        <v>3</v>
      </c>
      <c r="C158" t="s">
        <v>41</v>
      </c>
      <c r="D158" t="str">
        <f>_xlfn.XLOOKUP(C158,'Carrier Name Rename'!A:A,'Carrier Name Rename'!B:B)</f>
        <v>United Air Lines Inc.</v>
      </c>
      <c r="E158" t="s">
        <v>23</v>
      </c>
      <c r="F158" t="s">
        <v>24</v>
      </c>
      <c r="G158">
        <v>625</v>
      </c>
      <c r="H158">
        <v>111</v>
      </c>
      <c r="I158">
        <v>43.59</v>
      </c>
      <c r="J158">
        <v>0</v>
      </c>
      <c r="K158">
        <v>17.739999999999998</v>
      </c>
      <c r="L158">
        <v>0</v>
      </c>
      <c r="M158">
        <v>49.67</v>
      </c>
      <c r="N158">
        <v>2</v>
      </c>
      <c r="O158">
        <v>0</v>
      </c>
      <c r="P158">
        <v>5871</v>
      </c>
      <c r="Q158">
        <v>1971</v>
      </c>
      <c r="R158">
        <v>0</v>
      </c>
      <c r="S158">
        <v>554</v>
      </c>
      <c r="T158">
        <v>0</v>
      </c>
      <c r="U158">
        <v>3346</v>
      </c>
      <c r="V158" s="1">
        <f t="shared" si="6"/>
        <v>0.17760000000000001</v>
      </c>
      <c r="W158" s="1">
        <f t="shared" si="7"/>
        <v>3.2000000000000002E-3</v>
      </c>
      <c r="X158" s="1">
        <f t="shared" si="8"/>
        <v>0</v>
      </c>
    </row>
    <row r="159" spans="1:24" x14ac:dyDescent="0.25">
      <c r="A159">
        <v>2024</v>
      </c>
      <c r="B159">
        <v>3</v>
      </c>
      <c r="C159" t="s">
        <v>37</v>
      </c>
      <c r="D159" t="str">
        <f>_xlfn.XLOOKUP(C159,'Carrier Name Rename'!A:A,'Carrier Name Rename'!B:B)</f>
        <v>Delta Air Lines Inc.</v>
      </c>
      <c r="E159" t="s">
        <v>23</v>
      </c>
      <c r="F159" t="s">
        <v>24</v>
      </c>
      <c r="G159">
        <v>2471</v>
      </c>
      <c r="H159">
        <v>318</v>
      </c>
      <c r="I159">
        <v>122.19</v>
      </c>
      <c r="J159">
        <v>3.09</v>
      </c>
      <c r="K159">
        <v>79.58</v>
      </c>
      <c r="L159">
        <v>0</v>
      </c>
      <c r="M159">
        <v>113.14</v>
      </c>
      <c r="N159">
        <v>2</v>
      </c>
      <c r="O159">
        <v>5</v>
      </c>
      <c r="P159">
        <v>23647</v>
      </c>
      <c r="Q159">
        <v>11145</v>
      </c>
      <c r="R159">
        <v>224</v>
      </c>
      <c r="S159">
        <v>3497</v>
      </c>
      <c r="T159">
        <v>0</v>
      </c>
      <c r="U159">
        <v>8781</v>
      </c>
      <c r="V159" s="1">
        <f t="shared" si="6"/>
        <v>0.12870000000000001</v>
      </c>
      <c r="W159" s="1">
        <f t="shared" si="7"/>
        <v>8.0000000000000004E-4</v>
      </c>
      <c r="X159" s="1">
        <f t="shared" si="8"/>
        <v>2E-3</v>
      </c>
    </row>
    <row r="160" spans="1:24" x14ac:dyDescent="0.25">
      <c r="A160">
        <v>2024</v>
      </c>
      <c r="B160">
        <v>3</v>
      </c>
      <c r="C160" t="s">
        <v>39</v>
      </c>
      <c r="D160" t="str">
        <f>_xlfn.XLOOKUP(C160,'Carrier Name Rename'!A:A,'Carrier Name Rename'!B:B)</f>
        <v>Frontier Airlines Inc.</v>
      </c>
      <c r="E160" t="s">
        <v>23</v>
      </c>
      <c r="F160" t="s">
        <v>24</v>
      </c>
      <c r="G160">
        <v>90</v>
      </c>
      <c r="H160">
        <v>28</v>
      </c>
      <c r="I160">
        <v>4.08</v>
      </c>
      <c r="J160">
        <v>0</v>
      </c>
      <c r="K160">
        <v>6.01</v>
      </c>
      <c r="L160">
        <v>0</v>
      </c>
      <c r="M160">
        <v>17.91</v>
      </c>
      <c r="N160">
        <v>3</v>
      </c>
      <c r="O160">
        <v>0</v>
      </c>
      <c r="P160">
        <v>1785</v>
      </c>
      <c r="Q160">
        <v>271</v>
      </c>
      <c r="R160">
        <v>0</v>
      </c>
      <c r="S160">
        <v>233</v>
      </c>
      <c r="T160">
        <v>0</v>
      </c>
      <c r="U160">
        <v>1281</v>
      </c>
      <c r="V160" s="1">
        <f t="shared" si="6"/>
        <v>0.31109999999999999</v>
      </c>
      <c r="W160" s="1">
        <f t="shared" si="7"/>
        <v>3.3300000000000003E-2</v>
      </c>
      <c r="X160" s="1">
        <f t="shared" si="8"/>
        <v>0</v>
      </c>
    </row>
    <row r="161" spans="1:24" x14ac:dyDescent="0.25">
      <c r="A161">
        <v>2024</v>
      </c>
      <c r="B161">
        <v>3</v>
      </c>
      <c r="C161" t="s">
        <v>27</v>
      </c>
      <c r="D161" t="str">
        <f>_xlfn.XLOOKUP(C161,'Carrier Name Rename'!A:A,'Carrier Name Rename'!B:B)</f>
        <v>SkyWest Airlines Inc.</v>
      </c>
      <c r="E161" t="s">
        <v>23</v>
      </c>
      <c r="F161" t="s">
        <v>24</v>
      </c>
      <c r="G161">
        <v>2101</v>
      </c>
      <c r="H161">
        <v>253</v>
      </c>
      <c r="I161">
        <v>130.19</v>
      </c>
      <c r="J161">
        <v>25.76</v>
      </c>
      <c r="K161">
        <v>73.45</v>
      </c>
      <c r="L161">
        <v>1</v>
      </c>
      <c r="M161">
        <v>22.59</v>
      </c>
      <c r="N161">
        <v>0</v>
      </c>
      <c r="O161">
        <v>0</v>
      </c>
      <c r="P161">
        <v>12787</v>
      </c>
      <c r="Q161">
        <v>6224</v>
      </c>
      <c r="R161">
        <v>1650</v>
      </c>
      <c r="S161">
        <v>3727</v>
      </c>
      <c r="T161">
        <v>76</v>
      </c>
      <c r="U161">
        <v>1110</v>
      </c>
      <c r="V161" s="1">
        <f t="shared" si="6"/>
        <v>0.12039999999999999</v>
      </c>
      <c r="W161" s="1">
        <f t="shared" si="7"/>
        <v>0</v>
      </c>
      <c r="X161" s="1">
        <f t="shared" si="8"/>
        <v>0</v>
      </c>
    </row>
    <row r="162" spans="1:24" x14ac:dyDescent="0.25">
      <c r="A162">
        <v>2024</v>
      </c>
      <c r="B162">
        <v>3</v>
      </c>
      <c r="C162" t="s">
        <v>31</v>
      </c>
      <c r="D162" t="str">
        <f>_xlfn.XLOOKUP(C162,'Carrier Name Rename'!A:A,'Carrier Name Rename'!B:B)</f>
        <v>American Airlines Inc.</v>
      </c>
      <c r="E162" t="s">
        <v>23</v>
      </c>
      <c r="F162" t="s">
        <v>24</v>
      </c>
      <c r="G162">
        <v>386</v>
      </c>
      <c r="H162">
        <v>100</v>
      </c>
      <c r="I162">
        <v>36.71</v>
      </c>
      <c r="J162">
        <v>3.45</v>
      </c>
      <c r="K162">
        <v>14.6</v>
      </c>
      <c r="L162">
        <v>0.56999999999999995</v>
      </c>
      <c r="M162">
        <v>44.67</v>
      </c>
      <c r="N162">
        <v>5</v>
      </c>
      <c r="O162">
        <v>1</v>
      </c>
      <c r="P162">
        <v>7234</v>
      </c>
      <c r="Q162">
        <v>2713</v>
      </c>
      <c r="R162">
        <v>347</v>
      </c>
      <c r="S162">
        <v>559</v>
      </c>
      <c r="T162">
        <v>13</v>
      </c>
      <c r="U162">
        <v>3602</v>
      </c>
      <c r="V162" s="1">
        <f t="shared" si="6"/>
        <v>0.2591</v>
      </c>
      <c r="W162" s="1">
        <f t="shared" si="7"/>
        <v>1.2999999999999999E-2</v>
      </c>
      <c r="X162" s="1">
        <f t="shared" si="8"/>
        <v>2.5999999999999999E-3</v>
      </c>
    </row>
    <row r="163" spans="1:24" x14ac:dyDescent="0.25">
      <c r="A163">
        <v>2024</v>
      </c>
      <c r="B163">
        <v>3</v>
      </c>
      <c r="C163" t="s">
        <v>33</v>
      </c>
      <c r="D163" t="str">
        <f>_xlfn.XLOOKUP(C163,'Carrier Name Rename'!A:A,'Carrier Name Rename'!B:B)</f>
        <v>Alaska Airlines Inc.</v>
      </c>
      <c r="E163" t="s">
        <v>23</v>
      </c>
      <c r="F163" t="s">
        <v>24</v>
      </c>
      <c r="G163">
        <v>6132</v>
      </c>
      <c r="H163">
        <v>1085</v>
      </c>
      <c r="I163">
        <v>249</v>
      </c>
      <c r="J163">
        <v>14.99</v>
      </c>
      <c r="K163">
        <v>292.55</v>
      </c>
      <c r="L163">
        <v>1.6</v>
      </c>
      <c r="M163">
        <v>526.85</v>
      </c>
      <c r="N163">
        <v>57</v>
      </c>
      <c r="O163">
        <v>8</v>
      </c>
      <c r="P163">
        <v>64713</v>
      </c>
      <c r="Q163">
        <v>19471</v>
      </c>
      <c r="R163">
        <v>856</v>
      </c>
      <c r="S163">
        <v>9926</v>
      </c>
      <c r="T163">
        <v>105</v>
      </c>
      <c r="U163">
        <v>34355</v>
      </c>
      <c r="V163" s="1">
        <f t="shared" si="6"/>
        <v>0.1769</v>
      </c>
      <c r="W163" s="1">
        <f t="shared" si="7"/>
        <v>9.2999999999999992E-3</v>
      </c>
      <c r="X163" s="1">
        <f t="shared" si="8"/>
        <v>1.2999999999999999E-3</v>
      </c>
    </row>
    <row r="164" spans="1:24" x14ac:dyDescent="0.25">
      <c r="A164">
        <v>2024</v>
      </c>
      <c r="B164">
        <v>3</v>
      </c>
      <c r="C164" t="s">
        <v>25</v>
      </c>
      <c r="D164" t="str">
        <f>_xlfn.XLOOKUP(C164,'Carrier Name Rename'!A:A,'Carrier Name Rename'!B:B)</f>
        <v>Spirit Airlines</v>
      </c>
      <c r="E164" t="s">
        <v>23</v>
      </c>
      <c r="F164" t="s">
        <v>24</v>
      </c>
      <c r="G164">
        <v>62</v>
      </c>
      <c r="H164">
        <v>10</v>
      </c>
      <c r="I164">
        <v>3.58</v>
      </c>
      <c r="J164">
        <v>0</v>
      </c>
      <c r="K164">
        <v>5.43</v>
      </c>
      <c r="L164">
        <v>0</v>
      </c>
      <c r="M164">
        <v>0.99</v>
      </c>
      <c r="N164">
        <v>0</v>
      </c>
      <c r="O164">
        <v>0</v>
      </c>
      <c r="P164">
        <v>961</v>
      </c>
      <c r="Q164">
        <v>396</v>
      </c>
      <c r="R164">
        <v>0</v>
      </c>
      <c r="S164">
        <v>238</v>
      </c>
      <c r="T164">
        <v>0</v>
      </c>
      <c r="U164">
        <v>327</v>
      </c>
      <c r="V164" s="1">
        <f t="shared" si="6"/>
        <v>0.1613</v>
      </c>
      <c r="W164" s="1">
        <f t="shared" si="7"/>
        <v>0</v>
      </c>
      <c r="X164" s="1">
        <f t="shared" si="8"/>
        <v>0</v>
      </c>
    </row>
    <row r="165" spans="1:24" x14ac:dyDescent="0.25">
      <c r="A165">
        <v>2024</v>
      </c>
      <c r="B165">
        <v>3</v>
      </c>
      <c r="C165" t="s">
        <v>35</v>
      </c>
      <c r="D165" t="str">
        <f>_xlfn.XLOOKUP(C165,'Carrier Name Rename'!A:A,'Carrier Name Rename'!B:B)</f>
        <v>JetBlue Airways</v>
      </c>
      <c r="E165" t="s">
        <v>23</v>
      </c>
      <c r="F165" t="s">
        <v>24</v>
      </c>
      <c r="G165">
        <v>62</v>
      </c>
      <c r="H165">
        <v>16</v>
      </c>
      <c r="I165">
        <v>10.62</v>
      </c>
      <c r="J165">
        <v>0</v>
      </c>
      <c r="K165">
        <v>2.11</v>
      </c>
      <c r="L165">
        <v>0</v>
      </c>
      <c r="M165">
        <v>3.27</v>
      </c>
      <c r="N165">
        <v>0</v>
      </c>
      <c r="O165">
        <v>0</v>
      </c>
      <c r="P165">
        <v>966</v>
      </c>
      <c r="Q165">
        <v>772</v>
      </c>
      <c r="R165">
        <v>0</v>
      </c>
      <c r="S165">
        <v>55</v>
      </c>
      <c r="T165">
        <v>0</v>
      </c>
      <c r="U165">
        <v>139</v>
      </c>
      <c r="V165" s="1">
        <f t="shared" si="6"/>
        <v>0.2581</v>
      </c>
      <c r="W165" s="1">
        <f t="shared" si="7"/>
        <v>0</v>
      </c>
      <c r="X165" s="1">
        <f t="shared" si="8"/>
        <v>0</v>
      </c>
    </row>
    <row r="166" spans="1:24" x14ac:dyDescent="0.25">
      <c r="A166">
        <v>2024</v>
      </c>
      <c r="B166">
        <v>3</v>
      </c>
      <c r="C166" t="s">
        <v>29</v>
      </c>
      <c r="D166" t="str">
        <f>_xlfn.XLOOKUP(C166,'Carrier Name Rename'!A:A,'Carrier Name Rename'!B:B)</f>
        <v>Horizon Air</v>
      </c>
      <c r="E166" t="s">
        <v>23</v>
      </c>
      <c r="F166" t="s">
        <v>24</v>
      </c>
      <c r="G166">
        <v>1608</v>
      </c>
      <c r="H166">
        <v>206</v>
      </c>
      <c r="I166">
        <v>50.86</v>
      </c>
      <c r="J166">
        <v>2.69</v>
      </c>
      <c r="K166">
        <v>62.64</v>
      </c>
      <c r="L166">
        <v>1.79</v>
      </c>
      <c r="M166">
        <v>88.02</v>
      </c>
      <c r="N166">
        <v>8</v>
      </c>
      <c r="O166">
        <v>0</v>
      </c>
      <c r="P166">
        <v>12423</v>
      </c>
      <c r="Q166">
        <v>4716</v>
      </c>
      <c r="R166">
        <v>416</v>
      </c>
      <c r="S166">
        <v>1959</v>
      </c>
      <c r="T166">
        <v>32</v>
      </c>
      <c r="U166">
        <v>5300</v>
      </c>
      <c r="V166" s="1">
        <f t="shared" si="6"/>
        <v>0.12809999999999999</v>
      </c>
      <c r="W166" s="1">
        <f t="shared" si="7"/>
        <v>5.0000000000000001E-3</v>
      </c>
      <c r="X166" s="1">
        <f t="shared" si="8"/>
        <v>0</v>
      </c>
    </row>
    <row r="167" spans="1:24" x14ac:dyDescent="0.25">
      <c r="A167">
        <v>2024</v>
      </c>
      <c r="B167">
        <v>3</v>
      </c>
      <c r="C167" t="s">
        <v>43</v>
      </c>
      <c r="D167" t="str">
        <f>_xlfn.XLOOKUP(C167,'Carrier Name Rename'!A:A,'Carrier Name Rename'!B:B)</f>
        <v>Southwest Airlines Co.</v>
      </c>
      <c r="E167" t="s">
        <v>23</v>
      </c>
      <c r="F167" t="s">
        <v>24</v>
      </c>
      <c r="G167">
        <v>582</v>
      </c>
      <c r="H167">
        <v>136</v>
      </c>
      <c r="I167">
        <v>42.7</v>
      </c>
      <c r="J167">
        <v>0</v>
      </c>
      <c r="K167">
        <v>19.649999999999999</v>
      </c>
      <c r="L167">
        <v>0</v>
      </c>
      <c r="M167">
        <v>73.650000000000006</v>
      </c>
      <c r="N167">
        <v>3</v>
      </c>
      <c r="O167">
        <v>0</v>
      </c>
      <c r="P167">
        <v>6944</v>
      </c>
      <c r="Q167">
        <v>1938</v>
      </c>
      <c r="R167">
        <v>0</v>
      </c>
      <c r="S167">
        <v>783</v>
      </c>
      <c r="T167">
        <v>0</v>
      </c>
      <c r="U167">
        <v>4223</v>
      </c>
      <c r="V167" s="1">
        <f t="shared" si="6"/>
        <v>0.23369999999999999</v>
      </c>
      <c r="W167" s="1">
        <f t="shared" si="7"/>
        <v>5.1999999999999998E-3</v>
      </c>
      <c r="X167" s="1">
        <f t="shared" si="8"/>
        <v>0</v>
      </c>
    </row>
    <row r="168" spans="1:24" x14ac:dyDescent="0.25">
      <c r="A168">
        <v>2024</v>
      </c>
      <c r="B168">
        <v>2</v>
      </c>
      <c r="C168" t="s">
        <v>21</v>
      </c>
      <c r="D168" t="str">
        <f>_xlfn.XLOOKUP(C168,'Carrier Name Rename'!A:A,'Carrier Name Rename'!B:B)</f>
        <v>Hawaiian Airlines Inc.</v>
      </c>
      <c r="E168" t="s">
        <v>23</v>
      </c>
      <c r="F168" t="s">
        <v>24</v>
      </c>
      <c r="G168">
        <v>58</v>
      </c>
      <c r="H168">
        <v>15</v>
      </c>
      <c r="I168">
        <v>8.82</v>
      </c>
      <c r="J168">
        <v>0</v>
      </c>
      <c r="K168">
        <v>0</v>
      </c>
      <c r="L168">
        <v>0</v>
      </c>
      <c r="M168">
        <v>6.18</v>
      </c>
      <c r="N168">
        <v>1</v>
      </c>
      <c r="O168">
        <v>0</v>
      </c>
      <c r="P168">
        <v>2658</v>
      </c>
      <c r="Q168">
        <v>2329</v>
      </c>
      <c r="R168">
        <v>0</v>
      </c>
      <c r="S168">
        <v>0</v>
      </c>
      <c r="T168">
        <v>0</v>
      </c>
      <c r="U168">
        <v>329</v>
      </c>
      <c r="V168" s="1">
        <f t="shared" si="6"/>
        <v>0.2586</v>
      </c>
      <c r="W168" s="1">
        <f t="shared" si="7"/>
        <v>1.72E-2</v>
      </c>
      <c r="X168" s="1">
        <f t="shared" si="8"/>
        <v>0</v>
      </c>
    </row>
    <row r="169" spans="1:24" x14ac:dyDescent="0.25">
      <c r="A169">
        <v>2024</v>
      </c>
      <c r="B169">
        <v>2</v>
      </c>
      <c r="C169" t="s">
        <v>45</v>
      </c>
      <c r="D169" t="str">
        <f>_xlfn.XLOOKUP(C169,'Carrier Name Rename'!A:A,'Carrier Name Rename'!B:B)</f>
        <v>Envoy Air</v>
      </c>
      <c r="E169" t="s">
        <v>23</v>
      </c>
      <c r="F169" t="s">
        <v>24</v>
      </c>
      <c r="G169">
        <v>40</v>
      </c>
      <c r="H169">
        <v>6</v>
      </c>
      <c r="I169">
        <v>0</v>
      </c>
      <c r="J169">
        <v>0</v>
      </c>
      <c r="K169">
        <v>0.56000000000000005</v>
      </c>
      <c r="L169">
        <v>0</v>
      </c>
      <c r="M169">
        <v>5.44</v>
      </c>
      <c r="N169">
        <v>0</v>
      </c>
      <c r="O169">
        <v>1</v>
      </c>
      <c r="P169">
        <v>131</v>
      </c>
      <c r="Q169">
        <v>0</v>
      </c>
      <c r="R169">
        <v>0</v>
      </c>
      <c r="S169">
        <v>10</v>
      </c>
      <c r="T169">
        <v>0</v>
      </c>
      <c r="U169">
        <v>121</v>
      </c>
      <c r="V169" s="1">
        <f t="shared" si="6"/>
        <v>0.15</v>
      </c>
      <c r="W169" s="1">
        <f t="shared" si="7"/>
        <v>0</v>
      </c>
      <c r="X169" s="1">
        <f t="shared" si="8"/>
        <v>2.5000000000000001E-2</v>
      </c>
    </row>
    <row r="170" spans="1:24" x14ac:dyDescent="0.25">
      <c r="A170">
        <v>2024</v>
      </c>
      <c r="B170">
        <v>2</v>
      </c>
      <c r="C170" t="s">
        <v>25</v>
      </c>
      <c r="D170" t="str">
        <f>_xlfn.XLOOKUP(C170,'Carrier Name Rename'!A:A,'Carrier Name Rename'!B:B)</f>
        <v>Spirit Airlines</v>
      </c>
      <c r="E170" t="s">
        <v>23</v>
      </c>
      <c r="F170" t="s">
        <v>24</v>
      </c>
      <c r="G170">
        <v>58</v>
      </c>
      <c r="H170">
        <v>7</v>
      </c>
      <c r="I170">
        <v>0.49</v>
      </c>
      <c r="J170">
        <v>0</v>
      </c>
      <c r="K170">
        <v>5.31</v>
      </c>
      <c r="L170">
        <v>0</v>
      </c>
      <c r="M170">
        <v>1.19</v>
      </c>
      <c r="N170">
        <v>1</v>
      </c>
      <c r="O170">
        <v>0</v>
      </c>
      <c r="P170">
        <v>467</v>
      </c>
      <c r="Q170">
        <v>23</v>
      </c>
      <c r="R170">
        <v>0</v>
      </c>
      <c r="S170">
        <v>331</v>
      </c>
      <c r="T170">
        <v>0</v>
      </c>
      <c r="U170">
        <v>113</v>
      </c>
      <c r="V170" s="1">
        <f t="shared" si="6"/>
        <v>0.1207</v>
      </c>
      <c r="W170" s="1">
        <f t="shared" si="7"/>
        <v>1.72E-2</v>
      </c>
      <c r="X170" s="1">
        <f t="shared" si="8"/>
        <v>0</v>
      </c>
    </row>
    <row r="171" spans="1:24" x14ac:dyDescent="0.25">
      <c r="A171">
        <v>2024</v>
      </c>
      <c r="B171">
        <v>2</v>
      </c>
      <c r="C171" t="s">
        <v>29</v>
      </c>
      <c r="D171" t="str">
        <f>_xlfn.XLOOKUP(C171,'Carrier Name Rename'!A:A,'Carrier Name Rename'!B:B)</f>
        <v>Horizon Air</v>
      </c>
      <c r="E171" t="s">
        <v>23</v>
      </c>
      <c r="F171" t="s">
        <v>24</v>
      </c>
      <c r="G171">
        <v>1337</v>
      </c>
      <c r="H171">
        <v>135</v>
      </c>
      <c r="I171">
        <v>41.8</v>
      </c>
      <c r="J171">
        <v>3.42</v>
      </c>
      <c r="K171">
        <v>47.21</v>
      </c>
      <c r="L171">
        <v>0</v>
      </c>
      <c r="M171">
        <v>42.57</v>
      </c>
      <c r="N171">
        <v>11</v>
      </c>
      <c r="O171">
        <v>0</v>
      </c>
      <c r="P171">
        <v>7444</v>
      </c>
      <c r="Q171">
        <v>3021</v>
      </c>
      <c r="R171">
        <v>383</v>
      </c>
      <c r="S171">
        <v>1512</v>
      </c>
      <c r="T171">
        <v>0</v>
      </c>
      <c r="U171">
        <v>2528</v>
      </c>
      <c r="V171" s="1">
        <f t="shared" si="6"/>
        <v>0.10100000000000001</v>
      </c>
      <c r="W171" s="1">
        <f t="shared" si="7"/>
        <v>8.2000000000000007E-3</v>
      </c>
      <c r="X171" s="1">
        <f t="shared" si="8"/>
        <v>0</v>
      </c>
    </row>
    <row r="172" spans="1:24" x14ac:dyDescent="0.25">
      <c r="A172">
        <v>2024</v>
      </c>
      <c r="B172">
        <v>2</v>
      </c>
      <c r="C172" t="s">
        <v>31</v>
      </c>
      <c r="D172" t="str">
        <f>_xlfn.XLOOKUP(C172,'Carrier Name Rename'!A:A,'Carrier Name Rename'!B:B)</f>
        <v>American Airlines Inc.</v>
      </c>
      <c r="E172" t="s">
        <v>23</v>
      </c>
      <c r="F172" t="s">
        <v>24</v>
      </c>
      <c r="G172">
        <v>347</v>
      </c>
      <c r="H172">
        <v>66</v>
      </c>
      <c r="I172">
        <v>34.33</v>
      </c>
      <c r="J172">
        <v>0.87</v>
      </c>
      <c r="K172">
        <v>16.29</v>
      </c>
      <c r="L172">
        <v>0</v>
      </c>
      <c r="M172">
        <v>14.51</v>
      </c>
      <c r="N172">
        <v>0</v>
      </c>
      <c r="O172">
        <v>1</v>
      </c>
      <c r="P172">
        <v>3124</v>
      </c>
      <c r="Q172">
        <v>1796</v>
      </c>
      <c r="R172">
        <v>23</v>
      </c>
      <c r="S172">
        <v>493</v>
      </c>
      <c r="T172">
        <v>0</v>
      </c>
      <c r="U172">
        <v>812</v>
      </c>
      <c r="V172" s="1">
        <f t="shared" si="6"/>
        <v>0.19020000000000001</v>
      </c>
      <c r="W172" s="1">
        <f t="shared" si="7"/>
        <v>0</v>
      </c>
      <c r="X172" s="1">
        <f t="shared" si="8"/>
        <v>2.8999999999999998E-3</v>
      </c>
    </row>
    <row r="173" spans="1:24" x14ac:dyDescent="0.25">
      <c r="A173">
        <v>2024</v>
      </c>
      <c r="B173">
        <v>2</v>
      </c>
      <c r="C173" t="s">
        <v>33</v>
      </c>
      <c r="D173" t="str">
        <f>_xlfn.XLOOKUP(C173,'Carrier Name Rename'!A:A,'Carrier Name Rename'!B:B)</f>
        <v>Alaska Airlines Inc.</v>
      </c>
      <c r="E173" t="s">
        <v>23</v>
      </c>
      <c r="F173" t="s">
        <v>24</v>
      </c>
      <c r="G173">
        <v>5296</v>
      </c>
      <c r="H173">
        <v>692</v>
      </c>
      <c r="I173">
        <v>147.66</v>
      </c>
      <c r="J173">
        <v>14.09</v>
      </c>
      <c r="K173">
        <v>219.8</v>
      </c>
      <c r="L173">
        <v>4.1900000000000004</v>
      </c>
      <c r="M173">
        <v>306.25</v>
      </c>
      <c r="N173">
        <v>44</v>
      </c>
      <c r="O173">
        <v>9</v>
      </c>
      <c r="P173">
        <v>36642</v>
      </c>
      <c r="Q173">
        <v>10354</v>
      </c>
      <c r="R173">
        <v>849</v>
      </c>
      <c r="S173">
        <v>6962</v>
      </c>
      <c r="T173">
        <v>300</v>
      </c>
      <c r="U173">
        <v>18177</v>
      </c>
      <c r="V173" s="1">
        <f t="shared" si="6"/>
        <v>0.13070000000000001</v>
      </c>
      <c r="W173" s="1">
        <f t="shared" si="7"/>
        <v>8.3000000000000001E-3</v>
      </c>
      <c r="X173" s="1">
        <f t="shared" si="8"/>
        <v>1.6999999999999999E-3</v>
      </c>
    </row>
    <row r="174" spans="1:24" x14ac:dyDescent="0.25">
      <c r="A174">
        <v>2024</v>
      </c>
      <c r="B174">
        <v>2</v>
      </c>
      <c r="C174" t="s">
        <v>35</v>
      </c>
      <c r="D174" t="str">
        <f>_xlfn.XLOOKUP(C174,'Carrier Name Rename'!A:A,'Carrier Name Rename'!B:B)</f>
        <v>JetBlue Airways</v>
      </c>
      <c r="E174" t="s">
        <v>23</v>
      </c>
      <c r="F174" t="s">
        <v>24</v>
      </c>
      <c r="G174">
        <v>58</v>
      </c>
      <c r="H174">
        <v>13</v>
      </c>
      <c r="I174">
        <v>8.23</v>
      </c>
      <c r="J174">
        <v>0</v>
      </c>
      <c r="K174">
        <v>2.12</v>
      </c>
      <c r="L174">
        <v>0</v>
      </c>
      <c r="M174">
        <v>2.65</v>
      </c>
      <c r="N174">
        <v>0</v>
      </c>
      <c r="O174">
        <v>1</v>
      </c>
      <c r="P174">
        <v>787</v>
      </c>
      <c r="Q174">
        <v>636</v>
      </c>
      <c r="R174">
        <v>0</v>
      </c>
      <c r="S174">
        <v>46</v>
      </c>
      <c r="T174">
        <v>0</v>
      </c>
      <c r="U174">
        <v>105</v>
      </c>
      <c r="V174" s="1">
        <f t="shared" si="6"/>
        <v>0.22409999999999999</v>
      </c>
      <c r="W174" s="1">
        <f t="shared" si="7"/>
        <v>0</v>
      </c>
      <c r="X174" s="1">
        <f t="shared" si="8"/>
        <v>1.72E-2</v>
      </c>
    </row>
    <row r="175" spans="1:24" x14ac:dyDescent="0.25">
      <c r="A175">
        <v>2024</v>
      </c>
      <c r="B175">
        <v>2</v>
      </c>
      <c r="C175" t="s">
        <v>37</v>
      </c>
      <c r="D175" t="str">
        <f>_xlfn.XLOOKUP(C175,'Carrier Name Rename'!A:A,'Carrier Name Rename'!B:B)</f>
        <v>Delta Air Lines Inc.</v>
      </c>
      <c r="E175" t="s">
        <v>23</v>
      </c>
      <c r="F175" t="s">
        <v>24</v>
      </c>
      <c r="G175">
        <v>2190</v>
      </c>
      <c r="H175">
        <v>173</v>
      </c>
      <c r="I175">
        <v>71.150000000000006</v>
      </c>
      <c r="J175">
        <v>3.4</v>
      </c>
      <c r="K175">
        <v>46.53</v>
      </c>
      <c r="L175">
        <v>0.33</v>
      </c>
      <c r="M175">
        <v>51.59</v>
      </c>
      <c r="N175">
        <v>4</v>
      </c>
      <c r="O175">
        <v>1</v>
      </c>
      <c r="P175">
        <v>13493</v>
      </c>
      <c r="Q175">
        <v>9162</v>
      </c>
      <c r="R175">
        <v>168</v>
      </c>
      <c r="S175">
        <v>1253</v>
      </c>
      <c r="T175">
        <v>28</v>
      </c>
      <c r="U175">
        <v>2882</v>
      </c>
      <c r="V175" s="1">
        <f t="shared" si="6"/>
        <v>7.9000000000000001E-2</v>
      </c>
      <c r="W175" s="1">
        <f t="shared" si="7"/>
        <v>1.8E-3</v>
      </c>
      <c r="X175" s="1">
        <f t="shared" si="8"/>
        <v>5.0000000000000001E-4</v>
      </c>
    </row>
    <row r="176" spans="1:24" x14ac:dyDescent="0.25">
      <c r="A176">
        <v>2024</v>
      </c>
      <c r="B176">
        <v>2</v>
      </c>
      <c r="C176" t="s">
        <v>39</v>
      </c>
      <c r="D176" t="str">
        <f>_xlfn.XLOOKUP(C176,'Carrier Name Rename'!A:A,'Carrier Name Rename'!B:B)</f>
        <v>Frontier Airlines Inc.</v>
      </c>
      <c r="E176" t="s">
        <v>23</v>
      </c>
      <c r="F176" t="s">
        <v>24</v>
      </c>
      <c r="G176">
        <v>81</v>
      </c>
      <c r="H176">
        <v>13</v>
      </c>
      <c r="I176">
        <v>4.97</v>
      </c>
      <c r="J176">
        <v>0</v>
      </c>
      <c r="K176">
        <v>2.37</v>
      </c>
      <c r="L176">
        <v>0</v>
      </c>
      <c r="M176">
        <v>5.66</v>
      </c>
      <c r="N176">
        <v>0</v>
      </c>
      <c r="O176">
        <v>0</v>
      </c>
      <c r="P176">
        <v>553</v>
      </c>
      <c r="Q176">
        <v>201</v>
      </c>
      <c r="R176">
        <v>0</v>
      </c>
      <c r="S176">
        <v>45</v>
      </c>
      <c r="T176">
        <v>0</v>
      </c>
      <c r="U176">
        <v>307</v>
      </c>
      <c r="V176" s="1">
        <f t="shared" si="6"/>
        <v>0.1605</v>
      </c>
      <c r="W176" s="1">
        <f t="shared" si="7"/>
        <v>0</v>
      </c>
      <c r="X176" s="1">
        <f t="shared" si="8"/>
        <v>0</v>
      </c>
    </row>
    <row r="177" spans="1:24" x14ac:dyDescent="0.25">
      <c r="A177">
        <v>2024</v>
      </c>
      <c r="B177">
        <v>2</v>
      </c>
      <c r="C177" t="s">
        <v>27</v>
      </c>
      <c r="D177" t="str">
        <f>_xlfn.XLOOKUP(C177,'Carrier Name Rename'!A:A,'Carrier Name Rename'!B:B)</f>
        <v>SkyWest Airlines Inc.</v>
      </c>
      <c r="E177" t="s">
        <v>23</v>
      </c>
      <c r="F177" t="s">
        <v>24</v>
      </c>
      <c r="G177">
        <v>1929</v>
      </c>
      <c r="H177">
        <v>210</v>
      </c>
      <c r="I177">
        <v>103.02</v>
      </c>
      <c r="J177">
        <v>37.33</v>
      </c>
      <c r="K177">
        <v>50.77</v>
      </c>
      <c r="L177">
        <v>1</v>
      </c>
      <c r="M177">
        <v>17.88</v>
      </c>
      <c r="N177">
        <v>5</v>
      </c>
      <c r="O177">
        <v>5</v>
      </c>
      <c r="P177">
        <v>14303</v>
      </c>
      <c r="Q177">
        <v>7369</v>
      </c>
      <c r="R177">
        <v>3530</v>
      </c>
      <c r="S177">
        <v>2283</v>
      </c>
      <c r="T177">
        <v>137</v>
      </c>
      <c r="U177">
        <v>984</v>
      </c>
      <c r="V177" s="1">
        <f t="shared" si="6"/>
        <v>0.1089</v>
      </c>
      <c r="W177" s="1">
        <f t="shared" si="7"/>
        <v>2.5999999999999999E-3</v>
      </c>
      <c r="X177" s="1">
        <f t="shared" si="8"/>
        <v>2.5999999999999999E-3</v>
      </c>
    </row>
    <row r="178" spans="1:24" x14ac:dyDescent="0.25">
      <c r="A178">
        <v>2024</v>
      </c>
      <c r="B178">
        <v>2</v>
      </c>
      <c r="C178" t="s">
        <v>41</v>
      </c>
      <c r="D178" t="str">
        <f>_xlfn.XLOOKUP(C178,'Carrier Name Rename'!A:A,'Carrier Name Rename'!B:B)</f>
        <v>United Air Lines Inc.</v>
      </c>
      <c r="E178" t="s">
        <v>23</v>
      </c>
      <c r="F178" t="s">
        <v>24</v>
      </c>
      <c r="G178">
        <v>525</v>
      </c>
      <c r="H178">
        <v>75</v>
      </c>
      <c r="I178">
        <v>27.03</v>
      </c>
      <c r="J178">
        <v>1.21</v>
      </c>
      <c r="K178">
        <v>20.59</v>
      </c>
      <c r="L178">
        <v>0</v>
      </c>
      <c r="M178">
        <v>26.16</v>
      </c>
      <c r="N178">
        <v>0</v>
      </c>
      <c r="O178">
        <v>3</v>
      </c>
      <c r="P178">
        <v>4705</v>
      </c>
      <c r="Q178">
        <v>1575</v>
      </c>
      <c r="R178">
        <v>135</v>
      </c>
      <c r="S178">
        <v>886</v>
      </c>
      <c r="T178">
        <v>0</v>
      </c>
      <c r="U178">
        <v>2109</v>
      </c>
      <c r="V178" s="1">
        <f t="shared" si="6"/>
        <v>0.1429</v>
      </c>
      <c r="W178" s="1">
        <f t="shared" si="7"/>
        <v>0</v>
      </c>
      <c r="X178" s="1">
        <f t="shared" si="8"/>
        <v>5.7000000000000002E-3</v>
      </c>
    </row>
    <row r="179" spans="1:24" x14ac:dyDescent="0.25">
      <c r="A179">
        <v>2024</v>
      </c>
      <c r="B179">
        <v>2</v>
      </c>
      <c r="C179" t="s">
        <v>43</v>
      </c>
      <c r="D179" t="str">
        <f>_xlfn.XLOOKUP(C179,'Carrier Name Rename'!A:A,'Carrier Name Rename'!B:B)</f>
        <v>Southwest Airlines Co.</v>
      </c>
      <c r="E179" t="s">
        <v>23</v>
      </c>
      <c r="F179" t="s">
        <v>24</v>
      </c>
      <c r="G179">
        <v>515</v>
      </c>
      <c r="H179">
        <v>90</v>
      </c>
      <c r="I179">
        <v>38.14</v>
      </c>
      <c r="J179">
        <v>0</v>
      </c>
      <c r="K179">
        <v>11.39</v>
      </c>
      <c r="L179">
        <v>0</v>
      </c>
      <c r="M179">
        <v>40.47</v>
      </c>
      <c r="N179">
        <v>3</v>
      </c>
      <c r="O179">
        <v>0</v>
      </c>
      <c r="P179">
        <v>3851</v>
      </c>
      <c r="Q179">
        <v>1690</v>
      </c>
      <c r="R179">
        <v>0</v>
      </c>
      <c r="S179">
        <v>452</v>
      </c>
      <c r="T179">
        <v>0</v>
      </c>
      <c r="U179">
        <v>1709</v>
      </c>
      <c r="V179" s="1">
        <f t="shared" si="6"/>
        <v>0.17480000000000001</v>
      </c>
      <c r="W179" s="1">
        <f t="shared" si="7"/>
        <v>5.7999999999999996E-3</v>
      </c>
      <c r="X179" s="1">
        <f t="shared" si="8"/>
        <v>0</v>
      </c>
    </row>
    <row r="180" spans="1:24" x14ac:dyDescent="0.25">
      <c r="A180">
        <v>2024</v>
      </c>
      <c r="B180">
        <v>1</v>
      </c>
      <c r="C180" t="s">
        <v>29</v>
      </c>
      <c r="D180" t="str">
        <f>_xlfn.XLOOKUP(C180,'Carrier Name Rename'!A:A,'Carrier Name Rename'!B:B)</f>
        <v>Horizon Air</v>
      </c>
      <c r="E180" t="s">
        <v>23</v>
      </c>
      <c r="F180" t="s">
        <v>24</v>
      </c>
      <c r="G180">
        <v>1388</v>
      </c>
      <c r="H180">
        <v>319</v>
      </c>
      <c r="I180">
        <v>59.96</v>
      </c>
      <c r="J180">
        <v>28.01</v>
      </c>
      <c r="K180">
        <v>127.86</v>
      </c>
      <c r="L180">
        <v>1.64</v>
      </c>
      <c r="M180">
        <v>101.53</v>
      </c>
      <c r="N180">
        <v>52</v>
      </c>
      <c r="O180">
        <v>1</v>
      </c>
      <c r="P180">
        <v>20667</v>
      </c>
      <c r="Q180">
        <v>4817</v>
      </c>
      <c r="R180">
        <v>2740</v>
      </c>
      <c r="S180">
        <v>5037</v>
      </c>
      <c r="T180">
        <v>38</v>
      </c>
      <c r="U180">
        <v>8035</v>
      </c>
      <c r="V180" s="1">
        <f t="shared" si="6"/>
        <v>0.2298</v>
      </c>
      <c r="W180" s="1">
        <f t="shared" si="7"/>
        <v>3.7499999999999999E-2</v>
      </c>
      <c r="X180" s="1">
        <f t="shared" si="8"/>
        <v>6.9999999999999999E-4</v>
      </c>
    </row>
    <row r="181" spans="1:24" x14ac:dyDescent="0.25">
      <c r="A181">
        <v>2024</v>
      </c>
      <c r="B181">
        <v>1</v>
      </c>
      <c r="C181" t="s">
        <v>31</v>
      </c>
      <c r="D181" t="str">
        <f>_xlfn.XLOOKUP(C181,'Carrier Name Rename'!A:A,'Carrier Name Rename'!B:B)</f>
        <v>American Airlines Inc.</v>
      </c>
      <c r="E181" t="s">
        <v>23</v>
      </c>
      <c r="F181" t="s">
        <v>24</v>
      </c>
      <c r="G181">
        <v>383</v>
      </c>
      <c r="H181">
        <v>110</v>
      </c>
      <c r="I181">
        <v>39.840000000000003</v>
      </c>
      <c r="J181">
        <v>9.34</v>
      </c>
      <c r="K181">
        <v>32.5</v>
      </c>
      <c r="L181">
        <v>0.25</v>
      </c>
      <c r="M181">
        <v>28.07</v>
      </c>
      <c r="N181">
        <v>2</v>
      </c>
      <c r="O181">
        <v>1</v>
      </c>
      <c r="P181">
        <v>7767</v>
      </c>
      <c r="Q181">
        <v>2431</v>
      </c>
      <c r="R181">
        <v>1563</v>
      </c>
      <c r="S181">
        <v>1297</v>
      </c>
      <c r="T181">
        <v>21</v>
      </c>
      <c r="U181">
        <v>2455</v>
      </c>
      <c r="V181" s="1">
        <f t="shared" si="6"/>
        <v>0.28720000000000001</v>
      </c>
      <c r="W181" s="1">
        <f t="shared" si="7"/>
        <v>5.1999999999999998E-3</v>
      </c>
      <c r="X181" s="1">
        <f t="shared" si="8"/>
        <v>2.5999999999999999E-3</v>
      </c>
    </row>
    <row r="182" spans="1:24" x14ac:dyDescent="0.25">
      <c r="A182">
        <v>2024</v>
      </c>
      <c r="B182">
        <v>1</v>
      </c>
      <c r="C182" t="s">
        <v>25</v>
      </c>
      <c r="D182" t="str">
        <f>_xlfn.XLOOKUP(C182,'Carrier Name Rename'!A:A,'Carrier Name Rename'!B:B)</f>
        <v>Spirit Airlines</v>
      </c>
      <c r="E182" t="s">
        <v>23</v>
      </c>
      <c r="F182" t="s">
        <v>24</v>
      </c>
      <c r="G182">
        <v>62</v>
      </c>
      <c r="H182">
        <v>7</v>
      </c>
      <c r="I182">
        <v>3</v>
      </c>
      <c r="J182">
        <v>0</v>
      </c>
      <c r="K182">
        <v>2.67</v>
      </c>
      <c r="L182">
        <v>0</v>
      </c>
      <c r="M182">
        <v>1.33</v>
      </c>
      <c r="N182">
        <v>0</v>
      </c>
      <c r="O182">
        <v>0</v>
      </c>
      <c r="P182">
        <v>290</v>
      </c>
      <c r="Q182">
        <v>168</v>
      </c>
      <c r="R182">
        <v>0</v>
      </c>
      <c r="S182">
        <v>85</v>
      </c>
      <c r="T182">
        <v>0</v>
      </c>
      <c r="U182">
        <v>37</v>
      </c>
      <c r="V182" s="1">
        <f t="shared" si="6"/>
        <v>0.1129</v>
      </c>
      <c r="W182" s="1">
        <f t="shared" si="7"/>
        <v>0</v>
      </c>
      <c r="X182" s="1">
        <f t="shared" si="8"/>
        <v>0</v>
      </c>
    </row>
    <row r="183" spans="1:24" x14ac:dyDescent="0.25">
      <c r="A183">
        <v>2024</v>
      </c>
      <c r="B183">
        <v>1</v>
      </c>
      <c r="C183" t="s">
        <v>43</v>
      </c>
      <c r="D183" t="str">
        <f>_xlfn.XLOOKUP(C183,'Carrier Name Rename'!A:A,'Carrier Name Rename'!B:B)</f>
        <v>Southwest Airlines Co.</v>
      </c>
      <c r="E183" t="s">
        <v>23</v>
      </c>
      <c r="F183" t="s">
        <v>24</v>
      </c>
      <c r="G183">
        <v>575</v>
      </c>
      <c r="H183">
        <v>149</v>
      </c>
      <c r="I183">
        <v>57.52</v>
      </c>
      <c r="J183">
        <v>0</v>
      </c>
      <c r="K183">
        <v>26.9</v>
      </c>
      <c r="L183">
        <v>1.68</v>
      </c>
      <c r="M183">
        <v>62.91</v>
      </c>
      <c r="N183">
        <v>1</v>
      </c>
      <c r="O183">
        <v>1</v>
      </c>
      <c r="P183">
        <v>6930</v>
      </c>
      <c r="Q183">
        <v>2825</v>
      </c>
      <c r="R183">
        <v>0</v>
      </c>
      <c r="S183">
        <v>912</v>
      </c>
      <c r="T183">
        <v>50</v>
      </c>
      <c r="U183">
        <v>3143</v>
      </c>
      <c r="V183" s="1">
        <f t="shared" si="6"/>
        <v>0.2591</v>
      </c>
      <c r="W183" s="1">
        <f t="shared" si="7"/>
        <v>1.6999999999999999E-3</v>
      </c>
      <c r="X183" s="1">
        <f t="shared" si="8"/>
        <v>1.6999999999999999E-3</v>
      </c>
    </row>
    <row r="184" spans="1:24" x14ac:dyDescent="0.25">
      <c r="A184">
        <v>2024</v>
      </c>
      <c r="B184">
        <v>1</v>
      </c>
      <c r="C184" t="s">
        <v>33</v>
      </c>
      <c r="D184" t="str">
        <f>_xlfn.XLOOKUP(C184,'Carrier Name Rename'!A:A,'Carrier Name Rename'!B:B)</f>
        <v>Alaska Airlines Inc.</v>
      </c>
      <c r="E184" t="s">
        <v>23</v>
      </c>
      <c r="F184" t="s">
        <v>24</v>
      </c>
      <c r="G184">
        <v>5602</v>
      </c>
      <c r="H184">
        <v>1174</v>
      </c>
      <c r="I184">
        <v>258.58999999999997</v>
      </c>
      <c r="J184">
        <v>65.23</v>
      </c>
      <c r="K184">
        <v>288.51</v>
      </c>
      <c r="L184">
        <v>8.43</v>
      </c>
      <c r="M184">
        <v>553.24</v>
      </c>
      <c r="N184">
        <v>872</v>
      </c>
      <c r="O184">
        <v>14</v>
      </c>
      <c r="P184">
        <v>81257</v>
      </c>
      <c r="Q184">
        <v>20789</v>
      </c>
      <c r="R184">
        <v>5930</v>
      </c>
      <c r="S184">
        <v>12080</v>
      </c>
      <c r="T184">
        <v>354</v>
      </c>
      <c r="U184">
        <v>42104</v>
      </c>
      <c r="V184" s="1">
        <f t="shared" si="6"/>
        <v>0.20960000000000001</v>
      </c>
      <c r="W184" s="1">
        <f t="shared" si="7"/>
        <v>0.15570000000000001</v>
      </c>
      <c r="X184" s="1">
        <f t="shared" si="8"/>
        <v>2.5000000000000001E-3</v>
      </c>
    </row>
    <row r="185" spans="1:24" x14ac:dyDescent="0.25">
      <c r="A185">
        <v>2024</v>
      </c>
      <c r="B185">
        <v>1</v>
      </c>
      <c r="C185" t="s">
        <v>35</v>
      </c>
      <c r="D185" t="str">
        <f>_xlfn.XLOOKUP(C185,'Carrier Name Rename'!A:A,'Carrier Name Rename'!B:B)</f>
        <v>JetBlue Airways</v>
      </c>
      <c r="E185" t="s">
        <v>23</v>
      </c>
      <c r="F185" t="s">
        <v>24</v>
      </c>
      <c r="G185">
        <v>62</v>
      </c>
      <c r="H185">
        <v>19</v>
      </c>
      <c r="I185">
        <v>10.77</v>
      </c>
      <c r="J185">
        <v>0</v>
      </c>
      <c r="K185">
        <v>5.84</v>
      </c>
      <c r="L185">
        <v>0</v>
      </c>
      <c r="M185">
        <v>2.39</v>
      </c>
      <c r="N185">
        <v>0</v>
      </c>
      <c r="O185">
        <v>0</v>
      </c>
      <c r="P185">
        <v>1406</v>
      </c>
      <c r="Q185">
        <v>1002</v>
      </c>
      <c r="R185">
        <v>0</v>
      </c>
      <c r="S185">
        <v>219</v>
      </c>
      <c r="T185">
        <v>0</v>
      </c>
      <c r="U185">
        <v>185</v>
      </c>
      <c r="V185" s="1">
        <f t="shared" si="6"/>
        <v>0.30649999999999999</v>
      </c>
      <c r="W185" s="1">
        <f t="shared" si="7"/>
        <v>0</v>
      </c>
      <c r="X185" s="1">
        <f t="shared" si="8"/>
        <v>0</v>
      </c>
    </row>
    <row r="186" spans="1:24" x14ac:dyDescent="0.25">
      <c r="A186">
        <v>2024</v>
      </c>
      <c r="B186">
        <v>1</v>
      </c>
      <c r="C186" t="s">
        <v>37</v>
      </c>
      <c r="D186" t="str">
        <f>_xlfn.XLOOKUP(C186,'Carrier Name Rename'!A:A,'Carrier Name Rename'!B:B)</f>
        <v>Delta Air Lines Inc.</v>
      </c>
      <c r="E186" t="s">
        <v>23</v>
      </c>
      <c r="F186" t="s">
        <v>24</v>
      </c>
      <c r="G186">
        <v>2363</v>
      </c>
      <c r="H186">
        <v>330</v>
      </c>
      <c r="I186">
        <v>123.64</v>
      </c>
      <c r="J186">
        <v>22.9</v>
      </c>
      <c r="K186">
        <v>92.34</v>
      </c>
      <c r="L186">
        <v>1</v>
      </c>
      <c r="M186">
        <v>90.13</v>
      </c>
      <c r="N186">
        <v>11</v>
      </c>
      <c r="O186">
        <v>0</v>
      </c>
      <c r="P186">
        <v>26075</v>
      </c>
      <c r="Q186">
        <v>11368</v>
      </c>
      <c r="R186">
        <v>2786</v>
      </c>
      <c r="S186">
        <v>3776</v>
      </c>
      <c r="T186">
        <v>33</v>
      </c>
      <c r="U186">
        <v>8112</v>
      </c>
      <c r="V186" s="1">
        <f t="shared" si="6"/>
        <v>0.13969999999999999</v>
      </c>
      <c r="W186" s="1">
        <f t="shared" si="7"/>
        <v>4.7000000000000002E-3</v>
      </c>
      <c r="X186" s="1">
        <f t="shared" si="8"/>
        <v>0</v>
      </c>
    </row>
    <row r="187" spans="1:24" x14ac:dyDescent="0.25">
      <c r="A187">
        <v>2024</v>
      </c>
      <c r="B187">
        <v>1</v>
      </c>
      <c r="C187" t="s">
        <v>39</v>
      </c>
      <c r="D187" t="str">
        <f>_xlfn.XLOOKUP(C187,'Carrier Name Rename'!A:A,'Carrier Name Rename'!B:B)</f>
        <v>Frontier Airlines Inc.</v>
      </c>
      <c r="E187" t="s">
        <v>23</v>
      </c>
      <c r="F187" t="s">
        <v>24</v>
      </c>
      <c r="G187">
        <v>70</v>
      </c>
      <c r="H187">
        <v>8</v>
      </c>
      <c r="I187">
        <v>1.84</v>
      </c>
      <c r="J187">
        <v>0</v>
      </c>
      <c r="K187">
        <v>3.61</v>
      </c>
      <c r="L187">
        <v>0</v>
      </c>
      <c r="M187">
        <v>2.5499999999999998</v>
      </c>
      <c r="N187">
        <v>0</v>
      </c>
      <c r="O187">
        <v>0</v>
      </c>
      <c r="P187">
        <v>569</v>
      </c>
      <c r="Q187">
        <v>147</v>
      </c>
      <c r="R187">
        <v>0</v>
      </c>
      <c r="S187">
        <v>144</v>
      </c>
      <c r="T187">
        <v>0</v>
      </c>
      <c r="U187">
        <v>278</v>
      </c>
      <c r="V187" s="1">
        <f t="shared" si="6"/>
        <v>0.1143</v>
      </c>
      <c r="W187" s="1">
        <f t="shared" si="7"/>
        <v>0</v>
      </c>
      <c r="X187" s="1">
        <f t="shared" si="8"/>
        <v>0</v>
      </c>
    </row>
    <row r="188" spans="1:24" x14ac:dyDescent="0.25">
      <c r="A188">
        <v>2024</v>
      </c>
      <c r="B188">
        <v>1</v>
      </c>
      <c r="C188" t="s">
        <v>27</v>
      </c>
      <c r="D188" t="str">
        <f>_xlfn.XLOOKUP(C188,'Carrier Name Rename'!A:A,'Carrier Name Rename'!B:B)</f>
        <v>SkyWest Airlines Inc.</v>
      </c>
      <c r="E188" t="s">
        <v>23</v>
      </c>
      <c r="F188" t="s">
        <v>24</v>
      </c>
      <c r="G188">
        <v>1984</v>
      </c>
      <c r="H188">
        <v>502</v>
      </c>
      <c r="I188">
        <v>229.06</v>
      </c>
      <c r="J188">
        <v>133.22</v>
      </c>
      <c r="K188">
        <v>75.22</v>
      </c>
      <c r="L188">
        <v>1.29</v>
      </c>
      <c r="M188">
        <v>63.21</v>
      </c>
      <c r="N188">
        <v>62</v>
      </c>
      <c r="O188">
        <v>1</v>
      </c>
      <c r="P188">
        <v>43081</v>
      </c>
      <c r="Q188">
        <v>15320</v>
      </c>
      <c r="R188">
        <v>18026</v>
      </c>
      <c r="S188">
        <v>4201</v>
      </c>
      <c r="T188">
        <v>38</v>
      </c>
      <c r="U188">
        <v>5496</v>
      </c>
      <c r="V188" s="1">
        <f t="shared" si="6"/>
        <v>0.253</v>
      </c>
      <c r="W188" s="1">
        <f t="shared" si="7"/>
        <v>3.1300000000000001E-2</v>
      </c>
      <c r="X188" s="1">
        <f t="shared" si="8"/>
        <v>5.0000000000000001E-4</v>
      </c>
    </row>
    <row r="189" spans="1:24" x14ac:dyDescent="0.25">
      <c r="A189">
        <v>2024</v>
      </c>
      <c r="B189">
        <v>1</v>
      </c>
      <c r="C189" t="s">
        <v>21</v>
      </c>
      <c r="D189" t="str">
        <f>_xlfn.XLOOKUP(C189,'Carrier Name Rename'!A:A,'Carrier Name Rename'!B:B)</f>
        <v>Hawaiian Airlines Inc.</v>
      </c>
      <c r="E189" t="s">
        <v>23</v>
      </c>
      <c r="F189" t="s">
        <v>24</v>
      </c>
      <c r="G189">
        <v>62</v>
      </c>
      <c r="H189">
        <v>17</v>
      </c>
      <c r="I189">
        <v>11.86</v>
      </c>
      <c r="J189">
        <v>0</v>
      </c>
      <c r="K189">
        <v>0.13</v>
      </c>
      <c r="L189">
        <v>0</v>
      </c>
      <c r="M189">
        <v>5.0199999999999996</v>
      </c>
      <c r="N189">
        <v>0</v>
      </c>
      <c r="O189">
        <v>0</v>
      </c>
      <c r="P189">
        <v>946</v>
      </c>
      <c r="Q189">
        <v>558</v>
      </c>
      <c r="R189">
        <v>0</v>
      </c>
      <c r="S189">
        <v>3</v>
      </c>
      <c r="T189">
        <v>0</v>
      </c>
      <c r="U189">
        <v>385</v>
      </c>
      <c r="V189" s="1">
        <f t="shared" si="6"/>
        <v>0.2742</v>
      </c>
      <c r="W189" s="1">
        <f t="shared" si="7"/>
        <v>0</v>
      </c>
      <c r="X189" s="1">
        <f t="shared" si="8"/>
        <v>0</v>
      </c>
    </row>
    <row r="190" spans="1:24" x14ac:dyDescent="0.25">
      <c r="A190">
        <v>2024</v>
      </c>
      <c r="B190">
        <v>1</v>
      </c>
      <c r="C190" t="s">
        <v>45</v>
      </c>
      <c r="D190" t="str">
        <f>_xlfn.XLOOKUP(C190,'Carrier Name Rename'!A:A,'Carrier Name Rename'!B:B)</f>
        <v>Envoy Air</v>
      </c>
      <c r="E190" t="s">
        <v>23</v>
      </c>
      <c r="F190" t="s">
        <v>24</v>
      </c>
      <c r="G190">
        <v>23</v>
      </c>
      <c r="H190">
        <v>12</v>
      </c>
      <c r="I190">
        <v>2.4</v>
      </c>
      <c r="J190">
        <v>0</v>
      </c>
      <c r="K190">
        <v>3.07</v>
      </c>
      <c r="L190">
        <v>0</v>
      </c>
      <c r="M190">
        <v>6.53</v>
      </c>
      <c r="N190">
        <v>0</v>
      </c>
      <c r="O190">
        <v>0</v>
      </c>
      <c r="P190">
        <v>882</v>
      </c>
      <c r="Q190">
        <v>313</v>
      </c>
      <c r="R190">
        <v>0</v>
      </c>
      <c r="S190">
        <v>134</v>
      </c>
      <c r="T190">
        <v>0</v>
      </c>
      <c r="U190">
        <v>435</v>
      </c>
      <c r="V190" s="1">
        <f t="shared" si="6"/>
        <v>0.52170000000000005</v>
      </c>
      <c r="W190" s="1">
        <f t="shared" si="7"/>
        <v>0</v>
      </c>
      <c r="X190" s="1">
        <f t="shared" si="8"/>
        <v>0</v>
      </c>
    </row>
    <row r="191" spans="1:24" x14ac:dyDescent="0.25">
      <c r="A191">
        <v>2024</v>
      </c>
      <c r="B191">
        <v>1</v>
      </c>
      <c r="C191" t="s">
        <v>41</v>
      </c>
      <c r="D191" t="str">
        <f>_xlfn.XLOOKUP(C191,'Carrier Name Rename'!A:A,'Carrier Name Rename'!B:B)</f>
        <v>United Air Lines Inc.</v>
      </c>
      <c r="E191" t="s">
        <v>23</v>
      </c>
      <c r="F191" t="s">
        <v>24</v>
      </c>
      <c r="G191">
        <v>571</v>
      </c>
      <c r="H191">
        <v>99</v>
      </c>
      <c r="I191">
        <v>43.21</v>
      </c>
      <c r="J191">
        <v>4.66</v>
      </c>
      <c r="K191">
        <v>16.170000000000002</v>
      </c>
      <c r="L191">
        <v>0</v>
      </c>
      <c r="M191">
        <v>34.97</v>
      </c>
      <c r="N191">
        <v>54</v>
      </c>
      <c r="O191">
        <v>0</v>
      </c>
      <c r="P191">
        <v>7124</v>
      </c>
      <c r="Q191">
        <v>2707</v>
      </c>
      <c r="R191">
        <v>474</v>
      </c>
      <c r="S191">
        <v>801</v>
      </c>
      <c r="T191">
        <v>0</v>
      </c>
      <c r="U191">
        <v>3142</v>
      </c>
      <c r="V191" s="1">
        <f t="shared" si="6"/>
        <v>0.1734</v>
      </c>
      <c r="W191" s="1">
        <f t="shared" si="7"/>
        <v>9.4600000000000004E-2</v>
      </c>
      <c r="X191" s="1">
        <f t="shared" si="8"/>
        <v>0</v>
      </c>
    </row>
    <row r="192" spans="1:24" x14ac:dyDescent="0.25">
      <c r="A192">
        <v>2023</v>
      </c>
      <c r="B192">
        <v>12</v>
      </c>
      <c r="C192" t="s">
        <v>31</v>
      </c>
      <c r="D192" t="str">
        <f>_xlfn.XLOOKUP(C192,'Carrier Name Rename'!A:A,'Carrier Name Rename'!B:B)</f>
        <v>American Airlines Inc.</v>
      </c>
      <c r="E192" t="s">
        <v>23</v>
      </c>
      <c r="F192" t="s">
        <v>24</v>
      </c>
      <c r="G192">
        <v>453</v>
      </c>
      <c r="H192">
        <v>58</v>
      </c>
      <c r="I192">
        <v>25.03</v>
      </c>
      <c r="J192">
        <v>0.09</v>
      </c>
      <c r="K192">
        <v>15.08</v>
      </c>
      <c r="L192">
        <v>0.65</v>
      </c>
      <c r="M192">
        <v>17.149999999999999</v>
      </c>
      <c r="N192">
        <v>0</v>
      </c>
      <c r="O192">
        <v>2</v>
      </c>
      <c r="P192">
        <v>2471</v>
      </c>
      <c r="Q192">
        <v>1219</v>
      </c>
      <c r="R192">
        <v>4</v>
      </c>
      <c r="S192">
        <v>570</v>
      </c>
      <c r="T192">
        <v>13</v>
      </c>
      <c r="U192">
        <v>665</v>
      </c>
      <c r="V192" s="1">
        <f t="shared" si="6"/>
        <v>0.128</v>
      </c>
      <c r="W192" s="1">
        <f t="shared" si="7"/>
        <v>0</v>
      </c>
      <c r="X192" s="1">
        <f t="shared" si="8"/>
        <v>4.4000000000000003E-3</v>
      </c>
    </row>
    <row r="193" spans="1:24" x14ac:dyDescent="0.25">
      <c r="A193">
        <v>2023</v>
      </c>
      <c r="B193">
        <v>12</v>
      </c>
      <c r="C193" t="s">
        <v>37</v>
      </c>
      <c r="D193" t="str">
        <f>_xlfn.XLOOKUP(C193,'Carrier Name Rename'!A:A,'Carrier Name Rename'!B:B)</f>
        <v>Delta Air Lines Inc.</v>
      </c>
      <c r="E193" t="s">
        <v>23</v>
      </c>
      <c r="F193" t="s">
        <v>24</v>
      </c>
      <c r="G193">
        <v>2619</v>
      </c>
      <c r="H193">
        <v>185</v>
      </c>
      <c r="I193">
        <v>79.11</v>
      </c>
      <c r="J193">
        <v>7.24</v>
      </c>
      <c r="K193">
        <v>54.71</v>
      </c>
      <c r="L193">
        <v>0</v>
      </c>
      <c r="M193">
        <v>43.94</v>
      </c>
      <c r="N193">
        <v>1</v>
      </c>
      <c r="O193">
        <v>3</v>
      </c>
      <c r="P193">
        <v>17177</v>
      </c>
      <c r="Q193">
        <v>11043</v>
      </c>
      <c r="R193">
        <v>1678</v>
      </c>
      <c r="S193">
        <v>1594</v>
      </c>
      <c r="T193">
        <v>0</v>
      </c>
      <c r="U193">
        <v>2862</v>
      </c>
      <c r="V193" s="1">
        <f t="shared" si="6"/>
        <v>7.0599999999999996E-2</v>
      </c>
      <c r="W193" s="1">
        <f t="shared" si="7"/>
        <v>4.0000000000000002E-4</v>
      </c>
      <c r="X193" s="1">
        <f t="shared" si="8"/>
        <v>1.1000000000000001E-3</v>
      </c>
    </row>
    <row r="194" spans="1:24" x14ac:dyDescent="0.25">
      <c r="A194">
        <v>2023</v>
      </c>
      <c r="B194">
        <v>12</v>
      </c>
      <c r="C194" t="s">
        <v>27</v>
      </c>
      <c r="D194" t="str">
        <f>_xlfn.XLOOKUP(C194,'Carrier Name Rename'!A:A,'Carrier Name Rename'!B:B)</f>
        <v>SkyWest Airlines Inc.</v>
      </c>
      <c r="E194" t="s">
        <v>23</v>
      </c>
      <c r="F194" t="s">
        <v>24</v>
      </c>
      <c r="G194">
        <v>1843</v>
      </c>
      <c r="H194">
        <v>274</v>
      </c>
      <c r="I194">
        <v>71.709999999999994</v>
      </c>
      <c r="J194">
        <v>94</v>
      </c>
      <c r="K194">
        <v>78.84</v>
      </c>
      <c r="L194">
        <v>2.88</v>
      </c>
      <c r="M194">
        <v>26.59</v>
      </c>
      <c r="N194">
        <v>39</v>
      </c>
      <c r="O194">
        <v>27</v>
      </c>
      <c r="P194">
        <v>27598</v>
      </c>
      <c r="Q194">
        <v>6139</v>
      </c>
      <c r="R194">
        <v>16965</v>
      </c>
      <c r="S194">
        <v>2473</v>
      </c>
      <c r="T194">
        <v>92</v>
      </c>
      <c r="U194">
        <v>1929</v>
      </c>
      <c r="V194" s="1">
        <f t="shared" si="6"/>
        <v>0.1487</v>
      </c>
      <c r="W194" s="1">
        <f t="shared" si="7"/>
        <v>2.12E-2</v>
      </c>
      <c r="X194" s="1">
        <f t="shared" si="8"/>
        <v>1.47E-2</v>
      </c>
    </row>
    <row r="195" spans="1:24" x14ac:dyDescent="0.25">
      <c r="A195">
        <v>2023</v>
      </c>
      <c r="B195">
        <v>12</v>
      </c>
      <c r="C195" t="s">
        <v>29</v>
      </c>
      <c r="D195" t="str">
        <f>_xlfn.XLOOKUP(C195,'Carrier Name Rename'!A:A,'Carrier Name Rename'!B:B)</f>
        <v>Horizon Air</v>
      </c>
      <c r="E195" t="s">
        <v>23</v>
      </c>
      <c r="F195" t="s">
        <v>24</v>
      </c>
      <c r="G195">
        <v>1317</v>
      </c>
      <c r="H195">
        <v>134</v>
      </c>
      <c r="I195">
        <v>47.53</v>
      </c>
      <c r="J195">
        <v>7.29</v>
      </c>
      <c r="K195">
        <v>33.33</v>
      </c>
      <c r="L195">
        <v>0</v>
      </c>
      <c r="M195">
        <v>45.86</v>
      </c>
      <c r="N195">
        <v>29</v>
      </c>
      <c r="O195">
        <v>2</v>
      </c>
      <c r="P195">
        <v>10248</v>
      </c>
      <c r="Q195">
        <v>4705</v>
      </c>
      <c r="R195">
        <v>859</v>
      </c>
      <c r="S195">
        <v>1218</v>
      </c>
      <c r="T195">
        <v>0</v>
      </c>
      <c r="U195">
        <v>3466</v>
      </c>
      <c r="V195" s="1">
        <f t="shared" ref="V195:V258" si="9">ROUND(H195/G195,4)</f>
        <v>0.1017</v>
      </c>
      <c r="W195" s="1">
        <f t="shared" ref="W195:W258" si="10">ROUND(N195/G195,4)</f>
        <v>2.1999999999999999E-2</v>
      </c>
      <c r="X195" s="1">
        <f t="shared" ref="X195:X258" si="11">ROUND(O195/G195,4)</f>
        <v>1.5E-3</v>
      </c>
    </row>
    <row r="196" spans="1:24" x14ac:dyDescent="0.25">
      <c r="A196">
        <v>2023</v>
      </c>
      <c r="B196">
        <v>12</v>
      </c>
      <c r="C196" t="s">
        <v>43</v>
      </c>
      <c r="D196" t="str">
        <f>_xlfn.XLOOKUP(C196,'Carrier Name Rename'!A:A,'Carrier Name Rename'!B:B)</f>
        <v>Southwest Airlines Co.</v>
      </c>
      <c r="E196" t="s">
        <v>23</v>
      </c>
      <c r="F196" t="s">
        <v>24</v>
      </c>
      <c r="G196">
        <v>660</v>
      </c>
      <c r="H196">
        <v>137</v>
      </c>
      <c r="I196">
        <v>57.42</v>
      </c>
      <c r="J196">
        <v>1.57</v>
      </c>
      <c r="K196">
        <v>20.62</v>
      </c>
      <c r="L196">
        <v>0</v>
      </c>
      <c r="M196">
        <v>57.39</v>
      </c>
      <c r="N196">
        <v>0</v>
      </c>
      <c r="O196">
        <v>1</v>
      </c>
      <c r="P196">
        <v>5225</v>
      </c>
      <c r="Q196">
        <v>2113</v>
      </c>
      <c r="R196">
        <v>37</v>
      </c>
      <c r="S196">
        <v>560</v>
      </c>
      <c r="T196">
        <v>0</v>
      </c>
      <c r="U196">
        <v>2515</v>
      </c>
      <c r="V196" s="1">
        <f t="shared" si="9"/>
        <v>0.20760000000000001</v>
      </c>
      <c r="W196" s="1">
        <f t="shared" si="10"/>
        <v>0</v>
      </c>
      <c r="X196" s="1">
        <f t="shared" si="11"/>
        <v>1.5E-3</v>
      </c>
    </row>
    <row r="197" spans="1:24" x14ac:dyDescent="0.25">
      <c r="A197">
        <v>2023</v>
      </c>
      <c r="B197">
        <v>12</v>
      </c>
      <c r="C197" t="s">
        <v>33</v>
      </c>
      <c r="D197" t="str">
        <f>_xlfn.XLOOKUP(C197,'Carrier Name Rename'!A:A,'Carrier Name Rename'!B:B)</f>
        <v>Alaska Airlines Inc.</v>
      </c>
      <c r="E197" t="s">
        <v>23</v>
      </c>
      <c r="F197" t="s">
        <v>24</v>
      </c>
      <c r="G197">
        <v>6216</v>
      </c>
      <c r="H197">
        <v>936</v>
      </c>
      <c r="I197">
        <v>209.35</v>
      </c>
      <c r="J197">
        <v>23.56</v>
      </c>
      <c r="K197">
        <v>314.45</v>
      </c>
      <c r="L197">
        <v>5.56</v>
      </c>
      <c r="M197">
        <v>383.08</v>
      </c>
      <c r="N197">
        <v>40</v>
      </c>
      <c r="O197">
        <v>9</v>
      </c>
      <c r="P197">
        <v>48878</v>
      </c>
      <c r="Q197">
        <v>14548</v>
      </c>
      <c r="R197">
        <v>1913</v>
      </c>
      <c r="S197">
        <v>9607</v>
      </c>
      <c r="T197">
        <v>187</v>
      </c>
      <c r="U197">
        <v>22623</v>
      </c>
      <c r="V197" s="1">
        <f t="shared" si="9"/>
        <v>0.15060000000000001</v>
      </c>
      <c r="W197" s="1">
        <f t="shared" si="10"/>
        <v>6.4000000000000003E-3</v>
      </c>
      <c r="X197" s="1">
        <f t="shared" si="11"/>
        <v>1.4E-3</v>
      </c>
    </row>
    <row r="198" spans="1:24" x14ac:dyDescent="0.25">
      <c r="A198">
        <v>2023</v>
      </c>
      <c r="B198">
        <v>12</v>
      </c>
      <c r="C198" t="s">
        <v>35</v>
      </c>
      <c r="D198" t="str">
        <f>_xlfn.XLOOKUP(C198,'Carrier Name Rename'!A:A,'Carrier Name Rename'!B:B)</f>
        <v>JetBlue Airways</v>
      </c>
      <c r="E198" t="s">
        <v>23</v>
      </c>
      <c r="F198" t="s">
        <v>24</v>
      </c>
      <c r="G198">
        <v>62</v>
      </c>
      <c r="H198">
        <v>13</v>
      </c>
      <c r="I198">
        <v>10.36</v>
      </c>
      <c r="J198">
        <v>0</v>
      </c>
      <c r="K198">
        <v>0.45</v>
      </c>
      <c r="L198">
        <v>0</v>
      </c>
      <c r="M198">
        <v>2.19</v>
      </c>
      <c r="N198">
        <v>0</v>
      </c>
      <c r="O198">
        <v>0</v>
      </c>
      <c r="P198">
        <v>1341</v>
      </c>
      <c r="Q198">
        <v>1020</v>
      </c>
      <c r="R198">
        <v>0</v>
      </c>
      <c r="S198">
        <v>10</v>
      </c>
      <c r="T198">
        <v>0</v>
      </c>
      <c r="U198">
        <v>311</v>
      </c>
      <c r="V198" s="1">
        <f t="shared" si="9"/>
        <v>0.2097</v>
      </c>
      <c r="W198" s="1">
        <f t="shared" si="10"/>
        <v>0</v>
      </c>
      <c r="X198" s="1">
        <f t="shared" si="11"/>
        <v>0</v>
      </c>
    </row>
    <row r="199" spans="1:24" x14ac:dyDescent="0.25">
      <c r="A199">
        <v>2023</v>
      </c>
      <c r="B199">
        <v>12</v>
      </c>
      <c r="C199" t="s">
        <v>39</v>
      </c>
      <c r="D199" t="str">
        <f>_xlfn.XLOOKUP(C199,'Carrier Name Rename'!A:A,'Carrier Name Rename'!B:B)</f>
        <v>Frontier Airlines Inc.</v>
      </c>
      <c r="E199" t="s">
        <v>23</v>
      </c>
      <c r="F199" t="s">
        <v>24</v>
      </c>
      <c r="G199">
        <v>94</v>
      </c>
      <c r="H199">
        <v>11</v>
      </c>
      <c r="I199">
        <v>2.82</v>
      </c>
      <c r="J199">
        <v>0</v>
      </c>
      <c r="K199">
        <v>5.97</v>
      </c>
      <c r="L199">
        <v>0</v>
      </c>
      <c r="M199">
        <v>2.21</v>
      </c>
      <c r="N199">
        <v>0</v>
      </c>
      <c r="O199">
        <v>0</v>
      </c>
      <c r="P199">
        <v>397</v>
      </c>
      <c r="Q199">
        <v>175</v>
      </c>
      <c r="R199">
        <v>0</v>
      </c>
      <c r="S199">
        <v>176</v>
      </c>
      <c r="T199">
        <v>0</v>
      </c>
      <c r="U199">
        <v>46</v>
      </c>
      <c r="V199" s="1">
        <f t="shared" si="9"/>
        <v>0.11700000000000001</v>
      </c>
      <c r="W199" s="1">
        <f t="shared" si="10"/>
        <v>0</v>
      </c>
      <c r="X199" s="1">
        <f t="shared" si="11"/>
        <v>0</v>
      </c>
    </row>
    <row r="200" spans="1:24" x14ac:dyDescent="0.25">
      <c r="A200">
        <v>2023</v>
      </c>
      <c r="B200">
        <v>12</v>
      </c>
      <c r="C200" t="s">
        <v>21</v>
      </c>
      <c r="D200" t="str">
        <f>_xlfn.XLOOKUP(C200,'Carrier Name Rename'!A:A,'Carrier Name Rename'!B:B)</f>
        <v>Hawaiian Airlines Inc.</v>
      </c>
      <c r="E200" t="s">
        <v>23</v>
      </c>
      <c r="F200" t="s">
        <v>24</v>
      </c>
      <c r="G200">
        <v>62</v>
      </c>
      <c r="H200">
        <v>18</v>
      </c>
      <c r="I200">
        <v>9.83</v>
      </c>
      <c r="J200">
        <v>0.8</v>
      </c>
      <c r="K200">
        <v>0</v>
      </c>
      <c r="L200">
        <v>0</v>
      </c>
      <c r="M200">
        <v>7.37</v>
      </c>
      <c r="N200">
        <v>0</v>
      </c>
      <c r="O200">
        <v>1</v>
      </c>
      <c r="P200">
        <v>1226</v>
      </c>
      <c r="Q200">
        <v>543</v>
      </c>
      <c r="R200">
        <v>65</v>
      </c>
      <c r="S200">
        <v>0</v>
      </c>
      <c r="T200">
        <v>0</v>
      </c>
      <c r="U200">
        <v>618</v>
      </c>
      <c r="V200" s="1">
        <f t="shared" si="9"/>
        <v>0.2903</v>
      </c>
      <c r="W200" s="1">
        <f t="shared" si="10"/>
        <v>0</v>
      </c>
      <c r="X200" s="1">
        <f t="shared" si="11"/>
        <v>1.61E-2</v>
      </c>
    </row>
    <row r="201" spans="1:24" x14ac:dyDescent="0.25">
      <c r="A201">
        <v>2023</v>
      </c>
      <c r="B201">
        <v>12</v>
      </c>
      <c r="C201" t="s">
        <v>41</v>
      </c>
      <c r="D201" t="str">
        <f>_xlfn.XLOOKUP(C201,'Carrier Name Rename'!A:A,'Carrier Name Rename'!B:B)</f>
        <v>United Air Lines Inc.</v>
      </c>
      <c r="E201" t="s">
        <v>23</v>
      </c>
      <c r="F201" t="s">
        <v>24</v>
      </c>
      <c r="G201">
        <v>654</v>
      </c>
      <c r="H201">
        <v>68</v>
      </c>
      <c r="I201">
        <v>24.54</v>
      </c>
      <c r="J201">
        <v>1.71</v>
      </c>
      <c r="K201">
        <v>18.45</v>
      </c>
      <c r="L201">
        <v>0</v>
      </c>
      <c r="M201">
        <v>23.3</v>
      </c>
      <c r="N201">
        <v>0</v>
      </c>
      <c r="O201">
        <v>0</v>
      </c>
      <c r="P201">
        <v>3898</v>
      </c>
      <c r="Q201">
        <v>1316</v>
      </c>
      <c r="R201">
        <v>64</v>
      </c>
      <c r="S201">
        <v>521</v>
      </c>
      <c r="T201">
        <v>0</v>
      </c>
      <c r="U201">
        <v>1997</v>
      </c>
      <c r="V201" s="1">
        <f t="shared" si="9"/>
        <v>0.104</v>
      </c>
      <c r="W201" s="1">
        <f t="shared" si="10"/>
        <v>0</v>
      </c>
      <c r="X201" s="1">
        <f t="shared" si="11"/>
        <v>0</v>
      </c>
    </row>
    <row r="202" spans="1:24" x14ac:dyDescent="0.25">
      <c r="A202">
        <v>2023</v>
      </c>
      <c r="B202">
        <v>12</v>
      </c>
      <c r="C202" t="s">
        <v>25</v>
      </c>
      <c r="D202" t="str">
        <f>_xlfn.XLOOKUP(C202,'Carrier Name Rename'!A:A,'Carrier Name Rename'!B:B)</f>
        <v>Spirit Airlines</v>
      </c>
      <c r="E202" t="s">
        <v>23</v>
      </c>
      <c r="F202" t="s">
        <v>24</v>
      </c>
      <c r="G202">
        <v>63</v>
      </c>
      <c r="H202">
        <v>7</v>
      </c>
      <c r="I202">
        <v>2.46</v>
      </c>
      <c r="J202">
        <v>0</v>
      </c>
      <c r="K202">
        <v>1.98</v>
      </c>
      <c r="L202">
        <v>0</v>
      </c>
      <c r="M202">
        <v>2.56</v>
      </c>
      <c r="N202">
        <v>0</v>
      </c>
      <c r="O202">
        <v>0</v>
      </c>
      <c r="P202">
        <v>619</v>
      </c>
      <c r="Q202">
        <v>203</v>
      </c>
      <c r="R202">
        <v>0</v>
      </c>
      <c r="S202">
        <v>109</v>
      </c>
      <c r="T202">
        <v>0</v>
      </c>
      <c r="U202">
        <v>307</v>
      </c>
      <c r="V202" s="1">
        <f t="shared" si="9"/>
        <v>0.1111</v>
      </c>
      <c r="W202" s="1">
        <f t="shared" si="10"/>
        <v>0</v>
      </c>
      <c r="X202" s="1">
        <f t="shared" si="11"/>
        <v>0</v>
      </c>
    </row>
    <row r="203" spans="1:24" x14ac:dyDescent="0.25">
      <c r="A203">
        <v>2023</v>
      </c>
      <c r="B203">
        <v>11</v>
      </c>
      <c r="C203" t="s">
        <v>31</v>
      </c>
      <c r="D203" t="str">
        <f>_xlfn.XLOOKUP(C203,'Carrier Name Rename'!A:A,'Carrier Name Rename'!B:B)</f>
        <v>American Airlines Inc.</v>
      </c>
      <c r="E203" t="s">
        <v>23</v>
      </c>
      <c r="F203" t="s">
        <v>24</v>
      </c>
      <c r="G203">
        <v>477</v>
      </c>
      <c r="H203">
        <v>67</v>
      </c>
      <c r="I203">
        <v>31.36</v>
      </c>
      <c r="J203">
        <v>0.85</v>
      </c>
      <c r="K203">
        <v>19.34</v>
      </c>
      <c r="L203">
        <v>0.6</v>
      </c>
      <c r="M203">
        <v>14.85</v>
      </c>
      <c r="N203">
        <v>0</v>
      </c>
      <c r="O203">
        <v>1</v>
      </c>
      <c r="P203">
        <v>5348</v>
      </c>
      <c r="Q203">
        <v>3091</v>
      </c>
      <c r="R203">
        <v>46</v>
      </c>
      <c r="S203">
        <v>649</v>
      </c>
      <c r="T203">
        <v>9</v>
      </c>
      <c r="U203">
        <v>1553</v>
      </c>
      <c r="V203" s="1">
        <f t="shared" si="9"/>
        <v>0.14050000000000001</v>
      </c>
      <c r="W203" s="1">
        <f t="shared" si="10"/>
        <v>0</v>
      </c>
      <c r="X203" s="1">
        <f t="shared" si="11"/>
        <v>2.0999999999999999E-3</v>
      </c>
    </row>
    <row r="204" spans="1:24" x14ac:dyDescent="0.25">
      <c r="A204">
        <v>2023</v>
      </c>
      <c r="B204">
        <v>11</v>
      </c>
      <c r="C204" t="s">
        <v>33</v>
      </c>
      <c r="D204" t="str">
        <f>_xlfn.XLOOKUP(C204,'Carrier Name Rename'!A:A,'Carrier Name Rename'!B:B)</f>
        <v>Alaska Airlines Inc.</v>
      </c>
      <c r="E204" t="s">
        <v>23</v>
      </c>
      <c r="F204" t="s">
        <v>24</v>
      </c>
      <c r="G204">
        <v>6267</v>
      </c>
      <c r="H204">
        <v>960</v>
      </c>
      <c r="I204">
        <v>203.25</v>
      </c>
      <c r="J204">
        <v>29.97</v>
      </c>
      <c r="K204">
        <v>348.3</v>
      </c>
      <c r="L204">
        <v>6.92</v>
      </c>
      <c r="M204">
        <v>371.56</v>
      </c>
      <c r="N204">
        <v>22</v>
      </c>
      <c r="O204">
        <v>12</v>
      </c>
      <c r="P204">
        <v>45936</v>
      </c>
      <c r="Q204">
        <v>13238</v>
      </c>
      <c r="R204">
        <v>2697</v>
      </c>
      <c r="S204">
        <v>10576</v>
      </c>
      <c r="T204">
        <v>201</v>
      </c>
      <c r="U204">
        <v>19224</v>
      </c>
      <c r="V204" s="1">
        <f t="shared" si="9"/>
        <v>0.1532</v>
      </c>
      <c r="W204" s="1">
        <f t="shared" si="10"/>
        <v>3.5000000000000001E-3</v>
      </c>
      <c r="X204" s="1">
        <f t="shared" si="11"/>
        <v>1.9E-3</v>
      </c>
    </row>
    <row r="205" spans="1:24" x14ac:dyDescent="0.25">
      <c r="A205">
        <v>2023</v>
      </c>
      <c r="B205">
        <v>11</v>
      </c>
      <c r="C205" t="s">
        <v>35</v>
      </c>
      <c r="D205" t="str">
        <f>_xlfn.XLOOKUP(C205,'Carrier Name Rename'!A:A,'Carrier Name Rename'!B:B)</f>
        <v>JetBlue Airways</v>
      </c>
      <c r="E205" t="s">
        <v>23</v>
      </c>
      <c r="F205" t="s">
        <v>24</v>
      </c>
      <c r="G205">
        <v>67</v>
      </c>
      <c r="H205">
        <v>20</v>
      </c>
      <c r="I205">
        <v>10.64</v>
      </c>
      <c r="J205">
        <v>0</v>
      </c>
      <c r="K205">
        <v>5.32</v>
      </c>
      <c r="L205">
        <v>0</v>
      </c>
      <c r="M205">
        <v>4.04</v>
      </c>
      <c r="N205">
        <v>0</v>
      </c>
      <c r="O205">
        <v>0</v>
      </c>
      <c r="P205">
        <v>1471</v>
      </c>
      <c r="Q205">
        <v>894</v>
      </c>
      <c r="R205">
        <v>0</v>
      </c>
      <c r="S205">
        <v>169</v>
      </c>
      <c r="T205">
        <v>0</v>
      </c>
      <c r="U205">
        <v>408</v>
      </c>
      <c r="V205" s="1">
        <f t="shared" si="9"/>
        <v>0.29849999999999999</v>
      </c>
      <c r="W205" s="1">
        <f t="shared" si="10"/>
        <v>0</v>
      </c>
      <c r="X205" s="1">
        <f t="shared" si="11"/>
        <v>0</v>
      </c>
    </row>
    <row r="206" spans="1:24" x14ac:dyDescent="0.25">
      <c r="A206">
        <v>2023</v>
      </c>
      <c r="B206">
        <v>11</v>
      </c>
      <c r="C206" t="s">
        <v>37</v>
      </c>
      <c r="D206" t="str">
        <f>_xlfn.XLOOKUP(C206,'Carrier Name Rename'!A:A,'Carrier Name Rename'!B:B)</f>
        <v>Delta Air Lines Inc.</v>
      </c>
      <c r="E206" t="s">
        <v>23</v>
      </c>
      <c r="F206" t="s">
        <v>24</v>
      </c>
      <c r="G206">
        <v>2618</v>
      </c>
      <c r="H206">
        <v>274</v>
      </c>
      <c r="I206">
        <v>93.48</v>
      </c>
      <c r="J206">
        <v>2.5099999999999998</v>
      </c>
      <c r="K206">
        <v>95.13</v>
      </c>
      <c r="L206">
        <v>0</v>
      </c>
      <c r="M206">
        <v>82.89</v>
      </c>
      <c r="N206">
        <v>2</v>
      </c>
      <c r="O206">
        <v>11</v>
      </c>
      <c r="P206">
        <v>21538</v>
      </c>
      <c r="Q206">
        <v>11026</v>
      </c>
      <c r="R206">
        <v>130</v>
      </c>
      <c r="S206">
        <v>3117</v>
      </c>
      <c r="T206">
        <v>0</v>
      </c>
      <c r="U206">
        <v>7265</v>
      </c>
      <c r="V206" s="1">
        <f t="shared" si="9"/>
        <v>0.1047</v>
      </c>
      <c r="W206" s="1">
        <f t="shared" si="10"/>
        <v>8.0000000000000004E-4</v>
      </c>
      <c r="X206" s="1">
        <f t="shared" si="11"/>
        <v>4.1999999999999997E-3</v>
      </c>
    </row>
    <row r="207" spans="1:24" x14ac:dyDescent="0.25">
      <c r="A207">
        <v>2023</v>
      </c>
      <c r="B207">
        <v>11</v>
      </c>
      <c r="C207" t="s">
        <v>39</v>
      </c>
      <c r="D207" t="str">
        <f>_xlfn.XLOOKUP(C207,'Carrier Name Rename'!A:A,'Carrier Name Rename'!B:B)</f>
        <v>Frontier Airlines Inc.</v>
      </c>
      <c r="E207" t="s">
        <v>23</v>
      </c>
      <c r="F207" t="s">
        <v>24</v>
      </c>
      <c r="G207">
        <v>101</v>
      </c>
      <c r="H207">
        <v>14</v>
      </c>
      <c r="I207">
        <v>0</v>
      </c>
      <c r="J207">
        <v>0</v>
      </c>
      <c r="K207">
        <v>6.12</v>
      </c>
      <c r="L207">
        <v>0</v>
      </c>
      <c r="M207">
        <v>7.88</v>
      </c>
      <c r="N207">
        <v>0</v>
      </c>
      <c r="O207">
        <v>0</v>
      </c>
      <c r="P207">
        <v>455</v>
      </c>
      <c r="Q207">
        <v>0</v>
      </c>
      <c r="R207">
        <v>0</v>
      </c>
      <c r="S207">
        <v>151</v>
      </c>
      <c r="T207">
        <v>0</v>
      </c>
      <c r="U207">
        <v>304</v>
      </c>
      <c r="V207" s="1">
        <f t="shared" si="9"/>
        <v>0.1386</v>
      </c>
      <c r="W207" s="1">
        <f t="shared" si="10"/>
        <v>0</v>
      </c>
      <c r="X207" s="1">
        <f t="shared" si="11"/>
        <v>0</v>
      </c>
    </row>
    <row r="208" spans="1:24" x14ac:dyDescent="0.25">
      <c r="A208">
        <v>2023</v>
      </c>
      <c r="B208">
        <v>11</v>
      </c>
      <c r="C208" t="s">
        <v>21</v>
      </c>
      <c r="D208" t="str">
        <f>_xlfn.XLOOKUP(C208,'Carrier Name Rename'!A:A,'Carrier Name Rename'!B:B)</f>
        <v>Hawaiian Airlines Inc.</v>
      </c>
      <c r="E208" t="s">
        <v>23</v>
      </c>
      <c r="F208" t="s">
        <v>24</v>
      </c>
      <c r="G208">
        <v>60</v>
      </c>
      <c r="H208">
        <v>8</v>
      </c>
      <c r="I208">
        <v>7.21</v>
      </c>
      <c r="J208">
        <v>0</v>
      </c>
      <c r="K208">
        <v>0</v>
      </c>
      <c r="L208">
        <v>0</v>
      </c>
      <c r="M208">
        <v>0.79</v>
      </c>
      <c r="N208">
        <v>0</v>
      </c>
      <c r="O208">
        <v>0</v>
      </c>
      <c r="P208">
        <v>203</v>
      </c>
      <c r="Q208">
        <v>184</v>
      </c>
      <c r="R208">
        <v>0</v>
      </c>
      <c r="S208">
        <v>0</v>
      </c>
      <c r="T208">
        <v>0</v>
      </c>
      <c r="U208">
        <v>19</v>
      </c>
      <c r="V208" s="1">
        <f t="shared" si="9"/>
        <v>0.1333</v>
      </c>
      <c r="W208" s="1">
        <f t="shared" si="10"/>
        <v>0</v>
      </c>
      <c r="X208" s="1">
        <f t="shared" si="11"/>
        <v>0</v>
      </c>
    </row>
    <row r="209" spans="1:24" x14ac:dyDescent="0.25">
      <c r="A209">
        <v>2023</v>
      </c>
      <c r="B209">
        <v>11</v>
      </c>
      <c r="C209" t="s">
        <v>45</v>
      </c>
      <c r="D209" t="str">
        <f>_xlfn.XLOOKUP(C209,'Carrier Name Rename'!A:A,'Carrier Name Rename'!B:B)</f>
        <v>Envoy Air</v>
      </c>
      <c r="E209" t="s">
        <v>23</v>
      </c>
      <c r="F209" t="s">
        <v>24</v>
      </c>
      <c r="G209">
        <v>4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 s="1">
        <f t="shared" si="9"/>
        <v>0</v>
      </c>
      <c r="W209" s="1">
        <f t="shared" si="10"/>
        <v>0</v>
      </c>
      <c r="X209" s="1">
        <f t="shared" si="11"/>
        <v>0</v>
      </c>
    </row>
    <row r="210" spans="1:24" x14ac:dyDescent="0.25">
      <c r="A210">
        <v>2023</v>
      </c>
      <c r="B210">
        <v>11</v>
      </c>
      <c r="C210" t="s">
        <v>25</v>
      </c>
      <c r="D210" t="str">
        <f>_xlfn.XLOOKUP(C210,'Carrier Name Rename'!A:A,'Carrier Name Rename'!B:B)</f>
        <v>Spirit Airlines</v>
      </c>
      <c r="E210" t="s">
        <v>23</v>
      </c>
      <c r="F210" t="s">
        <v>24</v>
      </c>
      <c r="G210">
        <v>75</v>
      </c>
      <c r="H210">
        <v>8</v>
      </c>
      <c r="I210">
        <v>1.57</v>
      </c>
      <c r="J210">
        <v>0.7</v>
      </c>
      <c r="K210">
        <v>4.83</v>
      </c>
      <c r="L210">
        <v>0</v>
      </c>
      <c r="M210">
        <v>0.9</v>
      </c>
      <c r="N210">
        <v>0</v>
      </c>
      <c r="O210">
        <v>0</v>
      </c>
      <c r="P210">
        <v>550</v>
      </c>
      <c r="Q210">
        <v>115</v>
      </c>
      <c r="R210">
        <v>19</v>
      </c>
      <c r="S210">
        <v>283</v>
      </c>
      <c r="T210">
        <v>0</v>
      </c>
      <c r="U210">
        <v>133</v>
      </c>
      <c r="V210" s="1">
        <f t="shared" si="9"/>
        <v>0.1067</v>
      </c>
      <c r="W210" s="1">
        <f t="shared" si="10"/>
        <v>0</v>
      </c>
      <c r="X210" s="1">
        <f t="shared" si="11"/>
        <v>0</v>
      </c>
    </row>
    <row r="211" spans="1:24" x14ac:dyDescent="0.25">
      <c r="A211">
        <v>2023</v>
      </c>
      <c r="B211">
        <v>11</v>
      </c>
      <c r="C211" t="s">
        <v>27</v>
      </c>
      <c r="D211" t="str">
        <f>_xlfn.XLOOKUP(C211,'Carrier Name Rename'!A:A,'Carrier Name Rename'!B:B)</f>
        <v>SkyWest Airlines Inc.</v>
      </c>
      <c r="E211" t="s">
        <v>23</v>
      </c>
      <c r="F211" t="s">
        <v>24</v>
      </c>
      <c r="G211">
        <v>2119</v>
      </c>
      <c r="H211">
        <v>306</v>
      </c>
      <c r="I211">
        <v>86.49</v>
      </c>
      <c r="J211">
        <v>94.67</v>
      </c>
      <c r="K211">
        <v>86.1</v>
      </c>
      <c r="L211">
        <v>1.18</v>
      </c>
      <c r="M211">
        <v>37.57</v>
      </c>
      <c r="N211">
        <v>9</v>
      </c>
      <c r="O211">
        <v>17</v>
      </c>
      <c r="P211">
        <v>27574</v>
      </c>
      <c r="Q211">
        <v>8200</v>
      </c>
      <c r="R211">
        <v>13686</v>
      </c>
      <c r="S211">
        <v>3163</v>
      </c>
      <c r="T211">
        <v>65</v>
      </c>
      <c r="U211">
        <v>2460</v>
      </c>
      <c r="V211" s="1">
        <f t="shared" si="9"/>
        <v>0.1444</v>
      </c>
      <c r="W211" s="1">
        <f t="shared" si="10"/>
        <v>4.1999999999999997E-3</v>
      </c>
      <c r="X211" s="1">
        <f t="shared" si="11"/>
        <v>8.0000000000000002E-3</v>
      </c>
    </row>
    <row r="212" spans="1:24" x14ac:dyDescent="0.25">
      <c r="A212">
        <v>2023</v>
      </c>
      <c r="B212">
        <v>11</v>
      </c>
      <c r="C212" t="s">
        <v>29</v>
      </c>
      <c r="D212" t="str">
        <f>_xlfn.XLOOKUP(C212,'Carrier Name Rename'!A:A,'Carrier Name Rename'!B:B)</f>
        <v>Horizon Air</v>
      </c>
      <c r="E212" t="s">
        <v>23</v>
      </c>
      <c r="F212" t="s">
        <v>24</v>
      </c>
      <c r="G212">
        <v>1423</v>
      </c>
      <c r="H212">
        <v>189</v>
      </c>
      <c r="I212">
        <v>42.8</v>
      </c>
      <c r="J212">
        <v>5.64</v>
      </c>
      <c r="K212">
        <v>68.09</v>
      </c>
      <c r="L212">
        <v>0.7</v>
      </c>
      <c r="M212">
        <v>71.78</v>
      </c>
      <c r="N212">
        <v>6</v>
      </c>
      <c r="O212">
        <v>1</v>
      </c>
      <c r="P212">
        <v>11616</v>
      </c>
      <c r="Q212">
        <v>3200</v>
      </c>
      <c r="R212">
        <v>1179</v>
      </c>
      <c r="S212">
        <v>2026</v>
      </c>
      <c r="T212">
        <v>21</v>
      </c>
      <c r="U212">
        <v>5190</v>
      </c>
      <c r="V212" s="1">
        <f t="shared" si="9"/>
        <v>0.1328</v>
      </c>
      <c r="W212" s="1">
        <f t="shared" si="10"/>
        <v>4.1999999999999997E-3</v>
      </c>
      <c r="X212" s="1">
        <f t="shared" si="11"/>
        <v>6.9999999999999999E-4</v>
      </c>
    </row>
    <row r="213" spans="1:24" x14ac:dyDescent="0.25">
      <c r="A213">
        <v>2023</v>
      </c>
      <c r="B213">
        <v>11</v>
      </c>
      <c r="C213" t="s">
        <v>41</v>
      </c>
      <c r="D213" t="str">
        <f>_xlfn.XLOOKUP(C213,'Carrier Name Rename'!A:A,'Carrier Name Rename'!B:B)</f>
        <v>United Air Lines Inc.</v>
      </c>
      <c r="E213" t="s">
        <v>23</v>
      </c>
      <c r="F213" t="s">
        <v>24</v>
      </c>
      <c r="G213">
        <v>679</v>
      </c>
      <c r="H213">
        <v>78</v>
      </c>
      <c r="I213">
        <v>22.34</v>
      </c>
      <c r="J213">
        <v>1.37</v>
      </c>
      <c r="K213">
        <v>29.09</v>
      </c>
      <c r="L213">
        <v>0</v>
      </c>
      <c r="M213">
        <v>25.2</v>
      </c>
      <c r="N213">
        <v>1</v>
      </c>
      <c r="O213">
        <v>1</v>
      </c>
      <c r="P213">
        <v>4465</v>
      </c>
      <c r="Q213">
        <v>1183</v>
      </c>
      <c r="R213">
        <v>59</v>
      </c>
      <c r="S213">
        <v>818</v>
      </c>
      <c r="T213">
        <v>0</v>
      </c>
      <c r="U213">
        <v>2405</v>
      </c>
      <c r="V213" s="1">
        <f t="shared" si="9"/>
        <v>0.1149</v>
      </c>
      <c r="W213" s="1">
        <f t="shared" si="10"/>
        <v>1.5E-3</v>
      </c>
      <c r="X213" s="1">
        <f t="shared" si="11"/>
        <v>1.5E-3</v>
      </c>
    </row>
    <row r="214" spans="1:24" x14ac:dyDescent="0.25">
      <c r="A214">
        <v>2023</v>
      </c>
      <c r="B214">
        <v>11</v>
      </c>
      <c r="C214" t="s">
        <v>43</v>
      </c>
      <c r="D214" t="str">
        <f>_xlfn.XLOOKUP(C214,'Carrier Name Rename'!A:A,'Carrier Name Rename'!B:B)</f>
        <v>Southwest Airlines Co.</v>
      </c>
      <c r="E214" t="s">
        <v>23</v>
      </c>
      <c r="F214" t="s">
        <v>24</v>
      </c>
      <c r="G214">
        <v>639</v>
      </c>
      <c r="H214">
        <v>83</v>
      </c>
      <c r="I214">
        <v>23.73</v>
      </c>
      <c r="J214">
        <v>0</v>
      </c>
      <c r="K214">
        <v>23.22</v>
      </c>
      <c r="L214">
        <v>0</v>
      </c>
      <c r="M214">
        <v>36.049999999999997</v>
      </c>
      <c r="N214">
        <v>0</v>
      </c>
      <c r="O214">
        <v>1</v>
      </c>
      <c r="P214">
        <v>2718</v>
      </c>
      <c r="Q214">
        <v>784</v>
      </c>
      <c r="R214">
        <v>0</v>
      </c>
      <c r="S214">
        <v>563</v>
      </c>
      <c r="T214">
        <v>0</v>
      </c>
      <c r="U214">
        <v>1371</v>
      </c>
      <c r="V214" s="1">
        <f t="shared" si="9"/>
        <v>0.12989999999999999</v>
      </c>
      <c r="W214" s="1">
        <f t="shared" si="10"/>
        <v>0</v>
      </c>
      <c r="X214" s="1">
        <f t="shared" si="11"/>
        <v>1.6000000000000001E-3</v>
      </c>
    </row>
    <row r="215" spans="1:24" x14ac:dyDescent="0.25">
      <c r="A215">
        <v>2023</v>
      </c>
      <c r="B215">
        <v>10</v>
      </c>
      <c r="C215" t="s">
        <v>31</v>
      </c>
      <c r="D215" t="str">
        <f>_xlfn.XLOOKUP(C215,'Carrier Name Rename'!A:A,'Carrier Name Rename'!B:B)</f>
        <v>American Airlines Inc.</v>
      </c>
      <c r="E215" t="s">
        <v>23</v>
      </c>
      <c r="F215" t="s">
        <v>24</v>
      </c>
      <c r="G215">
        <v>534</v>
      </c>
      <c r="H215">
        <v>106</v>
      </c>
      <c r="I215">
        <v>41.36</v>
      </c>
      <c r="J215">
        <v>1.07</v>
      </c>
      <c r="K215">
        <v>41.45</v>
      </c>
      <c r="L215">
        <v>0</v>
      </c>
      <c r="M215">
        <v>22.12</v>
      </c>
      <c r="N215">
        <v>5</v>
      </c>
      <c r="O215">
        <v>1</v>
      </c>
      <c r="P215">
        <v>5935</v>
      </c>
      <c r="Q215">
        <v>2520</v>
      </c>
      <c r="R215">
        <v>94</v>
      </c>
      <c r="S215">
        <v>1427</v>
      </c>
      <c r="T215">
        <v>0</v>
      </c>
      <c r="U215">
        <v>1894</v>
      </c>
      <c r="V215" s="1">
        <f t="shared" si="9"/>
        <v>0.19850000000000001</v>
      </c>
      <c r="W215" s="1">
        <f t="shared" si="10"/>
        <v>9.4000000000000004E-3</v>
      </c>
      <c r="X215" s="1">
        <f t="shared" si="11"/>
        <v>1.9E-3</v>
      </c>
    </row>
    <row r="216" spans="1:24" x14ac:dyDescent="0.25">
      <c r="A216">
        <v>2023</v>
      </c>
      <c r="B216">
        <v>10</v>
      </c>
      <c r="C216" t="s">
        <v>33</v>
      </c>
      <c r="D216" t="str">
        <f>_xlfn.XLOOKUP(C216,'Carrier Name Rename'!A:A,'Carrier Name Rename'!B:B)</f>
        <v>Alaska Airlines Inc.</v>
      </c>
      <c r="E216" t="s">
        <v>23</v>
      </c>
      <c r="F216" t="s">
        <v>24</v>
      </c>
      <c r="G216">
        <v>6762</v>
      </c>
      <c r="H216">
        <v>847</v>
      </c>
      <c r="I216">
        <v>210.46</v>
      </c>
      <c r="J216">
        <v>20.49</v>
      </c>
      <c r="K216">
        <v>275.62</v>
      </c>
      <c r="L216">
        <v>3.5</v>
      </c>
      <c r="M216">
        <v>336.93</v>
      </c>
      <c r="N216">
        <v>14</v>
      </c>
      <c r="O216">
        <v>15</v>
      </c>
      <c r="P216">
        <v>45278</v>
      </c>
      <c r="Q216">
        <v>16126</v>
      </c>
      <c r="R216">
        <v>1993</v>
      </c>
      <c r="S216">
        <v>7997</v>
      </c>
      <c r="T216">
        <v>142</v>
      </c>
      <c r="U216">
        <v>19020</v>
      </c>
      <c r="V216" s="1">
        <f t="shared" si="9"/>
        <v>0.12529999999999999</v>
      </c>
      <c r="W216" s="1">
        <f t="shared" si="10"/>
        <v>2.0999999999999999E-3</v>
      </c>
      <c r="X216" s="1">
        <f t="shared" si="11"/>
        <v>2.2000000000000001E-3</v>
      </c>
    </row>
    <row r="217" spans="1:24" x14ac:dyDescent="0.25">
      <c r="A217">
        <v>2023</v>
      </c>
      <c r="B217">
        <v>10</v>
      </c>
      <c r="C217" t="s">
        <v>35</v>
      </c>
      <c r="D217" t="str">
        <f>_xlfn.XLOOKUP(C217,'Carrier Name Rename'!A:A,'Carrier Name Rename'!B:B)</f>
        <v>JetBlue Airways</v>
      </c>
      <c r="E217" t="s">
        <v>23</v>
      </c>
      <c r="F217" t="s">
        <v>24</v>
      </c>
      <c r="G217">
        <v>118</v>
      </c>
      <c r="H217">
        <v>39</v>
      </c>
      <c r="I217">
        <v>16.899999999999999</v>
      </c>
      <c r="J217">
        <v>0</v>
      </c>
      <c r="K217">
        <v>15.68</v>
      </c>
      <c r="L217">
        <v>0.67</v>
      </c>
      <c r="M217">
        <v>5.75</v>
      </c>
      <c r="N217">
        <v>0</v>
      </c>
      <c r="O217">
        <v>0</v>
      </c>
      <c r="P217">
        <v>2601</v>
      </c>
      <c r="Q217">
        <v>1771</v>
      </c>
      <c r="R217">
        <v>0</v>
      </c>
      <c r="S217">
        <v>587</v>
      </c>
      <c r="T217">
        <v>20</v>
      </c>
      <c r="U217">
        <v>223</v>
      </c>
      <c r="V217" s="1">
        <f t="shared" si="9"/>
        <v>0.33050000000000002</v>
      </c>
      <c r="W217" s="1">
        <f t="shared" si="10"/>
        <v>0</v>
      </c>
      <c r="X217" s="1">
        <f t="shared" si="11"/>
        <v>0</v>
      </c>
    </row>
    <row r="218" spans="1:24" x14ac:dyDescent="0.25">
      <c r="A218">
        <v>2023</v>
      </c>
      <c r="B218">
        <v>10</v>
      </c>
      <c r="C218" t="s">
        <v>37</v>
      </c>
      <c r="D218" t="str">
        <f>_xlfn.XLOOKUP(C218,'Carrier Name Rename'!A:A,'Carrier Name Rename'!B:B)</f>
        <v>Delta Air Lines Inc.</v>
      </c>
      <c r="E218" t="s">
        <v>23</v>
      </c>
      <c r="F218" t="s">
        <v>24</v>
      </c>
      <c r="G218">
        <v>2848</v>
      </c>
      <c r="H218">
        <v>262</v>
      </c>
      <c r="I218">
        <v>87.1</v>
      </c>
      <c r="J218">
        <v>6.08</v>
      </c>
      <c r="K218">
        <v>104.89</v>
      </c>
      <c r="L218">
        <v>0</v>
      </c>
      <c r="M218">
        <v>63.92</v>
      </c>
      <c r="N218">
        <v>4</v>
      </c>
      <c r="O218">
        <v>2</v>
      </c>
      <c r="P218">
        <v>16713</v>
      </c>
      <c r="Q218">
        <v>8654</v>
      </c>
      <c r="R218">
        <v>617</v>
      </c>
      <c r="S218">
        <v>2934</v>
      </c>
      <c r="T218">
        <v>0</v>
      </c>
      <c r="U218">
        <v>4508</v>
      </c>
      <c r="V218" s="1">
        <f t="shared" si="9"/>
        <v>9.1999999999999998E-2</v>
      </c>
      <c r="W218" s="1">
        <f t="shared" si="10"/>
        <v>1.4E-3</v>
      </c>
      <c r="X218" s="1">
        <f t="shared" si="11"/>
        <v>6.9999999999999999E-4</v>
      </c>
    </row>
    <row r="219" spans="1:24" x14ac:dyDescent="0.25">
      <c r="A219">
        <v>2023</v>
      </c>
      <c r="B219">
        <v>10</v>
      </c>
      <c r="C219" t="s">
        <v>39</v>
      </c>
      <c r="D219" t="str">
        <f>_xlfn.XLOOKUP(C219,'Carrier Name Rename'!A:A,'Carrier Name Rename'!B:B)</f>
        <v>Frontier Airlines Inc.</v>
      </c>
      <c r="E219" t="s">
        <v>23</v>
      </c>
      <c r="F219" t="s">
        <v>24</v>
      </c>
      <c r="G219">
        <v>126</v>
      </c>
      <c r="H219">
        <v>40</v>
      </c>
      <c r="I219">
        <v>5.96</v>
      </c>
      <c r="J219">
        <v>0.4</v>
      </c>
      <c r="K219">
        <v>13.3</v>
      </c>
      <c r="L219">
        <v>0</v>
      </c>
      <c r="M219">
        <v>20.34</v>
      </c>
      <c r="N219">
        <v>0</v>
      </c>
      <c r="O219">
        <v>0</v>
      </c>
      <c r="P219">
        <v>1818</v>
      </c>
      <c r="Q219">
        <v>297</v>
      </c>
      <c r="R219">
        <v>22</v>
      </c>
      <c r="S219">
        <v>372</v>
      </c>
      <c r="T219">
        <v>0</v>
      </c>
      <c r="U219">
        <v>1127</v>
      </c>
      <c r="V219" s="1">
        <f t="shared" si="9"/>
        <v>0.3175</v>
      </c>
      <c r="W219" s="1">
        <f t="shared" si="10"/>
        <v>0</v>
      </c>
      <c r="X219" s="1">
        <f t="shared" si="11"/>
        <v>0</v>
      </c>
    </row>
    <row r="220" spans="1:24" x14ac:dyDescent="0.25">
      <c r="A220">
        <v>2023</v>
      </c>
      <c r="B220">
        <v>10</v>
      </c>
      <c r="C220" t="s">
        <v>21</v>
      </c>
      <c r="D220" t="str">
        <f>_xlfn.XLOOKUP(C220,'Carrier Name Rename'!A:A,'Carrier Name Rename'!B:B)</f>
        <v>Hawaiian Airlines Inc.</v>
      </c>
      <c r="E220" t="s">
        <v>23</v>
      </c>
      <c r="F220" t="s">
        <v>24</v>
      </c>
      <c r="G220">
        <v>62</v>
      </c>
      <c r="H220">
        <v>17</v>
      </c>
      <c r="I220">
        <v>12.92</v>
      </c>
      <c r="J220">
        <v>0</v>
      </c>
      <c r="K220">
        <v>0</v>
      </c>
      <c r="L220">
        <v>0</v>
      </c>
      <c r="M220">
        <v>4.08</v>
      </c>
      <c r="N220">
        <v>0</v>
      </c>
      <c r="O220">
        <v>1</v>
      </c>
      <c r="P220">
        <v>1023</v>
      </c>
      <c r="Q220">
        <v>492</v>
      </c>
      <c r="R220">
        <v>0</v>
      </c>
      <c r="S220">
        <v>0</v>
      </c>
      <c r="T220">
        <v>0</v>
      </c>
      <c r="U220">
        <v>531</v>
      </c>
      <c r="V220" s="1">
        <f t="shared" si="9"/>
        <v>0.2742</v>
      </c>
      <c r="W220" s="1">
        <f t="shared" si="10"/>
        <v>0</v>
      </c>
      <c r="X220" s="1">
        <f t="shared" si="11"/>
        <v>1.61E-2</v>
      </c>
    </row>
    <row r="221" spans="1:24" x14ac:dyDescent="0.25">
      <c r="A221">
        <v>2023</v>
      </c>
      <c r="B221">
        <v>10</v>
      </c>
      <c r="C221" t="s">
        <v>45</v>
      </c>
      <c r="D221" t="str">
        <f>_xlfn.XLOOKUP(C221,'Carrier Name Rename'!A:A,'Carrier Name Rename'!B:B)</f>
        <v>Envoy Air</v>
      </c>
      <c r="E221" t="s">
        <v>23</v>
      </c>
      <c r="F221" t="s">
        <v>24</v>
      </c>
      <c r="G221">
        <v>31</v>
      </c>
      <c r="H221">
        <v>6</v>
      </c>
      <c r="I221">
        <v>1.45</v>
      </c>
      <c r="J221">
        <v>0</v>
      </c>
      <c r="K221">
        <v>3.3</v>
      </c>
      <c r="L221">
        <v>0</v>
      </c>
      <c r="M221">
        <v>1.26</v>
      </c>
      <c r="N221">
        <v>0</v>
      </c>
      <c r="O221">
        <v>0</v>
      </c>
      <c r="P221">
        <v>175</v>
      </c>
      <c r="Q221">
        <v>40</v>
      </c>
      <c r="R221">
        <v>0</v>
      </c>
      <c r="S221">
        <v>105</v>
      </c>
      <c r="T221">
        <v>0</v>
      </c>
      <c r="U221">
        <v>30</v>
      </c>
      <c r="V221" s="1">
        <f t="shared" si="9"/>
        <v>0.19350000000000001</v>
      </c>
      <c r="W221" s="1">
        <f t="shared" si="10"/>
        <v>0</v>
      </c>
      <c r="X221" s="1">
        <f t="shared" si="11"/>
        <v>0</v>
      </c>
    </row>
    <row r="222" spans="1:24" x14ac:dyDescent="0.25">
      <c r="A222">
        <v>2023</v>
      </c>
      <c r="B222">
        <v>10</v>
      </c>
      <c r="C222" t="s">
        <v>25</v>
      </c>
      <c r="D222" t="str">
        <f>_xlfn.XLOOKUP(C222,'Carrier Name Rename'!A:A,'Carrier Name Rename'!B:B)</f>
        <v>Spirit Airlines</v>
      </c>
      <c r="E222" t="s">
        <v>23</v>
      </c>
      <c r="F222" t="s">
        <v>24</v>
      </c>
      <c r="G222">
        <v>83</v>
      </c>
      <c r="H222">
        <v>11</v>
      </c>
      <c r="I222">
        <v>1.78</v>
      </c>
      <c r="J222">
        <v>0</v>
      </c>
      <c r="K222">
        <v>9.2200000000000006</v>
      </c>
      <c r="L222">
        <v>0</v>
      </c>
      <c r="M222">
        <v>0</v>
      </c>
      <c r="N222">
        <v>0</v>
      </c>
      <c r="O222">
        <v>0</v>
      </c>
      <c r="P222">
        <v>1291</v>
      </c>
      <c r="Q222">
        <v>786</v>
      </c>
      <c r="R222">
        <v>0</v>
      </c>
      <c r="S222">
        <v>505</v>
      </c>
      <c r="T222">
        <v>0</v>
      </c>
      <c r="U222">
        <v>0</v>
      </c>
      <c r="V222" s="1">
        <f t="shared" si="9"/>
        <v>0.13250000000000001</v>
      </c>
      <c r="W222" s="1">
        <f t="shared" si="10"/>
        <v>0</v>
      </c>
      <c r="X222" s="1">
        <f t="shared" si="11"/>
        <v>0</v>
      </c>
    </row>
    <row r="223" spans="1:24" x14ac:dyDescent="0.25">
      <c r="A223">
        <v>2023</v>
      </c>
      <c r="B223">
        <v>10</v>
      </c>
      <c r="C223" t="s">
        <v>27</v>
      </c>
      <c r="D223" t="str">
        <f>_xlfn.XLOOKUP(C223,'Carrier Name Rename'!A:A,'Carrier Name Rename'!B:B)</f>
        <v>SkyWest Airlines Inc.</v>
      </c>
      <c r="E223" t="s">
        <v>23</v>
      </c>
      <c r="F223" t="s">
        <v>24</v>
      </c>
      <c r="G223">
        <v>2272</v>
      </c>
      <c r="H223">
        <v>255</v>
      </c>
      <c r="I223">
        <v>173</v>
      </c>
      <c r="J223">
        <v>33</v>
      </c>
      <c r="K223">
        <v>5</v>
      </c>
      <c r="L223">
        <v>1</v>
      </c>
      <c r="M223">
        <v>43</v>
      </c>
      <c r="N223">
        <v>1</v>
      </c>
      <c r="O223">
        <v>1</v>
      </c>
      <c r="P223">
        <v>11925</v>
      </c>
      <c r="Q223">
        <v>7614</v>
      </c>
      <c r="R223">
        <v>1983</v>
      </c>
      <c r="S223">
        <v>128</v>
      </c>
      <c r="T223">
        <v>17</v>
      </c>
      <c r="U223">
        <v>2183</v>
      </c>
      <c r="V223" s="1">
        <f t="shared" si="9"/>
        <v>0.11219999999999999</v>
      </c>
      <c r="W223" s="1">
        <f t="shared" si="10"/>
        <v>4.0000000000000002E-4</v>
      </c>
      <c r="X223" s="1">
        <f t="shared" si="11"/>
        <v>4.0000000000000002E-4</v>
      </c>
    </row>
    <row r="224" spans="1:24" x14ac:dyDescent="0.25">
      <c r="A224">
        <v>2023</v>
      </c>
      <c r="B224">
        <v>10</v>
      </c>
      <c r="C224" t="s">
        <v>29</v>
      </c>
      <c r="D224" t="str">
        <f>_xlfn.XLOOKUP(C224,'Carrier Name Rename'!A:A,'Carrier Name Rename'!B:B)</f>
        <v>Horizon Air</v>
      </c>
      <c r="E224" t="s">
        <v>23</v>
      </c>
      <c r="F224" t="s">
        <v>24</v>
      </c>
      <c r="G224">
        <v>1424</v>
      </c>
      <c r="H224">
        <v>171</v>
      </c>
      <c r="I224">
        <v>40.24</v>
      </c>
      <c r="J224">
        <v>6.59</v>
      </c>
      <c r="K224">
        <v>73.02</v>
      </c>
      <c r="L224">
        <v>0</v>
      </c>
      <c r="M224">
        <v>51.14</v>
      </c>
      <c r="N224">
        <v>0</v>
      </c>
      <c r="O224">
        <v>0</v>
      </c>
      <c r="P224">
        <v>8937</v>
      </c>
      <c r="Q224">
        <v>3412</v>
      </c>
      <c r="R224">
        <v>337</v>
      </c>
      <c r="S224">
        <v>2062</v>
      </c>
      <c r="T224">
        <v>0</v>
      </c>
      <c r="U224">
        <v>3126</v>
      </c>
      <c r="V224" s="1">
        <f t="shared" si="9"/>
        <v>0.1201</v>
      </c>
      <c r="W224" s="1">
        <f t="shared" si="10"/>
        <v>0</v>
      </c>
      <c r="X224" s="1">
        <f t="shared" si="11"/>
        <v>0</v>
      </c>
    </row>
    <row r="225" spans="1:24" x14ac:dyDescent="0.25">
      <c r="A225">
        <v>2023</v>
      </c>
      <c r="B225">
        <v>10</v>
      </c>
      <c r="C225" t="s">
        <v>41</v>
      </c>
      <c r="D225" t="str">
        <f>_xlfn.XLOOKUP(C225,'Carrier Name Rename'!A:A,'Carrier Name Rename'!B:B)</f>
        <v>United Air Lines Inc.</v>
      </c>
      <c r="E225" t="s">
        <v>23</v>
      </c>
      <c r="F225" t="s">
        <v>24</v>
      </c>
      <c r="G225">
        <v>770</v>
      </c>
      <c r="H225">
        <v>115</v>
      </c>
      <c r="I225">
        <v>32.44</v>
      </c>
      <c r="J225">
        <v>1.41</v>
      </c>
      <c r="K225">
        <v>43.01</v>
      </c>
      <c r="L225">
        <v>0</v>
      </c>
      <c r="M225">
        <v>38.130000000000003</v>
      </c>
      <c r="N225">
        <v>2</v>
      </c>
      <c r="O225">
        <v>1</v>
      </c>
      <c r="P225">
        <v>6037</v>
      </c>
      <c r="Q225">
        <v>2258</v>
      </c>
      <c r="R225">
        <v>70</v>
      </c>
      <c r="S225">
        <v>1548</v>
      </c>
      <c r="T225">
        <v>0</v>
      </c>
      <c r="U225">
        <v>2161</v>
      </c>
      <c r="V225" s="1">
        <f t="shared" si="9"/>
        <v>0.14940000000000001</v>
      </c>
      <c r="W225" s="1">
        <f t="shared" si="10"/>
        <v>2.5999999999999999E-3</v>
      </c>
      <c r="X225" s="1">
        <f t="shared" si="11"/>
        <v>1.2999999999999999E-3</v>
      </c>
    </row>
    <row r="226" spans="1:24" x14ac:dyDescent="0.25">
      <c r="A226">
        <v>2023</v>
      </c>
      <c r="B226">
        <v>10</v>
      </c>
      <c r="C226" t="s">
        <v>43</v>
      </c>
      <c r="D226" t="str">
        <f>_xlfn.XLOOKUP(C226,'Carrier Name Rename'!A:A,'Carrier Name Rename'!B:B)</f>
        <v>Southwest Airlines Co.</v>
      </c>
      <c r="E226" t="s">
        <v>23</v>
      </c>
      <c r="F226" t="s">
        <v>24</v>
      </c>
      <c r="G226">
        <v>703</v>
      </c>
      <c r="H226">
        <v>156</v>
      </c>
      <c r="I226">
        <v>47.46</v>
      </c>
      <c r="J226">
        <v>0</v>
      </c>
      <c r="K226">
        <v>36.26</v>
      </c>
      <c r="L226">
        <v>0</v>
      </c>
      <c r="M226">
        <v>72.28</v>
      </c>
      <c r="N226">
        <v>0</v>
      </c>
      <c r="O226">
        <v>0</v>
      </c>
      <c r="P226">
        <v>6384</v>
      </c>
      <c r="Q226">
        <v>1808</v>
      </c>
      <c r="R226">
        <v>0</v>
      </c>
      <c r="S226">
        <v>1033</v>
      </c>
      <c r="T226">
        <v>0</v>
      </c>
      <c r="U226">
        <v>3543</v>
      </c>
      <c r="V226" s="1">
        <f t="shared" si="9"/>
        <v>0.22189999999999999</v>
      </c>
      <c r="W226" s="1">
        <f t="shared" si="10"/>
        <v>0</v>
      </c>
      <c r="X226" s="1">
        <f t="shared" si="11"/>
        <v>0</v>
      </c>
    </row>
    <row r="227" spans="1:24" x14ac:dyDescent="0.25">
      <c r="A227">
        <v>2023</v>
      </c>
      <c r="B227">
        <v>9</v>
      </c>
      <c r="C227" t="s">
        <v>31</v>
      </c>
      <c r="D227" t="str">
        <f>_xlfn.XLOOKUP(C227,'Carrier Name Rename'!A:A,'Carrier Name Rename'!B:B)</f>
        <v>American Airlines Inc.</v>
      </c>
      <c r="E227" t="s">
        <v>23</v>
      </c>
      <c r="F227" t="s">
        <v>24</v>
      </c>
      <c r="G227">
        <v>558</v>
      </c>
      <c r="H227">
        <v>128</v>
      </c>
      <c r="I227">
        <v>28.48</v>
      </c>
      <c r="J227">
        <v>6.71</v>
      </c>
      <c r="K227">
        <v>51.57</v>
      </c>
      <c r="L227">
        <v>0</v>
      </c>
      <c r="M227">
        <v>41.25</v>
      </c>
      <c r="N227">
        <v>3</v>
      </c>
      <c r="O227">
        <v>0</v>
      </c>
      <c r="P227">
        <v>9608</v>
      </c>
      <c r="Q227">
        <v>2871</v>
      </c>
      <c r="R227">
        <v>1220</v>
      </c>
      <c r="S227">
        <v>2009</v>
      </c>
      <c r="T227">
        <v>0</v>
      </c>
      <c r="U227">
        <v>3508</v>
      </c>
      <c r="V227" s="1">
        <f t="shared" si="9"/>
        <v>0.22939999999999999</v>
      </c>
      <c r="W227" s="1">
        <f t="shared" si="10"/>
        <v>5.4000000000000003E-3</v>
      </c>
      <c r="X227" s="1">
        <f t="shared" si="11"/>
        <v>0</v>
      </c>
    </row>
    <row r="228" spans="1:24" x14ac:dyDescent="0.25">
      <c r="A228">
        <v>2023</v>
      </c>
      <c r="B228">
        <v>9</v>
      </c>
      <c r="C228" t="s">
        <v>33</v>
      </c>
      <c r="D228" t="str">
        <f>_xlfn.XLOOKUP(C228,'Carrier Name Rename'!A:A,'Carrier Name Rename'!B:B)</f>
        <v>Alaska Airlines Inc.</v>
      </c>
      <c r="E228" t="s">
        <v>23</v>
      </c>
      <c r="F228" t="s">
        <v>24</v>
      </c>
      <c r="G228">
        <v>7356</v>
      </c>
      <c r="H228">
        <v>1156</v>
      </c>
      <c r="I228">
        <v>275.43</v>
      </c>
      <c r="J228">
        <v>25.99</v>
      </c>
      <c r="K228">
        <v>365.55</v>
      </c>
      <c r="L228">
        <v>12.68</v>
      </c>
      <c r="M228">
        <v>476.35</v>
      </c>
      <c r="N228">
        <v>32</v>
      </c>
      <c r="O228">
        <v>6</v>
      </c>
      <c r="P228">
        <v>60128</v>
      </c>
      <c r="Q228">
        <v>21470</v>
      </c>
      <c r="R228">
        <v>2223</v>
      </c>
      <c r="S228">
        <v>10968</v>
      </c>
      <c r="T228">
        <v>600</v>
      </c>
      <c r="U228">
        <v>24867</v>
      </c>
      <c r="V228" s="1">
        <f t="shared" si="9"/>
        <v>0.15720000000000001</v>
      </c>
      <c r="W228" s="1">
        <f t="shared" si="10"/>
        <v>4.4000000000000003E-3</v>
      </c>
      <c r="X228" s="1">
        <f t="shared" si="11"/>
        <v>8.0000000000000004E-4</v>
      </c>
    </row>
    <row r="229" spans="1:24" x14ac:dyDescent="0.25">
      <c r="A229">
        <v>2023</v>
      </c>
      <c r="B229">
        <v>9</v>
      </c>
      <c r="C229" t="s">
        <v>35</v>
      </c>
      <c r="D229" t="str">
        <f>_xlfn.XLOOKUP(C229,'Carrier Name Rename'!A:A,'Carrier Name Rename'!B:B)</f>
        <v>JetBlue Airways</v>
      </c>
      <c r="E229" t="s">
        <v>23</v>
      </c>
      <c r="F229" t="s">
        <v>24</v>
      </c>
      <c r="G229">
        <v>129</v>
      </c>
      <c r="H229">
        <v>45</v>
      </c>
      <c r="I229">
        <v>27.58</v>
      </c>
      <c r="J229">
        <v>1</v>
      </c>
      <c r="K229">
        <v>6.87</v>
      </c>
      <c r="L229">
        <v>0</v>
      </c>
      <c r="M229">
        <v>9.5500000000000007</v>
      </c>
      <c r="N229">
        <v>3</v>
      </c>
      <c r="O229">
        <v>0</v>
      </c>
      <c r="P229">
        <v>4643</v>
      </c>
      <c r="Q229">
        <v>3379</v>
      </c>
      <c r="R229">
        <v>110</v>
      </c>
      <c r="S229">
        <v>412</v>
      </c>
      <c r="T229">
        <v>0</v>
      </c>
      <c r="U229">
        <v>742</v>
      </c>
      <c r="V229" s="1">
        <f t="shared" si="9"/>
        <v>0.3488</v>
      </c>
      <c r="W229" s="1">
        <f t="shared" si="10"/>
        <v>2.3300000000000001E-2</v>
      </c>
      <c r="X229" s="1">
        <f t="shared" si="11"/>
        <v>0</v>
      </c>
    </row>
    <row r="230" spans="1:24" x14ac:dyDescent="0.25">
      <c r="A230">
        <v>2023</v>
      </c>
      <c r="B230">
        <v>9</v>
      </c>
      <c r="C230" t="s">
        <v>37</v>
      </c>
      <c r="D230" t="str">
        <f>_xlfn.XLOOKUP(C230,'Carrier Name Rename'!A:A,'Carrier Name Rename'!B:B)</f>
        <v>Delta Air Lines Inc.</v>
      </c>
      <c r="E230" t="s">
        <v>23</v>
      </c>
      <c r="F230" t="s">
        <v>24</v>
      </c>
      <c r="G230">
        <v>2883</v>
      </c>
      <c r="H230">
        <v>339</v>
      </c>
      <c r="I230">
        <v>122.32</v>
      </c>
      <c r="J230">
        <v>10.38</v>
      </c>
      <c r="K230">
        <v>91.36</v>
      </c>
      <c r="L230">
        <v>1</v>
      </c>
      <c r="M230">
        <v>113.94</v>
      </c>
      <c r="N230">
        <v>20</v>
      </c>
      <c r="O230">
        <v>1</v>
      </c>
      <c r="P230">
        <v>27493</v>
      </c>
      <c r="Q230">
        <v>11315</v>
      </c>
      <c r="R230">
        <v>1269</v>
      </c>
      <c r="S230">
        <v>4604</v>
      </c>
      <c r="T230">
        <v>15</v>
      </c>
      <c r="U230">
        <v>10290</v>
      </c>
      <c r="V230" s="1">
        <f t="shared" si="9"/>
        <v>0.1176</v>
      </c>
      <c r="W230" s="1">
        <f t="shared" si="10"/>
        <v>6.8999999999999999E-3</v>
      </c>
      <c r="X230" s="1">
        <f t="shared" si="11"/>
        <v>2.9999999999999997E-4</v>
      </c>
    </row>
    <row r="231" spans="1:24" x14ac:dyDescent="0.25">
      <c r="A231">
        <v>2023</v>
      </c>
      <c r="B231">
        <v>9</v>
      </c>
      <c r="C231" t="s">
        <v>39</v>
      </c>
      <c r="D231" t="str">
        <f>_xlfn.XLOOKUP(C231,'Carrier Name Rename'!A:A,'Carrier Name Rename'!B:B)</f>
        <v>Frontier Airlines Inc.</v>
      </c>
      <c r="E231" t="s">
        <v>23</v>
      </c>
      <c r="F231" t="s">
        <v>24</v>
      </c>
      <c r="G231">
        <v>145</v>
      </c>
      <c r="H231">
        <v>30</v>
      </c>
      <c r="I231">
        <v>11.29</v>
      </c>
      <c r="J231">
        <v>0.24</v>
      </c>
      <c r="K231">
        <v>6.9</v>
      </c>
      <c r="L231">
        <v>0</v>
      </c>
      <c r="M231">
        <v>11.57</v>
      </c>
      <c r="N231">
        <v>0</v>
      </c>
      <c r="O231">
        <v>0</v>
      </c>
      <c r="P231">
        <v>1291</v>
      </c>
      <c r="Q231">
        <v>496</v>
      </c>
      <c r="R231">
        <v>10</v>
      </c>
      <c r="S231">
        <v>199</v>
      </c>
      <c r="T231">
        <v>0</v>
      </c>
      <c r="U231">
        <v>586</v>
      </c>
      <c r="V231" s="1">
        <f t="shared" si="9"/>
        <v>0.2069</v>
      </c>
      <c r="W231" s="1">
        <f t="shared" si="10"/>
        <v>0</v>
      </c>
      <c r="X231" s="1">
        <f t="shared" si="11"/>
        <v>0</v>
      </c>
    </row>
    <row r="232" spans="1:24" x14ac:dyDescent="0.25">
      <c r="A232">
        <v>2023</v>
      </c>
      <c r="B232">
        <v>9</v>
      </c>
      <c r="C232" t="s">
        <v>21</v>
      </c>
      <c r="D232" t="str">
        <f>_xlfn.XLOOKUP(C232,'Carrier Name Rename'!A:A,'Carrier Name Rename'!B:B)</f>
        <v>Hawaiian Airlines Inc.</v>
      </c>
      <c r="E232" t="s">
        <v>23</v>
      </c>
      <c r="F232" t="s">
        <v>24</v>
      </c>
      <c r="G232">
        <v>60</v>
      </c>
      <c r="H232">
        <v>14</v>
      </c>
      <c r="I232">
        <v>8.08</v>
      </c>
      <c r="J232">
        <v>0</v>
      </c>
      <c r="K232">
        <v>0</v>
      </c>
      <c r="L232">
        <v>1</v>
      </c>
      <c r="M232">
        <v>4.92</v>
      </c>
      <c r="N232">
        <v>1</v>
      </c>
      <c r="O232">
        <v>1</v>
      </c>
      <c r="P232">
        <v>534</v>
      </c>
      <c r="Q232">
        <v>219</v>
      </c>
      <c r="R232">
        <v>0</v>
      </c>
      <c r="S232">
        <v>0</v>
      </c>
      <c r="T232">
        <v>25</v>
      </c>
      <c r="U232">
        <v>290</v>
      </c>
      <c r="V232" s="1">
        <f t="shared" si="9"/>
        <v>0.23330000000000001</v>
      </c>
      <c r="W232" s="1">
        <f t="shared" si="10"/>
        <v>1.67E-2</v>
      </c>
      <c r="X232" s="1">
        <f t="shared" si="11"/>
        <v>1.67E-2</v>
      </c>
    </row>
    <row r="233" spans="1:24" x14ac:dyDescent="0.25">
      <c r="A233">
        <v>2023</v>
      </c>
      <c r="B233">
        <v>9</v>
      </c>
      <c r="C233" t="s">
        <v>45</v>
      </c>
      <c r="D233" t="str">
        <f>_xlfn.XLOOKUP(C233,'Carrier Name Rename'!A:A,'Carrier Name Rename'!B:B)</f>
        <v>Envoy Air</v>
      </c>
      <c r="E233" t="s">
        <v>23</v>
      </c>
      <c r="F233" t="s">
        <v>24</v>
      </c>
      <c r="G233">
        <v>25</v>
      </c>
      <c r="H233">
        <v>2</v>
      </c>
      <c r="I233">
        <v>0</v>
      </c>
      <c r="J233">
        <v>0</v>
      </c>
      <c r="K233">
        <v>2</v>
      </c>
      <c r="L233">
        <v>0</v>
      </c>
      <c r="M233">
        <v>0</v>
      </c>
      <c r="N233">
        <v>0</v>
      </c>
      <c r="O233">
        <v>0</v>
      </c>
      <c r="P233">
        <v>35</v>
      </c>
      <c r="Q233">
        <v>0</v>
      </c>
      <c r="R233">
        <v>0</v>
      </c>
      <c r="S233">
        <v>35</v>
      </c>
      <c r="T233">
        <v>0</v>
      </c>
      <c r="U233">
        <v>0</v>
      </c>
      <c r="V233" s="1">
        <f t="shared" si="9"/>
        <v>0.08</v>
      </c>
      <c r="W233" s="1">
        <f t="shared" si="10"/>
        <v>0</v>
      </c>
      <c r="X233" s="1">
        <f t="shared" si="11"/>
        <v>0</v>
      </c>
    </row>
    <row r="234" spans="1:24" x14ac:dyDescent="0.25">
      <c r="A234">
        <v>2023</v>
      </c>
      <c r="B234">
        <v>9</v>
      </c>
      <c r="C234" t="s">
        <v>25</v>
      </c>
      <c r="D234" t="str">
        <f>_xlfn.XLOOKUP(C234,'Carrier Name Rename'!A:A,'Carrier Name Rename'!B:B)</f>
        <v>Spirit Airlines</v>
      </c>
      <c r="E234" t="s">
        <v>23</v>
      </c>
      <c r="F234" t="s">
        <v>24</v>
      </c>
      <c r="G234">
        <v>77</v>
      </c>
      <c r="H234">
        <v>18</v>
      </c>
      <c r="I234">
        <v>4.66</v>
      </c>
      <c r="J234">
        <v>0.27</v>
      </c>
      <c r="K234">
        <v>8.0500000000000007</v>
      </c>
      <c r="L234">
        <v>0.13</v>
      </c>
      <c r="M234">
        <v>4.8899999999999997</v>
      </c>
      <c r="N234">
        <v>3</v>
      </c>
      <c r="O234">
        <v>0</v>
      </c>
      <c r="P234">
        <v>984</v>
      </c>
      <c r="Q234">
        <v>343</v>
      </c>
      <c r="R234">
        <v>6</v>
      </c>
      <c r="S234">
        <v>480</v>
      </c>
      <c r="T234">
        <v>2</v>
      </c>
      <c r="U234">
        <v>153</v>
      </c>
      <c r="V234" s="1">
        <f t="shared" si="9"/>
        <v>0.23380000000000001</v>
      </c>
      <c r="W234" s="1">
        <f t="shared" si="10"/>
        <v>3.9E-2</v>
      </c>
      <c r="X234" s="1">
        <f t="shared" si="11"/>
        <v>0</v>
      </c>
    </row>
    <row r="235" spans="1:24" x14ac:dyDescent="0.25">
      <c r="A235">
        <v>2023</v>
      </c>
      <c r="B235">
        <v>9</v>
      </c>
      <c r="C235" t="s">
        <v>27</v>
      </c>
      <c r="D235" t="str">
        <f>_xlfn.XLOOKUP(C235,'Carrier Name Rename'!A:A,'Carrier Name Rename'!B:B)</f>
        <v>SkyWest Airlines Inc.</v>
      </c>
      <c r="E235" t="s">
        <v>23</v>
      </c>
      <c r="F235" t="s">
        <v>24</v>
      </c>
      <c r="G235">
        <v>2247</v>
      </c>
      <c r="H235">
        <v>261</v>
      </c>
      <c r="I235">
        <v>141.35</v>
      </c>
      <c r="J235">
        <v>23</v>
      </c>
      <c r="K235">
        <v>9.06</v>
      </c>
      <c r="L235">
        <v>0</v>
      </c>
      <c r="M235">
        <v>87.59</v>
      </c>
      <c r="N235">
        <v>0</v>
      </c>
      <c r="O235">
        <v>0</v>
      </c>
      <c r="P235">
        <v>13530</v>
      </c>
      <c r="Q235">
        <v>7670</v>
      </c>
      <c r="R235">
        <v>929</v>
      </c>
      <c r="S235">
        <v>378</v>
      </c>
      <c r="T235">
        <v>0</v>
      </c>
      <c r="U235">
        <v>4553</v>
      </c>
      <c r="V235" s="1">
        <f t="shared" si="9"/>
        <v>0.1162</v>
      </c>
      <c r="W235" s="1">
        <f t="shared" si="10"/>
        <v>0</v>
      </c>
      <c r="X235" s="1">
        <f t="shared" si="11"/>
        <v>0</v>
      </c>
    </row>
    <row r="236" spans="1:24" x14ac:dyDescent="0.25">
      <c r="A236">
        <v>2023</v>
      </c>
      <c r="B236">
        <v>9</v>
      </c>
      <c r="C236" t="s">
        <v>29</v>
      </c>
      <c r="D236" t="str">
        <f>_xlfn.XLOOKUP(C236,'Carrier Name Rename'!A:A,'Carrier Name Rename'!B:B)</f>
        <v>Horizon Air</v>
      </c>
      <c r="E236" t="s">
        <v>23</v>
      </c>
      <c r="F236" t="s">
        <v>24</v>
      </c>
      <c r="G236">
        <v>1426</v>
      </c>
      <c r="H236">
        <v>167</v>
      </c>
      <c r="I236">
        <v>36.409999999999997</v>
      </c>
      <c r="J236">
        <v>0.76</v>
      </c>
      <c r="K236">
        <v>78.959999999999994</v>
      </c>
      <c r="L236">
        <v>0.73</v>
      </c>
      <c r="M236">
        <v>50.14</v>
      </c>
      <c r="N236">
        <v>1</v>
      </c>
      <c r="O236">
        <v>0</v>
      </c>
      <c r="P236">
        <v>6768</v>
      </c>
      <c r="Q236">
        <v>2149</v>
      </c>
      <c r="R236">
        <v>35</v>
      </c>
      <c r="S236">
        <v>2342</v>
      </c>
      <c r="T236">
        <v>11</v>
      </c>
      <c r="U236">
        <v>2231</v>
      </c>
      <c r="V236" s="1">
        <f t="shared" si="9"/>
        <v>0.1171</v>
      </c>
      <c r="W236" s="1">
        <f t="shared" si="10"/>
        <v>6.9999999999999999E-4</v>
      </c>
      <c r="X236" s="1">
        <f t="shared" si="11"/>
        <v>0</v>
      </c>
    </row>
    <row r="237" spans="1:24" x14ac:dyDescent="0.25">
      <c r="A237">
        <v>2023</v>
      </c>
      <c r="B237">
        <v>9</v>
      </c>
      <c r="C237" t="s">
        <v>41</v>
      </c>
      <c r="D237" t="str">
        <f>_xlfn.XLOOKUP(C237,'Carrier Name Rename'!A:A,'Carrier Name Rename'!B:B)</f>
        <v>United Air Lines Inc.</v>
      </c>
      <c r="E237" t="s">
        <v>23</v>
      </c>
      <c r="F237" t="s">
        <v>24</v>
      </c>
      <c r="G237">
        <v>833</v>
      </c>
      <c r="H237">
        <v>129</v>
      </c>
      <c r="I237">
        <v>57.52</v>
      </c>
      <c r="J237">
        <v>6.83</v>
      </c>
      <c r="K237">
        <v>32.64</v>
      </c>
      <c r="L237">
        <v>0</v>
      </c>
      <c r="M237">
        <v>32.020000000000003</v>
      </c>
      <c r="N237">
        <v>5</v>
      </c>
      <c r="O237">
        <v>1</v>
      </c>
      <c r="P237">
        <v>10228</v>
      </c>
      <c r="Q237">
        <v>5171</v>
      </c>
      <c r="R237">
        <v>1096</v>
      </c>
      <c r="S237">
        <v>1359</v>
      </c>
      <c r="T237">
        <v>0</v>
      </c>
      <c r="U237">
        <v>2602</v>
      </c>
      <c r="V237" s="1">
        <f t="shared" si="9"/>
        <v>0.15490000000000001</v>
      </c>
      <c r="W237" s="1">
        <f t="shared" si="10"/>
        <v>6.0000000000000001E-3</v>
      </c>
      <c r="X237" s="1">
        <f t="shared" si="11"/>
        <v>1.1999999999999999E-3</v>
      </c>
    </row>
    <row r="238" spans="1:24" x14ac:dyDescent="0.25">
      <c r="A238">
        <v>2023</v>
      </c>
      <c r="B238">
        <v>9</v>
      </c>
      <c r="C238" t="s">
        <v>43</v>
      </c>
      <c r="D238" t="str">
        <f>_xlfn.XLOOKUP(C238,'Carrier Name Rename'!A:A,'Carrier Name Rename'!B:B)</f>
        <v>Southwest Airlines Co.</v>
      </c>
      <c r="E238" t="s">
        <v>23</v>
      </c>
      <c r="F238" t="s">
        <v>24</v>
      </c>
      <c r="G238">
        <v>744</v>
      </c>
      <c r="H238">
        <v>228</v>
      </c>
      <c r="I238">
        <v>70.86</v>
      </c>
      <c r="J238">
        <v>0.38</v>
      </c>
      <c r="K238">
        <v>53.4</v>
      </c>
      <c r="L238">
        <v>0.86</v>
      </c>
      <c r="M238">
        <v>102.49</v>
      </c>
      <c r="N238">
        <v>0</v>
      </c>
      <c r="O238">
        <v>1</v>
      </c>
      <c r="P238">
        <v>9054</v>
      </c>
      <c r="Q238">
        <v>2816</v>
      </c>
      <c r="R238">
        <v>57</v>
      </c>
      <c r="S238">
        <v>1651</v>
      </c>
      <c r="T238">
        <v>43</v>
      </c>
      <c r="U238">
        <v>4487</v>
      </c>
      <c r="V238" s="1">
        <f t="shared" si="9"/>
        <v>0.30649999999999999</v>
      </c>
      <c r="W238" s="1">
        <f t="shared" si="10"/>
        <v>0</v>
      </c>
      <c r="X238" s="1">
        <f t="shared" si="11"/>
        <v>1.2999999999999999E-3</v>
      </c>
    </row>
    <row r="239" spans="1:24" x14ac:dyDescent="0.25">
      <c r="A239">
        <v>2023</v>
      </c>
      <c r="B239">
        <v>8</v>
      </c>
      <c r="C239" t="s">
        <v>31</v>
      </c>
      <c r="D239" t="str">
        <f>_xlfn.XLOOKUP(C239,'Carrier Name Rename'!A:A,'Carrier Name Rename'!B:B)</f>
        <v>American Airlines Inc.</v>
      </c>
      <c r="E239" t="s">
        <v>23</v>
      </c>
      <c r="F239" t="s">
        <v>24</v>
      </c>
      <c r="G239">
        <v>641</v>
      </c>
      <c r="H239">
        <v>189</v>
      </c>
      <c r="I239">
        <v>61.79</v>
      </c>
      <c r="J239">
        <v>10.27</v>
      </c>
      <c r="K239">
        <v>40.74</v>
      </c>
      <c r="L239">
        <v>1.59</v>
      </c>
      <c r="M239">
        <v>74.61</v>
      </c>
      <c r="N239">
        <v>5</v>
      </c>
      <c r="O239">
        <v>0</v>
      </c>
      <c r="P239">
        <v>14516</v>
      </c>
      <c r="Q239">
        <v>4349</v>
      </c>
      <c r="R239">
        <v>1070</v>
      </c>
      <c r="S239">
        <v>1574</v>
      </c>
      <c r="T239">
        <v>84</v>
      </c>
      <c r="U239">
        <v>7439</v>
      </c>
      <c r="V239" s="1">
        <f t="shared" si="9"/>
        <v>0.2949</v>
      </c>
      <c r="W239" s="1">
        <f t="shared" si="10"/>
        <v>7.7999999999999996E-3</v>
      </c>
      <c r="X239" s="1">
        <f t="shared" si="11"/>
        <v>0</v>
      </c>
    </row>
    <row r="240" spans="1:24" x14ac:dyDescent="0.25">
      <c r="A240">
        <v>2023</v>
      </c>
      <c r="B240">
        <v>8</v>
      </c>
      <c r="C240" t="s">
        <v>33</v>
      </c>
      <c r="D240" t="str">
        <f>_xlfn.XLOOKUP(C240,'Carrier Name Rename'!A:A,'Carrier Name Rename'!B:B)</f>
        <v>Alaska Airlines Inc.</v>
      </c>
      <c r="E240" t="s">
        <v>23</v>
      </c>
      <c r="F240" t="s">
        <v>24</v>
      </c>
      <c r="G240">
        <v>7771</v>
      </c>
      <c r="H240">
        <v>1420</v>
      </c>
      <c r="I240">
        <v>332.51</v>
      </c>
      <c r="J240">
        <v>41.88</v>
      </c>
      <c r="K240">
        <v>449.5</v>
      </c>
      <c r="L240">
        <v>10.93</v>
      </c>
      <c r="M240">
        <v>585.16999999999996</v>
      </c>
      <c r="N240">
        <v>26</v>
      </c>
      <c r="O240">
        <v>13</v>
      </c>
      <c r="P240">
        <v>78535</v>
      </c>
      <c r="Q240">
        <v>26310</v>
      </c>
      <c r="R240">
        <v>3680</v>
      </c>
      <c r="S240">
        <v>14449</v>
      </c>
      <c r="T240">
        <v>364</v>
      </c>
      <c r="U240">
        <v>33732</v>
      </c>
      <c r="V240" s="1">
        <f t="shared" si="9"/>
        <v>0.1827</v>
      </c>
      <c r="W240" s="1">
        <f t="shared" si="10"/>
        <v>3.3E-3</v>
      </c>
      <c r="X240" s="1">
        <f t="shared" si="11"/>
        <v>1.6999999999999999E-3</v>
      </c>
    </row>
    <row r="241" spans="1:24" x14ac:dyDescent="0.25">
      <c r="A241">
        <v>2023</v>
      </c>
      <c r="B241">
        <v>8</v>
      </c>
      <c r="C241" t="s">
        <v>35</v>
      </c>
      <c r="D241" t="str">
        <f>_xlfn.XLOOKUP(C241,'Carrier Name Rename'!A:A,'Carrier Name Rename'!B:B)</f>
        <v>JetBlue Airways</v>
      </c>
      <c r="E241" t="s">
        <v>23</v>
      </c>
      <c r="F241" t="s">
        <v>24</v>
      </c>
      <c r="G241">
        <v>182</v>
      </c>
      <c r="H241">
        <v>47</v>
      </c>
      <c r="I241">
        <v>23.62</v>
      </c>
      <c r="J241">
        <v>0</v>
      </c>
      <c r="K241">
        <v>15.56</v>
      </c>
      <c r="L241">
        <v>0</v>
      </c>
      <c r="M241">
        <v>7.82</v>
      </c>
      <c r="N241">
        <v>3</v>
      </c>
      <c r="O241">
        <v>1</v>
      </c>
      <c r="P241">
        <v>2954</v>
      </c>
      <c r="Q241">
        <v>1496</v>
      </c>
      <c r="R241">
        <v>0</v>
      </c>
      <c r="S241">
        <v>741</v>
      </c>
      <c r="T241">
        <v>0</v>
      </c>
      <c r="U241">
        <v>717</v>
      </c>
      <c r="V241" s="1">
        <f t="shared" si="9"/>
        <v>0.25819999999999999</v>
      </c>
      <c r="W241" s="1">
        <f t="shared" si="10"/>
        <v>1.6500000000000001E-2</v>
      </c>
      <c r="X241" s="1">
        <f t="shared" si="11"/>
        <v>5.4999999999999997E-3</v>
      </c>
    </row>
    <row r="242" spans="1:24" x14ac:dyDescent="0.25">
      <c r="A242">
        <v>2023</v>
      </c>
      <c r="B242">
        <v>8</v>
      </c>
      <c r="C242" t="s">
        <v>37</v>
      </c>
      <c r="D242" t="str">
        <f>_xlfn.XLOOKUP(C242,'Carrier Name Rename'!A:A,'Carrier Name Rename'!B:B)</f>
        <v>Delta Air Lines Inc.</v>
      </c>
      <c r="E242" t="s">
        <v>23</v>
      </c>
      <c r="F242" t="s">
        <v>24</v>
      </c>
      <c r="G242">
        <v>3201</v>
      </c>
      <c r="H242">
        <v>391</v>
      </c>
      <c r="I242">
        <v>149.62</v>
      </c>
      <c r="J242">
        <v>16.7</v>
      </c>
      <c r="K242">
        <v>79.87</v>
      </c>
      <c r="L242">
        <v>0</v>
      </c>
      <c r="M242">
        <v>144.81</v>
      </c>
      <c r="N242">
        <v>29</v>
      </c>
      <c r="O242">
        <v>4</v>
      </c>
      <c r="P242">
        <v>36535</v>
      </c>
      <c r="Q242">
        <v>19341</v>
      </c>
      <c r="R242">
        <v>1439</v>
      </c>
      <c r="S242">
        <v>3245</v>
      </c>
      <c r="T242">
        <v>0</v>
      </c>
      <c r="U242">
        <v>12510</v>
      </c>
      <c r="V242" s="1">
        <f t="shared" si="9"/>
        <v>0.1221</v>
      </c>
      <c r="W242" s="1">
        <f t="shared" si="10"/>
        <v>9.1000000000000004E-3</v>
      </c>
      <c r="X242" s="1">
        <f t="shared" si="11"/>
        <v>1.1999999999999999E-3</v>
      </c>
    </row>
    <row r="243" spans="1:24" x14ac:dyDescent="0.25">
      <c r="A243">
        <v>2023</v>
      </c>
      <c r="B243">
        <v>8</v>
      </c>
      <c r="C243" t="s">
        <v>39</v>
      </c>
      <c r="D243" t="str">
        <f>_xlfn.XLOOKUP(C243,'Carrier Name Rename'!A:A,'Carrier Name Rename'!B:B)</f>
        <v>Frontier Airlines Inc.</v>
      </c>
      <c r="E243" t="s">
        <v>23</v>
      </c>
      <c r="F243" t="s">
        <v>24</v>
      </c>
      <c r="G243">
        <v>67</v>
      </c>
      <c r="H243">
        <v>8</v>
      </c>
      <c r="I243">
        <v>2.4</v>
      </c>
      <c r="J243">
        <v>0.44</v>
      </c>
      <c r="K243">
        <v>1.89</v>
      </c>
      <c r="L243">
        <v>0</v>
      </c>
      <c r="M243">
        <v>3.27</v>
      </c>
      <c r="N243">
        <v>2</v>
      </c>
      <c r="O243">
        <v>0</v>
      </c>
      <c r="P243">
        <v>574</v>
      </c>
      <c r="Q243">
        <v>210</v>
      </c>
      <c r="R243">
        <v>66</v>
      </c>
      <c r="S243">
        <v>126</v>
      </c>
      <c r="T243">
        <v>0</v>
      </c>
      <c r="U243">
        <v>172</v>
      </c>
      <c r="V243" s="1">
        <f t="shared" si="9"/>
        <v>0.11940000000000001</v>
      </c>
      <c r="W243" s="1">
        <f t="shared" si="10"/>
        <v>2.9899999999999999E-2</v>
      </c>
      <c r="X243" s="1">
        <f t="shared" si="11"/>
        <v>0</v>
      </c>
    </row>
    <row r="244" spans="1:24" x14ac:dyDescent="0.25">
      <c r="A244">
        <v>2023</v>
      </c>
      <c r="B244">
        <v>8</v>
      </c>
      <c r="C244" t="s">
        <v>21</v>
      </c>
      <c r="D244" t="str">
        <f>_xlfn.XLOOKUP(C244,'Carrier Name Rename'!A:A,'Carrier Name Rename'!B:B)</f>
        <v>Hawaiian Airlines Inc.</v>
      </c>
      <c r="E244" t="s">
        <v>23</v>
      </c>
      <c r="F244" t="s">
        <v>24</v>
      </c>
      <c r="G244">
        <v>62</v>
      </c>
      <c r="H244">
        <v>26</v>
      </c>
      <c r="I244">
        <v>18.8</v>
      </c>
      <c r="J244">
        <v>0</v>
      </c>
      <c r="K244">
        <v>1</v>
      </c>
      <c r="L244">
        <v>0</v>
      </c>
      <c r="M244">
        <v>6.2</v>
      </c>
      <c r="N244">
        <v>0</v>
      </c>
      <c r="O244">
        <v>0</v>
      </c>
      <c r="P244">
        <v>1569</v>
      </c>
      <c r="Q244">
        <v>1270</v>
      </c>
      <c r="R244">
        <v>0</v>
      </c>
      <c r="S244">
        <v>59</v>
      </c>
      <c r="T244">
        <v>0</v>
      </c>
      <c r="U244">
        <v>240</v>
      </c>
      <c r="V244" s="1">
        <f t="shared" si="9"/>
        <v>0.4194</v>
      </c>
      <c r="W244" s="1">
        <f t="shared" si="10"/>
        <v>0</v>
      </c>
      <c r="X244" s="1">
        <f t="shared" si="11"/>
        <v>0</v>
      </c>
    </row>
    <row r="245" spans="1:24" x14ac:dyDescent="0.25">
      <c r="A245">
        <v>2023</v>
      </c>
      <c r="B245">
        <v>8</v>
      </c>
      <c r="C245" t="s">
        <v>25</v>
      </c>
      <c r="D245" t="str">
        <f>_xlfn.XLOOKUP(C245,'Carrier Name Rename'!A:A,'Carrier Name Rename'!B:B)</f>
        <v>Spirit Airlines</v>
      </c>
      <c r="E245" t="s">
        <v>23</v>
      </c>
      <c r="F245" t="s">
        <v>24</v>
      </c>
      <c r="G245">
        <v>75</v>
      </c>
      <c r="H245">
        <v>22</v>
      </c>
      <c r="I245">
        <v>5.25</v>
      </c>
      <c r="J245">
        <v>2.2000000000000002</v>
      </c>
      <c r="K245">
        <v>10.16</v>
      </c>
      <c r="L245">
        <v>0</v>
      </c>
      <c r="M245">
        <v>4.4000000000000004</v>
      </c>
      <c r="N245">
        <v>0</v>
      </c>
      <c r="O245">
        <v>0</v>
      </c>
      <c r="P245">
        <v>1704</v>
      </c>
      <c r="Q245">
        <v>294</v>
      </c>
      <c r="R245">
        <v>342</v>
      </c>
      <c r="S245">
        <v>688</v>
      </c>
      <c r="T245">
        <v>0</v>
      </c>
      <c r="U245">
        <v>380</v>
      </c>
      <c r="V245" s="1">
        <f t="shared" si="9"/>
        <v>0.29330000000000001</v>
      </c>
      <c r="W245" s="1">
        <f t="shared" si="10"/>
        <v>0</v>
      </c>
      <c r="X245" s="1">
        <f t="shared" si="11"/>
        <v>0</v>
      </c>
    </row>
    <row r="246" spans="1:24" x14ac:dyDescent="0.25">
      <c r="A246">
        <v>2023</v>
      </c>
      <c r="B246">
        <v>8</v>
      </c>
      <c r="C246" t="s">
        <v>27</v>
      </c>
      <c r="D246" t="str">
        <f>_xlfn.XLOOKUP(C246,'Carrier Name Rename'!A:A,'Carrier Name Rename'!B:B)</f>
        <v>SkyWest Airlines Inc.</v>
      </c>
      <c r="E246" t="s">
        <v>23</v>
      </c>
      <c r="F246" t="s">
        <v>24</v>
      </c>
      <c r="G246">
        <v>2122</v>
      </c>
      <c r="H246">
        <v>286</v>
      </c>
      <c r="I246">
        <v>168</v>
      </c>
      <c r="J246">
        <v>35</v>
      </c>
      <c r="K246">
        <v>10</v>
      </c>
      <c r="L246">
        <v>0</v>
      </c>
      <c r="M246">
        <v>73</v>
      </c>
      <c r="N246">
        <v>1</v>
      </c>
      <c r="O246">
        <v>1</v>
      </c>
      <c r="P246">
        <v>18459</v>
      </c>
      <c r="Q246">
        <v>11435</v>
      </c>
      <c r="R246">
        <v>3307</v>
      </c>
      <c r="S246">
        <v>737</v>
      </c>
      <c r="T246">
        <v>0</v>
      </c>
      <c r="U246">
        <v>2980</v>
      </c>
      <c r="V246" s="1">
        <f t="shared" si="9"/>
        <v>0.1348</v>
      </c>
      <c r="W246" s="1">
        <f t="shared" si="10"/>
        <v>5.0000000000000001E-4</v>
      </c>
      <c r="X246" s="1">
        <f t="shared" si="11"/>
        <v>5.0000000000000001E-4</v>
      </c>
    </row>
    <row r="247" spans="1:24" x14ac:dyDescent="0.25">
      <c r="A247">
        <v>2023</v>
      </c>
      <c r="B247">
        <v>8</v>
      </c>
      <c r="C247" t="s">
        <v>29</v>
      </c>
      <c r="D247" t="str">
        <f>_xlfn.XLOOKUP(C247,'Carrier Name Rename'!A:A,'Carrier Name Rename'!B:B)</f>
        <v>Horizon Air</v>
      </c>
      <c r="E247" t="s">
        <v>23</v>
      </c>
      <c r="F247" t="s">
        <v>24</v>
      </c>
      <c r="G247">
        <v>1453</v>
      </c>
      <c r="H247">
        <v>179</v>
      </c>
      <c r="I247">
        <v>41.57</v>
      </c>
      <c r="J247">
        <v>3.83</v>
      </c>
      <c r="K247">
        <v>79.2</v>
      </c>
      <c r="L247">
        <v>0</v>
      </c>
      <c r="M247">
        <v>54.4</v>
      </c>
      <c r="N247">
        <v>4</v>
      </c>
      <c r="O247">
        <v>1</v>
      </c>
      <c r="P247">
        <v>7526</v>
      </c>
      <c r="Q247">
        <v>2510</v>
      </c>
      <c r="R247">
        <v>445</v>
      </c>
      <c r="S247">
        <v>2384</v>
      </c>
      <c r="T247">
        <v>0</v>
      </c>
      <c r="U247">
        <v>2187</v>
      </c>
      <c r="V247" s="1">
        <f t="shared" si="9"/>
        <v>0.1232</v>
      </c>
      <c r="W247" s="1">
        <f t="shared" si="10"/>
        <v>2.8E-3</v>
      </c>
      <c r="X247" s="1">
        <f t="shared" si="11"/>
        <v>6.9999999999999999E-4</v>
      </c>
    </row>
    <row r="248" spans="1:24" x14ac:dyDescent="0.25">
      <c r="A248">
        <v>2023</v>
      </c>
      <c r="B248">
        <v>8</v>
      </c>
      <c r="C248" t="s">
        <v>41</v>
      </c>
      <c r="D248" t="str">
        <f>_xlfn.XLOOKUP(C248,'Carrier Name Rename'!A:A,'Carrier Name Rename'!B:B)</f>
        <v>United Air Lines Inc.</v>
      </c>
      <c r="E248" t="s">
        <v>23</v>
      </c>
      <c r="F248" t="s">
        <v>24</v>
      </c>
      <c r="G248">
        <v>972</v>
      </c>
      <c r="H248">
        <v>191</v>
      </c>
      <c r="I248">
        <v>68.959999999999994</v>
      </c>
      <c r="J248">
        <v>3.06</v>
      </c>
      <c r="K248">
        <v>56.33</v>
      </c>
      <c r="L248">
        <v>0</v>
      </c>
      <c r="M248">
        <v>62.65</v>
      </c>
      <c r="N248">
        <v>4</v>
      </c>
      <c r="O248">
        <v>0</v>
      </c>
      <c r="P248">
        <v>11509</v>
      </c>
      <c r="Q248">
        <v>5584</v>
      </c>
      <c r="R248">
        <v>224</v>
      </c>
      <c r="S248">
        <v>1664</v>
      </c>
      <c r="T248">
        <v>0</v>
      </c>
      <c r="U248">
        <v>4037</v>
      </c>
      <c r="V248" s="1">
        <f t="shared" si="9"/>
        <v>0.19650000000000001</v>
      </c>
      <c r="W248" s="1">
        <f t="shared" si="10"/>
        <v>4.1000000000000003E-3</v>
      </c>
      <c r="X248" s="1">
        <f t="shared" si="11"/>
        <v>0</v>
      </c>
    </row>
    <row r="249" spans="1:24" x14ac:dyDescent="0.25">
      <c r="A249">
        <v>2023</v>
      </c>
      <c r="B249">
        <v>8</v>
      </c>
      <c r="C249" t="s">
        <v>43</v>
      </c>
      <c r="D249" t="str">
        <f>_xlfn.XLOOKUP(C249,'Carrier Name Rename'!A:A,'Carrier Name Rename'!B:B)</f>
        <v>Southwest Airlines Co.</v>
      </c>
      <c r="E249" t="s">
        <v>23</v>
      </c>
      <c r="F249" t="s">
        <v>24</v>
      </c>
      <c r="G249">
        <v>875</v>
      </c>
      <c r="H249">
        <v>245</v>
      </c>
      <c r="I249">
        <v>84.86</v>
      </c>
      <c r="J249">
        <v>6.22</v>
      </c>
      <c r="K249">
        <v>46.83</v>
      </c>
      <c r="L249">
        <v>0</v>
      </c>
      <c r="M249">
        <v>107.1</v>
      </c>
      <c r="N249">
        <v>4</v>
      </c>
      <c r="O249">
        <v>3</v>
      </c>
      <c r="P249">
        <v>11656</v>
      </c>
      <c r="Q249">
        <v>3804</v>
      </c>
      <c r="R249">
        <v>845</v>
      </c>
      <c r="S249">
        <v>1695</v>
      </c>
      <c r="T249">
        <v>0</v>
      </c>
      <c r="U249">
        <v>5312</v>
      </c>
      <c r="V249" s="1">
        <f t="shared" si="9"/>
        <v>0.28000000000000003</v>
      </c>
      <c r="W249" s="1">
        <f t="shared" si="10"/>
        <v>4.5999999999999999E-3</v>
      </c>
      <c r="X249" s="1">
        <f t="shared" si="11"/>
        <v>3.3999999999999998E-3</v>
      </c>
    </row>
    <row r="250" spans="1:24" x14ac:dyDescent="0.25">
      <c r="A250">
        <v>2023</v>
      </c>
      <c r="B250">
        <v>7</v>
      </c>
      <c r="C250" t="s">
        <v>31</v>
      </c>
      <c r="D250" t="str">
        <f>_xlfn.XLOOKUP(C250,'Carrier Name Rename'!A:A,'Carrier Name Rename'!B:B)</f>
        <v>American Airlines Inc.</v>
      </c>
      <c r="E250" t="s">
        <v>23</v>
      </c>
      <c r="F250" t="s">
        <v>24</v>
      </c>
      <c r="G250">
        <v>614</v>
      </c>
      <c r="H250">
        <v>224</v>
      </c>
      <c r="I250">
        <v>83.06</v>
      </c>
      <c r="J250">
        <v>12.2</v>
      </c>
      <c r="K250">
        <v>51.75</v>
      </c>
      <c r="L250">
        <v>1.03</v>
      </c>
      <c r="M250">
        <v>75.959999999999994</v>
      </c>
      <c r="N250">
        <v>14</v>
      </c>
      <c r="O250">
        <v>2</v>
      </c>
      <c r="P250">
        <v>21288</v>
      </c>
      <c r="Q250">
        <v>8717</v>
      </c>
      <c r="R250">
        <v>815</v>
      </c>
      <c r="S250">
        <v>2154</v>
      </c>
      <c r="T250">
        <v>114</v>
      </c>
      <c r="U250">
        <v>9488</v>
      </c>
      <c r="V250" s="1">
        <f t="shared" si="9"/>
        <v>0.36480000000000001</v>
      </c>
      <c r="W250" s="1">
        <f t="shared" si="10"/>
        <v>2.2800000000000001E-2</v>
      </c>
      <c r="X250" s="1">
        <f t="shared" si="11"/>
        <v>3.3E-3</v>
      </c>
    </row>
    <row r="251" spans="1:24" x14ac:dyDescent="0.25">
      <c r="A251">
        <v>2023</v>
      </c>
      <c r="B251">
        <v>7</v>
      </c>
      <c r="C251" t="s">
        <v>33</v>
      </c>
      <c r="D251" t="str">
        <f>_xlfn.XLOOKUP(C251,'Carrier Name Rename'!A:A,'Carrier Name Rename'!B:B)</f>
        <v>Alaska Airlines Inc.</v>
      </c>
      <c r="E251" t="s">
        <v>23</v>
      </c>
      <c r="F251" t="s">
        <v>24</v>
      </c>
      <c r="G251">
        <v>7633</v>
      </c>
      <c r="H251">
        <v>1622</v>
      </c>
      <c r="I251">
        <v>406.94</v>
      </c>
      <c r="J251">
        <v>61.19</v>
      </c>
      <c r="K251">
        <v>537.64</v>
      </c>
      <c r="L251">
        <v>9.74</v>
      </c>
      <c r="M251">
        <v>606.5</v>
      </c>
      <c r="N251">
        <v>32</v>
      </c>
      <c r="O251">
        <v>15</v>
      </c>
      <c r="P251">
        <v>91175</v>
      </c>
      <c r="Q251">
        <v>28397</v>
      </c>
      <c r="R251">
        <v>5376</v>
      </c>
      <c r="S251">
        <v>18201</v>
      </c>
      <c r="T251">
        <v>567</v>
      </c>
      <c r="U251">
        <v>38634</v>
      </c>
      <c r="V251" s="1">
        <f t="shared" si="9"/>
        <v>0.21249999999999999</v>
      </c>
      <c r="W251" s="1">
        <f t="shared" si="10"/>
        <v>4.1999999999999997E-3</v>
      </c>
      <c r="X251" s="1">
        <f t="shared" si="11"/>
        <v>2E-3</v>
      </c>
    </row>
    <row r="252" spans="1:24" x14ac:dyDescent="0.25">
      <c r="A252">
        <v>2023</v>
      </c>
      <c r="B252">
        <v>7</v>
      </c>
      <c r="C252" t="s">
        <v>35</v>
      </c>
      <c r="D252" t="str">
        <f>_xlfn.XLOOKUP(C252,'Carrier Name Rename'!A:A,'Carrier Name Rename'!B:B)</f>
        <v>JetBlue Airways</v>
      </c>
      <c r="E252" t="s">
        <v>23</v>
      </c>
      <c r="F252" t="s">
        <v>24</v>
      </c>
      <c r="G252">
        <v>181</v>
      </c>
      <c r="H252">
        <v>59</v>
      </c>
      <c r="I252">
        <v>30.73</v>
      </c>
      <c r="J252">
        <v>2.27</v>
      </c>
      <c r="K252">
        <v>15.87</v>
      </c>
      <c r="L252">
        <v>0</v>
      </c>
      <c r="M252">
        <v>10.119999999999999</v>
      </c>
      <c r="N252">
        <v>5</v>
      </c>
      <c r="O252">
        <v>0</v>
      </c>
      <c r="P252">
        <v>5684</v>
      </c>
      <c r="Q252">
        <v>3259</v>
      </c>
      <c r="R252">
        <v>180</v>
      </c>
      <c r="S252">
        <v>1230</v>
      </c>
      <c r="T252">
        <v>0</v>
      </c>
      <c r="U252">
        <v>1015</v>
      </c>
      <c r="V252" s="1">
        <f t="shared" si="9"/>
        <v>0.32600000000000001</v>
      </c>
      <c r="W252" s="1">
        <f t="shared" si="10"/>
        <v>2.76E-2</v>
      </c>
      <c r="X252" s="1">
        <f t="shared" si="11"/>
        <v>0</v>
      </c>
    </row>
    <row r="253" spans="1:24" x14ac:dyDescent="0.25">
      <c r="A253">
        <v>2023</v>
      </c>
      <c r="B253">
        <v>7</v>
      </c>
      <c r="C253" t="s">
        <v>37</v>
      </c>
      <c r="D253" t="str">
        <f>_xlfn.XLOOKUP(C253,'Carrier Name Rename'!A:A,'Carrier Name Rename'!B:B)</f>
        <v>Delta Air Lines Inc.</v>
      </c>
      <c r="E253" t="s">
        <v>23</v>
      </c>
      <c r="F253" t="s">
        <v>24</v>
      </c>
      <c r="G253">
        <v>3201</v>
      </c>
      <c r="H253">
        <v>643</v>
      </c>
      <c r="I253">
        <v>280.20999999999998</v>
      </c>
      <c r="J253">
        <v>24.41</v>
      </c>
      <c r="K253">
        <v>128.19</v>
      </c>
      <c r="L253">
        <v>0</v>
      </c>
      <c r="M253">
        <v>210.19</v>
      </c>
      <c r="N253">
        <v>27</v>
      </c>
      <c r="O253">
        <v>2</v>
      </c>
      <c r="P253">
        <v>51989</v>
      </c>
      <c r="Q253">
        <v>30194</v>
      </c>
      <c r="R253">
        <v>1552</v>
      </c>
      <c r="S253">
        <v>5288</v>
      </c>
      <c r="T253">
        <v>0</v>
      </c>
      <c r="U253">
        <v>14955</v>
      </c>
      <c r="V253" s="1">
        <f t="shared" si="9"/>
        <v>0.2009</v>
      </c>
      <c r="W253" s="1">
        <f t="shared" si="10"/>
        <v>8.3999999999999995E-3</v>
      </c>
      <c r="X253" s="1">
        <f t="shared" si="11"/>
        <v>5.9999999999999995E-4</v>
      </c>
    </row>
    <row r="254" spans="1:24" x14ac:dyDescent="0.25">
      <c r="A254">
        <v>2023</v>
      </c>
      <c r="B254">
        <v>7</v>
      </c>
      <c r="C254" t="s">
        <v>39</v>
      </c>
      <c r="D254" t="str">
        <f>_xlfn.XLOOKUP(C254,'Carrier Name Rename'!A:A,'Carrier Name Rename'!B:B)</f>
        <v>Frontier Airlines Inc.</v>
      </c>
      <c r="E254" t="s">
        <v>23</v>
      </c>
      <c r="F254" t="s">
        <v>24</v>
      </c>
      <c r="G254">
        <v>61</v>
      </c>
      <c r="H254">
        <v>25</v>
      </c>
      <c r="I254">
        <v>10.74</v>
      </c>
      <c r="J254">
        <v>1.1599999999999999</v>
      </c>
      <c r="K254">
        <v>2.2200000000000002</v>
      </c>
      <c r="L254">
        <v>0</v>
      </c>
      <c r="M254">
        <v>10.88</v>
      </c>
      <c r="N254">
        <v>1</v>
      </c>
      <c r="O254">
        <v>0</v>
      </c>
      <c r="P254">
        <v>1894</v>
      </c>
      <c r="Q254">
        <v>773</v>
      </c>
      <c r="R254">
        <v>85</v>
      </c>
      <c r="S254">
        <v>143</v>
      </c>
      <c r="T254">
        <v>0</v>
      </c>
      <c r="U254">
        <v>893</v>
      </c>
      <c r="V254" s="1">
        <f t="shared" si="9"/>
        <v>0.4098</v>
      </c>
      <c r="W254" s="1">
        <f t="shared" si="10"/>
        <v>1.6400000000000001E-2</v>
      </c>
      <c r="X254" s="1">
        <f t="shared" si="11"/>
        <v>0</v>
      </c>
    </row>
    <row r="255" spans="1:24" x14ac:dyDescent="0.25">
      <c r="A255">
        <v>2023</v>
      </c>
      <c r="B255">
        <v>7</v>
      </c>
      <c r="C255" t="s">
        <v>21</v>
      </c>
      <c r="D255" t="str">
        <f>_xlfn.XLOOKUP(C255,'Carrier Name Rename'!A:A,'Carrier Name Rename'!B:B)</f>
        <v>Hawaiian Airlines Inc.</v>
      </c>
      <c r="E255" t="s">
        <v>23</v>
      </c>
      <c r="F255" t="s">
        <v>24</v>
      </c>
      <c r="G255">
        <v>62</v>
      </c>
      <c r="H255">
        <v>12</v>
      </c>
      <c r="I255">
        <v>7.83</v>
      </c>
      <c r="J255">
        <v>0</v>
      </c>
      <c r="K255">
        <v>0</v>
      </c>
      <c r="L255">
        <v>0</v>
      </c>
      <c r="M255">
        <v>4.17</v>
      </c>
      <c r="N255">
        <v>0</v>
      </c>
      <c r="O255">
        <v>1</v>
      </c>
      <c r="P255">
        <v>590</v>
      </c>
      <c r="Q255">
        <v>327</v>
      </c>
      <c r="R255">
        <v>0</v>
      </c>
      <c r="S255">
        <v>0</v>
      </c>
      <c r="T255">
        <v>0</v>
      </c>
      <c r="U255">
        <v>263</v>
      </c>
      <c r="V255" s="1">
        <f t="shared" si="9"/>
        <v>0.19350000000000001</v>
      </c>
      <c r="W255" s="1">
        <f t="shared" si="10"/>
        <v>0</v>
      </c>
      <c r="X255" s="1">
        <f t="shared" si="11"/>
        <v>1.61E-2</v>
      </c>
    </row>
    <row r="256" spans="1:24" x14ac:dyDescent="0.25">
      <c r="A256">
        <v>2023</v>
      </c>
      <c r="B256">
        <v>7</v>
      </c>
      <c r="C256" t="s">
        <v>25</v>
      </c>
      <c r="D256" t="str">
        <f>_xlfn.XLOOKUP(C256,'Carrier Name Rename'!A:A,'Carrier Name Rename'!B:B)</f>
        <v>Spirit Airlines</v>
      </c>
      <c r="E256" t="s">
        <v>23</v>
      </c>
      <c r="F256" t="s">
        <v>24</v>
      </c>
      <c r="G256">
        <v>64</v>
      </c>
      <c r="H256">
        <v>13</v>
      </c>
      <c r="I256">
        <v>2.98</v>
      </c>
      <c r="J256">
        <v>0.1</v>
      </c>
      <c r="K256">
        <v>6.74</v>
      </c>
      <c r="L256">
        <v>0</v>
      </c>
      <c r="M256">
        <v>3.19</v>
      </c>
      <c r="N256">
        <v>0</v>
      </c>
      <c r="O256">
        <v>0</v>
      </c>
      <c r="P256">
        <v>958</v>
      </c>
      <c r="Q256">
        <v>86</v>
      </c>
      <c r="R256">
        <v>21</v>
      </c>
      <c r="S256">
        <v>664</v>
      </c>
      <c r="T256">
        <v>0</v>
      </c>
      <c r="U256">
        <v>187</v>
      </c>
      <c r="V256" s="1">
        <f t="shared" si="9"/>
        <v>0.2031</v>
      </c>
      <c r="W256" s="1">
        <f t="shared" si="10"/>
        <v>0</v>
      </c>
      <c r="X256" s="1">
        <f t="shared" si="11"/>
        <v>0</v>
      </c>
    </row>
    <row r="257" spans="1:24" x14ac:dyDescent="0.25">
      <c r="A257">
        <v>2023</v>
      </c>
      <c r="B257">
        <v>7</v>
      </c>
      <c r="C257" t="s">
        <v>27</v>
      </c>
      <c r="D257" t="str">
        <f>_xlfn.XLOOKUP(C257,'Carrier Name Rename'!A:A,'Carrier Name Rename'!B:B)</f>
        <v>SkyWest Airlines Inc.</v>
      </c>
      <c r="E257" t="s">
        <v>23</v>
      </c>
      <c r="F257" t="s">
        <v>24</v>
      </c>
      <c r="G257">
        <v>2049</v>
      </c>
      <c r="H257">
        <v>180</v>
      </c>
      <c r="I257">
        <v>116.71</v>
      </c>
      <c r="J257">
        <v>17</v>
      </c>
      <c r="K257">
        <v>4.29</v>
      </c>
      <c r="L257">
        <v>0</v>
      </c>
      <c r="M257">
        <v>42</v>
      </c>
      <c r="N257">
        <v>0</v>
      </c>
      <c r="O257">
        <v>1</v>
      </c>
      <c r="P257">
        <v>12090</v>
      </c>
      <c r="Q257">
        <v>7954</v>
      </c>
      <c r="R257">
        <v>1464</v>
      </c>
      <c r="S257">
        <v>164</v>
      </c>
      <c r="T257">
        <v>0</v>
      </c>
      <c r="U257">
        <v>2508</v>
      </c>
      <c r="V257" s="1">
        <f t="shared" si="9"/>
        <v>8.7800000000000003E-2</v>
      </c>
      <c r="W257" s="1">
        <f t="shared" si="10"/>
        <v>0</v>
      </c>
      <c r="X257" s="1">
        <f t="shared" si="11"/>
        <v>5.0000000000000001E-4</v>
      </c>
    </row>
    <row r="258" spans="1:24" x14ac:dyDescent="0.25">
      <c r="A258">
        <v>2023</v>
      </c>
      <c r="B258">
        <v>7</v>
      </c>
      <c r="C258" t="s">
        <v>29</v>
      </c>
      <c r="D258" t="str">
        <f>_xlfn.XLOOKUP(C258,'Carrier Name Rename'!A:A,'Carrier Name Rename'!B:B)</f>
        <v>Horizon Air</v>
      </c>
      <c r="E258" t="s">
        <v>23</v>
      </c>
      <c r="F258" t="s">
        <v>24</v>
      </c>
      <c r="G258">
        <v>1441</v>
      </c>
      <c r="H258">
        <v>151</v>
      </c>
      <c r="I258">
        <v>51.71</v>
      </c>
      <c r="J258">
        <v>0.28000000000000003</v>
      </c>
      <c r="K258">
        <v>51.71</v>
      </c>
      <c r="L258">
        <v>0</v>
      </c>
      <c r="M258">
        <v>47.29</v>
      </c>
      <c r="N258">
        <v>1</v>
      </c>
      <c r="O258">
        <v>0</v>
      </c>
      <c r="P258">
        <v>7881</v>
      </c>
      <c r="Q258">
        <v>3525</v>
      </c>
      <c r="R258">
        <v>9</v>
      </c>
      <c r="S258">
        <v>1396</v>
      </c>
      <c r="T258">
        <v>0</v>
      </c>
      <c r="U258">
        <v>2951</v>
      </c>
      <c r="V258" s="1">
        <f t="shared" si="9"/>
        <v>0.1048</v>
      </c>
      <c r="W258" s="1">
        <f t="shared" si="10"/>
        <v>6.9999999999999999E-4</v>
      </c>
      <c r="X258" s="1">
        <f t="shared" si="11"/>
        <v>0</v>
      </c>
    </row>
    <row r="259" spans="1:24" x14ac:dyDescent="0.25">
      <c r="A259">
        <v>2023</v>
      </c>
      <c r="B259">
        <v>7</v>
      </c>
      <c r="C259" t="s">
        <v>41</v>
      </c>
      <c r="D259" t="str">
        <f>_xlfn.XLOOKUP(C259,'Carrier Name Rename'!A:A,'Carrier Name Rename'!B:B)</f>
        <v>United Air Lines Inc.</v>
      </c>
      <c r="E259" t="s">
        <v>23</v>
      </c>
      <c r="F259" t="s">
        <v>24</v>
      </c>
      <c r="G259">
        <v>939</v>
      </c>
      <c r="H259">
        <v>333</v>
      </c>
      <c r="I259">
        <v>136.4</v>
      </c>
      <c r="J259">
        <v>14.94</v>
      </c>
      <c r="K259">
        <v>62.35</v>
      </c>
      <c r="L259">
        <v>0</v>
      </c>
      <c r="M259">
        <v>119.32</v>
      </c>
      <c r="N259">
        <v>24</v>
      </c>
      <c r="O259">
        <v>1</v>
      </c>
      <c r="P259">
        <v>25318</v>
      </c>
      <c r="Q259">
        <v>8888</v>
      </c>
      <c r="R259">
        <v>1912</v>
      </c>
      <c r="S259">
        <v>2870</v>
      </c>
      <c r="T259">
        <v>0</v>
      </c>
      <c r="U259">
        <v>11648</v>
      </c>
      <c r="V259" s="1">
        <f t="shared" ref="V259:V322" si="12">ROUND(H259/G259,4)</f>
        <v>0.35460000000000003</v>
      </c>
      <c r="W259" s="1">
        <f t="shared" ref="W259:W322" si="13">ROUND(N259/G259,4)</f>
        <v>2.5600000000000001E-2</v>
      </c>
      <c r="X259" s="1">
        <f t="shared" ref="X259:X322" si="14">ROUND(O259/G259,4)</f>
        <v>1.1000000000000001E-3</v>
      </c>
    </row>
    <row r="260" spans="1:24" x14ac:dyDescent="0.25">
      <c r="A260">
        <v>2023</v>
      </c>
      <c r="B260">
        <v>7</v>
      </c>
      <c r="C260" t="s">
        <v>43</v>
      </c>
      <c r="D260" t="str">
        <f>_xlfn.XLOOKUP(C260,'Carrier Name Rename'!A:A,'Carrier Name Rename'!B:B)</f>
        <v>Southwest Airlines Co.</v>
      </c>
      <c r="E260" t="s">
        <v>23</v>
      </c>
      <c r="F260" t="s">
        <v>24</v>
      </c>
      <c r="G260">
        <v>868</v>
      </c>
      <c r="H260">
        <v>298</v>
      </c>
      <c r="I260">
        <v>105.09</v>
      </c>
      <c r="J260">
        <v>5.1100000000000003</v>
      </c>
      <c r="K260">
        <v>47.66</v>
      </c>
      <c r="L260">
        <v>0</v>
      </c>
      <c r="M260">
        <v>140.13999999999999</v>
      </c>
      <c r="N260">
        <v>3</v>
      </c>
      <c r="O260">
        <v>2</v>
      </c>
      <c r="P260">
        <v>13846</v>
      </c>
      <c r="Q260">
        <v>4233</v>
      </c>
      <c r="R260">
        <v>540</v>
      </c>
      <c r="S260">
        <v>1822</v>
      </c>
      <c r="T260">
        <v>0</v>
      </c>
      <c r="U260">
        <v>7251</v>
      </c>
      <c r="V260" s="1">
        <f t="shared" si="12"/>
        <v>0.34329999999999999</v>
      </c>
      <c r="W260" s="1">
        <f t="shared" si="13"/>
        <v>3.5000000000000001E-3</v>
      </c>
      <c r="X260" s="1">
        <f t="shared" si="14"/>
        <v>2.3E-3</v>
      </c>
    </row>
    <row r="261" spans="1:24" x14ac:dyDescent="0.25">
      <c r="A261">
        <v>2023</v>
      </c>
      <c r="B261">
        <v>6</v>
      </c>
      <c r="C261" t="s">
        <v>31</v>
      </c>
      <c r="D261" t="str">
        <f>_xlfn.XLOOKUP(C261,'Carrier Name Rename'!A:A,'Carrier Name Rename'!B:B)</f>
        <v>American Airlines Inc.</v>
      </c>
      <c r="E261" t="s">
        <v>23</v>
      </c>
      <c r="F261" t="s">
        <v>24</v>
      </c>
      <c r="G261">
        <v>602</v>
      </c>
      <c r="H261">
        <v>179</v>
      </c>
      <c r="I261">
        <v>73.92</v>
      </c>
      <c r="J261">
        <v>9.5399999999999991</v>
      </c>
      <c r="K261">
        <v>28.76</v>
      </c>
      <c r="L261">
        <v>2.98</v>
      </c>
      <c r="M261">
        <v>63.8</v>
      </c>
      <c r="N261">
        <v>4</v>
      </c>
      <c r="O261">
        <v>1</v>
      </c>
      <c r="P261">
        <v>16532</v>
      </c>
      <c r="Q261">
        <v>6538</v>
      </c>
      <c r="R261">
        <v>1758</v>
      </c>
      <c r="S261">
        <v>1333</v>
      </c>
      <c r="T261">
        <v>84</v>
      </c>
      <c r="U261">
        <v>6819</v>
      </c>
      <c r="V261" s="1">
        <f t="shared" si="12"/>
        <v>0.29730000000000001</v>
      </c>
      <c r="W261" s="1">
        <f t="shared" si="13"/>
        <v>6.6E-3</v>
      </c>
      <c r="X261" s="1">
        <f t="shared" si="14"/>
        <v>1.6999999999999999E-3</v>
      </c>
    </row>
    <row r="262" spans="1:24" x14ac:dyDescent="0.25">
      <c r="A262">
        <v>2023</v>
      </c>
      <c r="B262">
        <v>6</v>
      </c>
      <c r="C262" t="s">
        <v>33</v>
      </c>
      <c r="D262" t="str">
        <f>_xlfn.XLOOKUP(C262,'Carrier Name Rename'!A:A,'Carrier Name Rename'!B:B)</f>
        <v>Alaska Airlines Inc.</v>
      </c>
      <c r="E262" t="s">
        <v>23</v>
      </c>
      <c r="F262" t="s">
        <v>24</v>
      </c>
      <c r="G262">
        <v>6935</v>
      </c>
      <c r="H262">
        <v>1395</v>
      </c>
      <c r="I262">
        <v>350.72</v>
      </c>
      <c r="J262">
        <v>29.2</v>
      </c>
      <c r="K262">
        <v>419.42</v>
      </c>
      <c r="L262">
        <v>14.16</v>
      </c>
      <c r="M262">
        <v>581.49</v>
      </c>
      <c r="N262">
        <v>24</v>
      </c>
      <c r="O262">
        <v>13</v>
      </c>
      <c r="P262">
        <v>79157</v>
      </c>
      <c r="Q262">
        <v>25341</v>
      </c>
      <c r="R262">
        <v>2342</v>
      </c>
      <c r="S262">
        <v>15303</v>
      </c>
      <c r="T262">
        <v>513</v>
      </c>
      <c r="U262">
        <v>35658</v>
      </c>
      <c r="V262" s="1">
        <f t="shared" si="12"/>
        <v>0.20119999999999999</v>
      </c>
      <c r="W262" s="1">
        <f t="shared" si="13"/>
        <v>3.5000000000000001E-3</v>
      </c>
      <c r="X262" s="1">
        <f t="shared" si="14"/>
        <v>1.9E-3</v>
      </c>
    </row>
    <row r="263" spans="1:24" x14ac:dyDescent="0.25">
      <c r="A263">
        <v>2023</v>
      </c>
      <c r="B263">
        <v>6</v>
      </c>
      <c r="C263" t="s">
        <v>35</v>
      </c>
      <c r="D263" t="str">
        <f>_xlfn.XLOOKUP(C263,'Carrier Name Rename'!A:A,'Carrier Name Rename'!B:B)</f>
        <v>JetBlue Airways</v>
      </c>
      <c r="E263" t="s">
        <v>23</v>
      </c>
      <c r="F263" t="s">
        <v>24</v>
      </c>
      <c r="G263">
        <v>150</v>
      </c>
      <c r="H263">
        <v>33</v>
      </c>
      <c r="I263">
        <v>17.22</v>
      </c>
      <c r="J263">
        <v>1.1499999999999999</v>
      </c>
      <c r="K263">
        <v>8.92</v>
      </c>
      <c r="L263">
        <v>0</v>
      </c>
      <c r="M263">
        <v>5.72</v>
      </c>
      <c r="N263">
        <v>0</v>
      </c>
      <c r="O263">
        <v>0</v>
      </c>
      <c r="P263">
        <v>3327</v>
      </c>
      <c r="Q263">
        <v>1623</v>
      </c>
      <c r="R263">
        <v>121</v>
      </c>
      <c r="S263">
        <v>928</v>
      </c>
      <c r="T263">
        <v>0</v>
      </c>
      <c r="U263">
        <v>655</v>
      </c>
      <c r="V263" s="1">
        <f t="shared" si="12"/>
        <v>0.22</v>
      </c>
      <c r="W263" s="1">
        <f t="shared" si="13"/>
        <v>0</v>
      </c>
      <c r="X263" s="1">
        <f t="shared" si="14"/>
        <v>0</v>
      </c>
    </row>
    <row r="264" spans="1:24" x14ac:dyDescent="0.25">
      <c r="A264">
        <v>2023</v>
      </c>
      <c r="B264">
        <v>6</v>
      </c>
      <c r="C264" t="s">
        <v>37</v>
      </c>
      <c r="D264" t="str">
        <f>_xlfn.XLOOKUP(C264,'Carrier Name Rename'!A:A,'Carrier Name Rename'!B:B)</f>
        <v>Delta Air Lines Inc.</v>
      </c>
      <c r="E264" t="s">
        <v>23</v>
      </c>
      <c r="F264" t="s">
        <v>24</v>
      </c>
      <c r="G264">
        <v>3043</v>
      </c>
      <c r="H264">
        <v>459</v>
      </c>
      <c r="I264">
        <v>183.42</v>
      </c>
      <c r="J264">
        <v>9.43</v>
      </c>
      <c r="K264">
        <v>102.4</v>
      </c>
      <c r="L264">
        <v>0</v>
      </c>
      <c r="M264">
        <v>163.75</v>
      </c>
      <c r="N264">
        <v>26</v>
      </c>
      <c r="O264">
        <v>4</v>
      </c>
      <c r="P264">
        <v>38649</v>
      </c>
      <c r="Q264">
        <v>21211</v>
      </c>
      <c r="R264">
        <v>650</v>
      </c>
      <c r="S264">
        <v>4171</v>
      </c>
      <c r="T264">
        <v>0</v>
      </c>
      <c r="U264">
        <v>12617</v>
      </c>
      <c r="V264" s="1">
        <f t="shared" si="12"/>
        <v>0.15079999999999999</v>
      </c>
      <c r="W264" s="1">
        <f t="shared" si="13"/>
        <v>8.5000000000000006E-3</v>
      </c>
      <c r="X264" s="1">
        <f t="shared" si="14"/>
        <v>1.2999999999999999E-3</v>
      </c>
    </row>
    <row r="265" spans="1:24" x14ac:dyDescent="0.25">
      <c r="A265">
        <v>2023</v>
      </c>
      <c r="B265">
        <v>6</v>
      </c>
      <c r="C265" t="s">
        <v>39</v>
      </c>
      <c r="D265" t="str">
        <f>_xlfn.XLOOKUP(C265,'Carrier Name Rename'!A:A,'Carrier Name Rename'!B:B)</f>
        <v>Frontier Airlines Inc.</v>
      </c>
      <c r="E265" t="s">
        <v>23</v>
      </c>
      <c r="F265" t="s">
        <v>24</v>
      </c>
      <c r="G265">
        <v>62</v>
      </c>
      <c r="H265">
        <v>36</v>
      </c>
      <c r="I265">
        <v>16.03</v>
      </c>
      <c r="J265">
        <v>0.59</v>
      </c>
      <c r="K265">
        <v>7.3</v>
      </c>
      <c r="L265">
        <v>0</v>
      </c>
      <c r="M265">
        <v>12.08</v>
      </c>
      <c r="N265">
        <v>0</v>
      </c>
      <c r="O265">
        <v>1</v>
      </c>
      <c r="P265">
        <v>2291</v>
      </c>
      <c r="Q265">
        <v>947</v>
      </c>
      <c r="R265">
        <v>58</v>
      </c>
      <c r="S265">
        <v>320</v>
      </c>
      <c r="T265">
        <v>0</v>
      </c>
      <c r="U265">
        <v>966</v>
      </c>
      <c r="V265" s="1">
        <f t="shared" si="12"/>
        <v>0.5806</v>
      </c>
      <c r="W265" s="1">
        <f t="shared" si="13"/>
        <v>0</v>
      </c>
      <c r="X265" s="1">
        <f t="shared" si="14"/>
        <v>1.61E-2</v>
      </c>
    </row>
    <row r="266" spans="1:24" x14ac:dyDescent="0.25">
      <c r="A266">
        <v>2023</v>
      </c>
      <c r="B266">
        <v>6</v>
      </c>
      <c r="C266" t="s">
        <v>21</v>
      </c>
      <c r="D266" t="str">
        <f>_xlfn.XLOOKUP(C266,'Carrier Name Rename'!A:A,'Carrier Name Rename'!B:B)</f>
        <v>Hawaiian Airlines Inc.</v>
      </c>
      <c r="E266" t="s">
        <v>23</v>
      </c>
      <c r="F266" t="s">
        <v>24</v>
      </c>
      <c r="G266">
        <v>60</v>
      </c>
      <c r="H266">
        <v>34</v>
      </c>
      <c r="I266">
        <v>27.59</v>
      </c>
      <c r="J266">
        <v>0</v>
      </c>
      <c r="K266">
        <v>0.25</v>
      </c>
      <c r="L266">
        <v>1.64</v>
      </c>
      <c r="M266">
        <v>4.5199999999999996</v>
      </c>
      <c r="N266">
        <v>0</v>
      </c>
      <c r="O266">
        <v>0</v>
      </c>
      <c r="P266">
        <v>2619</v>
      </c>
      <c r="Q266">
        <v>1636</v>
      </c>
      <c r="R266">
        <v>0</v>
      </c>
      <c r="S266">
        <v>4</v>
      </c>
      <c r="T266">
        <v>58</v>
      </c>
      <c r="U266">
        <v>921</v>
      </c>
      <c r="V266" s="1">
        <f t="shared" si="12"/>
        <v>0.56669999999999998</v>
      </c>
      <c r="W266" s="1">
        <f t="shared" si="13"/>
        <v>0</v>
      </c>
      <c r="X266" s="1">
        <f t="shared" si="14"/>
        <v>0</v>
      </c>
    </row>
    <row r="267" spans="1:24" x14ac:dyDescent="0.25">
      <c r="A267">
        <v>2023</v>
      </c>
      <c r="B267">
        <v>6</v>
      </c>
      <c r="C267" t="s">
        <v>25</v>
      </c>
      <c r="D267" t="str">
        <f>_xlfn.XLOOKUP(C267,'Carrier Name Rename'!A:A,'Carrier Name Rename'!B:B)</f>
        <v>Spirit Airlines</v>
      </c>
      <c r="E267" t="s">
        <v>23</v>
      </c>
      <c r="F267" t="s">
        <v>24</v>
      </c>
      <c r="G267">
        <v>80</v>
      </c>
      <c r="H267">
        <v>30</v>
      </c>
      <c r="I267">
        <v>8.7799999999999994</v>
      </c>
      <c r="J267">
        <v>0.65</v>
      </c>
      <c r="K267">
        <v>13.23</v>
      </c>
      <c r="L267">
        <v>0</v>
      </c>
      <c r="M267">
        <v>7.34</v>
      </c>
      <c r="N267">
        <v>1</v>
      </c>
      <c r="O267">
        <v>0</v>
      </c>
      <c r="P267">
        <v>1951</v>
      </c>
      <c r="Q267">
        <v>568</v>
      </c>
      <c r="R267">
        <v>14</v>
      </c>
      <c r="S267">
        <v>501</v>
      </c>
      <c r="T267">
        <v>0</v>
      </c>
      <c r="U267">
        <v>868</v>
      </c>
      <c r="V267" s="1">
        <f t="shared" si="12"/>
        <v>0.375</v>
      </c>
      <c r="W267" s="1">
        <f t="shared" si="13"/>
        <v>1.2500000000000001E-2</v>
      </c>
      <c r="X267" s="1">
        <f t="shared" si="14"/>
        <v>0</v>
      </c>
    </row>
    <row r="268" spans="1:24" x14ac:dyDescent="0.25">
      <c r="A268">
        <v>2023</v>
      </c>
      <c r="B268">
        <v>6</v>
      </c>
      <c r="C268" t="s">
        <v>27</v>
      </c>
      <c r="D268" t="str">
        <f>_xlfn.XLOOKUP(C268,'Carrier Name Rename'!A:A,'Carrier Name Rename'!B:B)</f>
        <v>SkyWest Airlines Inc.</v>
      </c>
      <c r="E268" t="s">
        <v>23</v>
      </c>
      <c r="F268" t="s">
        <v>24</v>
      </c>
      <c r="G268">
        <v>2070</v>
      </c>
      <c r="H268">
        <v>209</v>
      </c>
      <c r="I268">
        <v>139</v>
      </c>
      <c r="J268">
        <v>22</v>
      </c>
      <c r="K268">
        <v>1</v>
      </c>
      <c r="L268">
        <v>1</v>
      </c>
      <c r="M268">
        <v>46</v>
      </c>
      <c r="N268">
        <v>0</v>
      </c>
      <c r="O268">
        <v>1</v>
      </c>
      <c r="P268">
        <v>11336</v>
      </c>
      <c r="Q268">
        <v>7833</v>
      </c>
      <c r="R268">
        <v>912</v>
      </c>
      <c r="S268">
        <v>18</v>
      </c>
      <c r="T268">
        <v>18</v>
      </c>
      <c r="U268">
        <v>2555</v>
      </c>
      <c r="V268" s="1">
        <f t="shared" si="12"/>
        <v>0.10100000000000001</v>
      </c>
      <c r="W268" s="1">
        <f t="shared" si="13"/>
        <v>0</v>
      </c>
      <c r="X268" s="1">
        <f t="shared" si="14"/>
        <v>5.0000000000000001E-4</v>
      </c>
    </row>
    <row r="269" spans="1:24" x14ac:dyDescent="0.25">
      <c r="A269">
        <v>2023</v>
      </c>
      <c r="B269">
        <v>6</v>
      </c>
      <c r="C269" t="s">
        <v>29</v>
      </c>
      <c r="D269" t="str">
        <f>_xlfn.XLOOKUP(C269,'Carrier Name Rename'!A:A,'Carrier Name Rename'!B:B)</f>
        <v>Horizon Air</v>
      </c>
      <c r="E269" t="s">
        <v>23</v>
      </c>
      <c r="F269" t="s">
        <v>24</v>
      </c>
      <c r="G269">
        <v>1420</v>
      </c>
      <c r="H269">
        <v>199</v>
      </c>
      <c r="I269">
        <v>73.83</v>
      </c>
      <c r="J269">
        <v>7.36</v>
      </c>
      <c r="K269">
        <v>41.71</v>
      </c>
      <c r="L269">
        <v>1</v>
      </c>
      <c r="M269">
        <v>75.09</v>
      </c>
      <c r="N269">
        <v>3</v>
      </c>
      <c r="O269">
        <v>2</v>
      </c>
      <c r="P269">
        <v>12147</v>
      </c>
      <c r="Q269">
        <v>4755</v>
      </c>
      <c r="R269">
        <v>508</v>
      </c>
      <c r="S269">
        <v>1206</v>
      </c>
      <c r="T269">
        <v>33</v>
      </c>
      <c r="U269">
        <v>5645</v>
      </c>
      <c r="V269" s="1">
        <f t="shared" si="12"/>
        <v>0.1401</v>
      </c>
      <c r="W269" s="1">
        <f t="shared" si="13"/>
        <v>2.0999999999999999E-3</v>
      </c>
      <c r="X269" s="1">
        <f t="shared" si="14"/>
        <v>1.4E-3</v>
      </c>
    </row>
    <row r="270" spans="1:24" x14ac:dyDescent="0.25">
      <c r="A270">
        <v>2023</v>
      </c>
      <c r="B270">
        <v>6</v>
      </c>
      <c r="C270" t="s">
        <v>41</v>
      </c>
      <c r="D270" t="str">
        <f>_xlfn.XLOOKUP(C270,'Carrier Name Rename'!A:A,'Carrier Name Rename'!B:B)</f>
        <v>United Air Lines Inc.</v>
      </c>
      <c r="E270" t="s">
        <v>23</v>
      </c>
      <c r="F270" t="s">
        <v>24</v>
      </c>
      <c r="G270">
        <v>883</v>
      </c>
      <c r="H270">
        <v>267</v>
      </c>
      <c r="I270">
        <v>115.54</v>
      </c>
      <c r="J270">
        <v>4.4000000000000004</v>
      </c>
      <c r="K270">
        <v>44.38</v>
      </c>
      <c r="L270">
        <v>0</v>
      </c>
      <c r="M270">
        <v>102.68</v>
      </c>
      <c r="N270">
        <v>51</v>
      </c>
      <c r="O270">
        <v>1</v>
      </c>
      <c r="P270">
        <v>22231</v>
      </c>
      <c r="Q270">
        <v>9906</v>
      </c>
      <c r="R270">
        <v>280</v>
      </c>
      <c r="S270">
        <v>1808</v>
      </c>
      <c r="T270">
        <v>0</v>
      </c>
      <c r="U270">
        <v>10237</v>
      </c>
      <c r="V270" s="1">
        <f t="shared" si="12"/>
        <v>0.3024</v>
      </c>
      <c r="W270" s="1">
        <f t="shared" si="13"/>
        <v>5.7799999999999997E-2</v>
      </c>
      <c r="X270" s="1">
        <f t="shared" si="14"/>
        <v>1.1000000000000001E-3</v>
      </c>
    </row>
    <row r="271" spans="1:24" x14ac:dyDescent="0.25">
      <c r="A271">
        <v>2023</v>
      </c>
      <c r="B271">
        <v>6</v>
      </c>
      <c r="C271" t="s">
        <v>43</v>
      </c>
      <c r="D271" t="str">
        <f>_xlfn.XLOOKUP(C271,'Carrier Name Rename'!A:A,'Carrier Name Rename'!B:B)</f>
        <v>Southwest Airlines Co.</v>
      </c>
      <c r="E271" t="s">
        <v>23</v>
      </c>
      <c r="F271" t="s">
        <v>24</v>
      </c>
      <c r="G271">
        <v>784</v>
      </c>
      <c r="H271">
        <v>251</v>
      </c>
      <c r="I271">
        <v>82.43</v>
      </c>
      <c r="J271">
        <v>0.25</v>
      </c>
      <c r="K271">
        <v>31.86</v>
      </c>
      <c r="L271">
        <v>0.53</v>
      </c>
      <c r="M271">
        <v>135.93</v>
      </c>
      <c r="N271">
        <v>3</v>
      </c>
      <c r="O271">
        <v>0</v>
      </c>
      <c r="P271">
        <v>10883</v>
      </c>
      <c r="Q271">
        <v>3419</v>
      </c>
      <c r="R271">
        <v>11</v>
      </c>
      <c r="S271">
        <v>1074</v>
      </c>
      <c r="T271">
        <v>26</v>
      </c>
      <c r="U271">
        <v>6353</v>
      </c>
      <c r="V271" s="1">
        <f t="shared" si="12"/>
        <v>0.32019999999999998</v>
      </c>
      <c r="W271" s="1">
        <f t="shared" si="13"/>
        <v>3.8E-3</v>
      </c>
      <c r="X271" s="1">
        <f t="shared" si="14"/>
        <v>0</v>
      </c>
    </row>
    <row r="272" spans="1:24" x14ac:dyDescent="0.25">
      <c r="A272">
        <v>2023</v>
      </c>
      <c r="B272">
        <v>5</v>
      </c>
      <c r="C272" t="s">
        <v>31</v>
      </c>
      <c r="D272" t="str">
        <f>_xlfn.XLOOKUP(C272,'Carrier Name Rename'!A:A,'Carrier Name Rename'!B:B)</f>
        <v>American Airlines Inc.</v>
      </c>
      <c r="E272" t="s">
        <v>23</v>
      </c>
      <c r="F272" t="s">
        <v>24</v>
      </c>
      <c r="G272">
        <v>454</v>
      </c>
      <c r="H272">
        <v>86</v>
      </c>
      <c r="I272">
        <v>29.33</v>
      </c>
      <c r="J272">
        <v>3.13</v>
      </c>
      <c r="K272">
        <v>12.15</v>
      </c>
      <c r="L272">
        <v>0</v>
      </c>
      <c r="M272">
        <v>41.39</v>
      </c>
      <c r="N272">
        <v>3</v>
      </c>
      <c r="O272">
        <v>1</v>
      </c>
      <c r="P272">
        <v>6946</v>
      </c>
      <c r="Q272">
        <v>2353</v>
      </c>
      <c r="R272">
        <v>156</v>
      </c>
      <c r="S272">
        <v>477</v>
      </c>
      <c r="T272">
        <v>0</v>
      </c>
      <c r="U272">
        <v>3960</v>
      </c>
      <c r="V272" s="1">
        <f t="shared" si="12"/>
        <v>0.18940000000000001</v>
      </c>
      <c r="W272" s="1">
        <f t="shared" si="13"/>
        <v>6.6E-3</v>
      </c>
      <c r="X272" s="1">
        <f t="shared" si="14"/>
        <v>2.2000000000000001E-3</v>
      </c>
    </row>
    <row r="273" spans="1:24" x14ac:dyDescent="0.25">
      <c r="A273">
        <v>2023</v>
      </c>
      <c r="B273">
        <v>5</v>
      </c>
      <c r="C273" t="s">
        <v>33</v>
      </c>
      <c r="D273" t="str">
        <f>_xlfn.XLOOKUP(C273,'Carrier Name Rename'!A:A,'Carrier Name Rename'!B:B)</f>
        <v>Alaska Airlines Inc.</v>
      </c>
      <c r="E273" t="s">
        <v>23</v>
      </c>
      <c r="F273" t="s">
        <v>24</v>
      </c>
      <c r="G273">
        <v>6434</v>
      </c>
      <c r="H273">
        <v>828</v>
      </c>
      <c r="I273">
        <v>231.48</v>
      </c>
      <c r="J273">
        <v>13.75</v>
      </c>
      <c r="K273">
        <v>239.78</v>
      </c>
      <c r="L273">
        <v>6.88</v>
      </c>
      <c r="M273">
        <v>336.11</v>
      </c>
      <c r="N273">
        <v>20</v>
      </c>
      <c r="O273">
        <v>4</v>
      </c>
      <c r="P273">
        <v>41116</v>
      </c>
      <c r="Q273">
        <v>12449</v>
      </c>
      <c r="R273">
        <v>1585</v>
      </c>
      <c r="S273">
        <v>6858</v>
      </c>
      <c r="T273">
        <v>317</v>
      </c>
      <c r="U273">
        <v>19907</v>
      </c>
      <c r="V273" s="1">
        <f t="shared" si="12"/>
        <v>0.12870000000000001</v>
      </c>
      <c r="W273" s="1">
        <f t="shared" si="13"/>
        <v>3.0999999999999999E-3</v>
      </c>
      <c r="X273" s="1">
        <f t="shared" si="14"/>
        <v>5.9999999999999995E-4</v>
      </c>
    </row>
    <row r="274" spans="1:24" x14ac:dyDescent="0.25">
      <c r="A274">
        <v>2023</v>
      </c>
      <c r="B274">
        <v>5</v>
      </c>
      <c r="C274" t="s">
        <v>35</v>
      </c>
      <c r="D274" t="str">
        <f>_xlfn.XLOOKUP(C274,'Carrier Name Rename'!A:A,'Carrier Name Rename'!B:B)</f>
        <v>JetBlue Airways</v>
      </c>
      <c r="E274" t="s">
        <v>23</v>
      </c>
      <c r="F274" t="s">
        <v>24</v>
      </c>
      <c r="G274">
        <v>116</v>
      </c>
      <c r="H274">
        <v>15</v>
      </c>
      <c r="I274">
        <v>11.02</v>
      </c>
      <c r="J274">
        <v>0</v>
      </c>
      <c r="K274">
        <v>2.83</v>
      </c>
      <c r="L274">
        <v>0</v>
      </c>
      <c r="M274">
        <v>1.1599999999999999</v>
      </c>
      <c r="N274">
        <v>2</v>
      </c>
      <c r="O274">
        <v>0</v>
      </c>
      <c r="P274">
        <v>613</v>
      </c>
      <c r="Q274">
        <v>476</v>
      </c>
      <c r="R274">
        <v>0</v>
      </c>
      <c r="S274">
        <v>66</v>
      </c>
      <c r="T274">
        <v>0</v>
      </c>
      <c r="U274">
        <v>71</v>
      </c>
      <c r="V274" s="1">
        <f t="shared" si="12"/>
        <v>0.1293</v>
      </c>
      <c r="W274" s="1">
        <f t="shared" si="13"/>
        <v>1.72E-2</v>
      </c>
      <c r="X274" s="1">
        <f t="shared" si="14"/>
        <v>0</v>
      </c>
    </row>
    <row r="275" spans="1:24" x14ac:dyDescent="0.25">
      <c r="A275">
        <v>2023</v>
      </c>
      <c r="B275">
        <v>5</v>
      </c>
      <c r="C275" t="s">
        <v>37</v>
      </c>
      <c r="D275" t="str">
        <f>_xlfn.XLOOKUP(C275,'Carrier Name Rename'!A:A,'Carrier Name Rename'!B:B)</f>
        <v>Delta Air Lines Inc.</v>
      </c>
      <c r="E275" t="s">
        <v>23</v>
      </c>
      <c r="F275" t="s">
        <v>24</v>
      </c>
      <c r="G275">
        <v>2830</v>
      </c>
      <c r="H275">
        <v>309</v>
      </c>
      <c r="I275">
        <v>122.5</v>
      </c>
      <c r="J275">
        <v>5.55</v>
      </c>
      <c r="K275">
        <v>74.87</v>
      </c>
      <c r="L275">
        <v>1</v>
      </c>
      <c r="M275">
        <v>105.08</v>
      </c>
      <c r="N275">
        <v>16</v>
      </c>
      <c r="O275">
        <v>4</v>
      </c>
      <c r="P275">
        <v>21896</v>
      </c>
      <c r="Q275">
        <v>12160</v>
      </c>
      <c r="R275">
        <v>324</v>
      </c>
      <c r="S275">
        <v>1891</v>
      </c>
      <c r="T275">
        <v>15</v>
      </c>
      <c r="U275">
        <v>7506</v>
      </c>
      <c r="V275" s="1">
        <f t="shared" si="12"/>
        <v>0.10920000000000001</v>
      </c>
      <c r="W275" s="1">
        <f t="shared" si="13"/>
        <v>5.7000000000000002E-3</v>
      </c>
      <c r="X275" s="1">
        <f t="shared" si="14"/>
        <v>1.4E-3</v>
      </c>
    </row>
    <row r="276" spans="1:24" x14ac:dyDescent="0.25">
      <c r="A276">
        <v>2023</v>
      </c>
      <c r="B276">
        <v>5</v>
      </c>
      <c r="C276" t="s">
        <v>39</v>
      </c>
      <c r="D276" t="str">
        <f>_xlfn.XLOOKUP(C276,'Carrier Name Rename'!A:A,'Carrier Name Rename'!B:B)</f>
        <v>Frontier Airlines Inc.</v>
      </c>
      <c r="E276" t="s">
        <v>23</v>
      </c>
      <c r="F276" t="s">
        <v>24</v>
      </c>
      <c r="G276">
        <v>77</v>
      </c>
      <c r="H276">
        <v>24</v>
      </c>
      <c r="I276">
        <v>5.38</v>
      </c>
      <c r="J276">
        <v>1.1599999999999999</v>
      </c>
      <c r="K276">
        <v>5.73</v>
      </c>
      <c r="L276">
        <v>0</v>
      </c>
      <c r="M276">
        <v>11.72</v>
      </c>
      <c r="N276">
        <v>0</v>
      </c>
      <c r="O276">
        <v>0</v>
      </c>
      <c r="P276">
        <v>2319</v>
      </c>
      <c r="Q276">
        <v>1077</v>
      </c>
      <c r="R276">
        <v>36</v>
      </c>
      <c r="S276">
        <v>468</v>
      </c>
      <c r="T276">
        <v>0</v>
      </c>
      <c r="U276">
        <v>738</v>
      </c>
      <c r="V276" s="1">
        <f t="shared" si="12"/>
        <v>0.31169999999999998</v>
      </c>
      <c r="W276" s="1">
        <f t="shared" si="13"/>
        <v>0</v>
      </c>
      <c r="X276" s="1">
        <f t="shared" si="14"/>
        <v>0</v>
      </c>
    </row>
    <row r="277" spans="1:24" x14ac:dyDescent="0.25">
      <c r="A277">
        <v>2023</v>
      </c>
      <c r="B277">
        <v>5</v>
      </c>
      <c r="C277" t="s">
        <v>21</v>
      </c>
      <c r="D277" t="str">
        <f>_xlfn.XLOOKUP(C277,'Carrier Name Rename'!A:A,'Carrier Name Rename'!B:B)</f>
        <v>Hawaiian Airlines Inc.</v>
      </c>
      <c r="E277" t="s">
        <v>23</v>
      </c>
      <c r="F277" t="s">
        <v>24</v>
      </c>
      <c r="G277">
        <v>62</v>
      </c>
      <c r="H277">
        <v>37</v>
      </c>
      <c r="I277">
        <v>26.66</v>
      </c>
      <c r="J277">
        <v>0</v>
      </c>
      <c r="K277">
        <v>0</v>
      </c>
      <c r="L277">
        <v>0.7</v>
      </c>
      <c r="M277">
        <v>9.65</v>
      </c>
      <c r="N277">
        <v>0</v>
      </c>
      <c r="O277">
        <v>0</v>
      </c>
      <c r="P277">
        <v>1651</v>
      </c>
      <c r="Q277">
        <v>996</v>
      </c>
      <c r="R277">
        <v>0</v>
      </c>
      <c r="S277">
        <v>0</v>
      </c>
      <c r="T277">
        <v>16</v>
      </c>
      <c r="U277">
        <v>639</v>
      </c>
      <c r="V277" s="1">
        <f t="shared" si="12"/>
        <v>0.5968</v>
      </c>
      <c r="W277" s="1">
        <f t="shared" si="13"/>
        <v>0</v>
      </c>
      <c r="X277" s="1">
        <f t="shared" si="14"/>
        <v>0</v>
      </c>
    </row>
    <row r="278" spans="1:24" x14ac:dyDescent="0.25">
      <c r="A278">
        <v>2023</v>
      </c>
      <c r="B278">
        <v>5</v>
      </c>
      <c r="C278" t="s">
        <v>25</v>
      </c>
      <c r="D278" t="str">
        <f>_xlfn.XLOOKUP(C278,'Carrier Name Rename'!A:A,'Carrier Name Rename'!B:B)</f>
        <v>Spirit Airlines</v>
      </c>
      <c r="E278" t="s">
        <v>23</v>
      </c>
      <c r="F278" t="s">
        <v>24</v>
      </c>
      <c r="G278">
        <v>96</v>
      </c>
      <c r="H278">
        <v>21</v>
      </c>
      <c r="I278">
        <v>3.83</v>
      </c>
      <c r="J278">
        <v>0.6</v>
      </c>
      <c r="K278">
        <v>14.83</v>
      </c>
      <c r="L278">
        <v>0.15</v>
      </c>
      <c r="M278">
        <v>1.6</v>
      </c>
      <c r="N278">
        <v>0</v>
      </c>
      <c r="O278">
        <v>0</v>
      </c>
      <c r="P278">
        <v>1208</v>
      </c>
      <c r="Q278">
        <v>210</v>
      </c>
      <c r="R278">
        <v>31</v>
      </c>
      <c r="S278">
        <v>877</v>
      </c>
      <c r="T278">
        <v>8</v>
      </c>
      <c r="U278">
        <v>82</v>
      </c>
      <c r="V278" s="1">
        <f t="shared" si="12"/>
        <v>0.21879999999999999</v>
      </c>
      <c r="W278" s="1">
        <f t="shared" si="13"/>
        <v>0</v>
      </c>
      <c r="X278" s="1">
        <f t="shared" si="14"/>
        <v>0</v>
      </c>
    </row>
    <row r="279" spans="1:24" x14ac:dyDescent="0.25">
      <c r="A279">
        <v>2023</v>
      </c>
      <c r="B279">
        <v>5</v>
      </c>
      <c r="C279" t="s">
        <v>27</v>
      </c>
      <c r="D279" t="str">
        <f>_xlfn.XLOOKUP(C279,'Carrier Name Rename'!A:A,'Carrier Name Rename'!B:B)</f>
        <v>SkyWest Airlines Inc.</v>
      </c>
      <c r="E279" t="s">
        <v>23</v>
      </c>
      <c r="F279" t="s">
        <v>24</v>
      </c>
      <c r="G279">
        <v>2255</v>
      </c>
      <c r="H279">
        <v>161</v>
      </c>
      <c r="I279">
        <v>109</v>
      </c>
      <c r="J279">
        <v>18</v>
      </c>
      <c r="K279">
        <v>1</v>
      </c>
      <c r="L279">
        <v>0</v>
      </c>
      <c r="M279">
        <v>33</v>
      </c>
      <c r="N279">
        <v>1</v>
      </c>
      <c r="O279">
        <v>0</v>
      </c>
      <c r="P279">
        <v>10441</v>
      </c>
      <c r="Q279">
        <v>6906</v>
      </c>
      <c r="R279">
        <v>987</v>
      </c>
      <c r="S279">
        <v>24</v>
      </c>
      <c r="T279">
        <v>0</v>
      </c>
      <c r="U279">
        <v>2524</v>
      </c>
      <c r="V279" s="1">
        <f t="shared" si="12"/>
        <v>7.1400000000000005E-2</v>
      </c>
      <c r="W279" s="1">
        <f t="shared" si="13"/>
        <v>4.0000000000000002E-4</v>
      </c>
      <c r="X279" s="1">
        <f t="shared" si="14"/>
        <v>0</v>
      </c>
    </row>
    <row r="280" spans="1:24" x14ac:dyDescent="0.25">
      <c r="A280">
        <v>2023</v>
      </c>
      <c r="B280">
        <v>5</v>
      </c>
      <c r="C280" t="s">
        <v>29</v>
      </c>
      <c r="D280" t="str">
        <f>_xlfn.XLOOKUP(C280,'Carrier Name Rename'!A:A,'Carrier Name Rename'!B:B)</f>
        <v>Horizon Air</v>
      </c>
      <c r="E280" t="s">
        <v>23</v>
      </c>
      <c r="F280" t="s">
        <v>24</v>
      </c>
      <c r="G280">
        <v>1476</v>
      </c>
      <c r="H280">
        <v>150</v>
      </c>
      <c r="I280">
        <v>55.69</v>
      </c>
      <c r="J280">
        <v>6.86</v>
      </c>
      <c r="K280">
        <v>30.84</v>
      </c>
      <c r="L280">
        <v>0</v>
      </c>
      <c r="M280">
        <v>56.62</v>
      </c>
      <c r="N280">
        <v>3</v>
      </c>
      <c r="O280">
        <v>0</v>
      </c>
      <c r="P280">
        <v>9356</v>
      </c>
      <c r="Q280">
        <v>5077</v>
      </c>
      <c r="R280">
        <v>462</v>
      </c>
      <c r="S280">
        <v>850</v>
      </c>
      <c r="T280">
        <v>0</v>
      </c>
      <c r="U280">
        <v>2967</v>
      </c>
      <c r="V280" s="1">
        <f t="shared" si="12"/>
        <v>0.1016</v>
      </c>
      <c r="W280" s="1">
        <f t="shared" si="13"/>
        <v>2E-3</v>
      </c>
      <c r="X280" s="1">
        <f t="shared" si="14"/>
        <v>0</v>
      </c>
    </row>
    <row r="281" spans="1:24" x14ac:dyDescent="0.25">
      <c r="A281">
        <v>2023</v>
      </c>
      <c r="B281">
        <v>5</v>
      </c>
      <c r="C281" t="s">
        <v>41</v>
      </c>
      <c r="D281" t="str">
        <f>_xlfn.XLOOKUP(C281,'Carrier Name Rename'!A:A,'Carrier Name Rename'!B:B)</f>
        <v>United Air Lines Inc.</v>
      </c>
      <c r="E281" t="s">
        <v>23</v>
      </c>
      <c r="F281" t="s">
        <v>24</v>
      </c>
      <c r="G281">
        <v>748</v>
      </c>
      <c r="H281">
        <v>143</v>
      </c>
      <c r="I281">
        <v>47.66</v>
      </c>
      <c r="J281">
        <v>5.96</v>
      </c>
      <c r="K281">
        <v>28.93</v>
      </c>
      <c r="L281">
        <v>0</v>
      </c>
      <c r="M281">
        <v>60.45</v>
      </c>
      <c r="N281">
        <v>2</v>
      </c>
      <c r="O281">
        <v>0</v>
      </c>
      <c r="P281">
        <v>9819</v>
      </c>
      <c r="Q281">
        <v>2727</v>
      </c>
      <c r="R281">
        <v>279</v>
      </c>
      <c r="S281">
        <v>850</v>
      </c>
      <c r="T281">
        <v>0</v>
      </c>
      <c r="U281">
        <v>5963</v>
      </c>
      <c r="V281" s="1">
        <f t="shared" si="12"/>
        <v>0.19120000000000001</v>
      </c>
      <c r="W281" s="1">
        <f t="shared" si="13"/>
        <v>2.7000000000000001E-3</v>
      </c>
      <c r="X281" s="1">
        <f t="shared" si="14"/>
        <v>0</v>
      </c>
    </row>
    <row r="282" spans="1:24" x14ac:dyDescent="0.25">
      <c r="A282">
        <v>2023</v>
      </c>
      <c r="B282">
        <v>5</v>
      </c>
      <c r="C282" t="s">
        <v>43</v>
      </c>
      <c r="D282" t="str">
        <f>_xlfn.XLOOKUP(C282,'Carrier Name Rename'!A:A,'Carrier Name Rename'!B:B)</f>
        <v>Southwest Airlines Co.</v>
      </c>
      <c r="E282" t="s">
        <v>23</v>
      </c>
      <c r="F282" t="s">
        <v>24</v>
      </c>
      <c r="G282">
        <v>708</v>
      </c>
      <c r="H282">
        <v>130</v>
      </c>
      <c r="I282">
        <v>52.74</v>
      </c>
      <c r="J282">
        <v>0.9</v>
      </c>
      <c r="K282">
        <v>13.48</v>
      </c>
      <c r="L282">
        <v>0</v>
      </c>
      <c r="M282">
        <v>62.88</v>
      </c>
      <c r="N282">
        <v>1</v>
      </c>
      <c r="O282">
        <v>0</v>
      </c>
      <c r="P282">
        <v>5907</v>
      </c>
      <c r="Q282">
        <v>2051</v>
      </c>
      <c r="R282">
        <v>19</v>
      </c>
      <c r="S282">
        <v>421</v>
      </c>
      <c r="T282">
        <v>0</v>
      </c>
      <c r="U282">
        <v>3416</v>
      </c>
      <c r="V282" s="1">
        <f t="shared" si="12"/>
        <v>0.18360000000000001</v>
      </c>
      <c r="W282" s="1">
        <f t="shared" si="13"/>
        <v>1.4E-3</v>
      </c>
      <c r="X282" s="1">
        <f t="shared" si="14"/>
        <v>0</v>
      </c>
    </row>
    <row r="283" spans="1:24" x14ac:dyDescent="0.25">
      <c r="A283">
        <v>2023</v>
      </c>
      <c r="B283">
        <v>4</v>
      </c>
      <c r="C283" t="s">
        <v>31</v>
      </c>
      <c r="D283" t="str">
        <f>_xlfn.XLOOKUP(C283,'Carrier Name Rename'!A:A,'Carrier Name Rename'!B:B)</f>
        <v>American Airlines Inc.</v>
      </c>
      <c r="E283" t="s">
        <v>23</v>
      </c>
      <c r="F283" t="s">
        <v>24</v>
      </c>
      <c r="G283">
        <v>435</v>
      </c>
      <c r="H283">
        <v>127</v>
      </c>
      <c r="I283">
        <v>33.979999999999997</v>
      </c>
      <c r="J283">
        <v>5.38</v>
      </c>
      <c r="K283">
        <v>35.520000000000003</v>
      </c>
      <c r="L283">
        <v>0.31</v>
      </c>
      <c r="M283">
        <v>51.81</v>
      </c>
      <c r="N283">
        <v>5</v>
      </c>
      <c r="O283">
        <v>1</v>
      </c>
      <c r="P283">
        <v>8963</v>
      </c>
      <c r="Q283">
        <v>3018</v>
      </c>
      <c r="R283">
        <v>324</v>
      </c>
      <c r="S283">
        <v>1034</v>
      </c>
      <c r="T283">
        <v>25</v>
      </c>
      <c r="U283">
        <v>4562</v>
      </c>
      <c r="V283" s="1">
        <f t="shared" si="12"/>
        <v>0.29199999999999998</v>
      </c>
      <c r="W283" s="1">
        <f t="shared" si="13"/>
        <v>1.15E-2</v>
      </c>
      <c r="X283" s="1">
        <f t="shared" si="14"/>
        <v>2.3E-3</v>
      </c>
    </row>
    <row r="284" spans="1:24" x14ac:dyDescent="0.25">
      <c r="A284">
        <v>2023</v>
      </c>
      <c r="B284">
        <v>4</v>
      </c>
      <c r="C284" t="s">
        <v>33</v>
      </c>
      <c r="D284" t="str">
        <f>_xlfn.XLOOKUP(C284,'Carrier Name Rename'!A:A,'Carrier Name Rename'!B:B)</f>
        <v>Alaska Airlines Inc.</v>
      </c>
      <c r="E284" t="s">
        <v>23</v>
      </c>
      <c r="F284" t="s">
        <v>24</v>
      </c>
      <c r="G284">
        <v>5921</v>
      </c>
      <c r="H284">
        <v>1185</v>
      </c>
      <c r="I284">
        <v>283.39999999999998</v>
      </c>
      <c r="J284">
        <v>29.13</v>
      </c>
      <c r="K284">
        <v>446.97</v>
      </c>
      <c r="L284">
        <v>9.76</v>
      </c>
      <c r="M284">
        <v>415.74</v>
      </c>
      <c r="N284">
        <v>66</v>
      </c>
      <c r="O284">
        <v>11</v>
      </c>
      <c r="P284">
        <v>56922</v>
      </c>
      <c r="Q284">
        <v>18096</v>
      </c>
      <c r="R284">
        <v>1767</v>
      </c>
      <c r="S284">
        <v>13754</v>
      </c>
      <c r="T284">
        <v>298</v>
      </c>
      <c r="U284">
        <v>23007</v>
      </c>
      <c r="V284" s="1">
        <f t="shared" si="12"/>
        <v>0.2001</v>
      </c>
      <c r="W284" s="1">
        <f t="shared" si="13"/>
        <v>1.11E-2</v>
      </c>
      <c r="X284" s="1">
        <f t="shared" si="14"/>
        <v>1.9E-3</v>
      </c>
    </row>
    <row r="285" spans="1:24" x14ac:dyDescent="0.25">
      <c r="A285">
        <v>2023</v>
      </c>
      <c r="B285">
        <v>4</v>
      </c>
      <c r="C285" t="s">
        <v>35</v>
      </c>
      <c r="D285" t="str">
        <f>_xlfn.XLOOKUP(C285,'Carrier Name Rename'!A:A,'Carrier Name Rename'!B:B)</f>
        <v>JetBlue Airways</v>
      </c>
      <c r="E285" t="s">
        <v>23</v>
      </c>
      <c r="F285" t="s">
        <v>24</v>
      </c>
      <c r="G285">
        <v>62</v>
      </c>
      <c r="H285">
        <v>7</v>
      </c>
      <c r="I285">
        <v>4.54</v>
      </c>
      <c r="J285">
        <v>0</v>
      </c>
      <c r="K285">
        <v>0.6</v>
      </c>
      <c r="L285">
        <v>0</v>
      </c>
      <c r="M285">
        <v>1.86</v>
      </c>
      <c r="N285">
        <v>0</v>
      </c>
      <c r="O285">
        <v>0</v>
      </c>
      <c r="P285">
        <v>675</v>
      </c>
      <c r="Q285">
        <v>342</v>
      </c>
      <c r="R285">
        <v>0</v>
      </c>
      <c r="S285">
        <v>12</v>
      </c>
      <c r="T285">
        <v>0</v>
      </c>
      <c r="U285">
        <v>321</v>
      </c>
      <c r="V285" s="1">
        <f t="shared" si="12"/>
        <v>0.1129</v>
      </c>
      <c r="W285" s="1">
        <f t="shared" si="13"/>
        <v>0</v>
      </c>
      <c r="X285" s="1">
        <f t="shared" si="14"/>
        <v>0</v>
      </c>
    </row>
    <row r="286" spans="1:24" x14ac:dyDescent="0.25">
      <c r="A286">
        <v>2023</v>
      </c>
      <c r="B286">
        <v>4</v>
      </c>
      <c r="C286" t="s">
        <v>37</v>
      </c>
      <c r="D286" t="str">
        <f>_xlfn.XLOOKUP(C286,'Carrier Name Rename'!A:A,'Carrier Name Rename'!B:B)</f>
        <v>Delta Air Lines Inc.</v>
      </c>
      <c r="E286" t="s">
        <v>23</v>
      </c>
      <c r="F286" t="s">
        <v>24</v>
      </c>
      <c r="G286">
        <v>2581</v>
      </c>
      <c r="H286">
        <v>350</v>
      </c>
      <c r="I286">
        <v>134.99</v>
      </c>
      <c r="J286">
        <v>7.85</v>
      </c>
      <c r="K286">
        <v>70.34</v>
      </c>
      <c r="L286">
        <v>0</v>
      </c>
      <c r="M286">
        <v>136.81</v>
      </c>
      <c r="N286">
        <v>73</v>
      </c>
      <c r="O286">
        <v>3</v>
      </c>
      <c r="P286">
        <v>30407</v>
      </c>
      <c r="Q286">
        <v>15315</v>
      </c>
      <c r="R286">
        <v>2328</v>
      </c>
      <c r="S286">
        <v>2647</v>
      </c>
      <c r="T286">
        <v>0</v>
      </c>
      <c r="U286">
        <v>10117</v>
      </c>
      <c r="V286" s="1">
        <f t="shared" si="12"/>
        <v>0.1356</v>
      </c>
      <c r="W286" s="1">
        <f t="shared" si="13"/>
        <v>2.8299999999999999E-2</v>
      </c>
      <c r="X286" s="1">
        <f t="shared" si="14"/>
        <v>1.1999999999999999E-3</v>
      </c>
    </row>
    <row r="287" spans="1:24" x14ac:dyDescent="0.25">
      <c r="A287">
        <v>2023</v>
      </c>
      <c r="B287">
        <v>4</v>
      </c>
      <c r="C287" t="s">
        <v>39</v>
      </c>
      <c r="D287" t="str">
        <f>_xlfn.XLOOKUP(C287,'Carrier Name Rename'!A:A,'Carrier Name Rename'!B:B)</f>
        <v>Frontier Airlines Inc.</v>
      </c>
      <c r="E287" t="s">
        <v>23</v>
      </c>
      <c r="F287" t="s">
        <v>24</v>
      </c>
      <c r="G287">
        <v>80</v>
      </c>
      <c r="H287">
        <v>28</v>
      </c>
      <c r="I287">
        <v>9.24</v>
      </c>
      <c r="J287">
        <v>0</v>
      </c>
      <c r="K287">
        <v>5.24</v>
      </c>
      <c r="L287">
        <v>0</v>
      </c>
      <c r="M287">
        <v>13.52</v>
      </c>
      <c r="N287">
        <v>0</v>
      </c>
      <c r="O287">
        <v>0</v>
      </c>
      <c r="P287">
        <v>1650</v>
      </c>
      <c r="Q287">
        <v>591</v>
      </c>
      <c r="R287">
        <v>0</v>
      </c>
      <c r="S287">
        <v>213</v>
      </c>
      <c r="T287">
        <v>0</v>
      </c>
      <c r="U287">
        <v>846</v>
      </c>
      <c r="V287" s="1">
        <f t="shared" si="12"/>
        <v>0.35</v>
      </c>
      <c r="W287" s="1">
        <f t="shared" si="13"/>
        <v>0</v>
      </c>
      <c r="X287" s="1">
        <f t="shared" si="14"/>
        <v>0</v>
      </c>
    </row>
    <row r="288" spans="1:24" x14ac:dyDescent="0.25">
      <c r="A288">
        <v>2023</v>
      </c>
      <c r="B288">
        <v>4</v>
      </c>
      <c r="C288" t="s">
        <v>21</v>
      </c>
      <c r="D288" t="str">
        <f>_xlfn.XLOOKUP(C288,'Carrier Name Rename'!A:A,'Carrier Name Rename'!B:B)</f>
        <v>Hawaiian Airlines Inc.</v>
      </c>
      <c r="E288" t="s">
        <v>23</v>
      </c>
      <c r="F288" t="s">
        <v>24</v>
      </c>
      <c r="G288">
        <v>66</v>
      </c>
      <c r="H288">
        <v>38</v>
      </c>
      <c r="I288">
        <v>31.11</v>
      </c>
      <c r="J288">
        <v>0</v>
      </c>
      <c r="K288">
        <v>0.4</v>
      </c>
      <c r="L288">
        <v>0</v>
      </c>
      <c r="M288">
        <v>6.49</v>
      </c>
      <c r="N288">
        <v>0</v>
      </c>
      <c r="O288">
        <v>0</v>
      </c>
      <c r="P288">
        <v>1629</v>
      </c>
      <c r="Q288">
        <v>1314</v>
      </c>
      <c r="R288">
        <v>0</v>
      </c>
      <c r="S288">
        <v>6</v>
      </c>
      <c r="T288">
        <v>0</v>
      </c>
      <c r="U288">
        <v>309</v>
      </c>
      <c r="V288" s="1">
        <f t="shared" si="12"/>
        <v>0.57579999999999998</v>
      </c>
      <c r="W288" s="1">
        <f t="shared" si="13"/>
        <v>0</v>
      </c>
      <c r="X288" s="1">
        <f t="shared" si="14"/>
        <v>0</v>
      </c>
    </row>
    <row r="289" spans="1:24" x14ac:dyDescent="0.25">
      <c r="A289">
        <v>2023</v>
      </c>
      <c r="B289">
        <v>4</v>
      </c>
      <c r="C289" t="s">
        <v>25</v>
      </c>
      <c r="D289" t="str">
        <f>_xlfn.XLOOKUP(C289,'Carrier Name Rename'!A:A,'Carrier Name Rename'!B:B)</f>
        <v>Spirit Airlines</v>
      </c>
      <c r="E289" t="s">
        <v>23</v>
      </c>
      <c r="F289" t="s">
        <v>24</v>
      </c>
      <c r="G289">
        <v>116</v>
      </c>
      <c r="H289">
        <v>30</v>
      </c>
      <c r="I289">
        <v>7.51</v>
      </c>
      <c r="J289">
        <v>0</v>
      </c>
      <c r="K289">
        <v>16.29</v>
      </c>
      <c r="L289">
        <v>0</v>
      </c>
      <c r="M289">
        <v>6.2</v>
      </c>
      <c r="N289">
        <v>4</v>
      </c>
      <c r="O289">
        <v>0</v>
      </c>
      <c r="P289">
        <v>1864</v>
      </c>
      <c r="Q289">
        <v>414</v>
      </c>
      <c r="R289">
        <v>0</v>
      </c>
      <c r="S289">
        <v>1195</v>
      </c>
      <c r="T289">
        <v>0</v>
      </c>
      <c r="U289">
        <v>255</v>
      </c>
      <c r="V289" s="1">
        <f t="shared" si="12"/>
        <v>0.2586</v>
      </c>
      <c r="W289" s="1">
        <f t="shared" si="13"/>
        <v>3.4500000000000003E-2</v>
      </c>
      <c r="X289" s="1">
        <f t="shared" si="14"/>
        <v>0</v>
      </c>
    </row>
    <row r="290" spans="1:24" x14ac:dyDescent="0.25">
      <c r="A290">
        <v>2023</v>
      </c>
      <c r="B290">
        <v>4</v>
      </c>
      <c r="C290" t="s">
        <v>27</v>
      </c>
      <c r="D290" t="str">
        <f>_xlfn.XLOOKUP(C290,'Carrier Name Rename'!A:A,'Carrier Name Rename'!B:B)</f>
        <v>SkyWest Airlines Inc.</v>
      </c>
      <c r="E290" t="s">
        <v>23</v>
      </c>
      <c r="F290" t="s">
        <v>24</v>
      </c>
      <c r="G290">
        <v>2272</v>
      </c>
      <c r="H290">
        <v>166</v>
      </c>
      <c r="I290">
        <v>120</v>
      </c>
      <c r="J290">
        <v>13</v>
      </c>
      <c r="K290">
        <v>2</v>
      </c>
      <c r="L290">
        <v>0</v>
      </c>
      <c r="M290">
        <v>31</v>
      </c>
      <c r="N290">
        <v>4</v>
      </c>
      <c r="O290">
        <v>0</v>
      </c>
      <c r="P290">
        <v>7799</v>
      </c>
      <c r="Q290">
        <v>5851</v>
      </c>
      <c r="R290">
        <v>537</v>
      </c>
      <c r="S290">
        <v>44</v>
      </c>
      <c r="T290">
        <v>0</v>
      </c>
      <c r="U290">
        <v>1367</v>
      </c>
      <c r="V290" s="1">
        <f t="shared" si="12"/>
        <v>7.3099999999999998E-2</v>
      </c>
      <c r="W290" s="1">
        <f t="shared" si="13"/>
        <v>1.8E-3</v>
      </c>
      <c r="X290" s="1">
        <f t="shared" si="14"/>
        <v>0</v>
      </c>
    </row>
    <row r="291" spans="1:24" x14ac:dyDescent="0.25">
      <c r="A291">
        <v>2023</v>
      </c>
      <c r="B291">
        <v>4</v>
      </c>
      <c r="C291" t="s">
        <v>29</v>
      </c>
      <c r="D291" t="str">
        <f>_xlfn.XLOOKUP(C291,'Carrier Name Rename'!A:A,'Carrier Name Rename'!B:B)</f>
        <v>Horizon Air</v>
      </c>
      <c r="E291" t="s">
        <v>23</v>
      </c>
      <c r="F291" t="s">
        <v>24</v>
      </c>
      <c r="G291">
        <v>1403</v>
      </c>
      <c r="H291">
        <v>116</v>
      </c>
      <c r="I291">
        <v>38.76</v>
      </c>
      <c r="J291">
        <v>2.37</v>
      </c>
      <c r="K291">
        <v>37.03</v>
      </c>
      <c r="L291">
        <v>0.9</v>
      </c>
      <c r="M291">
        <v>36.93</v>
      </c>
      <c r="N291">
        <v>10</v>
      </c>
      <c r="O291">
        <v>1</v>
      </c>
      <c r="P291">
        <v>7732</v>
      </c>
      <c r="Q291">
        <v>3585</v>
      </c>
      <c r="R291">
        <v>746</v>
      </c>
      <c r="S291">
        <v>1056</v>
      </c>
      <c r="T291">
        <v>27</v>
      </c>
      <c r="U291">
        <v>2318</v>
      </c>
      <c r="V291" s="1">
        <f t="shared" si="12"/>
        <v>8.2699999999999996E-2</v>
      </c>
      <c r="W291" s="1">
        <f t="shared" si="13"/>
        <v>7.1000000000000004E-3</v>
      </c>
      <c r="X291" s="1">
        <f t="shared" si="14"/>
        <v>6.9999999999999999E-4</v>
      </c>
    </row>
    <row r="292" spans="1:24" x14ac:dyDescent="0.25">
      <c r="A292">
        <v>2023</v>
      </c>
      <c r="B292">
        <v>4</v>
      </c>
      <c r="C292" t="s">
        <v>41</v>
      </c>
      <c r="D292" t="str">
        <f>_xlfn.XLOOKUP(C292,'Carrier Name Rename'!A:A,'Carrier Name Rename'!B:B)</f>
        <v>United Air Lines Inc.</v>
      </c>
      <c r="E292" t="s">
        <v>23</v>
      </c>
      <c r="F292" t="s">
        <v>24</v>
      </c>
      <c r="G292">
        <v>665</v>
      </c>
      <c r="H292">
        <v>142</v>
      </c>
      <c r="I292">
        <v>57.7</v>
      </c>
      <c r="J292">
        <v>4.1900000000000004</v>
      </c>
      <c r="K292">
        <v>38.979999999999997</v>
      </c>
      <c r="L292">
        <v>0</v>
      </c>
      <c r="M292">
        <v>41.13</v>
      </c>
      <c r="N292">
        <v>3</v>
      </c>
      <c r="O292">
        <v>2</v>
      </c>
      <c r="P292">
        <v>8188</v>
      </c>
      <c r="Q292">
        <v>3362</v>
      </c>
      <c r="R292">
        <v>383</v>
      </c>
      <c r="S292">
        <v>1497</v>
      </c>
      <c r="T292">
        <v>0</v>
      </c>
      <c r="U292">
        <v>2946</v>
      </c>
      <c r="V292" s="1">
        <f t="shared" si="12"/>
        <v>0.2135</v>
      </c>
      <c r="W292" s="1">
        <f t="shared" si="13"/>
        <v>4.4999999999999997E-3</v>
      </c>
      <c r="X292" s="1">
        <f t="shared" si="14"/>
        <v>3.0000000000000001E-3</v>
      </c>
    </row>
    <row r="293" spans="1:24" x14ac:dyDescent="0.25">
      <c r="A293">
        <v>2023</v>
      </c>
      <c r="B293">
        <v>4</v>
      </c>
      <c r="C293" t="s">
        <v>43</v>
      </c>
      <c r="D293" t="str">
        <f>_xlfn.XLOOKUP(C293,'Carrier Name Rename'!A:A,'Carrier Name Rename'!B:B)</f>
        <v>Southwest Airlines Co.</v>
      </c>
      <c r="E293" t="s">
        <v>23</v>
      </c>
      <c r="F293" t="s">
        <v>24</v>
      </c>
      <c r="G293">
        <v>620</v>
      </c>
      <c r="H293">
        <v>160</v>
      </c>
      <c r="I293">
        <v>61.84</v>
      </c>
      <c r="J293">
        <v>1.18</v>
      </c>
      <c r="K293">
        <v>23.79</v>
      </c>
      <c r="L293">
        <v>0</v>
      </c>
      <c r="M293">
        <v>73.19</v>
      </c>
      <c r="N293">
        <v>1</v>
      </c>
      <c r="O293">
        <v>0</v>
      </c>
      <c r="P293">
        <v>7401</v>
      </c>
      <c r="Q293">
        <v>2608</v>
      </c>
      <c r="R293">
        <v>105</v>
      </c>
      <c r="S293">
        <v>692</v>
      </c>
      <c r="T293">
        <v>0</v>
      </c>
      <c r="U293">
        <v>3996</v>
      </c>
      <c r="V293" s="1">
        <f t="shared" si="12"/>
        <v>0.2581</v>
      </c>
      <c r="W293" s="1">
        <f t="shared" si="13"/>
        <v>1.6000000000000001E-3</v>
      </c>
      <c r="X293" s="1">
        <f t="shared" si="14"/>
        <v>0</v>
      </c>
    </row>
    <row r="294" spans="1:24" x14ac:dyDescent="0.25">
      <c r="A294">
        <v>2023</v>
      </c>
      <c r="B294">
        <v>3</v>
      </c>
      <c r="C294" t="s">
        <v>31</v>
      </c>
      <c r="D294" t="str">
        <f>_xlfn.XLOOKUP(C294,'Carrier Name Rename'!A:A,'Carrier Name Rename'!B:B)</f>
        <v>American Airlines Inc.</v>
      </c>
      <c r="E294" t="s">
        <v>23</v>
      </c>
      <c r="F294" t="s">
        <v>24</v>
      </c>
      <c r="G294">
        <v>452</v>
      </c>
      <c r="H294">
        <v>133</v>
      </c>
      <c r="I294">
        <v>43.33</v>
      </c>
      <c r="J294">
        <v>6.35</v>
      </c>
      <c r="K294">
        <v>33.5</v>
      </c>
      <c r="L294">
        <v>0</v>
      </c>
      <c r="M294">
        <v>49.81</v>
      </c>
      <c r="N294">
        <v>6</v>
      </c>
      <c r="O294">
        <v>0</v>
      </c>
      <c r="P294">
        <v>9627</v>
      </c>
      <c r="Q294">
        <v>3749</v>
      </c>
      <c r="R294">
        <v>860</v>
      </c>
      <c r="S294">
        <v>1141</v>
      </c>
      <c r="T294">
        <v>0</v>
      </c>
      <c r="U294">
        <v>3877</v>
      </c>
      <c r="V294" s="1">
        <f t="shared" si="12"/>
        <v>0.29420000000000002</v>
      </c>
      <c r="W294" s="1">
        <f t="shared" si="13"/>
        <v>1.3299999999999999E-2</v>
      </c>
      <c r="X294" s="1">
        <f t="shared" si="14"/>
        <v>0</v>
      </c>
    </row>
    <row r="295" spans="1:24" x14ac:dyDescent="0.25">
      <c r="A295">
        <v>2023</v>
      </c>
      <c r="B295">
        <v>3</v>
      </c>
      <c r="C295" t="s">
        <v>33</v>
      </c>
      <c r="D295" t="str">
        <f>_xlfn.XLOOKUP(C295,'Carrier Name Rename'!A:A,'Carrier Name Rename'!B:B)</f>
        <v>Alaska Airlines Inc.</v>
      </c>
      <c r="E295" t="s">
        <v>23</v>
      </c>
      <c r="F295" t="s">
        <v>24</v>
      </c>
      <c r="G295">
        <v>5919</v>
      </c>
      <c r="H295">
        <v>1082</v>
      </c>
      <c r="I295">
        <v>266.31</v>
      </c>
      <c r="J295">
        <v>23.85</v>
      </c>
      <c r="K295">
        <v>334.73</v>
      </c>
      <c r="L295">
        <v>9.93</v>
      </c>
      <c r="M295">
        <v>447.19</v>
      </c>
      <c r="N295">
        <v>53</v>
      </c>
      <c r="O295">
        <v>14</v>
      </c>
      <c r="P295">
        <v>54911</v>
      </c>
      <c r="Q295">
        <v>15879</v>
      </c>
      <c r="R295">
        <v>2269</v>
      </c>
      <c r="S295">
        <v>10477</v>
      </c>
      <c r="T295">
        <v>384</v>
      </c>
      <c r="U295">
        <v>25902</v>
      </c>
      <c r="V295" s="1">
        <f t="shared" si="12"/>
        <v>0.18279999999999999</v>
      </c>
      <c r="W295" s="1">
        <f t="shared" si="13"/>
        <v>8.9999999999999993E-3</v>
      </c>
      <c r="X295" s="1">
        <f t="shared" si="14"/>
        <v>2.3999999999999998E-3</v>
      </c>
    </row>
    <row r="296" spans="1:24" x14ac:dyDescent="0.25">
      <c r="A296">
        <v>2023</v>
      </c>
      <c r="B296">
        <v>3</v>
      </c>
      <c r="C296" t="s">
        <v>35</v>
      </c>
      <c r="D296" t="str">
        <f>_xlfn.XLOOKUP(C296,'Carrier Name Rename'!A:A,'Carrier Name Rename'!B:B)</f>
        <v>JetBlue Airways</v>
      </c>
      <c r="E296" t="s">
        <v>23</v>
      </c>
      <c r="F296" t="s">
        <v>24</v>
      </c>
      <c r="G296">
        <v>68</v>
      </c>
      <c r="H296">
        <v>15</v>
      </c>
      <c r="I296">
        <v>12.98</v>
      </c>
      <c r="J296">
        <v>0</v>
      </c>
      <c r="K296">
        <v>0.78</v>
      </c>
      <c r="L296">
        <v>0</v>
      </c>
      <c r="M296">
        <v>1.24</v>
      </c>
      <c r="N296">
        <v>0</v>
      </c>
      <c r="O296">
        <v>0</v>
      </c>
      <c r="P296">
        <v>1447</v>
      </c>
      <c r="Q296">
        <v>1324</v>
      </c>
      <c r="R296">
        <v>0</v>
      </c>
      <c r="S296">
        <v>37</v>
      </c>
      <c r="T296">
        <v>0</v>
      </c>
      <c r="U296">
        <v>86</v>
      </c>
      <c r="V296" s="1">
        <f t="shared" si="12"/>
        <v>0.22059999999999999</v>
      </c>
      <c r="W296" s="1">
        <f t="shared" si="13"/>
        <v>0</v>
      </c>
      <c r="X296" s="1">
        <f t="shared" si="14"/>
        <v>0</v>
      </c>
    </row>
    <row r="297" spans="1:24" x14ac:dyDescent="0.25">
      <c r="A297">
        <v>2023</v>
      </c>
      <c r="B297">
        <v>3</v>
      </c>
      <c r="C297" t="s">
        <v>37</v>
      </c>
      <c r="D297" t="str">
        <f>_xlfn.XLOOKUP(C297,'Carrier Name Rename'!A:A,'Carrier Name Rename'!B:B)</f>
        <v>Delta Air Lines Inc.</v>
      </c>
      <c r="E297" t="s">
        <v>23</v>
      </c>
      <c r="F297" t="s">
        <v>24</v>
      </c>
      <c r="G297">
        <v>2665</v>
      </c>
      <c r="H297">
        <v>393</v>
      </c>
      <c r="I297">
        <v>141.97999999999999</v>
      </c>
      <c r="J297">
        <v>4.97</v>
      </c>
      <c r="K297">
        <v>79.06</v>
      </c>
      <c r="L297">
        <v>0</v>
      </c>
      <c r="M297">
        <v>166.99</v>
      </c>
      <c r="N297">
        <v>57</v>
      </c>
      <c r="O297">
        <v>3</v>
      </c>
      <c r="P297">
        <v>29915</v>
      </c>
      <c r="Q297">
        <v>11540</v>
      </c>
      <c r="R297">
        <v>944</v>
      </c>
      <c r="S297">
        <v>2963</v>
      </c>
      <c r="T297">
        <v>0</v>
      </c>
      <c r="U297">
        <v>14468</v>
      </c>
      <c r="V297" s="1">
        <f t="shared" si="12"/>
        <v>0.14749999999999999</v>
      </c>
      <c r="W297" s="1">
        <f t="shared" si="13"/>
        <v>2.1399999999999999E-2</v>
      </c>
      <c r="X297" s="1">
        <f t="shared" si="14"/>
        <v>1.1000000000000001E-3</v>
      </c>
    </row>
    <row r="298" spans="1:24" x14ac:dyDescent="0.25">
      <c r="A298">
        <v>2023</v>
      </c>
      <c r="B298">
        <v>3</v>
      </c>
      <c r="C298" t="s">
        <v>39</v>
      </c>
      <c r="D298" t="str">
        <f>_xlfn.XLOOKUP(C298,'Carrier Name Rename'!A:A,'Carrier Name Rename'!B:B)</f>
        <v>Frontier Airlines Inc.</v>
      </c>
      <c r="E298" t="s">
        <v>23</v>
      </c>
      <c r="F298" t="s">
        <v>24</v>
      </c>
      <c r="G298">
        <v>80</v>
      </c>
      <c r="H298">
        <v>32</v>
      </c>
      <c r="I298">
        <v>14.02</v>
      </c>
      <c r="J298">
        <v>0</v>
      </c>
      <c r="K298">
        <v>8.9499999999999993</v>
      </c>
      <c r="L298">
        <v>0</v>
      </c>
      <c r="M298">
        <v>9.02</v>
      </c>
      <c r="N298">
        <v>0</v>
      </c>
      <c r="O298">
        <v>0</v>
      </c>
      <c r="P298">
        <v>1833</v>
      </c>
      <c r="Q298">
        <v>714</v>
      </c>
      <c r="R298">
        <v>0</v>
      </c>
      <c r="S298">
        <v>330</v>
      </c>
      <c r="T298">
        <v>0</v>
      </c>
      <c r="U298">
        <v>789</v>
      </c>
      <c r="V298" s="1">
        <f t="shared" si="12"/>
        <v>0.4</v>
      </c>
      <c r="W298" s="1">
        <f t="shared" si="13"/>
        <v>0</v>
      </c>
      <c r="X298" s="1">
        <f t="shared" si="14"/>
        <v>0</v>
      </c>
    </row>
    <row r="299" spans="1:24" x14ac:dyDescent="0.25">
      <c r="A299">
        <v>2023</v>
      </c>
      <c r="B299">
        <v>3</v>
      </c>
      <c r="C299" t="s">
        <v>21</v>
      </c>
      <c r="D299" t="str">
        <f>_xlfn.XLOOKUP(C299,'Carrier Name Rename'!A:A,'Carrier Name Rename'!B:B)</f>
        <v>Hawaiian Airlines Inc.</v>
      </c>
      <c r="E299" t="s">
        <v>23</v>
      </c>
      <c r="F299" t="s">
        <v>24</v>
      </c>
      <c r="G299">
        <v>65</v>
      </c>
      <c r="H299">
        <v>32</v>
      </c>
      <c r="I299">
        <v>21.54</v>
      </c>
      <c r="J299">
        <v>0.28999999999999998</v>
      </c>
      <c r="K299">
        <v>0.56000000000000005</v>
      </c>
      <c r="L299">
        <v>0</v>
      </c>
      <c r="M299">
        <v>9.61</v>
      </c>
      <c r="N299">
        <v>1</v>
      </c>
      <c r="O299">
        <v>0</v>
      </c>
      <c r="P299">
        <v>1167</v>
      </c>
      <c r="Q299">
        <v>695</v>
      </c>
      <c r="R299">
        <v>7</v>
      </c>
      <c r="S299">
        <v>24</v>
      </c>
      <c r="T299">
        <v>0</v>
      </c>
      <c r="U299">
        <v>441</v>
      </c>
      <c r="V299" s="1">
        <f t="shared" si="12"/>
        <v>0.49230000000000002</v>
      </c>
      <c r="W299" s="1">
        <f t="shared" si="13"/>
        <v>1.54E-2</v>
      </c>
      <c r="X299" s="1">
        <f t="shared" si="14"/>
        <v>0</v>
      </c>
    </row>
    <row r="300" spans="1:24" x14ac:dyDescent="0.25">
      <c r="A300">
        <v>2023</v>
      </c>
      <c r="B300">
        <v>3</v>
      </c>
      <c r="C300" t="s">
        <v>25</v>
      </c>
      <c r="D300" t="str">
        <f>_xlfn.XLOOKUP(C300,'Carrier Name Rename'!A:A,'Carrier Name Rename'!B:B)</f>
        <v>Spirit Airlines</v>
      </c>
      <c r="E300" t="s">
        <v>23</v>
      </c>
      <c r="F300" t="s">
        <v>24</v>
      </c>
      <c r="G300">
        <v>100</v>
      </c>
      <c r="H300">
        <v>22</v>
      </c>
      <c r="I300">
        <v>5.48</v>
      </c>
      <c r="J300">
        <v>0</v>
      </c>
      <c r="K300">
        <v>9.7799999999999994</v>
      </c>
      <c r="L300">
        <v>0.65</v>
      </c>
      <c r="M300">
        <v>6.08</v>
      </c>
      <c r="N300">
        <v>2</v>
      </c>
      <c r="O300">
        <v>0</v>
      </c>
      <c r="P300">
        <v>1743</v>
      </c>
      <c r="Q300">
        <v>389</v>
      </c>
      <c r="R300">
        <v>0</v>
      </c>
      <c r="S300">
        <v>798</v>
      </c>
      <c r="T300">
        <v>17</v>
      </c>
      <c r="U300">
        <v>539</v>
      </c>
      <c r="V300" s="1">
        <f t="shared" si="12"/>
        <v>0.22</v>
      </c>
      <c r="W300" s="1">
        <f t="shared" si="13"/>
        <v>0.02</v>
      </c>
      <c r="X300" s="1">
        <f t="shared" si="14"/>
        <v>0</v>
      </c>
    </row>
    <row r="301" spans="1:24" x14ac:dyDescent="0.25">
      <c r="A301">
        <v>2023</v>
      </c>
      <c r="B301">
        <v>3</v>
      </c>
      <c r="C301" t="s">
        <v>27</v>
      </c>
      <c r="D301" t="str">
        <f>_xlfn.XLOOKUP(C301,'Carrier Name Rename'!A:A,'Carrier Name Rename'!B:B)</f>
        <v>SkyWest Airlines Inc.</v>
      </c>
      <c r="E301" t="s">
        <v>23</v>
      </c>
      <c r="F301" t="s">
        <v>24</v>
      </c>
      <c r="G301">
        <v>2178</v>
      </c>
      <c r="H301">
        <v>235</v>
      </c>
      <c r="I301">
        <v>145</v>
      </c>
      <c r="J301">
        <v>33</v>
      </c>
      <c r="K301">
        <v>9</v>
      </c>
      <c r="L301">
        <v>0</v>
      </c>
      <c r="M301">
        <v>48</v>
      </c>
      <c r="N301">
        <v>5</v>
      </c>
      <c r="O301">
        <v>0</v>
      </c>
      <c r="P301">
        <v>13523</v>
      </c>
      <c r="Q301">
        <v>8176</v>
      </c>
      <c r="R301">
        <v>1646</v>
      </c>
      <c r="S301">
        <v>570</v>
      </c>
      <c r="T301">
        <v>0</v>
      </c>
      <c r="U301">
        <v>3131</v>
      </c>
      <c r="V301" s="1">
        <f t="shared" si="12"/>
        <v>0.1079</v>
      </c>
      <c r="W301" s="1">
        <f t="shared" si="13"/>
        <v>2.3E-3</v>
      </c>
      <c r="X301" s="1">
        <f t="shared" si="14"/>
        <v>0</v>
      </c>
    </row>
    <row r="302" spans="1:24" x14ac:dyDescent="0.25">
      <c r="A302">
        <v>2023</v>
      </c>
      <c r="B302">
        <v>3</v>
      </c>
      <c r="C302" t="s">
        <v>29</v>
      </c>
      <c r="D302" t="str">
        <f>_xlfn.XLOOKUP(C302,'Carrier Name Rename'!A:A,'Carrier Name Rename'!B:B)</f>
        <v>Horizon Air</v>
      </c>
      <c r="E302" t="s">
        <v>23</v>
      </c>
      <c r="F302" t="s">
        <v>24</v>
      </c>
      <c r="G302">
        <v>1368</v>
      </c>
      <c r="H302">
        <v>161</v>
      </c>
      <c r="I302">
        <v>48.24</v>
      </c>
      <c r="J302">
        <v>6.21</v>
      </c>
      <c r="K302">
        <v>63.52</v>
      </c>
      <c r="L302">
        <v>0</v>
      </c>
      <c r="M302">
        <v>43.03</v>
      </c>
      <c r="N302">
        <v>7</v>
      </c>
      <c r="O302">
        <v>0</v>
      </c>
      <c r="P302">
        <v>8419</v>
      </c>
      <c r="Q302">
        <v>3416</v>
      </c>
      <c r="R302">
        <v>683</v>
      </c>
      <c r="S302">
        <v>1552</v>
      </c>
      <c r="T302">
        <v>0</v>
      </c>
      <c r="U302">
        <v>2768</v>
      </c>
      <c r="V302" s="1">
        <f t="shared" si="12"/>
        <v>0.1177</v>
      </c>
      <c r="W302" s="1">
        <f t="shared" si="13"/>
        <v>5.1000000000000004E-3</v>
      </c>
      <c r="X302" s="1">
        <f t="shared" si="14"/>
        <v>0</v>
      </c>
    </row>
    <row r="303" spans="1:24" x14ac:dyDescent="0.25">
      <c r="A303">
        <v>2023</v>
      </c>
      <c r="B303">
        <v>3</v>
      </c>
      <c r="C303" t="s">
        <v>41</v>
      </c>
      <c r="D303" t="str">
        <f>_xlfn.XLOOKUP(C303,'Carrier Name Rename'!A:A,'Carrier Name Rename'!B:B)</f>
        <v>United Air Lines Inc.</v>
      </c>
      <c r="E303" t="s">
        <v>23</v>
      </c>
      <c r="F303" t="s">
        <v>24</v>
      </c>
      <c r="G303">
        <v>626</v>
      </c>
      <c r="H303">
        <v>103</v>
      </c>
      <c r="I303">
        <v>45.02</v>
      </c>
      <c r="J303">
        <v>0.82</v>
      </c>
      <c r="K303">
        <v>19.899999999999999</v>
      </c>
      <c r="L303">
        <v>0</v>
      </c>
      <c r="M303">
        <v>37.25</v>
      </c>
      <c r="N303">
        <v>3</v>
      </c>
      <c r="O303">
        <v>0</v>
      </c>
      <c r="P303">
        <v>7013</v>
      </c>
      <c r="Q303">
        <v>2178</v>
      </c>
      <c r="R303">
        <v>658</v>
      </c>
      <c r="S303">
        <v>719</v>
      </c>
      <c r="T303">
        <v>0</v>
      </c>
      <c r="U303">
        <v>3458</v>
      </c>
      <c r="V303" s="1">
        <f t="shared" si="12"/>
        <v>0.16450000000000001</v>
      </c>
      <c r="W303" s="1">
        <f t="shared" si="13"/>
        <v>4.7999999999999996E-3</v>
      </c>
      <c r="X303" s="1">
        <f t="shared" si="14"/>
        <v>0</v>
      </c>
    </row>
    <row r="304" spans="1:24" x14ac:dyDescent="0.25">
      <c r="A304">
        <v>2023</v>
      </c>
      <c r="B304">
        <v>3</v>
      </c>
      <c r="C304" t="s">
        <v>43</v>
      </c>
      <c r="D304" t="str">
        <f>_xlfn.XLOOKUP(C304,'Carrier Name Rename'!A:A,'Carrier Name Rename'!B:B)</f>
        <v>Southwest Airlines Co.</v>
      </c>
      <c r="E304" t="s">
        <v>23</v>
      </c>
      <c r="F304" t="s">
        <v>24</v>
      </c>
      <c r="G304">
        <v>629</v>
      </c>
      <c r="H304">
        <v>120</v>
      </c>
      <c r="I304">
        <v>38.31</v>
      </c>
      <c r="J304">
        <v>0.83</v>
      </c>
      <c r="K304">
        <v>12.85</v>
      </c>
      <c r="L304">
        <v>0</v>
      </c>
      <c r="M304">
        <v>68.010000000000005</v>
      </c>
      <c r="N304">
        <v>2</v>
      </c>
      <c r="O304">
        <v>0</v>
      </c>
      <c r="P304">
        <v>5117</v>
      </c>
      <c r="Q304">
        <v>1358</v>
      </c>
      <c r="R304">
        <v>44</v>
      </c>
      <c r="S304">
        <v>432</v>
      </c>
      <c r="T304">
        <v>0</v>
      </c>
      <c r="U304">
        <v>3283</v>
      </c>
      <c r="V304" s="1">
        <f t="shared" si="12"/>
        <v>0.1908</v>
      </c>
      <c r="W304" s="1">
        <f t="shared" si="13"/>
        <v>3.2000000000000002E-3</v>
      </c>
      <c r="X304" s="1">
        <f t="shared" si="14"/>
        <v>0</v>
      </c>
    </row>
    <row r="305" spans="1:24" x14ac:dyDescent="0.25">
      <c r="A305">
        <v>2023</v>
      </c>
      <c r="B305">
        <v>2</v>
      </c>
      <c r="C305" t="s">
        <v>31</v>
      </c>
      <c r="D305" t="str">
        <f>_xlfn.XLOOKUP(C305,'Carrier Name Rename'!A:A,'Carrier Name Rename'!B:B)</f>
        <v>American Airlines Inc.</v>
      </c>
      <c r="E305" t="s">
        <v>23</v>
      </c>
      <c r="F305" t="s">
        <v>24</v>
      </c>
      <c r="G305">
        <v>408</v>
      </c>
      <c r="H305">
        <v>95</v>
      </c>
      <c r="I305">
        <v>31.11</v>
      </c>
      <c r="J305">
        <v>4.68</v>
      </c>
      <c r="K305">
        <v>31.68</v>
      </c>
      <c r="L305">
        <v>0</v>
      </c>
      <c r="M305">
        <v>27.53</v>
      </c>
      <c r="N305">
        <v>8</v>
      </c>
      <c r="O305">
        <v>0</v>
      </c>
      <c r="P305">
        <v>6147</v>
      </c>
      <c r="Q305">
        <v>3202</v>
      </c>
      <c r="R305">
        <v>182</v>
      </c>
      <c r="S305">
        <v>1165</v>
      </c>
      <c r="T305">
        <v>0</v>
      </c>
      <c r="U305">
        <v>1598</v>
      </c>
      <c r="V305" s="1">
        <f t="shared" si="12"/>
        <v>0.23280000000000001</v>
      </c>
      <c r="W305" s="1">
        <f t="shared" si="13"/>
        <v>1.9599999999999999E-2</v>
      </c>
      <c r="X305" s="1">
        <f t="shared" si="14"/>
        <v>0</v>
      </c>
    </row>
    <row r="306" spans="1:24" x14ac:dyDescent="0.25">
      <c r="A306">
        <v>2023</v>
      </c>
      <c r="B306">
        <v>2</v>
      </c>
      <c r="C306" t="s">
        <v>33</v>
      </c>
      <c r="D306" t="str">
        <f>_xlfn.XLOOKUP(C306,'Carrier Name Rename'!A:A,'Carrier Name Rename'!B:B)</f>
        <v>Alaska Airlines Inc.</v>
      </c>
      <c r="E306" t="s">
        <v>23</v>
      </c>
      <c r="F306" t="s">
        <v>24</v>
      </c>
      <c r="G306">
        <v>5235</v>
      </c>
      <c r="H306">
        <v>1048</v>
      </c>
      <c r="I306">
        <v>264.45</v>
      </c>
      <c r="J306">
        <v>35.700000000000003</v>
      </c>
      <c r="K306">
        <v>375.73</v>
      </c>
      <c r="L306">
        <v>4.9000000000000004</v>
      </c>
      <c r="M306">
        <v>367.21</v>
      </c>
      <c r="N306">
        <v>164</v>
      </c>
      <c r="O306">
        <v>30</v>
      </c>
      <c r="P306">
        <v>59923</v>
      </c>
      <c r="Q306">
        <v>18731</v>
      </c>
      <c r="R306">
        <v>2036</v>
      </c>
      <c r="S306">
        <v>14659</v>
      </c>
      <c r="T306">
        <v>123</v>
      </c>
      <c r="U306">
        <v>24374</v>
      </c>
      <c r="V306" s="1">
        <f t="shared" si="12"/>
        <v>0.20019999999999999</v>
      </c>
      <c r="W306" s="1">
        <f t="shared" si="13"/>
        <v>3.1300000000000001E-2</v>
      </c>
      <c r="X306" s="1">
        <f t="shared" si="14"/>
        <v>5.7000000000000002E-3</v>
      </c>
    </row>
    <row r="307" spans="1:24" x14ac:dyDescent="0.25">
      <c r="A307">
        <v>2023</v>
      </c>
      <c r="B307">
        <v>2</v>
      </c>
      <c r="C307" t="s">
        <v>35</v>
      </c>
      <c r="D307" t="str">
        <f>_xlfn.XLOOKUP(C307,'Carrier Name Rename'!A:A,'Carrier Name Rename'!B:B)</f>
        <v>JetBlue Airways</v>
      </c>
      <c r="E307" t="s">
        <v>23</v>
      </c>
      <c r="F307" t="s">
        <v>24</v>
      </c>
      <c r="G307">
        <v>56</v>
      </c>
      <c r="H307">
        <v>18</v>
      </c>
      <c r="I307">
        <v>7.96</v>
      </c>
      <c r="J307">
        <v>0</v>
      </c>
      <c r="K307">
        <v>7.97</v>
      </c>
      <c r="L307">
        <v>0</v>
      </c>
      <c r="M307">
        <v>2.08</v>
      </c>
      <c r="N307">
        <v>0</v>
      </c>
      <c r="O307">
        <v>0</v>
      </c>
      <c r="P307">
        <v>1587</v>
      </c>
      <c r="Q307">
        <v>1064</v>
      </c>
      <c r="R307">
        <v>0</v>
      </c>
      <c r="S307">
        <v>298</v>
      </c>
      <c r="T307">
        <v>0</v>
      </c>
      <c r="U307">
        <v>225</v>
      </c>
      <c r="V307" s="1">
        <f t="shared" si="12"/>
        <v>0.32140000000000002</v>
      </c>
      <c r="W307" s="1">
        <f t="shared" si="13"/>
        <v>0</v>
      </c>
      <c r="X307" s="1">
        <f t="shared" si="14"/>
        <v>0</v>
      </c>
    </row>
    <row r="308" spans="1:24" x14ac:dyDescent="0.25">
      <c r="A308">
        <v>2023</v>
      </c>
      <c r="B308">
        <v>2</v>
      </c>
      <c r="C308" t="s">
        <v>37</v>
      </c>
      <c r="D308" t="str">
        <f>_xlfn.XLOOKUP(C308,'Carrier Name Rename'!A:A,'Carrier Name Rename'!B:B)</f>
        <v>Delta Air Lines Inc.</v>
      </c>
      <c r="E308" t="s">
        <v>23</v>
      </c>
      <c r="F308" t="s">
        <v>24</v>
      </c>
      <c r="G308">
        <v>2339</v>
      </c>
      <c r="H308">
        <v>329</v>
      </c>
      <c r="I308">
        <v>120.67</v>
      </c>
      <c r="J308">
        <v>12.61</v>
      </c>
      <c r="K308">
        <v>80.16</v>
      </c>
      <c r="L308">
        <v>0.74</v>
      </c>
      <c r="M308">
        <v>114.81</v>
      </c>
      <c r="N308">
        <v>35</v>
      </c>
      <c r="O308">
        <v>3</v>
      </c>
      <c r="P308">
        <v>35407</v>
      </c>
      <c r="Q308">
        <v>19053</v>
      </c>
      <c r="R308">
        <v>1459</v>
      </c>
      <c r="S308">
        <v>2961</v>
      </c>
      <c r="T308">
        <v>64</v>
      </c>
      <c r="U308">
        <v>11870</v>
      </c>
      <c r="V308" s="1">
        <f t="shared" si="12"/>
        <v>0.14069999999999999</v>
      </c>
      <c r="W308" s="1">
        <f t="shared" si="13"/>
        <v>1.4999999999999999E-2</v>
      </c>
      <c r="X308" s="1">
        <f t="shared" si="14"/>
        <v>1.2999999999999999E-3</v>
      </c>
    </row>
    <row r="309" spans="1:24" x14ac:dyDescent="0.25">
      <c r="A309">
        <v>2023</v>
      </c>
      <c r="B309">
        <v>2</v>
      </c>
      <c r="C309" t="s">
        <v>39</v>
      </c>
      <c r="D309" t="str">
        <f>_xlfn.XLOOKUP(C309,'Carrier Name Rename'!A:A,'Carrier Name Rename'!B:B)</f>
        <v>Frontier Airlines Inc.</v>
      </c>
      <c r="E309" t="s">
        <v>23</v>
      </c>
      <c r="F309" t="s">
        <v>24</v>
      </c>
      <c r="G309">
        <v>64</v>
      </c>
      <c r="H309">
        <v>11</v>
      </c>
      <c r="I309">
        <v>4.16</v>
      </c>
      <c r="J309">
        <v>0</v>
      </c>
      <c r="K309">
        <v>1.85</v>
      </c>
      <c r="L309">
        <v>0</v>
      </c>
      <c r="M309">
        <v>4.99</v>
      </c>
      <c r="N309">
        <v>0</v>
      </c>
      <c r="O309">
        <v>0</v>
      </c>
      <c r="P309">
        <v>528</v>
      </c>
      <c r="Q309">
        <v>120</v>
      </c>
      <c r="R309">
        <v>0</v>
      </c>
      <c r="S309">
        <v>103</v>
      </c>
      <c r="T309">
        <v>0</v>
      </c>
      <c r="U309">
        <v>305</v>
      </c>
      <c r="V309" s="1">
        <f t="shared" si="12"/>
        <v>0.1719</v>
      </c>
      <c r="W309" s="1">
        <f t="shared" si="13"/>
        <v>0</v>
      </c>
      <c r="X309" s="1">
        <f t="shared" si="14"/>
        <v>0</v>
      </c>
    </row>
    <row r="310" spans="1:24" x14ac:dyDescent="0.25">
      <c r="A310">
        <v>2023</v>
      </c>
      <c r="B310">
        <v>2</v>
      </c>
      <c r="C310" t="s">
        <v>21</v>
      </c>
      <c r="D310" t="str">
        <f>_xlfn.XLOOKUP(C310,'Carrier Name Rename'!A:A,'Carrier Name Rename'!B:B)</f>
        <v>Hawaiian Airlines Inc.</v>
      </c>
      <c r="E310" t="s">
        <v>23</v>
      </c>
      <c r="F310" t="s">
        <v>24</v>
      </c>
      <c r="G310">
        <v>56</v>
      </c>
      <c r="H310">
        <v>32</v>
      </c>
      <c r="I310">
        <v>27.43</v>
      </c>
      <c r="J310">
        <v>0</v>
      </c>
      <c r="K310">
        <v>0</v>
      </c>
      <c r="L310">
        <v>0</v>
      </c>
      <c r="M310">
        <v>4.57</v>
      </c>
      <c r="N310">
        <v>1</v>
      </c>
      <c r="O310">
        <v>0</v>
      </c>
      <c r="P310">
        <v>1366</v>
      </c>
      <c r="Q310">
        <v>1108</v>
      </c>
      <c r="R310">
        <v>0</v>
      </c>
      <c r="S310">
        <v>0</v>
      </c>
      <c r="T310">
        <v>0</v>
      </c>
      <c r="U310">
        <v>258</v>
      </c>
      <c r="V310" s="1">
        <f t="shared" si="12"/>
        <v>0.57140000000000002</v>
      </c>
      <c r="W310" s="1">
        <f t="shared" si="13"/>
        <v>1.7899999999999999E-2</v>
      </c>
      <c r="X310" s="1">
        <f t="shared" si="14"/>
        <v>0</v>
      </c>
    </row>
    <row r="311" spans="1:24" x14ac:dyDescent="0.25">
      <c r="A311">
        <v>2023</v>
      </c>
      <c r="B311">
        <v>2</v>
      </c>
      <c r="C311" t="s">
        <v>25</v>
      </c>
      <c r="D311" t="str">
        <f>_xlfn.XLOOKUP(C311,'Carrier Name Rename'!A:A,'Carrier Name Rename'!B:B)</f>
        <v>Spirit Airlines</v>
      </c>
      <c r="E311" t="s">
        <v>23</v>
      </c>
      <c r="F311" t="s">
        <v>24</v>
      </c>
      <c r="G311">
        <v>105</v>
      </c>
      <c r="H311">
        <v>28</v>
      </c>
      <c r="I311">
        <v>11.47</v>
      </c>
      <c r="J311">
        <v>2.0699999999999998</v>
      </c>
      <c r="K311">
        <v>10.61</v>
      </c>
      <c r="L311">
        <v>0</v>
      </c>
      <c r="M311">
        <v>3.85</v>
      </c>
      <c r="N311">
        <v>3</v>
      </c>
      <c r="O311">
        <v>0</v>
      </c>
      <c r="P311">
        <v>1904</v>
      </c>
      <c r="Q311">
        <v>732</v>
      </c>
      <c r="R311">
        <v>385</v>
      </c>
      <c r="S311">
        <v>646</v>
      </c>
      <c r="T311">
        <v>0</v>
      </c>
      <c r="U311">
        <v>141</v>
      </c>
      <c r="V311" s="1">
        <f t="shared" si="12"/>
        <v>0.26669999999999999</v>
      </c>
      <c r="W311" s="1">
        <f t="shared" si="13"/>
        <v>2.86E-2</v>
      </c>
      <c r="X311" s="1">
        <f t="shared" si="14"/>
        <v>0</v>
      </c>
    </row>
    <row r="312" spans="1:24" x14ac:dyDescent="0.25">
      <c r="A312">
        <v>2023</v>
      </c>
      <c r="B312">
        <v>2</v>
      </c>
      <c r="C312" t="s">
        <v>27</v>
      </c>
      <c r="D312" t="str">
        <f>_xlfn.XLOOKUP(C312,'Carrier Name Rename'!A:A,'Carrier Name Rename'!B:B)</f>
        <v>SkyWest Airlines Inc.</v>
      </c>
      <c r="E312" t="s">
        <v>23</v>
      </c>
      <c r="F312" t="s">
        <v>24</v>
      </c>
      <c r="G312">
        <v>1693</v>
      </c>
      <c r="H312">
        <v>196</v>
      </c>
      <c r="I312">
        <v>116</v>
      </c>
      <c r="J312">
        <v>37</v>
      </c>
      <c r="K312">
        <v>0</v>
      </c>
      <c r="L312">
        <v>1</v>
      </c>
      <c r="M312">
        <v>42</v>
      </c>
      <c r="N312">
        <v>22</v>
      </c>
      <c r="O312">
        <v>0</v>
      </c>
      <c r="P312">
        <v>12078</v>
      </c>
      <c r="Q312">
        <v>7107</v>
      </c>
      <c r="R312">
        <v>2588</v>
      </c>
      <c r="S312">
        <v>0</v>
      </c>
      <c r="T312">
        <v>15</v>
      </c>
      <c r="U312">
        <v>2368</v>
      </c>
      <c r="V312" s="1">
        <f t="shared" si="12"/>
        <v>0.1158</v>
      </c>
      <c r="W312" s="1">
        <f t="shared" si="13"/>
        <v>1.2999999999999999E-2</v>
      </c>
      <c r="X312" s="1">
        <f t="shared" si="14"/>
        <v>0</v>
      </c>
    </row>
    <row r="313" spans="1:24" x14ac:dyDescent="0.25">
      <c r="A313">
        <v>2023</v>
      </c>
      <c r="B313">
        <v>2</v>
      </c>
      <c r="C313" t="s">
        <v>29</v>
      </c>
      <c r="D313" t="str">
        <f>_xlfn.XLOOKUP(C313,'Carrier Name Rename'!A:A,'Carrier Name Rename'!B:B)</f>
        <v>Horizon Air</v>
      </c>
      <c r="E313" t="s">
        <v>23</v>
      </c>
      <c r="F313" t="s">
        <v>24</v>
      </c>
      <c r="G313">
        <v>1477</v>
      </c>
      <c r="H313">
        <v>207</v>
      </c>
      <c r="I313">
        <v>54.1</v>
      </c>
      <c r="J313">
        <v>16.04</v>
      </c>
      <c r="K313">
        <v>74.45</v>
      </c>
      <c r="L313">
        <v>0</v>
      </c>
      <c r="M313">
        <v>62.41</v>
      </c>
      <c r="N313">
        <v>28</v>
      </c>
      <c r="O313">
        <v>1</v>
      </c>
      <c r="P313">
        <v>13534</v>
      </c>
      <c r="Q313">
        <v>4479</v>
      </c>
      <c r="R313">
        <v>1371</v>
      </c>
      <c r="S313">
        <v>2636</v>
      </c>
      <c r="T313">
        <v>0</v>
      </c>
      <c r="U313">
        <v>5048</v>
      </c>
      <c r="V313" s="1">
        <f t="shared" si="12"/>
        <v>0.1401</v>
      </c>
      <c r="W313" s="1">
        <f t="shared" si="13"/>
        <v>1.9E-2</v>
      </c>
      <c r="X313" s="1">
        <f t="shared" si="14"/>
        <v>6.9999999999999999E-4</v>
      </c>
    </row>
    <row r="314" spans="1:24" x14ac:dyDescent="0.25">
      <c r="A314">
        <v>2023</v>
      </c>
      <c r="B314">
        <v>2</v>
      </c>
      <c r="C314" t="s">
        <v>41</v>
      </c>
      <c r="D314" t="str">
        <f>_xlfn.XLOOKUP(C314,'Carrier Name Rename'!A:A,'Carrier Name Rename'!B:B)</f>
        <v>United Air Lines Inc.</v>
      </c>
      <c r="E314" t="s">
        <v>23</v>
      </c>
      <c r="F314" t="s">
        <v>24</v>
      </c>
      <c r="G314">
        <v>536</v>
      </c>
      <c r="H314">
        <v>99</v>
      </c>
      <c r="I314">
        <v>37.85</v>
      </c>
      <c r="J314">
        <v>0.88</v>
      </c>
      <c r="K314">
        <v>31.28</v>
      </c>
      <c r="L314">
        <v>0</v>
      </c>
      <c r="M314">
        <v>28.99</v>
      </c>
      <c r="N314">
        <v>0</v>
      </c>
      <c r="O314">
        <v>0</v>
      </c>
      <c r="P314">
        <v>4867</v>
      </c>
      <c r="Q314">
        <v>1813</v>
      </c>
      <c r="R314">
        <v>44</v>
      </c>
      <c r="S314">
        <v>1097</v>
      </c>
      <c r="T314">
        <v>0</v>
      </c>
      <c r="U314">
        <v>1913</v>
      </c>
      <c r="V314" s="1">
        <f t="shared" si="12"/>
        <v>0.1847</v>
      </c>
      <c r="W314" s="1">
        <f t="shared" si="13"/>
        <v>0</v>
      </c>
      <c r="X314" s="1">
        <f t="shared" si="14"/>
        <v>0</v>
      </c>
    </row>
    <row r="315" spans="1:24" x14ac:dyDescent="0.25">
      <c r="A315">
        <v>2023</v>
      </c>
      <c r="B315">
        <v>2</v>
      </c>
      <c r="C315" t="s">
        <v>43</v>
      </c>
      <c r="D315" t="str">
        <f>_xlfn.XLOOKUP(C315,'Carrier Name Rename'!A:A,'Carrier Name Rename'!B:B)</f>
        <v>Southwest Airlines Co.</v>
      </c>
      <c r="E315" t="s">
        <v>23</v>
      </c>
      <c r="F315" t="s">
        <v>24</v>
      </c>
      <c r="G315">
        <v>532</v>
      </c>
      <c r="H315">
        <v>85</v>
      </c>
      <c r="I315">
        <v>34.32</v>
      </c>
      <c r="J315">
        <v>0.63</v>
      </c>
      <c r="K315">
        <v>3.87</v>
      </c>
      <c r="L315">
        <v>0</v>
      </c>
      <c r="M315">
        <v>46.18</v>
      </c>
      <c r="N315">
        <v>3</v>
      </c>
      <c r="O315">
        <v>2</v>
      </c>
      <c r="P315">
        <v>3869</v>
      </c>
      <c r="Q315">
        <v>1360</v>
      </c>
      <c r="R315">
        <v>26</v>
      </c>
      <c r="S315">
        <v>140</v>
      </c>
      <c r="T315">
        <v>0</v>
      </c>
      <c r="U315">
        <v>2343</v>
      </c>
      <c r="V315" s="1">
        <f t="shared" si="12"/>
        <v>0.1598</v>
      </c>
      <c r="W315" s="1">
        <f t="shared" si="13"/>
        <v>5.5999999999999999E-3</v>
      </c>
      <c r="X315" s="1">
        <f t="shared" si="14"/>
        <v>3.8E-3</v>
      </c>
    </row>
    <row r="316" spans="1:24" x14ac:dyDescent="0.25">
      <c r="A316">
        <v>2023</v>
      </c>
      <c r="B316">
        <v>1</v>
      </c>
      <c r="C316" t="s">
        <v>31</v>
      </c>
      <c r="D316" t="str">
        <f>_xlfn.XLOOKUP(C316,'Carrier Name Rename'!A:A,'Carrier Name Rename'!B:B)</f>
        <v>American Airlines Inc.</v>
      </c>
      <c r="E316" t="s">
        <v>23</v>
      </c>
      <c r="F316" t="s">
        <v>24</v>
      </c>
      <c r="G316">
        <v>431</v>
      </c>
      <c r="H316">
        <v>68</v>
      </c>
      <c r="I316">
        <v>26.46</v>
      </c>
      <c r="J316">
        <v>1.73</v>
      </c>
      <c r="K316">
        <v>14.8</v>
      </c>
      <c r="L316">
        <v>0</v>
      </c>
      <c r="M316">
        <v>25</v>
      </c>
      <c r="N316">
        <v>6</v>
      </c>
      <c r="O316">
        <v>2</v>
      </c>
      <c r="P316">
        <v>5935</v>
      </c>
      <c r="Q316">
        <v>2546</v>
      </c>
      <c r="R316">
        <v>355</v>
      </c>
      <c r="S316">
        <v>645</v>
      </c>
      <c r="T316">
        <v>0</v>
      </c>
      <c r="U316">
        <v>2389</v>
      </c>
      <c r="V316" s="1">
        <f t="shared" si="12"/>
        <v>0.1578</v>
      </c>
      <c r="W316" s="1">
        <f t="shared" si="13"/>
        <v>1.3899999999999999E-2</v>
      </c>
      <c r="X316" s="1">
        <f t="shared" si="14"/>
        <v>4.5999999999999999E-3</v>
      </c>
    </row>
    <row r="317" spans="1:24" x14ac:dyDescent="0.25">
      <c r="A317">
        <v>2023</v>
      </c>
      <c r="B317">
        <v>1</v>
      </c>
      <c r="C317" t="s">
        <v>33</v>
      </c>
      <c r="D317" t="str">
        <f>_xlfn.XLOOKUP(C317,'Carrier Name Rename'!A:A,'Carrier Name Rename'!B:B)</f>
        <v>Alaska Airlines Inc.</v>
      </c>
      <c r="E317" t="s">
        <v>23</v>
      </c>
      <c r="F317" t="s">
        <v>24</v>
      </c>
      <c r="G317">
        <v>5804</v>
      </c>
      <c r="H317">
        <v>1003</v>
      </c>
      <c r="I317">
        <v>218.23</v>
      </c>
      <c r="J317">
        <v>32.950000000000003</v>
      </c>
      <c r="K317">
        <v>344.08</v>
      </c>
      <c r="L317">
        <v>6.58</v>
      </c>
      <c r="M317">
        <v>401.16</v>
      </c>
      <c r="N317">
        <v>82</v>
      </c>
      <c r="O317">
        <v>10</v>
      </c>
      <c r="P317">
        <v>53876</v>
      </c>
      <c r="Q317">
        <v>13727</v>
      </c>
      <c r="R317">
        <v>2290</v>
      </c>
      <c r="S317">
        <v>11356</v>
      </c>
      <c r="T317">
        <v>274</v>
      </c>
      <c r="U317">
        <v>26229</v>
      </c>
      <c r="V317" s="1">
        <f t="shared" si="12"/>
        <v>0.17280000000000001</v>
      </c>
      <c r="W317" s="1">
        <f t="shared" si="13"/>
        <v>1.41E-2</v>
      </c>
      <c r="X317" s="1">
        <f t="shared" si="14"/>
        <v>1.6999999999999999E-3</v>
      </c>
    </row>
    <row r="318" spans="1:24" x14ac:dyDescent="0.25">
      <c r="A318">
        <v>2023</v>
      </c>
      <c r="B318">
        <v>1</v>
      </c>
      <c r="C318" t="s">
        <v>35</v>
      </c>
      <c r="D318" t="str">
        <f>_xlfn.XLOOKUP(C318,'Carrier Name Rename'!A:A,'Carrier Name Rename'!B:B)</f>
        <v>JetBlue Airways</v>
      </c>
      <c r="E318" t="s">
        <v>23</v>
      </c>
      <c r="F318" t="s">
        <v>24</v>
      </c>
      <c r="G318">
        <v>62</v>
      </c>
      <c r="H318">
        <v>20</v>
      </c>
      <c r="I318">
        <v>10.92</v>
      </c>
      <c r="J318">
        <v>0.53</v>
      </c>
      <c r="K318">
        <v>5.82</v>
      </c>
      <c r="L318">
        <v>0</v>
      </c>
      <c r="M318">
        <v>2.73</v>
      </c>
      <c r="N318">
        <v>0</v>
      </c>
      <c r="O318">
        <v>0</v>
      </c>
      <c r="P318">
        <v>1725</v>
      </c>
      <c r="Q318">
        <v>1088</v>
      </c>
      <c r="R318">
        <v>35</v>
      </c>
      <c r="S318">
        <v>332</v>
      </c>
      <c r="T318">
        <v>0</v>
      </c>
      <c r="U318">
        <v>270</v>
      </c>
      <c r="V318" s="1">
        <f t="shared" si="12"/>
        <v>0.3226</v>
      </c>
      <c r="W318" s="1">
        <f t="shared" si="13"/>
        <v>0</v>
      </c>
      <c r="X318" s="1">
        <f t="shared" si="14"/>
        <v>0</v>
      </c>
    </row>
    <row r="319" spans="1:24" x14ac:dyDescent="0.25">
      <c r="A319">
        <v>2023</v>
      </c>
      <c r="B319">
        <v>1</v>
      </c>
      <c r="C319" t="s">
        <v>37</v>
      </c>
      <c r="D319" t="str">
        <f>_xlfn.XLOOKUP(C319,'Carrier Name Rename'!A:A,'Carrier Name Rename'!B:B)</f>
        <v>Delta Air Lines Inc.</v>
      </c>
      <c r="E319" t="s">
        <v>23</v>
      </c>
      <c r="F319" t="s">
        <v>24</v>
      </c>
      <c r="G319">
        <v>2591</v>
      </c>
      <c r="H319">
        <v>372</v>
      </c>
      <c r="I319">
        <v>151.97999999999999</v>
      </c>
      <c r="J319">
        <v>11.78</v>
      </c>
      <c r="K319">
        <v>70.739999999999995</v>
      </c>
      <c r="L319">
        <v>1</v>
      </c>
      <c r="M319">
        <v>136.5</v>
      </c>
      <c r="N319">
        <v>10</v>
      </c>
      <c r="O319">
        <v>7</v>
      </c>
      <c r="P319">
        <v>35048</v>
      </c>
      <c r="Q319">
        <v>18695</v>
      </c>
      <c r="R319">
        <v>1808</v>
      </c>
      <c r="S319">
        <v>2591</v>
      </c>
      <c r="T319">
        <v>38</v>
      </c>
      <c r="U319">
        <v>11916</v>
      </c>
      <c r="V319" s="1">
        <f t="shared" si="12"/>
        <v>0.14360000000000001</v>
      </c>
      <c r="W319" s="1">
        <f t="shared" si="13"/>
        <v>3.8999999999999998E-3</v>
      </c>
      <c r="X319" s="1">
        <f t="shared" si="14"/>
        <v>2.7000000000000001E-3</v>
      </c>
    </row>
    <row r="320" spans="1:24" x14ac:dyDescent="0.25">
      <c r="A320">
        <v>2023</v>
      </c>
      <c r="B320">
        <v>1</v>
      </c>
      <c r="C320" t="s">
        <v>39</v>
      </c>
      <c r="D320" t="str">
        <f>_xlfn.XLOOKUP(C320,'Carrier Name Rename'!A:A,'Carrier Name Rename'!B:B)</f>
        <v>Frontier Airlines Inc.</v>
      </c>
      <c r="E320" t="s">
        <v>23</v>
      </c>
      <c r="F320" t="s">
        <v>24</v>
      </c>
      <c r="G320">
        <v>66</v>
      </c>
      <c r="H320">
        <v>26</v>
      </c>
      <c r="I320">
        <v>7.88</v>
      </c>
      <c r="J320">
        <v>0.56000000000000005</v>
      </c>
      <c r="K320">
        <v>7.61</v>
      </c>
      <c r="L320">
        <v>0</v>
      </c>
      <c r="M320">
        <v>9.9499999999999993</v>
      </c>
      <c r="N320">
        <v>0</v>
      </c>
      <c r="O320">
        <v>0</v>
      </c>
      <c r="P320">
        <v>1558</v>
      </c>
      <c r="Q320">
        <v>350</v>
      </c>
      <c r="R320">
        <v>50</v>
      </c>
      <c r="S320">
        <v>333</v>
      </c>
      <c r="T320">
        <v>0</v>
      </c>
      <c r="U320">
        <v>825</v>
      </c>
      <c r="V320" s="1">
        <f t="shared" si="12"/>
        <v>0.39389999999999997</v>
      </c>
      <c r="W320" s="1">
        <f t="shared" si="13"/>
        <v>0</v>
      </c>
      <c r="X320" s="1">
        <f t="shared" si="14"/>
        <v>0</v>
      </c>
    </row>
    <row r="321" spans="1:24" x14ac:dyDescent="0.25">
      <c r="A321">
        <v>2023</v>
      </c>
      <c r="B321">
        <v>1</v>
      </c>
      <c r="C321" t="s">
        <v>21</v>
      </c>
      <c r="D321" t="str">
        <f>_xlfn.XLOOKUP(C321,'Carrier Name Rename'!A:A,'Carrier Name Rename'!B:B)</f>
        <v>Hawaiian Airlines Inc.</v>
      </c>
      <c r="E321" t="s">
        <v>23</v>
      </c>
      <c r="F321" t="s">
        <v>24</v>
      </c>
      <c r="G321">
        <v>67</v>
      </c>
      <c r="H321">
        <v>21</v>
      </c>
      <c r="I321">
        <v>10.97</v>
      </c>
      <c r="J321">
        <v>0</v>
      </c>
      <c r="K321">
        <v>0</v>
      </c>
      <c r="L321">
        <v>0</v>
      </c>
      <c r="M321">
        <v>10.029999999999999</v>
      </c>
      <c r="N321">
        <v>0</v>
      </c>
      <c r="O321">
        <v>0</v>
      </c>
      <c r="P321">
        <v>1192</v>
      </c>
      <c r="Q321">
        <v>382</v>
      </c>
      <c r="R321">
        <v>0</v>
      </c>
      <c r="S321">
        <v>0</v>
      </c>
      <c r="T321">
        <v>0</v>
      </c>
      <c r="U321">
        <v>810</v>
      </c>
      <c r="V321" s="1">
        <f t="shared" si="12"/>
        <v>0.31340000000000001</v>
      </c>
      <c r="W321" s="1">
        <f t="shared" si="13"/>
        <v>0</v>
      </c>
      <c r="X321" s="1">
        <f t="shared" si="14"/>
        <v>0</v>
      </c>
    </row>
    <row r="322" spans="1:24" x14ac:dyDescent="0.25">
      <c r="A322">
        <v>2023</v>
      </c>
      <c r="B322">
        <v>1</v>
      </c>
      <c r="C322" t="s">
        <v>25</v>
      </c>
      <c r="D322" t="str">
        <f>_xlfn.XLOOKUP(C322,'Carrier Name Rename'!A:A,'Carrier Name Rename'!B:B)</f>
        <v>Spirit Airlines</v>
      </c>
      <c r="E322" t="s">
        <v>23</v>
      </c>
      <c r="F322" t="s">
        <v>24</v>
      </c>
      <c r="G322">
        <v>93</v>
      </c>
      <c r="H322">
        <v>20</v>
      </c>
      <c r="I322">
        <v>6.26</v>
      </c>
      <c r="J322">
        <v>0.17</v>
      </c>
      <c r="K322">
        <v>8.8000000000000007</v>
      </c>
      <c r="L322">
        <v>0.63</v>
      </c>
      <c r="M322">
        <v>4.1399999999999997</v>
      </c>
      <c r="N322">
        <v>5</v>
      </c>
      <c r="O322">
        <v>0</v>
      </c>
      <c r="P322">
        <v>1089</v>
      </c>
      <c r="Q322">
        <v>400</v>
      </c>
      <c r="R322">
        <v>22</v>
      </c>
      <c r="S322">
        <v>471</v>
      </c>
      <c r="T322">
        <v>44</v>
      </c>
      <c r="U322">
        <v>152</v>
      </c>
      <c r="V322" s="1">
        <f t="shared" si="12"/>
        <v>0.21510000000000001</v>
      </c>
      <c r="W322" s="1">
        <f t="shared" si="13"/>
        <v>5.3800000000000001E-2</v>
      </c>
      <c r="X322" s="1">
        <f t="shared" si="14"/>
        <v>0</v>
      </c>
    </row>
    <row r="323" spans="1:24" x14ac:dyDescent="0.25">
      <c r="A323">
        <v>2023</v>
      </c>
      <c r="B323">
        <v>1</v>
      </c>
      <c r="C323" t="s">
        <v>27</v>
      </c>
      <c r="D323" t="str">
        <f>_xlfn.XLOOKUP(C323,'Carrier Name Rename'!A:A,'Carrier Name Rename'!B:B)</f>
        <v>SkyWest Airlines Inc.</v>
      </c>
      <c r="E323" t="s">
        <v>23</v>
      </c>
      <c r="F323" t="s">
        <v>24</v>
      </c>
      <c r="G323">
        <v>1585</v>
      </c>
      <c r="H323">
        <v>184</v>
      </c>
      <c r="I323">
        <v>92</v>
      </c>
      <c r="J323">
        <v>43</v>
      </c>
      <c r="K323">
        <v>3</v>
      </c>
      <c r="L323">
        <v>3</v>
      </c>
      <c r="M323">
        <v>43</v>
      </c>
      <c r="N323">
        <v>8</v>
      </c>
      <c r="O323">
        <v>2</v>
      </c>
      <c r="P323">
        <v>12958</v>
      </c>
      <c r="Q323">
        <v>5263</v>
      </c>
      <c r="R323">
        <v>4729</v>
      </c>
      <c r="S323">
        <v>149</v>
      </c>
      <c r="T323">
        <v>175</v>
      </c>
      <c r="U323">
        <v>2642</v>
      </c>
      <c r="V323" s="1">
        <f t="shared" ref="V323:V386" si="15">ROUND(H323/G323,4)</f>
        <v>0.11609999999999999</v>
      </c>
      <c r="W323" s="1">
        <f t="shared" ref="W323:W386" si="16">ROUND(N323/G323,4)</f>
        <v>5.0000000000000001E-3</v>
      </c>
      <c r="X323" s="1">
        <f t="shared" ref="X323:X386" si="17">ROUND(O323/G323,4)</f>
        <v>1.2999999999999999E-3</v>
      </c>
    </row>
    <row r="324" spans="1:24" x14ac:dyDescent="0.25">
      <c r="A324">
        <v>2023</v>
      </c>
      <c r="B324">
        <v>1</v>
      </c>
      <c r="C324" t="s">
        <v>29</v>
      </c>
      <c r="D324" t="str">
        <f>_xlfn.XLOOKUP(C324,'Carrier Name Rename'!A:A,'Carrier Name Rename'!B:B)</f>
        <v>Horizon Air</v>
      </c>
      <c r="E324" t="s">
        <v>23</v>
      </c>
      <c r="F324" t="s">
        <v>24</v>
      </c>
      <c r="G324">
        <v>1784</v>
      </c>
      <c r="H324">
        <v>277</v>
      </c>
      <c r="I324">
        <v>60.43</v>
      </c>
      <c r="J324">
        <v>17.03</v>
      </c>
      <c r="K324">
        <v>91.51</v>
      </c>
      <c r="L324">
        <v>0</v>
      </c>
      <c r="M324">
        <v>108.03</v>
      </c>
      <c r="N324">
        <v>19</v>
      </c>
      <c r="O324">
        <v>8</v>
      </c>
      <c r="P324">
        <v>15671</v>
      </c>
      <c r="Q324">
        <v>3103</v>
      </c>
      <c r="R324">
        <v>1677</v>
      </c>
      <c r="S324">
        <v>4000</v>
      </c>
      <c r="T324">
        <v>0</v>
      </c>
      <c r="U324">
        <v>6891</v>
      </c>
      <c r="V324" s="1">
        <f t="shared" si="15"/>
        <v>0.15529999999999999</v>
      </c>
      <c r="W324" s="1">
        <f t="shared" si="16"/>
        <v>1.0699999999999999E-2</v>
      </c>
      <c r="X324" s="1">
        <f t="shared" si="17"/>
        <v>4.4999999999999997E-3</v>
      </c>
    </row>
    <row r="325" spans="1:24" x14ac:dyDescent="0.25">
      <c r="A325">
        <v>2023</v>
      </c>
      <c r="B325">
        <v>1</v>
      </c>
      <c r="C325" t="s">
        <v>41</v>
      </c>
      <c r="D325" t="str">
        <f>_xlfn.XLOOKUP(C325,'Carrier Name Rename'!A:A,'Carrier Name Rename'!B:B)</f>
        <v>United Air Lines Inc.</v>
      </c>
      <c r="E325" t="s">
        <v>23</v>
      </c>
      <c r="F325" t="s">
        <v>24</v>
      </c>
      <c r="G325">
        <v>576</v>
      </c>
      <c r="H325">
        <v>83</v>
      </c>
      <c r="I325">
        <v>27.72</v>
      </c>
      <c r="J325">
        <v>1.44</v>
      </c>
      <c r="K325">
        <v>17.98</v>
      </c>
      <c r="L325">
        <v>0</v>
      </c>
      <c r="M325">
        <v>35.86</v>
      </c>
      <c r="N325">
        <v>0</v>
      </c>
      <c r="O325">
        <v>0</v>
      </c>
      <c r="P325">
        <v>5987</v>
      </c>
      <c r="Q325">
        <v>1796</v>
      </c>
      <c r="R325">
        <v>80</v>
      </c>
      <c r="S325">
        <v>679</v>
      </c>
      <c r="T325">
        <v>0</v>
      </c>
      <c r="U325">
        <v>3432</v>
      </c>
      <c r="V325" s="1">
        <f t="shared" si="15"/>
        <v>0.14410000000000001</v>
      </c>
      <c r="W325" s="1">
        <f t="shared" si="16"/>
        <v>0</v>
      </c>
      <c r="X325" s="1">
        <f t="shared" si="17"/>
        <v>0</v>
      </c>
    </row>
    <row r="326" spans="1:24" x14ac:dyDescent="0.25">
      <c r="A326">
        <v>2023</v>
      </c>
      <c r="B326">
        <v>1</v>
      </c>
      <c r="C326" t="s">
        <v>43</v>
      </c>
      <c r="D326" t="str">
        <f>_xlfn.XLOOKUP(C326,'Carrier Name Rename'!A:A,'Carrier Name Rename'!B:B)</f>
        <v>Southwest Airlines Co.</v>
      </c>
      <c r="E326" t="s">
        <v>23</v>
      </c>
      <c r="F326" t="s">
        <v>24</v>
      </c>
      <c r="G326">
        <v>600</v>
      </c>
      <c r="H326">
        <v>101</v>
      </c>
      <c r="I326">
        <v>40.4</v>
      </c>
      <c r="J326">
        <v>0.18</v>
      </c>
      <c r="K326">
        <v>6.16</v>
      </c>
      <c r="L326">
        <v>0</v>
      </c>
      <c r="M326">
        <v>54.27</v>
      </c>
      <c r="N326">
        <v>7</v>
      </c>
      <c r="O326">
        <v>0</v>
      </c>
      <c r="P326">
        <v>5134</v>
      </c>
      <c r="Q326">
        <v>1713</v>
      </c>
      <c r="R326">
        <v>28</v>
      </c>
      <c r="S326">
        <v>405</v>
      </c>
      <c r="T326">
        <v>0</v>
      </c>
      <c r="U326">
        <v>2988</v>
      </c>
      <c r="V326" s="1">
        <f t="shared" si="15"/>
        <v>0.16830000000000001</v>
      </c>
      <c r="W326" s="1">
        <f t="shared" si="16"/>
        <v>1.17E-2</v>
      </c>
      <c r="X326" s="1">
        <f t="shared" si="17"/>
        <v>0</v>
      </c>
    </row>
    <row r="327" spans="1:24" x14ac:dyDescent="0.25">
      <c r="A327">
        <v>2022</v>
      </c>
      <c r="B327">
        <v>12</v>
      </c>
      <c r="C327" t="s">
        <v>31</v>
      </c>
      <c r="D327" t="str">
        <f>_xlfn.XLOOKUP(C327,'Carrier Name Rename'!A:A,'Carrier Name Rename'!B:B)</f>
        <v>American Airlines Inc.</v>
      </c>
      <c r="E327" t="s">
        <v>23</v>
      </c>
      <c r="F327" t="s">
        <v>24</v>
      </c>
      <c r="G327">
        <v>487</v>
      </c>
      <c r="H327">
        <v>145</v>
      </c>
      <c r="I327">
        <v>55.35</v>
      </c>
      <c r="J327">
        <v>9.11</v>
      </c>
      <c r="K327">
        <v>46.32</v>
      </c>
      <c r="L327">
        <v>0.02</v>
      </c>
      <c r="M327">
        <v>34.200000000000003</v>
      </c>
      <c r="N327">
        <v>13</v>
      </c>
      <c r="O327">
        <v>2</v>
      </c>
      <c r="P327">
        <v>11480</v>
      </c>
      <c r="Q327">
        <v>5325</v>
      </c>
      <c r="R327">
        <v>631</v>
      </c>
      <c r="S327">
        <v>1749</v>
      </c>
      <c r="T327">
        <v>1</v>
      </c>
      <c r="U327">
        <v>3774</v>
      </c>
      <c r="V327" s="1">
        <f t="shared" si="15"/>
        <v>0.29770000000000002</v>
      </c>
      <c r="W327" s="1">
        <f t="shared" si="16"/>
        <v>2.6700000000000002E-2</v>
      </c>
      <c r="X327" s="1">
        <f t="shared" si="17"/>
        <v>4.1000000000000003E-3</v>
      </c>
    </row>
    <row r="328" spans="1:24" x14ac:dyDescent="0.25">
      <c r="A328">
        <v>2022</v>
      </c>
      <c r="B328">
        <v>12</v>
      </c>
      <c r="C328" t="s">
        <v>33</v>
      </c>
      <c r="D328" t="str">
        <f>_xlfn.XLOOKUP(C328,'Carrier Name Rename'!A:A,'Carrier Name Rename'!B:B)</f>
        <v>Alaska Airlines Inc.</v>
      </c>
      <c r="E328" t="s">
        <v>23</v>
      </c>
      <c r="F328" t="s">
        <v>24</v>
      </c>
      <c r="G328">
        <v>6036</v>
      </c>
      <c r="H328">
        <v>1965</v>
      </c>
      <c r="I328">
        <v>471.43</v>
      </c>
      <c r="J328">
        <v>101.86</v>
      </c>
      <c r="K328">
        <v>667.36</v>
      </c>
      <c r="L328">
        <v>8.66</v>
      </c>
      <c r="M328">
        <v>715.7</v>
      </c>
      <c r="N328">
        <v>591</v>
      </c>
      <c r="O328">
        <v>24</v>
      </c>
      <c r="P328">
        <v>125829</v>
      </c>
      <c r="Q328">
        <v>33201</v>
      </c>
      <c r="R328">
        <v>11831</v>
      </c>
      <c r="S328">
        <v>28806</v>
      </c>
      <c r="T328">
        <v>258</v>
      </c>
      <c r="U328">
        <v>51733</v>
      </c>
      <c r="V328" s="1">
        <f t="shared" si="15"/>
        <v>0.32550000000000001</v>
      </c>
      <c r="W328" s="1">
        <f t="shared" si="16"/>
        <v>9.7900000000000001E-2</v>
      </c>
      <c r="X328" s="1">
        <f t="shared" si="17"/>
        <v>4.0000000000000001E-3</v>
      </c>
    </row>
    <row r="329" spans="1:24" x14ac:dyDescent="0.25">
      <c r="A329">
        <v>2022</v>
      </c>
      <c r="B329">
        <v>12</v>
      </c>
      <c r="C329" t="s">
        <v>35</v>
      </c>
      <c r="D329" t="str">
        <f>_xlfn.XLOOKUP(C329,'Carrier Name Rename'!A:A,'Carrier Name Rename'!B:B)</f>
        <v>JetBlue Airways</v>
      </c>
      <c r="E329" t="s">
        <v>23</v>
      </c>
      <c r="F329" t="s">
        <v>24</v>
      </c>
      <c r="G329">
        <v>61</v>
      </c>
      <c r="H329">
        <v>30</v>
      </c>
      <c r="I329">
        <v>18.82</v>
      </c>
      <c r="J329">
        <v>0</v>
      </c>
      <c r="K329">
        <v>6.82</v>
      </c>
      <c r="L329">
        <v>0</v>
      </c>
      <c r="M329">
        <v>4.3499999999999996</v>
      </c>
      <c r="N329">
        <v>0</v>
      </c>
      <c r="O329">
        <v>0</v>
      </c>
      <c r="P329">
        <v>2627</v>
      </c>
      <c r="Q329">
        <v>1954</v>
      </c>
      <c r="R329">
        <v>0</v>
      </c>
      <c r="S329">
        <v>311</v>
      </c>
      <c r="T329">
        <v>0</v>
      </c>
      <c r="U329">
        <v>362</v>
      </c>
      <c r="V329" s="1">
        <f t="shared" si="15"/>
        <v>0.49180000000000001</v>
      </c>
      <c r="W329" s="1">
        <f t="shared" si="16"/>
        <v>0</v>
      </c>
      <c r="X329" s="1">
        <f t="shared" si="17"/>
        <v>0</v>
      </c>
    </row>
    <row r="330" spans="1:24" x14ac:dyDescent="0.25">
      <c r="A330">
        <v>2022</v>
      </c>
      <c r="B330">
        <v>12</v>
      </c>
      <c r="C330" t="s">
        <v>37</v>
      </c>
      <c r="D330" t="str">
        <f>_xlfn.XLOOKUP(C330,'Carrier Name Rename'!A:A,'Carrier Name Rename'!B:B)</f>
        <v>Delta Air Lines Inc.</v>
      </c>
      <c r="E330" t="s">
        <v>23</v>
      </c>
      <c r="F330" t="s">
        <v>24</v>
      </c>
      <c r="G330">
        <v>2584</v>
      </c>
      <c r="H330">
        <v>572</v>
      </c>
      <c r="I330">
        <v>197.81</v>
      </c>
      <c r="J330">
        <v>21.92</v>
      </c>
      <c r="K330">
        <v>172.9</v>
      </c>
      <c r="L330">
        <v>0</v>
      </c>
      <c r="M330">
        <v>179.38</v>
      </c>
      <c r="N330">
        <v>118</v>
      </c>
      <c r="O330">
        <v>7</v>
      </c>
      <c r="P330">
        <v>43599</v>
      </c>
      <c r="Q330">
        <v>18651</v>
      </c>
      <c r="R330">
        <v>2465</v>
      </c>
      <c r="S330">
        <v>7924</v>
      </c>
      <c r="T330">
        <v>0</v>
      </c>
      <c r="U330">
        <v>14559</v>
      </c>
      <c r="V330" s="1">
        <f t="shared" si="15"/>
        <v>0.22140000000000001</v>
      </c>
      <c r="W330" s="1">
        <f t="shared" si="16"/>
        <v>4.5699999999999998E-2</v>
      </c>
      <c r="X330" s="1">
        <f t="shared" si="17"/>
        <v>2.7000000000000001E-3</v>
      </c>
    </row>
    <row r="331" spans="1:24" x14ac:dyDescent="0.25">
      <c r="A331">
        <v>2022</v>
      </c>
      <c r="B331">
        <v>12</v>
      </c>
      <c r="C331" t="s">
        <v>39</v>
      </c>
      <c r="D331" t="str">
        <f>_xlfn.XLOOKUP(C331,'Carrier Name Rename'!A:A,'Carrier Name Rename'!B:B)</f>
        <v>Frontier Airlines Inc.</v>
      </c>
      <c r="E331" t="s">
        <v>23</v>
      </c>
      <c r="F331" t="s">
        <v>24</v>
      </c>
      <c r="G331">
        <v>62</v>
      </c>
      <c r="H331">
        <v>21</v>
      </c>
      <c r="I331">
        <v>7.96</v>
      </c>
      <c r="J331">
        <v>0.42</v>
      </c>
      <c r="K331">
        <v>8.19</v>
      </c>
      <c r="L331">
        <v>0</v>
      </c>
      <c r="M331">
        <v>4.43</v>
      </c>
      <c r="N331">
        <v>3</v>
      </c>
      <c r="O331">
        <v>0</v>
      </c>
      <c r="P331">
        <v>1864</v>
      </c>
      <c r="Q331">
        <v>949</v>
      </c>
      <c r="R331">
        <v>28</v>
      </c>
      <c r="S331">
        <v>376</v>
      </c>
      <c r="T331">
        <v>0</v>
      </c>
      <c r="U331">
        <v>511</v>
      </c>
      <c r="V331" s="1">
        <f t="shared" si="15"/>
        <v>0.3387</v>
      </c>
      <c r="W331" s="1">
        <f t="shared" si="16"/>
        <v>4.8399999999999999E-2</v>
      </c>
      <c r="X331" s="1">
        <f t="shared" si="17"/>
        <v>0</v>
      </c>
    </row>
    <row r="332" spans="1:24" x14ac:dyDescent="0.25">
      <c r="A332">
        <v>2022</v>
      </c>
      <c r="B332">
        <v>12</v>
      </c>
      <c r="C332" t="s">
        <v>21</v>
      </c>
      <c r="D332" t="str">
        <f>_xlfn.XLOOKUP(C332,'Carrier Name Rename'!A:A,'Carrier Name Rename'!B:B)</f>
        <v>Hawaiian Airlines Inc.</v>
      </c>
      <c r="E332" t="s">
        <v>23</v>
      </c>
      <c r="F332" t="s">
        <v>24</v>
      </c>
      <c r="G332">
        <v>69</v>
      </c>
      <c r="H332">
        <v>35</v>
      </c>
      <c r="I332">
        <v>20.440000000000001</v>
      </c>
      <c r="J332">
        <v>1</v>
      </c>
      <c r="K332">
        <v>1</v>
      </c>
      <c r="L332">
        <v>0</v>
      </c>
      <c r="M332">
        <v>12.56</v>
      </c>
      <c r="N332">
        <v>6</v>
      </c>
      <c r="O332">
        <v>2</v>
      </c>
      <c r="P332">
        <v>3473</v>
      </c>
      <c r="Q332">
        <v>2414</v>
      </c>
      <c r="R332">
        <v>224</v>
      </c>
      <c r="S332">
        <v>39</v>
      </c>
      <c r="T332">
        <v>0</v>
      </c>
      <c r="U332">
        <v>796</v>
      </c>
      <c r="V332" s="1">
        <f t="shared" si="15"/>
        <v>0.50719999999999998</v>
      </c>
      <c r="W332" s="1">
        <f t="shared" si="16"/>
        <v>8.6999999999999994E-2</v>
      </c>
      <c r="X332" s="1">
        <f t="shared" si="17"/>
        <v>2.9000000000000001E-2</v>
      </c>
    </row>
    <row r="333" spans="1:24" x14ac:dyDescent="0.25">
      <c r="A333">
        <v>2022</v>
      </c>
      <c r="B333">
        <v>12</v>
      </c>
      <c r="C333" t="s">
        <v>25</v>
      </c>
      <c r="D333" t="str">
        <f>_xlfn.XLOOKUP(C333,'Carrier Name Rename'!A:A,'Carrier Name Rename'!B:B)</f>
        <v>Spirit Airlines</v>
      </c>
      <c r="E333" t="s">
        <v>23</v>
      </c>
      <c r="F333" t="s">
        <v>24</v>
      </c>
      <c r="G333">
        <v>93</v>
      </c>
      <c r="H333">
        <v>29</v>
      </c>
      <c r="I333">
        <v>18.670000000000002</v>
      </c>
      <c r="J333">
        <v>0</v>
      </c>
      <c r="K333">
        <v>8.69</v>
      </c>
      <c r="L333">
        <v>0</v>
      </c>
      <c r="M333">
        <v>1.63</v>
      </c>
      <c r="N333">
        <v>12</v>
      </c>
      <c r="O333">
        <v>0</v>
      </c>
      <c r="P333">
        <v>1591</v>
      </c>
      <c r="Q333">
        <v>1181</v>
      </c>
      <c r="R333">
        <v>0</v>
      </c>
      <c r="S333">
        <v>311</v>
      </c>
      <c r="T333">
        <v>0</v>
      </c>
      <c r="U333">
        <v>99</v>
      </c>
      <c r="V333" s="1">
        <f t="shared" si="15"/>
        <v>0.31180000000000002</v>
      </c>
      <c r="W333" s="1">
        <f t="shared" si="16"/>
        <v>0.129</v>
      </c>
      <c r="X333" s="1">
        <f t="shared" si="17"/>
        <v>0</v>
      </c>
    </row>
    <row r="334" spans="1:24" x14ac:dyDescent="0.25">
      <c r="A334">
        <v>2022</v>
      </c>
      <c r="B334">
        <v>12</v>
      </c>
      <c r="C334" t="s">
        <v>27</v>
      </c>
      <c r="D334" t="str">
        <f>_xlfn.XLOOKUP(C334,'Carrier Name Rename'!A:A,'Carrier Name Rename'!B:B)</f>
        <v>SkyWest Airlines Inc.</v>
      </c>
      <c r="E334" t="s">
        <v>23</v>
      </c>
      <c r="F334" t="s">
        <v>24</v>
      </c>
      <c r="G334">
        <v>1399</v>
      </c>
      <c r="H334">
        <v>353</v>
      </c>
      <c r="I334">
        <v>185</v>
      </c>
      <c r="J334">
        <v>114</v>
      </c>
      <c r="K334">
        <v>12</v>
      </c>
      <c r="L334">
        <v>0</v>
      </c>
      <c r="M334">
        <v>42</v>
      </c>
      <c r="N334">
        <v>68</v>
      </c>
      <c r="O334">
        <v>1</v>
      </c>
      <c r="P334">
        <v>27864</v>
      </c>
      <c r="Q334">
        <v>11256</v>
      </c>
      <c r="R334">
        <v>11723</v>
      </c>
      <c r="S334">
        <v>1051</v>
      </c>
      <c r="T334">
        <v>0</v>
      </c>
      <c r="U334">
        <v>3834</v>
      </c>
      <c r="V334" s="1">
        <f t="shared" si="15"/>
        <v>0.25230000000000002</v>
      </c>
      <c r="W334" s="1">
        <f t="shared" si="16"/>
        <v>4.8599999999999997E-2</v>
      </c>
      <c r="X334" s="1">
        <f t="shared" si="17"/>
        <v>6.9999999999999999E-4</v>
      </c>
    </row>
    <row r="335" spans="1:24" x14ac:dyDescent="0.25">
      <c r="A335">
        <v>2022</v>
      </c>
      <c r="B335">
        <v>12</v>
      </c>
      <c r="C335" t="s">
        <v>29</v>
      </c>
      <c r="D335" t="str">
        <f>_xlfn.XLOOKUP(C335,'Carrier Name Rename'!A:A,'Carrier Name Rename'!B:B)</f>
        <v>Horizon Air</v>
      </c>
      <c r="E335" t="s">
        <v>23</v>
      </c>
      <c r="F335" t="s">
        <v>24</v>
      </c>
      <c r="G335">
        <v>1827</v>
      </c>
      <c r="H335">
        <v>616</v>
      </c>
      <c r="I335">
        <v>141.91</v>
      </c>
      <c r="J335">
        <v>74.989999999999995</v>
      </c>
      <c r="K335">
        <v>208.24</v>
      </c>
      <c r="L335">
        <v>1.33</v>
      </c>
      <c r="M335">
        <v>189.53</v>
      </c>
      <c r="N335">
        <v>159</v>
      </c>
      <c r="O335">
        <v>6</v>
      </c>
      <c r="P335">
        <v>48595</v>
      </c>
      <c r="Q335">
        <v>10854</v>
      </c>
      <c r="R335">
        <v>9160</v>
      </c>
      <c r="S335">
        <v>8554</v>
      </c>
      <c r="T335">
        <v>25</v>
      </c>
      <c r="U335">
        <v>20002</v>
      </c>
      <c r="V335" s="1">
        <f t="shared" si="15"/>
        <v>0.3372</v>
      </c>
      <c r="W335" s="1">
        <f t="shared" si="16"/>
        <v>8.6999999999999994E-2</v>
      </c>
      <c r="X335" s="1">
        <f t="shared" si="17"/>
        <v>3.3E-3</v>
      </c>
    </row>
    <row r="336" spans="1:24" x14ac:dyDescent="0.25">
      <c r="A336">
        <v>2022</v>
      </c>
      <c r="B336">
        <v>12</v>
      </c>
      <c r="C336" t="s">
        <v>41</v>
      </c>
      <c r="D336" t="str">
        <f>_xlfn.XLOOKUP(C336,'Carrier Name Rename'!A:A,'Carrier Name Rename'!B:B)</f>
        <v>United Air Lines Inc.</v>
      </c>
      <c r="E336" t="s">
        <v>23</v>
      </c>
      <c r="F336" t="s">
        <v>24</v>
      </c>
      <c r="G336">
        <v>648</v>
      </c>
      <c r="H336">
        <v>194</v>
      </c>
      <c r="I336">
        <v>67.19</v>
      </c>
      <c r="J336">
        <v>5.24</v>
      </c>
      <c r="K336">
        <v>46.05</v>
      </c>
      <c r="L336">
        <v>0</v>
      </c>
      <c r="M336">
        <v>75.52</v>
      </c>
      <c r="N336">
        <v>26</v>
      </c>
      <c r="O336">
        <v>4</v>
      </c>
      <c r="P336">
        <v>12671</v>
      </c>
      <c r="Q336">
        <v>3893</v>
      </c>
      <c r="R336">
        <v>440</v>
      </c>
      <c r="S336">
        <v>1979</v>
      </c>
      <c r="T336">
        <v>0</v>
      </c>
      <c r="U336">
        <v>6359</v>
      </c>
      <c r="V336" s="1">
        <f t="shared" si="15"/>
        <v>0.2994</v>
      </c>
      <c r="W336" s="1">
        <f t="shared" si="16"/>
        <v>4.0099999999999997E-2</v>
      </c>
      <c r="X336" s="1">
        <f t="shared" si="17"/>
        <v>6.1999999999999998E-3</v>
      </c>
    </row>
    <row r="337" spans="1:24" x14ac:dyDescent="0.25">
      <c r="A337">
        <v>2022</v>
      </c>
      <c r="B337">
        <v>12</v>
      </c>
      <c r="C337" t="s">
        <v>43</v>
      </c>
      <c r="D337" t="str">
        <f>_xlfn.XLOOKUP(C337,'Carrier Name Rename'!A:A,'Carrier Name Rename'!B:B)</f>
        <v>Southwest Airlines Co.</v>
      </c>
      <c r="E337" t="s">
        <v>23</v>
      </c>
      <c r="F337" t="s">
        <v>24</v>
      </c>
      <c r="G337">
        <v>653</v>
      </c>
      <c r="H337">
        <v>148</v>
      </c>
      <c r="I337">
        <v>63.17</v>
      </c>
      <c r="J337">
        <v>2.81</v>
      </c>
      <c r="K337">
        <v>25.46</v>
      </c>
      <c r="L337">
        <v>0</v>
      </c>
      <c r="M337">
        <v>56.56</v>
      </c>
      <c r="N337">
        <v>112</v>
      </c>
      <c r="O337">
        <v>1</v>
      </c>
      <c r="P337">
        <v>8319</v>
      </c>
      <c r="Q337">
        <v>3787</v>
      </c>
      <c r="R337">
        <v>170</v>
      </c>
      <c r="S337">
        <v>917</v>
      </c>
      <c r="T337">
        <v>0</v>
      </c>
      <c r="U337">
        <v>3445</v>
      </c>
      <c r="V337" s="1">
        <f t="shared" si="15"/>
        <v>0.2266</v>
      </c>
      <c r="W337" s="1">
        <f t="shared" si="16"/>
        <v>0.17150000000000001</v>
      </c>
      <c r="X337" s="1">
        <f t="shared" si="17"/>
        <v>1.5E-3</v>
      </c>
    </row>
    <row r="338" spans="1:24" x14ac:dyDescent="0.25">
      <c r="A338">
        <v>2022</v>
      </c>
      <c r="B338">
        <v>11</v>
      </c>
      <c r="C338" t="s">
        <v>31</v>
      </c>
      <c r="D338" t="str">
        <f>_xlfn.XLOOKUP(C338,'Carrier Name Rename'!A:A,'Carrier Name Rename'!B:B)</f>
        <v>American Airlines Inc.</v>
      </c>
      <c r="E338" t="s">
        <v>23</v>
      </c>
      <c r="F338" t="s">
        <v>24</v>
      </c>
      <c r="G338">
        <v>452</v>
      </c>
      <c r="H338">
        <v>100</v>
      </c>
      <c r="I338">
        <v>33.06</v>
      </c>
      <c r="J338">
        <v>2.81</v>
      </c>
      <c r="K338">
        <v>38.24</v>
      </c>
      <c r="L338">
        <v>0.91</v>
      </c>
      <c r="M338">
        <v>24.98</v>
      </c>
      <c r="N338">
        <v>2</v>
      </c>
      <c r="O338">
        <v>1</v>
      </c>
      <c r="P338">
        <v>5899</v>
      </c>
      <c r="Q338">
        <v>2663</v>
      </c>
      <c r="R338">
        <v>181</v>
      </c>
      <c r="S338">
        <v>1364</v>
      </c>
      <c r="T338">
        <v>41</v>
      </c>
      <c r="U338">
        <v>1650</v>
      </c>
      <c r="V338" s="1">
        <f t="shared" si="15"/>
        <v>0.22120000000000001</v>
      </c>
      <c r="W338" s="1">
        <f t="shared" si="16"/>
        <v>4.4000000000000003E-3</v>
      </c>
      <c r="X338" s="1">
        <f t="shared" si="17"/>
        <v>2.2000000000000001E-3</v>
      </c>
    </row>
    <row r="339" spans="1:24" x14ac:dyDescent="0.25">
      <c r="A339">
        <v>2022</v>
      </c>
      <c r="B339">
        <v>11</v>
      </c>
      <c r="C339" t="s">
        <v>33</v>
      </c>
      <c r="D339" t="str">
        <f>_xlfn.XLOOKUP(C339,'Carrier Name Rename'!A:A,'Carrier Name Rename'!B:B)</f>
        <v>Alaska Airlines Inc.</v>
      </c>
      <c r="E339" t="s">
        <v>23</v>
      </c>
      <c r="F339" t="s">
        <v>24</v>
      </c>
      <c r="G339">
        <v>5816</v>
      </c>
      <c r="H339">
        <v>1062</v>
      </c>
      <c r="I339">
        <v>234.86</v>
      </c>
      <c r="J339">
        <v>24.55</v>
      </c>
      <c r="K339">
        <v>463.11</v>
      </c>
      <c r="L339">
        <v>2.9</v>
      </c>
      <c r="M339">
        <v>336.58</v>
      </c>
      <c r="N339">
        <v>122</v>
      </c>
      <c r="O339">
        <v>11</v>
      </c>
      <c r="P339">
        <v>67645</v>
      </c>
      <c r="Q339">
        <v>16159</v>
      </c>
      <c r="R339">
        <v>2668</v>
      </c>
      <c r="S339">
        <v>19985</v>
      </c>
      <c r="T339">
        <v>170</v>
      </c>
      <c r="U339">
        <v>28663</v>
      </c>
      <c r="V339" s="1">
        <f t="shared" si="15"/>
        <v>0.18260000000000001</v>
      </c>
      <c r="W339" s="1">
        <f t="shared" si="16"/>
        <v>2.1000000000000001E-2</v>
      </c>
      <c r="X339" s="1">
        <f t="shared" si="17"/>
        <v>1.9E-3</v>
      </c>
    </row>
    <row r="340" spans="1:24" x14ac:dyDescent="0.25">
      <c r="A340">
        <v>2022</v>
      </c>
      <c r="B340">
        <v>11</v>
      </c>
      <c r="C340" t="s">
        <v>35</v>
      </c>
      <c r="D340" t="str">
        <f>_xlfn.XLOOKUP(C340,'Carrier Name Rename'!A:A,'Carrier Name Rename'!B:B)</f>
        <v>JetBlue Airways</v>
      </c>
      <c r="E340" t="s">
        <v>23</v>
      </c>
      <c r="F340" t="s">
        <v>24</v>
      </c>
      <c r="G340">
        <v>64</v>
      </c>
      <c r="H340">
        <v>21</v>
      </c>
      <c r="I340">
        <v>11.66</v>
      </c>
      <c r="J340">
        <v>0</v>
      </c>
      <c r="K340">
        <v>4.5199999999999996</v>
      </c>
      <c r="L340">
        <v>0</v>
      </c>
      <c r="M340">
        <v>4.8099999999999996</v>
      </c>
      <c r="N340">
        <v>0</v>
      </c>
      <c r="O340">
        <v>0</v>
      </c>
      <c r="P340">
        <v>1546</v>
      </c>
      <c r="Q340">
        <v>933</v>
      </c>
      <c r="R340">
        <v>0</v>
      </c>
      <c r="S340">
        <v>157</v>
      </c>
      <c r="T340">
        <v>0</v>
      </c>
      <c r="U340">
        <v>456</v>
      </c>
      <c r="V340" s="1">
        <f t="shared" si="15"/>
        <v>0.3281</v>
      </c>
      <c r="W340" s="1">
        <f t="shared" si="16"/>
        <v>0</v>
      </c>
      <c r="X340" s="1">
        <f t="shared" si="17"/>
        <v>0</v>
      </c>
    </row>
    <row r="341" spans="1:24" x14ac:dyDescent="0.25">
      <c r="A341">
        <v>2022</v>
      </c>
      <c r="B341">
        <v>11</v>
      </c>
      <c r="C341" t="s">
        <v>37</v>
      </c>
      <c r="D341" t="str">
        <f>_xlfn.XLOOKUP(C341,'Carrier Name Rename'!A:A,'Carrier Name Rename'!B:B)</f>
        <v>Delta Air Lines Inc.</v>
      </c>
      <c r="E341" t="s">
        <v>23</v>
      </c>
      <c r="F341" t="s">
        <v>24</v>
      </c>
      <c r="G341">
        <v>2603</v>
      </c>
      <c r="H341">
        <v>326</v>
      </c>
      <c r="I341">
        <v>104.33</v>
      </c>
      <c r="J341">
        <v>7.26</v>
      </c>
      <c r="K341">
        <v>121.84</v>
      </c>
      <c r="L341">
        <v>0</v>
      </c>
      <c r="M341">
        <v>92.57</v>
      </c>
      <c r="N341">
        <v>19</v>
      </c>
      <c r="O341">
        <v>14</v>
      </c>
      <c r="P341">
        <v>28813</v>
      </c>
      <c r="Q341">
        <v>13111</v>
      </c>
      <c r="R341">
        <v>860</v>
      </c>
      <c r="S341">
        <v>4145</v>
      </c>
      <c r="T341">
        <v>0</v>
      </c>
      <c r="U341">
        <v>10697</v>
      </c>
      <c r="V341" s="1">
        <f t="shared" si="15"/>
        <v>0.12520000000000001</v>
      </c>
      <c r="W341" s="1">
        <f t="shared" si="16"/>
        <v>7.3000000000000001E-3</v>
      </c>
      <c r="X341" s="1">
        <f t="shared" si="17"/>
        <v>5.4000000000000003E-3</v>
      </c>
    </row>
    <row r="342" spans="1:24" x14ac:dyDescent="0.25">
      <c r="A342">
        <v>2022</v>
      </c>
      <c r="B342">
        <v>11</v>
      </c>
      <c r="C342" t="s">
        <v>39</v>
      </c>
      <c r="D342" t="str">
        <f>_xlfn.XLOOKUP(C342,'Carrier Name Rename'!A:A,'Carrier Name Rename'!B:B)</f>
        <v>Frontier Airlines Inc.</v>
      </c>
      <c r="E342" t="s">
        <v>23</v>
      </c>
      <c r="F342" t="s">
        <v>24</v>
      </c>
      <c r="G342">
        <v>60</v>
      </c>
      <c r="H342">
        <v>22</v>
      </c>
      <c r="I342">
        <v>7.88</v>
      </c>
      <c r="J342">
        <v>0</v>
      </c>
      <c r="K342">
        <v>10.35</v>
      </c>
      <c r="L342">
        <v>0</v>
      </c>
      <c r="M342">
        <v>3.77</v>
      </c>
      <c r="N342">
        <v>0</v>
      </c>
      <c r="O342">
        <v>0</v>
      </c>
      <c r="P342">
        <v>1087</v>
      </c>
      <c r="Q342">
        <v>416</v>
      </c>
      <c r="R342">
        <v>0</v>
      </c>
      <c r="S342">
        <v>460</v>
      </c>
      <c r="T342">
        <v>0</v>
      </c>
      <c r="U342">
        <v>211</v>
      </c>
      <c r="V342" s="1">
        <f t="shared" si="15"/>
        <v>0.36670000000000003</v>
      </c>
      <c r="W342" s="1">
        <f t="shared" si="16"/>
        <v>0</v>
      </c>
      <c r="X342" s="1">
        <f t="shared" si="17"/>
        <v>0</v>
      </c>
    </row>
    <row r="343" spans="1:24" x14ac:dyDescent="0.25">
      <c r="A343">
        <v>2022</v>
      </c>
      <c r="B343">
        <v>11</v>
      </c>
      <c r="C343" t="s">
        <v>21</v>
      </c>
      <c r="D343" t="str">
        <f>_xlfn.XLOOKUP(C343,'Carrier Name Rename'!A:A,'Carrier Name Rename'!B:B)</f>
        <v>Hawaiian Airlines Inc.</v>
      </c>
      <c r="E343" t="s">
        <v>23</v>
      </c>
      <c r="F343" t="s">
        <v>24</v>
      </c>
      <c r="G343">
        <v>63</v>
      </c>
      <c r="H343">
        <v>27</v>
      </c>
      <c r="I343">
        <v>20.8</v>
      </c>
      <c r="J343">
        <v>0</v>
      </c>
      <c r="K343">
        <v>0</v>
      </c>
      <c r="L343">
        <v>0</v>
      </c>
      <c r="M343">
        <v>6.2</v>
      </c>
      <c r="N343">
        <v>0</v>
      </c>
      <c r="O343">
        <v>2</v>
      </c>
      <c r="P343">
        <v>1089</v>
      </c>
      <c r="Q343">
        <v>702</v>
      </c>
      <c r="R343">
        <v>0</v>
      </c>
      <c r="S343">
        <v>0</v>
      </c>
      <c r="T343">
        <v>0</v>
      </c>
      <c r="U343">
        <v>387</v>
      </c>
      <c r="V343" s="1">
        <f t="shared" si="15"/>
        <v>0.42859999999999998</v>
      </c>
      <c r="W343" s="1">
        <f t="shared" si="16"/>
        <v>0</v>
      </c>
      <c r="X343" s="1">
        <f t="shared" si="17"/>
        <v>3.1699999999999999E-2</v>
      </c>
    </row>
    <row r="344" spans="1:24" x14ac:dyDescent="0.25">
      <c r="A344">
        <v>2022</v>
      </c>
      <c r="B344">
        <v>11</v>
      </c>
      <c r="C344" t="s">
        <v>25</v>
      </c>
      <c r="D344" t="str">
        <f>_xlfn.XLOOKUP(C344,'Carrier Name Rename'!A:A,'Carrier Name Rename'!B:B)</f>
        <v>Spirit Airlines</v>
      </c>
      <c r="E344" t="s">
        <v>23</v>
      </c>
      <c r="F344" t="s">
        <v>24</v>
      </c>
      <c r="G344">
        <v>89</v>
      </c>
      <c r="H344">
        <v>25</v>
      </c>
      <c r="I344">
        <v>8.8800000000000008</v>
      </c>
      <c r="J344">
        <v>0</v>
      </c>
      <c r="K344">
        <v>14.12</v>
      </c>
      <c r="L344">
        <v>0.45</v>
      </c>
      <c r="M344">
        <v>1.55</v>
      </c>
      <c r="N344">
        <v>0</v>
      </c>
      <c r="O344">
        <v>0</v>
      </c>
      <c r="P344">
        <v>1505</v>
      </c>
      <c r="Q344">
        <v>549</v>
      </c>
      <c r="R344">
        <v>0</v>
      </c>
      <c r="S344">
        <v>900</v>
      </c>
      <c r="T344">
        <v>19</v>
      </c>
      <c r="U344">
        <v>37</v>
      </c>
      <c r="V344" s="1">
        <f t="shared" si="15"/>
        <v>0.28089999999999998</v>
      </c>
      <c r="W344" s="1">
        <f t="shared" si="16"/>
        <v>0</v>
      </c>
      <c r="X344" s="1">
        <f t="shared" si="17"/>
        <v>0</v>
      </c>
    </row>
    <row r="345" spans="1:24" x14ac:dyDescent="0.25">
      <c r="A345">
        <v>2022</v>
      </c>
      <c r="B345">
        <v>11</v>
      </c>
      <c r="C345" t="s">
        <v>27</v>
      </c>
      <c r="D345" t="str">
        <f>_xlfn.XLOOKUP(C345,'Carrier Name Rename'!A:A,'Carrier Name Rename'!B:B)</f>
        <v>SkyWest Airlines Inc.</v>
      </c>
      <c r="E345" t="s">
        <v>23</v>
      </c>
      <c r="F345" t="s">
        <v>24</v>
      </c>
      <c r="G345">
        <v>1646</v>
      </c>
      <c r="H345">
        <v>276</v>
      </c>
      <c r="I345">
        <v>163</v>
      </c>
      <c r="J345">
        <v>85</v>
      </c>
      <c r="K345">
        <v>11</v>
      </c>
      <c r="L345">
        <v>3</v>
      </c>
      <c r="M345">
        <v>14</v>
      </c>
      <c r="N345">
        <v>34</v>
      </c>
      <c r="O345">
        <v>6</v>
      </c>
      <c r="P345">
        <v>22369</v>
      </c>
      <c r="Q345">
        <v>9283</v>
      </c>
      <c r="R345">
        <v>10561</v>
      </c>
      <c r="S345">
        <v>1137</v>
      </c>
      <c r="T345">
        <v>142</v>
      </c>
      <c r="U345">
        <v>1246</v>
      </c>
      <c r="V345" s="1">
        <f t="shared" si="15"/>
        <v>0.16769999999999999</v>
      </c>
      <c r="W345" s="1">
        <f t="shared" si="16"/>
        <v>2.07E-2</v>
      </c>
      <c r="X345" s="1">
        <f t="shared" si="17"/>
        <v>3.5999999999999999E-3</v>
      </c>
    </row>
    <row r="346" spans="1:24" x14ac:dyDescent="0.25">
      <c r="A346">
        <v>2022</v>
      </c>
      <c r="B346">
        <v>11</v>
      </c>
      <c r="C346" t="s">
        <v>29</v>
      </c>
      <c r="D346" t="str">
        <f>_xlfn.XLOOKUP(C346,'Carrier Name Rename'!A:A,'Carrier Name Rename'!B:B)</f>
        <v>Horizon Air</v>
      </c>
      <c r="E346" t="s">
        <v>23</v>
      </c>
      <c r="F346" t="s">
        <v>24</v>
      </c>
      <c r="G346">
        <v>1915</v>
      </c>
      <c r="H346">
        <v>454</v>
      </c>
      <c r="I346">
        <v>87.96</v>
      </c>
      <c r="J346">
        <v>34.96</v>
      </c>
      <c r="K346">
        <v>194.18</v>
      </c>
      <c r="L346">
        <v>0</v>
      </c>
      <c r="M346">
        <v>136.9</v>
      </c>
      <c r="N346">
        <v>19</v>
      </c>
      <c r="O346">
        <v>1</v>
      </c>
      <c r="P346">
        <v>26331</v>
      </c>
      <c r="Q346">
        <v>5251</v>
      </c>
      <c r="R346">
        <v>3538</v>
      </c>
      <c r="S346">
        <v>8234</v>
      </c>
      <c r="T346">
        <v>0</v>
      </c>
      <c r="U346">
        <v>9308</v>
      </c>
      <c r="V346" s="1">
        <f t="shared" si="15"/>
        <v>0.23710000000000001</v>
      </c>
      <c r="W346" s="1">
        <f t="shared" si="16"/>
        <v>9.9000000000000008E-3</v>
      </c>
      <c r="X346" s="1">
        <f t="shared" si="17"/>
        <v>5.0000000000000001E-4</v>
      </c>
    </row>
    <row r="347" spans="1:24" x14ac:dyDescent="0.25">
      <c r="A347">
        <v>2022</v>
      </c>
      <c r="B347">
        <v>11</v>
      </c>
      <c r="C347" t="s">
        <v>41</v>
      </c>
      <c r="D347" t="str">
        <f>_xlfn.XLOOKUP(C347,'Carrier Name Rename'!A:A,'Carrier Name Rename'!B:B)</f>
        <v>United Air Lines Inc.</v>
      </c>
      <c r="E347" t="s">
        <v>23</v>
      </c>
      <c r="F347" t="s">
        <v>24</v>
      </c>
      <c r="G347">
        <v>671</v>
      </c>
      <c r="H347">
        <v>115</v>
      </c>
      <c r="I347">
        <v>32.43</v>
      </c>
      <c r="J347">
        <v>0</v>
      </c>
      <c r="K347">
        <v>44.97</v>
      </c>
      <c r="L347">
        <v>0</v>
      </c>
      <c r="M347">
        <v>37.6</v>
      </c>
      <c r="N347">
        <v>4</v>
      </c>
      <c r="O347">
        <v>1</v>
      </c>
      <c r="P347">
        <v>7896</v>
      </c>
      <c r="Q347">
        <v>2043</v>
      </c>
      <c r="R347">
        <v>0</v>
      </c>
      <c r="S347">
        <v>2365</v>
      </c>
      <c r="T347">
        <v>0</v>
      </c>
      <c r="U347">
        <v>3488</v>
      </c>
      <c r="V347" s="1">
        <f t="shared" si="15"/>
        <v>0.1714</v>
      </c>
      <c r="W347" s="1">
        <f t="shared" si="16"/>
        <v>6.0000000000000001E-3</v>
      </c>
      <c r="X347" s="1">
        <f t="shared" si="17"/>
        <v>1.5E-3</v>
      </c>
    </row>
    <row r="348" spans="1:24" x14ac:dyDescent="0.25">
      <c r="A348">
        <v>2022</v>
      </c>
      <c r="B348">
        <v>11</v>
      </c>
      <c r="C348" t="s">
        <v>43</v>
      </c>
      <c r="D348" t="str">
        <f>_xlfn.XLOOKUP(C348,'Carrier Name Rename'!A:A,'Carrier Name Rename'!B:B)</f>
        <v>Southwest Airlines Co.</v>
      </c>
      <c r="E348" t="s">
        <v>23</v>
      </c>
      <c r="F348" t="s">
        <v>24</v>
      </c>
      <c r="G348">
        <v>602</v>
      </c>
      <c r="H348">
        <v>122</v>
      </c>
      <c r="I348">
        <v>41.86</v>
      </c>
      <c r="J348">
        <v>0.26</v>
      </c>
      <c r="K348">
        <v>26.1</v>
      </c>
      <c r="L348">
        <v>2.1800000000000002</v>
      </c>
      <c r="M348">
        <v>51.6</v>
      </c>
      <c r="N348">
        <v>1</v>
      </c>
      <c r="O348">
        <v>1</v>
      </c>
      <c r="P348">
        <v>5789</v>
      </c>
      <c r="Q348">
        <v>1924</v>
      </c>
      <c r="R348">
        <v>29</v>
      </c>
      <c r="S348">
        <v>1404</v>
      </c>
      <c r="T348">
        <v>112</v>
      </c>
      <c r="U348">
        <v>2320</v>
      </c>
      <c r="V348" s="1">
        <f t="shared" si="15"/>
        <v>0.20269999999999999</v>
      </c>
      <c r="W348" s="1">
        <f t="shared" si="16"/>
        <v>1.6999999999999999E-3</v>
      </c>
      <c r="X348" s="1">
        <f t="shared" si="17"/>
        <v>1.6999999999999999E-3</v>
      </c>
    </row>
    <row r="349" spans="1:24" x14ac:dyDescent="0.25">
      <c r="A349">
        <v>2022</v>
      </c>
      <c r="B349">
        <v>10</v>
      </c>
      <c r="C349" t="s">
        <v>31</v>
      </c>
      <c r="D349" t="str">
        <f>_xlfn.XLOOKUP(C349,'Carrier Name Rename'!A:A,'Carrier Name Rename'!B:B)</f>
        <v>American Airlines Inc.</v>
      </c>
      <c r="E349" t="s">
        <v>23</v>
      </c>
      <c r="F349" t="s">
        <v>24</v>
      </c>
      <c r="G349">
        <v>440</v>
      </c>
      <c r="H349">
        <v>73</v>
      </c>
      <c r="I349">
        <v>27.24</v>
      </c>
      <c r="J349">
        <v>2.74</v>
      </c>
      <c r="K349">
        <v>13.98</v>
      </c>
      <c r="L349">
        <v>0</v>
      </c>
      <c r="M349">
        <v>29.04</v>
      </c>
      <c r="N349">
        <v>1</v>
      </c>
      <c r="O349">
        <v>0</v>
      </c>
      <c r="P349">
        <v>4061</v>
      </c>
      <c r="Q349">
        <v>1271</v>
      </c>
      <c r="R349">
        <v>100</v>
      </c>
      <c r="S349">
        <v>531</v>
      </c>
      <c r="T349">
        <v>0</v>
      </c>
      <c r="U349">
        <v>2159</v>
      </c>
      <c r="V349" s="1">
        <f t="shared" si="15"/>
        <v>0.16589999999999999</v>
      </c>
      <c r="W349" s="1">
        <f t="shared" si="16"/>
        <v>2.3E-3</v>
      </c>
      <c r="X349" s="1">
        <f t="shared" si="17"/>
        <v>0</v>
      </c>
    </row>
    <row r="350" spans="1:24" x14ac:dyDescent="0.25">
      <c r="A350">
        <v>2022</v>
      </c>
      <c r="B350">
        <v>10</v>
      </c>
      <c r="C350" t="s">
        <v>33</v>
      </c>
      <c r="D350" t="str">
        <f>_xlfn.XLOOKUP(C350,'Carrier Name Rename'!A:A,'Carrier Name Rename'!B:B)</f>
        <v>Alaska Airlines Inc.</v>
      </c>
      <c r="E350" t="s">
        <v>23</v>
      </c>
      <c r="F350" t="s">
        <v>24</v>
      </c>
      <c r="G350">
        <v>6123</v>
      </c>
      <c r="H350">
        <v>746</v>
      </c>
      <c r="I350">
        <v>206.78</v>
      </c>
      <c r="J350">
        <v>16.89</v>
      </c>
      <c r="K350">
        <v>272.51</v>
      </c>
      <c r="L350">
        <v>2.8</v>
      </c>
      <c r="M350">
        <v>247.02</v>
      </c>
      <c r="N350">
        <v>37</v>
      </c>
      <c r="O350">
        <v>5</v>
      </c>
      <c r="P350">
        <v>37905</v>
      </c>
      <c r="Q350">
        <v>14456</v>
      </c>
      <c r="R350">
        <v>1387</v>
      </c>
      <c r="S350">
        <v>8345</v>
      </c>
      <c r="T350">
        <v>68</v>
      </c>
      <c r="U350">
        <v>13649</v>
      </c>
      <c r="V350" s="1">
        <f t="shared" si="15"/>
        <v>0.12180000000000001</v>
      </c>
      <c r="W350" s="1">
        <f t="shared" si="16"/>
        <v>6.0000000000000001E-3</v>
      </c>
      <c r="X350" s="1">
        <f t="shared" si="17"/>
        <v>8.0000000000000004E-4</v>
      </c>
    </row>
    <row r="351" spans="1:24" x14ac:dyDescent="0.25">
      <c r="A351">
        <v>2022</v>
      </c>
      <c r="B351">
        <v>10</v>
      </c>
      <c r="C351" t="s">
        <v>35</v>
      </c>
      <c r="D351" t="str">
        <f>_xlfn.XLOOKUP(C351,'Carrier Name Rename'!A:A,'Carrier Name Rename'!B:B)</f>
        <v>JetBlue Airways</v>
      </c>
      <c r="E351" t="s">
        <v>23</v>
      </c>
      <c r="F351" t="s">
        <v>24</v>
      </c>
      <c r="G351">
        <v>74</v>
      </c>
      <c r="H351">
        <v>9</v>
      </c>
      <c r="I351">
        <v>6.36</v>
      </c>
      <c r="J351">
        <v>0</v>
      </c>
      <c r="K351">
        <v>2</v>
      </c>
      <c r="L351">
        <v>0</v>
      </c>
      <c r="M351">
        <v>0.64</v>
      </c>
      <c r="N351">
        <v>0</v>
      </c>
      <c r="O351">
        <v>0</v>
      </c>
      <c r="P351">
        <v>598</v>
      </c>
      <c r="Q351">
        <v>463</v>
      </c>
      <c r="R351">
        <v>0</v>
      </c>
      <c r="S351">
        <v>82</v>
      </c>
      <c r="T351">
        <v>0</v>
      </c>
      <c r="U351">
        <v>53</v>
      </c>
      <c r="V351" s="1">
        <f t="shared" si="15"/>
        <v>0.1216</v>
      </c>
      <c r="W351" s="1">
        <f t="shared" si="16"/>
        <v>0</v>
      </c>
      <c r="X351" s="1">
        <f t="shared" si="17"/>
        <v>0</v>
      </c>
    </row>
    <row r="352" spans="1:24" x14ac:dyDescent="0.25">
      <c r="A352">
        <v>2022</v>
      </c>
      <c r="B352">
        <v>10</v>
      </c>
      <c r="C352" t="s">
        <v>37</v>
      </c>
      <c r="D352" t="str">
        <f>_xlfn.XLOOKUP(C352,'Carrier Name Rename'!A:A,'Carrier Name Rename'!B:B)</f>
        <v>Delta Air Lines Inc.</v>
      </c>
      <c r="E352" t="s">
        <v>23</v>
      </c>
      <c r="F352" t="s">
        <v>24</v>
      </c>
      <c r="G352">
        <v>2601</v>
      </c>
      <c r="H352">
        <v>250</v>
      </c>
      <c r="I352">
        <v>133.78</v>
      </c>
      <c r="J352">
        <v>1.08</v>
      </c>
      <c r="K352">
        <v>49.87</v>
      </c>
      <c r="L352">
        <v>0</v>
      </c>
      <c r="M352">
        <v>65.27</v>
      </c>
      <c r="N352">
        <v>4</v>
      </c>
      <c r="O352">
        <v>2</v>
      </c>
      <c r="P352">
        <v>19857</v>
      </c>
      <c r="Q352">
        <v>12829</v>
      </c>
      <c r="R352">
        <v>220</v>
      </c>
      <c r="S352">
        <v>1638</v>
      </c>
      <c r="T352">
        <v>0</v>
      </c>
      <c r="U352">
        <v>5170</v>
      </c>
      <c r="V352" s="1">
        <f t="shared" si="15"/>
        <v>9.6100000000000005E-2</v>
      </c>
      <c r="W352" s="1">
        <f t="shared" si="16"/>
        <v>1.5E-3</v>
      </c>
      <c r="X352" s="1">
        <f t="shared" si="17"/>
        <v>8.0000000000000004E-4</v>
      </c>
    </row>
    <row r="353" spans="1:24" x14ac:dyDescent="0.25">
      <c r="A353">
        <v>2022</v>
      </c>
      <c r="B353">
        <v>10</v>
      </c>
      <c r="C353" t="s">
        <v>39</v>
      </c>
      <c r="D353" t="str">
        <f>_xlfn.XLOOKUP(C353,'Carrier Name Rename'!A:A,'Carrier Name Rename'!B:B)</f>
        <v>Frontier Airlines Inc.</v>
      </c>
      <c r="E353" t="s">
        <v>23</v>
      </c>
      <c r="F353" t="s">
        <v>24</v>
      </c>
      <c r="G353">
        <v>54</v>
      </c>
      <c r="H353">
        <v>9</v>
      </c>
      <c r="I353">
        <v>4.07</v>
      </c>
      <c r="J353">
        <v>0</v>
      </c>
      <c r="K353">
        <v>2.08</v>
      </c>
      <c r="L353">
        <v>0</v>
      </c>
      <c r="M353">
        <v>2.85</v>
      </c>
      <c r="N353">
        <v>2</v>
      </c>
      <c r="O353">
        <v>0</v>
      </c>
      <c r="P353">
        <v>613</v>
      </c>
      <c r="Q353">
        <v>237</v>
      </c>
      <c r="R353">
        <v>0</v>
      </c>
      <c r="S353">
        <v>54</v>
      </c>
      <c r="T353">
        <v>0</v>
      </c>
      <c r="U353">
        <v>322</v>
      </c>
      <c r="V353" s="1">
        <f t="shared" si="15"/>
        <v>0.16669999999999999</v>
      </c>
      <c r="W353" s="1">
        <f t="shared" si="16"/>
        <v>3.6999999999999998E-2</v>
      </c>
      <c r="X353" s="1">
        <f t="shared" si="17"/>
        <v>0</v>
      </c>
    </row>
    <row r="354" spans="1:24" x14ac:dyDescent="0.25">
      <c r="A354">
        <v>2022</v>
      </c>
      <c r="B354">
        <v>10</v>
      </c>
      <c r="C354" t="s">
        <v>21</v>
      </c>
      <c r="D354" t="str">
        <f>_xlfn.XLOOKUP(C354,'Carrier Name Rename'!A:A,'Carrier Name Rename'!B:B)</f>
        <v>Hawaiian Airlines Inc.</v>
      </c>
      <c r="E354" t="s">
        <v>23</v>
      </c>
      <c r="F354" t="s">
        <v>24</v>
      </c>
      <c r="G354">
        <v>63</v>
      </c>
      <c r="H354">
        <v>40</v>
      </c>
      <c r="I354">
        <v>30.08</v>
      </c>
      <c r="J354">
        <v>0</v>
      </c>
      <c r="K354">
        <v>0</v>
      </c>
      <c r="L354">
        <v>0</v>
      </c>
      <c r="M354">
        <v>9.92</v>
      </c>
      <c r="N354">
        <v>0</v>
      </c>
      <c r="O354">
        <v>0</v>
      </c>
      <c r="P354">
        <v>1498</v>
      </c>
      <c r="Q354">
        <v>1160</v>
      </c>
      <c r="R354">
        <v>0</v>
      </c>
      <c r="S354">
        <v>0</v>
      </c>
      <c r="T354">
        <v>0</v>
      </c>
      <c r="U354">
        <v>338</v>
      </c>
      <c r="V354" s="1">
        <f t="shared" si="15"/>
        <v>0.63490000000000002</v>
      </c>
      <c r="W354" s="1">
        <f t="shared" si="16"/>
        <v>0</v>
      </c>
      <c r="X354" s="1">
        <f t="shared" si="17"/>
        <v>0</v>
      </c>
    </row>
    <row r="355" spans="1:24" x14ac:dyDescent="0.25">
      <c r="A355">
        <v>2022</v>
      </c>
      <c r="B355">
        <v>10</v>
      </c>
      <c r="C355" t="s">
        <v>25</v>
      </c>
      <c r="D355" t="str">
        <f>_xlfn.XLOOKUP(C355,'Carrier Name Rename'!A:A,'Carrier Name Rename'!B:B)</f>
        <v>Spirit Airlines</v>
      </c>
      <c r="E355" t="s">
        <v>23</v>
      </c>
      <c r="F355" t="s">
        <v>24</v>
      </c>
      <c r="G355">
        <v>93</v>
      </c>
      <c r="H355">
        <v>14</v>
      </c>
      <c r="I355">
        <v>4.5999999999999996</v>
      </c>
      <c r="J355">
        <v>0.02</v>
      </c>
      <c r="K355">
        <v>6.96</v>
      </c>
      <c r="L355">
        <v>0</v>
      </c>
      <c r="M355">
        <v>2.4300000000000002</v>
      </c>
      <c r="N355">
        <v>6</v>
      </c>
      <c r="O355">
        <v>0</v>
      </c>
      <c r="P355">
        <v>781</v>
      </c>
      <c r="Q355">
        <v>232</v>
      </c>
      <c r="R355">
        <v>2</v>
      </c>
      <c r="S355">
        <v>243</v>
      </c>
      <c r="T355">
        <v>0</v>
      </c>
      <c r="U355">
        <v>304</v>
      </c>
      <c r="V355" s="1">
        <f t="shared" si="15"/>
        <v>0.15049999999999999</v>
      </c>
      <c r="W355" s="1">
        <f t="shared" si="16"/>
        <v>6.4500000000000002E-2</v>
      </c>
      <c r="X355" s="1">
        <f t="shared" si="17"/>
        <v>0</v>
      </c>
    </row>
    <row r="356" spans="1:24" x14ac:dyDescent="0.25">
      <c r="A356">
        <v>2022</v>
      </c>
      <c r="B356">
        <v>10</v>
      </c>
      <c r="C356" t="s">
        <v>27</v>
      </c>
      <c r="D356" t="str">
        <f>_xlfn.XLOOKUP(C356,'Carrier Name Rename'!A:A,'Carrier Name Rename'!B:B)</f>
        <v>SkyWest Airlines Inc.</v>
      </c>
      <c r="E356" t="s">
        <v>23</v>
      </c>
      <c r="F356" t="s">
        <v>24</v>
      </c>
      <c r="G356">
        <v>1828</v>
      </c>
      <c r="H356">
        <v>152</v>
      </c>
      <c r="I356">
        <v>79</v>
      </c>
      <c r="J356">
        <v>36</v>
      </c>
      <c r="K356">
        <v>20</v>
      </c>
      <c r="L356">
        <v>0</v>
      </c>
      <c r="M356">
        <v>17</v>
      </c>
      <c r="N356">
        <v>2</v>
      </c>
      <c r="O356">
        <v>6</v>
      </c>
      <c r="P356">
        <v>8816</v>
      </c>
      <c r="Q356">
        <v>3503</v>
      </c>
      <c r="R356">
        <v>2872</v>
      </c>
      <c r="S356">
        <v>1402</v>
      </c>
      <c r="T356">
        <v>0</v>
      </c>
      <c r="U356">
        <v>1039</v>
      </c>
      <c r="V356" s="1">
        <f t="shared" si="15"/>
        <v>8.3199999999999996E-2</v>
      </c>
      <c r="W356" s="1">
        <f t="shared" si="16"/>
        <v>1.1000000000000001E-3</v>
      </c>
      <c r="X356" s="1">
        <f t="shared" si="17"/>
        <v>3.3E-3</v>
      </c>
    </row>
    <row r="357" spans="1:24" x14ac:dyDescent="0.25">
      <c r="A357">
        <v>2022</v>
      </c>
      <c r="B357">
        <v>10</v>
      </c>
      <c r="C357" t="s">
        <v>29</v>
      </c>
      <c r="D357" t="str">
        <f>_xlfn.XLOOKUP(C357,'Carrier Name Rename'!A:A,'Carrier Name Rename'!B:B)</f>
        <v>Horizon Air</v>
      </c>
      <c r="E357" t="s">
        <v>23</v>
      </c>
      <c r="F357" t="s">
        <v>24</v>
      </c>
      <c r="G357">
        <v>2220</v>
      </c>
      <c r="H357">
        <v>228</v>
      </c>
      <c r="I357">
        <v>60.55</v>
      </c>
      <c r="J357">
        <v>8.73</v>
      </c>
      <c r="K357">
        <v>99.61</v>
      </c>
      <c r="L357">
        <v>0</v>
      </c>
      <c r="M357">
        <v>59.11</v>
      </c>
      <c r="N357">
        <v>2</v>
      </c>
      <c r="O357">
        <v>2</v>
      </c>
      <c r="P357">
        <v>11753</v>
      </c>
      <c r="Q357">
        <v>4228</v>
      </c>
      <c r="R357">
        <v>819</v>
      </c>
      <c r="S357">
        <v>3381</v>
      </c>
      <c r="T357">
        <v>0</v>
      </c>
      <c r="U357">
        <v>3325</v>
      </c>
      <c r="V357" s="1">
        <f t="shared" si="15"/>
        <v>0.1027</v>
      </c>
      <c r="W357" s="1">
        <f t="shared" si="16"/>
        <v>8.9999999999999998E-4</v>
      </c>
      <c r="X357" s="1">
        <f t="shared" si="17"/>
        <v>8.9999999999999998E-4</v>
      </c>
    </row>
    <row r="358" spans="1:24" x14ac:dyDescent="0.25">
      <c r="A358">
        <v>2022</v>
      </c>
      <c r="B358">
        <v>10</v>
      </c>
      <c r="C358" t="s">
        <v>41</v>
      </c>
      <c r="D358" t="str">
        <f>_xlfn.XLOOKUP(C358,'Carrier Name Rename'!A:A,'Carrier Name Rename'!B:B)</f>
        <v>United Air Lines Inc.</v>
      </c>
      <c r="E358" t="s">
        <v>23</v>
      </c>
      <c r="F358" t="s">
        <v>24</v>
      </c>
      <c r="G358">
        <v>750</v>
      </c>
      <c r="H358">
        <v>53</v>
      </c>
      <c r="I358">
        <v>18.95</v>
      </c>
      <c r="J358">
        <v>0</v>
      </c>
      <c r="K358">
        <v>20.91</v>
      </c>
      <c r="L358">
        <v>0</v>
      </c>
      <c r="M358">
        <v>13.14</v>
      </c>
      <c r="N358">
        <v>0</v>
      </c>
      <c r="O358">
        <v>1</v>
      </c>
      <c r="P358">
        <v>2289</v>
      </c>
      <c r="Q358">
        <v>803</v>
      </c>
      <c r="R358">
        <v>0</v>
      </c>
      <c r="S358">
        <v>670</v>
      </c>
      <c r="T358">
        <v>0</v>
      </c>
      <c r="U358">
        <v>816</v>
      </c>
      <c r="V358" s="1">
        <f t="shared" si="15"/>
        <v>7.0699999999999999E-2</v>
      </c>
      <c r="W358" s="1">
        <f t="shared" si="16"/>
        <v>0</v>
      </c>
      <c r="X358" s="1">
        <f t="shared" si="17"/>
        <v>1.2999999999999999E-3</v>
      </c>
    </row>
    <row r="359" spans="1:24" x14ac:dyDescent="0.25">
      <c r="A359">
        <v>2022</v>
      </c>
      <c r="B359">
        <v>10</v>
      </c>
      <c r="C359" t="s">
        <v>43</v>
      </c>
      <c r="D359" t="str">
        <f>_xlfn.XLOOKUP(C359,'Carrier Name Rename'!A:A,'Carrier Name Rename'!B:B)</f>
        <v>Southwest Airlines Co.</v>
      </c>
      <c r="E359" t="s">
        <v>23</v>
      </c>
      <c r="F359" t="s">
        <v>24</v>
      </c>
      <c r="G359">
        <v>834</v>
      </c>
      <c r="H359">
        <v>160</v>
      </c>
      <c r="I359">
        <v>61.52</v>
      </c>
      <c r="J359">
        <v>3.04</v>
      </c>
      <c r="K359">
        <v>13.77</v>
      </c>
      <c r="L359">
        <v>0</v>
      </c>
      <c r="M359">
        <v>81.67</v>
      </c>
      <c r="N359">
        <v>3</v>
      </c>
      <c r="O359">
        <v>0</v>
      </c>
      <c r="P359">
        <v>7225</v>
      </c>
      <c r="Q359">
        <v>2981</v>
      </c>
      <c r="R359">
        <v>167</v>
      </c>
      <c r="S359">
        <v>599</v>
      </c>
      <c r="T359">
        <v>0</v>
      </c>
      <c r="U359">
        <v>3478</v>
      </c>
      <c r="V359" s="1">
        <f t="shared" si="15"/>
        <v>0.1918</v>
      </c>
      <c r="W359" s="1">
        <f t="shared" si="16"/>
        <v>3.5999999999999999E-3</v>
      </c>
      <c r="X359" s="1">
        <f t="shared" si="17"/>
        <v>0</v>
      </c>
    </row>
    <row r="360" spans="1:24" x14ac:dyDescent="0.25">
      <c r="A360">
        <v>2022</v>
      </c>
      <c r="B360">
        <v>9</v>
      </c>
      <c r="C360" t="s">
        <v>31</v>
      </c>
      <c r="D360" t="str">
        <f>_xlfn.XLOOKUP(C360,'Carrier Name Rename'!A:A,'Carrier Name Rename'!B:B)</f>
        <v>American Airlines Inc.</v>
      </c>
      <c r="E360" t="s">
        <v>23</v>
      </c>
      <c r="F360" t="s">
        <v>24</v>
      </c>
      <c r="G360">
        <v>440</v>
      </c>
      <c r="H360">
        <v>99</v>
      </c>
      <c r="I360">
        <v>46.94</v>
      </c>
      <c r="J360">
        <v>3.76</v>
      </c>
      <c r="K360">
        <v>27.51</v>
      </c>
      <c r="L360">
        <v>1</v>
      </c>
      <c r="M360">
        <v>19.79</v>
      </c>
      <c r="N360">
        <v>3</v>
      </c>
      <c r="O360">
        <v>2</v>
      </c>
      <c r="P360">
        <v>7596</v>
      </c>
      <c r="Q360">
        <v>4878</v>
      </c>
      <c r="R360">
        <v>302</v>
      </c>
      <c r="S360">
        <v>976</v>
      </c>
      <c r="T360">
        <v>30</v>
      </c>
      <c r="U360">
        <v>1410</v>
      </c>
      <c r="V360" s="1">
        <f t="shared" si="15"/>
        <v>0.22500000000000001</v>
      </c>
      <c r="W360" s="1">
        <f t="shared" si="16"/>
        <v>6.7999999999999996E-3</v>
      </c>
      <c r="X360" s="1">
        <f t="shared" si="17"/>
        <v>4.4999999999999997E-3</v>
      </c>
    </row>
    <row r="361" spans="1:24" x14ac:dyDescent="0.25">
      <c r="A361">
        <v>2022</v>
      </c>
      <c r="B361">
        <v>9</v>
      </c>
      <c r="C361" t="s">
        <v>33</v>
      </c>
      <c r="D361" t="str">
        <f>_xlfn.XLOOKUP(C361,'Carrier Name Rename'!A:A,'Carrier Name Rename'!B:B)</f>
        <v>Alaska Airlines Inc.</v>
      </c>
      <c r="E361" t="s">
        <v>23</v>
      </c>
      <c r="F361" t="s">
        <v>24</v>
      </c>
      <c r="G361">
        <v>6303</v>
      </c>
      <c r="H361">
        <v>907</v>
      </c>
      <c r="I361">
        <v>235.38</v>
      </c>
      <c r="J361">
        <v>23.1</v>
      </c>
      <c r="K361">
        <v>330.46</v>
      </c>
      <c r="L361">
        <v>1.56</v>
      </c>
      <c r="M361">
        <v>316.5</v>
      </c>
      <c r="N361">
        <v>54</v>
      </c>
      <c r="O361">
        <v>8</v>
      </c>
      <c r="P361">
        <v>42635</v>
      </c>
      <c r="Q361">
        <v>14366</v>
      </c>
      <c r="R361">
        <v>1188</v>
      </c>
      <c r="S361">
        <v>10871</v>
      </c>
      <c r="T361">
        <v>73</v>
      </c>
      <c r="U361">
        <v>16137</v>
      </c>
      <c r="V361" s="1">
        <f t="shared" si="15"/>
        <v>0.1439</v>
      </c>
      <c r="W361" s="1">
        <f t="shared" si="16"/>
        <v>8.6E-3</v>
      </c>
      <c r="X361" s="1">
        <f t="shared" si="17"/>
        <v>1.2999999999999999E-3</v>
      </c>
    </row>
    <row r="362" spans="1:24" x14ac:dyDescent="0.25">
      <c r="A362">
        <v>2022</v>
      </c>
      <c r="B362">
        <v>9</v>
      </c>
      <c r="C362" t="s">
        <v>35</v>
      </c>
      <c r="D362" t="str">
        <f>_xlfn.XLOOKUP(C362,'Carrier Name Rename'!A:A,'Carrier Name Rename'!B:B)</f>
        <v>JetBlue Airways</v>
      </c>
      <c r="E362" t="s">
        <v>23</v>
      </c>
      <c r="F362" t="s">
        <v>24</v>
      </c>
      <c r="G362">
        <v>89</v>
      </c>
      <c r="H362">
        <v>19</v>
      </c>
      <c r="I362">
        <v>12.2</v>
      </c>
      <c r="J362">
        <v>1</v>
      </c>
      <c r="K362">
        <v>2.44</v>
      </c>
      <c r="L362">
        <v>0</v>
      </c>
      <c r="M362">
        <v>3.36</v>
      </c>
      <c r="N362">
        <v>0</v>
      </c>
      <c r="O362">
        <v>1</v>
      </c>
      <c r="P362">
        <v>1316</v>
      </c>
      <c r="Q362">
        <v>816</v>
      </c>
      <c r="R362">
        <v>215</v>
      </c>
      <c r="S362">
        <v>92</v>
      </c>
      <c r="T362">
        <v>0</v>
      </c>
      <c r="U362">
        <v>193</v>
      </c>
      <c r="V362" s="1">
        <f t="shared" si="15"/>
        <v>0.2135</v>
      </c>
      <c r="W362" s="1">
        <f t="shared" si="16"/>
        <v>0</v>
      </c>
      <c r="X362" s="1">
        <f t="shared" si="17"/>
        <v>1.12E-2</v>
      </c>
    </row>
    <row r="363" spans="1:24" x14ac:dyDescent="0.25">
      <c r="A363">
        <v>2022</v>
      </c>
      <c r="B363">
        <v>9</v>
      </c>
      <c r="C363" t="s">
        <v>37</v>
      </c>
      <c r="D363" t="str">
        <f>_xlfn.XLOOKUP(C363,'Carrier Name Rename'!A:A,'Carrier Name Rename'!B:B)</f>
        <v>Delta Air Lines Inc.</v>
      </c>
      <c r="E363" t="s">
        <v>23</v>
      </c>
      <c r="F363" t="s">
        <v>24</v>
      </c>
      <c r="G363">
        <v>2624</v>
      </c>
      <c r="H363">
        <v>246</v>
      </c>
      <c r="I363">
        <v>107.54</v>
      </c>
      <c r="J363">
        <v>6.41</v>
      </c>
      <c r="K363">
        <v>68.52</v>
      </c>
      <c r="L363">
        <v>0</v>
      </c>
      <c r="M363">
        <v>63.53</v>
      </c>
      <c r="N363">
        <v>7</v>
      </c>
      <c r="O363">
        <v>4</v>
      </c>
      <c r="P363">
        <v>19180</v>
      </c>
      <c r="Q363">
        <v>12351</v>
      </c>
      <c r="R363">
        <v>523</v>
      </c>
      <c r="S363">
        <v>2368</v>
      </c>
      <c r="T363">
        <v>0</v>
      </c>
      <c r="U363">
        <v>3938</v>
      </c>
      <c r="V363" s="1">
        <f t="shared" si="15"/>
        <v>9.3799999999999994E-2</v>
      </c>
      <c r="W363" s="1">
        <f t="shared" si="16"/>
        <v>2.7000000000000001E-3</v>
      </c>
      <c r="X363" s="1">
        <f t="shared" si="17"/>
        <v>1.5E-3</v>
      </c>
    </row>
    <row r="364" spans="1:24" x14ac:dyDescent="0.25">
      <c r="A364">
        <v>2022</v>
      </c>
      <c r="B364">
        <v>9</v>
      </c>
      <c r="C364" t="s">
        <v>39</v>
      </c>
      <c r="D364" t="str">
        <f>_xlfn.XLOOKUP(C364,'Carrier Name Rename'!A:A,'Carrier Name Rename'!B:B)</f>
        <v>Frontier Airlines Inc.</v>
      </c>
      <c r="E364" t="s">
        <v>23</v>
      </c>
      <c r="F364" t="s">
        <v>24</v>
      </c>
      <c r="G364">
        <v>52</v>
      </c>
      <c r="H364">
        <v>12</v>
      </c>
      <c r="I364">
        <v>5.98</v>
      </c>
      <c r="J364">
        <v>1.87</v>
      </c>
      <c r="K364">
        <v>1.2</v>
      </c>
      <c r="L364">
        <v>0</v>
      </c>
      <c r="M364">
        <v>2.95</v>
      </c>
      <c r="N364">
        <v>0</v>
      </c>
      <c r="O364">
        <v>0</v>
      </c>
      <c r="P364">
        <v>715</v>
      </c>
      <c r="Q364">
        <v>484</v>
      </c>
      <c r="R364">
        <v>64</v>
      </c>
      <c r="S364">
        <v>28</v>
      </c>
      <c r="T364">
        <v>0</v>
      </c>
      <c r="U364">
        <v>139</v>
      </c>
      <c r="V364" s="1">
        <f t="shared" si="15"/>
        <v>0.23080000000000001</v>
      </c>
      <c r="W364" s="1">
        <f t="shared" si="16"/>
        <v>0</v>
      </c>
      <c r="X364" s="1">
        <f t="shared" si="17"/>
        <v>0</v>
      </c>
    </row>
    <row r="365" spans="1:24" x14ac:dyDescent="0.25">
      <c r="A365">
        <v>2022</v>
      </c>
      <c r="B365">
        <v>9</v>
      </c>
      <c r="C365" t="s">
        <v>21</v>
      </c>
      <c r="D365" t="str">
        <f>_xlfn.XLOOKUP(C365,'Carrier Name Rename'!A:A,'Carrier Name Rename'!B:B)</f>
        <v>Hawaiian Airlines Inc.</v>
      </c>
      <c r="E365" t="s">
        <v>23</v>
      </c>
      <c r="F365" t="s">
        <v>24</v>
      </c>
      <c r="G365">
        <v>61</v>
      </c>
      <c r="H365">
        <v>28</v>
      </c>
      <c r="I365">
        <v>23.01</v>
      </c>
      <c r="J365">
        <v>0</v>
      </c>
      <c r="K365">
        <v>0</v>
      </c>
      <c r="L365">
        <v>0</v>
      </c>
      <c r="M365">
        <v>4.99</v>
      </c>
      <c r="N365">
        <v>0</v>
      </c>
      <c r="O365">
        <v>0</v>
      </c>
      <c r="P365">
        <v>823</v>
      </c>
      <c r="Q365">
        <v>686</v>
      </c>
      <c r="R365">
        <v>0</v>
      </c>
      <c r="S365">
        <v>0</v>
      </c>
      <c r="T365">
        <v>0</v>
      </c>
      <c r="U365">
        <v>137</v>
      </c>
      <c r="V365" s="1">
        <f t="shared" si="15"/>
        <v>0.45900000000000002</v>
      </c>
      <c r="W365" s="1">
        <f t="shared" si="16"/>
        <v>0</v>
      </c>
      <c r="X365" s="1">
        <f t="shared" si="17"/>
        <v>0</v>
      </c>
    </row>
    <row r="366" spans="1:24" x14ac:dyDescent="0.25">
      <c r="A366">
        <v>2022</v>
      </c>
      <c r="B366">
        <v>9</v>
      </c>
      <c r="C366" t="s">
        <v>25</v>
      </c>
      <c r="D366" t="str">
        <f>_xlfn.XLOOKUP(C366,'Carrier Name Rename'!A:A,'Carrier Name Rename'!B:B)</f>
        <v>Spirit Airlines</v>
      </c>
      <c r="E366" t="s">
        <v>23</v>
      </c>
      <c r="F366" t="s">
        <v>24</v>
      </c>
      <c r="G366">
        <v>84</v>
      </c>
      <c r="H366">
        <v>25</v>
      </c>
      <c r="I366">
        <v>4.21</v>
      </c>
      <c r="J366">
        <v>1.72</v>
      </c>
      <c r="K366">
        <v>17.059999999999999</v>
      </c>
      <c r="L366">
        <v>0</v>
      </c>
      <c r="M366">
        <v>2</v>
      </c>
      <c r="N366">
        <v>1</v>
      </c>
      <c r="O366">
        <v>0</v>
      </c>
      <c r="P366">
        <v>2014</v>
      </c>
      <c r="Q366">
        <v>666</v>
      </c>
      <c r="R366">
        <v>134</v>
      </c>
      <c r="S366">
        <v>1129</v>
      </c>
      <c r="T366">
        <v>0</v>
      </c>
      <c r="U366">
        <v>85</v>
      </c>
      <c r="V366" s="1">
        <f t="shared" si="15"/>
        <v>0.29759999999999998</v>
      </c>
      <c r="W366" s="1">
        <f t="shared" si="16"/>
        <v>1.1900000000000001E-2</v>
      </c>
      <c r="X366" s="1">
        <f t="shared" si="17"/>
        <v>0</v>
      </c>
    </row>
    <row r="367" spans="1:24" x14ac:dyDescent="0.25">
      <c r="A367">
        <v>2022</v>
      </c>
      <c r="B367">
        <v>9</v>
      </c>
      <c r="C367" t="s">
        <v>27</v>
      </c>
      <c r="D367" t="str">
        <f>_xlfn.XLOOKUP(C367,'Carrier Name Rename'!A:A,'Carrier Name Rename'!B:B)</f>
        <v>SkyWest Airlines Inc.</v>
      </c>
      <c r="E367" t="s">
        <v>23</v>
      </c>
      <c r="F367" t="s">
        <v>24</v>
      </c>
      <c r="G367">
        <v>1837</v>
      </c>
      <c r="H367">
        <v>158</v>
      </c>
      <c r="I367">
        <v>92</v>
      </c>
      <c r="J367">
        <v>27</v>
      </c>
      <c r="K367">
        <v>9</v>
      </c>
      <c r="L367">
        <v>0</v>
      </c>
      <c r="M367">
        <v>30</v>
      </c>
      <c r="N367">
        <v>1</v>
      </c>
      <c r="O367">
        <v>3</v>
      </c>
      <c r="P367">
        <v>8353</v>
      </c>
      <c r="Q367">
        <v>4277</v>
      </c>
      <c r="R367">
        <v>1838</v>
      </c>
      <c r="S367">
        <v>527</v>
      </c>
      <c r="T367">
        <v>0</v>
      </c>
      <c r="U367">
        <v>1711</v>
      </c>
      <c r="V367" s="1">
        <f t="shared" si="15"/>
        <v>8.5999999999999993E-2</v>
      </c>
      <c r="W367" s="1">
        <f t="shared" si="16"/>
        <v>5.0000000000000001E-4</v>
      </c>
      <c r="X367" s="1">
        <f t="shared" si="17"/>
        <v>1.6000000000000001E-3</v>
      </c>
    </row>
    <row r="368" spans="1:24" x14ac:dyDescent="0.25">
      <c r="A368">
        <v>2022</v>
      </c>
      <c r="B368">
        <v>9</v>
      </c>
      <c r="C368" t="s">
        <v>29</v>
      </c>
      <c r="D368" t="str">
        <f>_xlfn.XLOOKUP(C368,'Carrier Name Rename'!A:A,'Carrier Name Rename'!B:B)</f>
        <v>Horizon Air</v>
      </c>
      <c r="E368" t="s">
        <v>23</v>
      </c>
      <c r="F368" t="s">
        <v>24</v>
      </c>
      <c r="G368">
        <v>2799</v>
      </c>
      <c r="H368">
        <v>362</v>
      </c>
      <c r="I368">
        <v>86.08</v>
      </c>
      <c r="J368">
        <v>3.48</v>
      </c>
      <c r="K368">
        <v>129.99</v>
      </c>
      <c r="L368">
        <v>0</v>
      </c>
      <c r="M368">
        <v>142.44999999999999</v>
      </c>
      <c r="N368">
        <v>2</v>
      </c>
      <c r="O368">
        <v>2</v>
      </c>
      <c r="P368">
        <v>19217</v>
      </c>
      <c r="Q368">
        <v>6089</v>
      </c>
      <c r="R368">
        <v>206</v>
      </c>
      <c r="S368">
        <v>4664</v>
      </c>
      <c r="T368">
        <v>0</v>
      </c>
      <c r="U368">
        <v>8258</v>
      </c>
      <c r="V368" s="1">
        <f t="shared" si="15"/>
        <v>0.1293</v>
      </c>
      <c r="W368" s="1">
        <f t="shared" si="16"/>
        <v>6.9999999999999999E-4</v>
      </c>
      <c r="X368" s="1">
        <f t="shared" si="17"/>
        <v>6.9999999999999999E-4</v>
      </c>
    </row>
    <row r="369" spans="1:24" x14ac:dyDescent="0.25">
      <c r="A369">
        <v>2022</v>
      </c>
      <c r="B369">
        <v>9</v>
      </c>
      <c r="C369" t="s">
        <v>41</v>
      </c>
      <c r="D369" t="str">
        <f>_xlfn.XLOOKUP(C369,'Carrier Name Rename'!A:A,'Carrier Name Rename'!B:B)</f>
        <v>United Air Lines Inc.</v>
      </c>
      <c r="E369" t="s">
        <v>23</v>
      </c>
      <c r="F369" t="s">
        <v>24</v>
      </c>
      <c r="G369">
        <v>709</v>
      </c>
      <c r="H369">
        <v>55</v>
      </c>
      <c r="I369">
        <v>16.170000000000002</v>
      </c>
      <c r="J369">
        <v>6.13</v>
      </c>
      <c r="K369">
        <v>12.82</v>
      </c>
      <c r="L369">
        <v>0</v>
      </c>
      <c r="M369">
        <v>19.88</v>
      </c>
      <c r="N369">
        <v>0</v>
      </c>
      <c r="O369">
        <v>0</v>
      </c>
      <c r="P369">
        <v>3285</v>
      </c>
      <c r="Q369">
        <v>821</v>
      </c>
      <c r="R369">
        <v>380</v>
      </c>
      <c r="S369">
        <v>465</v>
      </c>
      <c r="T369">
        <v>0</v>
      </c>
      <c r="U369">
        <v>1619</v>
      </c>
      <c r="V369" s="1">
        <f t="shared" si="15"/>
        <v>7.7600000000000002E-2</v>
      </c>
      <c r="W369" s="1">
        <f t="shared" si="16"/>
        <v>0</v>
      </c>
      <c r="X369" s="1">
        <f t="shared" si="17"/>
        <v>0</v>
      </c>
    </row>
    <row r="370" spans="1:24" x14ac:dyDescent="0.25">
      <c r="A370">
        <v>2022</v>
      </c>
      <c r="B370">
        <v>9</v>
      </c>
      <c r="C370" t="s">
        <v>43</v>
      </c>
      <c r="D370" t="str">
        <f>_xlfn.XLOOKUP(C370,'Carrier Name Rename'!A:A,'Carrier Name Rename'!B:B)</f>
        <v>Southwest Airlines Co.</v>
      </c>
      <c r="E370" t="s">
        <v>23</v>
      </c>
      <c r="F370" t="s">
        <v>24</v>
      </c>
      <c r="G370">
        <v>801</v>
      </c>
      <c r="H370">
        <v>165</v>
      </c>
      <c r="I370">
        <v>57.68</v>
      </c>
      <c r="J370">
        <v>2.82</v>
      </c>
      <c r="K370">
        <v>15.39</v>
      </c>
      <c r="L370">
        <v>1</v>
      </c>
      <c r="M370">
        <v>88.11</v>
      </c>
      <c r="N370">
        <v>0</v>
      </c>
      <c r="O370">
        <v>2</v>
      </c>
      <c r="P370">
        <v>7986</v>
      </c>
      <c r="Q370">
        <v>2399</v>
      </c>
      <c r="R370">
        <v>125</v>
      </c>
      <c r="S370">
        <v>571</v>
      </c>
      <c r="T370">
        <v>35</v>
      </c>
      <c r="U370">
        <v>4856</v>
      </c>
      <c r="V370" s="1">
        <f t="shared" si="15"/>
        <v>0.20599999999999999</v>
      </c>
      <c r="W370" s="1">
        <f t="shared" si="16"/>
        <v>0</v>
      </c>
      <c r="X370" s="1">
        <f t="shared" si="17"/>
        <v>2.5000000000000001E-3</v>
      </c>
    </row>
    <row r="371" spans="1:24" x14ac:dyDescent="0.25">
      <c r="A371">
        <v>2022</v>
      </c>
      <c r="B371">
        <v>8</v>
      </c>
      <c r="C371" t="s">
        <v>31</v>
      </c>
      <c r="D371" t="str">
        <f>_xlfn.XLOOKUP(C371,'Carrier Name Rename'!A:A,'Carrier Name Rename'!B:B)</f>
        <v>American Airlines Inc.</v>
      </c>
      <c r="E371" t="s">
        <v>23</v>
      </c>
      <c r="F371" t="s">
        <v>24</v>
      </c>
      <c r="G371">
        <v>522</v>
      </c>
      <c r="H371">
        <v>128</v>
      </c>
      <c r="I371">
        <v>43.66</v>
      </c>
      <c r="J371">
        <v>15.3</v>
      </c>
      <c r="K371">
        <v>26.13</v>
      </c>
      <c r="L371">
        <v>0</v>
      </c>
      <c r="M371">
        <v>42.91</v>
      </c>
      <c r="N371">
        <v>12</v>
      </c>
      <c r="O371">
        <v>0</v>
      </c>
      <c r="P371">
        <v>6886</v>
      </c>
      <c r="Q371">
        <v>2166</v>
      </c>
      <c r="R371">
        <v>1285</v>
      </c>
      <c r="S371">
        <v>1027</v>
      </c>
      <c r="T371">
        <v>0</v>
      </c>
      <c r="U371">
        <v>2408</v>
      </c>
      <c r="V371" s="1">
        <f t="shared" si="15"/>
        <v>0.2452</v>
      </c>
      <c r="W371" s="1">
        <f t="shared" si="16"/>
        <v>2.3E-2</v>
      </c>
      <c r="X371" s="1">
        <f t="shared" si="17"/>
        <v>0</v>
      </c>
    </row>
    <row r="372" spans="1:24" x14ac:dyDescent="0.25">
      <c r="A372">
        <v>2022</v>
      </c>
      <c r="B372">
        <v>8</v>
      </c>
      <c r="C372" t="s">
        <v>33</v>
      </c>
      <c r="D372" t="str">
        <f>_xlfn.XLOOKUP(C372,'Carrier Name Rename'!A:A,'Carrier Name Rename'!B:B)</f>
        <v>Alaska Airlines Inc.</v>
      </c>
      <c r="E372" t="s">
        <v>23</v>
      </c>
      <c r="F372" t="s">
        <v>24</v>
      </c>
      <c r="G372">
        <v>6579</v>
      </c>
      <c r="H372">
        <v>1078</v>
      </c>
      <c r="I372">
        <v>291.05</v>
      </c>
      <c r="J372">
        <v>40.75</v>
      </c>
      <c r="K372">
        <v>338.02</v>
      </c>
      <c r="L372">
        <v>11.38</v>
      </c>
      <c r="M372">
        <v>396.79</v>
      </c>
      <c r="N372">
        <v>30</v>
      </c>
      <c r="O372">
        <v>6</v>
      </c>
      <c r="P372">
        <v>56058</v>
      </c>
      <c r="Q372">
        <v>18408</v>
      </c>
      <c r="R372">
        <v>3077</v>
      </c>
      <c r="S372">
        <v>11505</v>
      </c>
      <c r="T372">
        <v>359</v>
      </c>
      <c r="U372">
        <v>22709</v>
      </c>
      <c r="V372" s="1">
        <f t="shared" si="15"/>
        <v>0.16389999999999999</v>
      </c>
      <c r="W372" s="1">
        <f t="shared" si="16"/>
        <v>4.5999999999999999E-3</v>
      </c>
      <c r="X372" s="1">
        <f t="shared" si="17"/>
        <v>8.9999999999999998E-4</v>
      </c>
    </row>
    <row r="373" spans="1:24" x14ac:dyDescent="0.25">
      <c r="A373">
        <v>2022</v>
      </c>
      <c r="B373">
        <v>8</v>
      </c>
      <c r="C373" t="s">
        <v>35</v>
      </c>
      <c r="D373" t="str">
        <f>_xlfn.XLOOKUP(C373,'Carrier Name Rename'!A:A,'Carrier Name Rename'!B:B)</f>
        <v>JetBlue Airways</v>
      </c>
      <c r="E373" t="s">
        <v>23</v>
      </c>
      <c r="F373" t="s">
        <v>24</v>
      </c>
      <c r="G373">
        <v>89</v>
      </c>
      <c r="H373">
        <v>28</v>
      </c>
      <c r="I373">
        <v>13.08</v>
      </c>
      <c r="J373">
        <v>0.39</v>
      </c>
      <c r="K373">
        <v>10.050000000000001</v>
      </c>
      <c r="L373">
        <v>1</v>
      </c>
      <c r="M373">
        <v>3.47</v>
      </c>
      <c r="N373">
        <v>1</v>
      </c>
      <c r="O373">
        <v>0</v>
      </c>
      <c r="P373">
        <v>2221</v>
      </c>
      <c r="Q373">
        <v>1237</v>
      </c>
      <c r="R373">
        <v>30</v>
      </c>
      <c r="S373">
        <v>672</v>
      </c>
      <c r="T373">
        <v>23</v>
      </c>
      <c r="U373">
        <v>259</v>
      </c>
      <c r="V373" s="1">
        <f t="shared" si="15"/>
        <v>0.31459999999999999</v>
      </c>
      <c r="W373" s="1">
        <f t="shared" si="16"/>
        <v>1.12E-2</v>
      </c>
      <c r="X373" s="1">
        <f t="shared" si="17"/>
        <v>0</v>
      </c>
    </row>
    <row r="374" spans="1:24" x14ac:dyDescent="0.25">
      <c r="A374">
        <v>2022</v>
      </c>
      <c r="B374">
        <v>8</v>
      </c>
      <c r="C374" t="s">
        <v>37</v>
      </c>
      <c r="D374" t="str">
        <f>_xlfn.XLOOKUP(C374,'Carrier Name Rename'!A:A,'Carrier Name Rename'!B:B)</f>
        <v>Delta Air Lines Inc.</v>
      </c>
      <c r="E374" t="s">
        <v>23</v>
      </c>
      <c r="F374" t="s">
        <v>24</v>
      </c>
      <c r="G374">
        <v>2801</v>
      </c>
      <c r="H374">
        <v>360</v>
      </c>
      <c r="I374">
        <v>156.94</v>
      </c>
      <c r="J374">
        <v>12.56</v>
      </c>
      <c r="K374">
        <v>73.040000000000006</v>
      </c>
      <c r="L374">
        <v>0</v>
      </c>
      <c r="M374">
        <v>117.45</v>
      </c>
      <c r="N374">
        <v>23</v>
      </c>
      <c r="O374">
        <v>2</v>
      </c>
      <c r="P374">
        <v>35723</v>
      </c>
      <c r="Q374">
        <v>22755</v>
      </c>
      <c r="R374">
        <v>844</v>
      </c>
      <c r="S374">
        <v>2624</v>
      </c>
      <c r="T374">
        <v>0</v>
      </c>
      <c r="U374">
        <v>9500</v>
      </c>
      <c r="V374" s="1">
        <f t="shared" si="15"/>
        <v>0.1285</v>
      </c>
      <c r="W374" s="1">
        <f t="shared" si="16"/>
        <v>8.2000000000000007E-3</v>
      </c>
      <c r="X374" s="1">
        <f t="shared" si="17"/>
        <v>6.9999999999999999E-4</v>
      </c>
    </row>
    <row r="375" spans="1:24" x14ac:dyDescent="0.25">
      <c r="A375">
        <v>2022</v>
      </c>
      <c r="B375">
        <v>8</v>
      </c>
      <c r="C375" t="s">
        <v>39</v>
      </c>
      <c r="D375" t="str">
        <f>_xlfn.XLOOKUP(C375,'Carrier Name Rename'!A:A,'Carrier Name Rename'!B:B)</f>
        <v>Frontier Airlines Inc.</v>
      </c>
      <c r="E375" t="s">
        <v>23</v>
      </c>
      <c r="F375" t="s">
        <v>24</v>
      </c>
      <c r="G375">
        <v>40</v>
      </c>
      <c r="H375">
        <v>6</v>
      </c>
      <c r="I375">
        <v>1.4</v>
      </c>
      <c r="J375">
        <v>1</v>
      </c>
      <c r="K375">
        <v>0.6</v>
      </c>
      <c r="L375">
        <v>0</v>
      </c>
      <c r="M375">
        <v>3</v>
      </c>
      <c r="N375">
        <v>0</v>
      </c>
      <c r="O375">
        <v>0</v>
      </c>
      <c r="P375">
        <v>434</v>
      </c>
      <c r="Q375">
        <v>86</v>
      </c>
      <c r="R375">
        <v>44</v>
      </c>
      <c r="S375">
        <v>21</v>
      </c>
      <c r="T375">
        <v>0</v>
      </c>
      <c r="U375">
        <v>283</v>
      </c>
      <c r="V375" s="1">
        <f t="shared" si="15"/>
        <v>0.15</v>
      </c>
      <c r="W375" s="1">
        <f t="shared" si="16"/>
        <v>0</v>
      </c>
      <c r="X375" s="1">
        <f t="shared" si="17"/>
        <v>0</v>
      </c>
    </row>
    <row r="376" spans="1:24" x14ac:dyDescent="0.25">
      <c r="A376">
        <v>2022</v>
      </c>
      <c r="B376">
        <v>8</v>
      </c>
      <c r="C376" t="s">
        <v>21</v>
      </c>
      <c r="D376" t="str">
        <f>_xlfn.XLOOKUP(C376,'Carrier Name Rename'!A:A,'Carrier Name Rename'!B:B)</f>
        <v>Hawaiian Airlines Inc.</v>
      </c>
      <c r="E376" t="s">
        <v>23</v>
      </c>
      <c r="F376" t="s">
        <v>24</v>
      </c>
      <c r="G376">
        <v>62</v>
      </c>
      <c r="H376">
        <v>27</v>
      </c>
      <c r="I376">
        <v>25.61</v>
      </c>
      <c r="J376">
        <v>0</v>
      </c>
      <c r="K376">
        <v>0</v>
      </c>
      <c r="L376">
        <v>0</v>
      </c>
      <c r="M376">
        <v>1.39</v>
      </c>
      <c r="N376">
        <v>0</v>
      </c>
      <c r="O376">
        <v>0</v>
      </c>
      <c r="P376">
        <v>729</v>
      </c>
      <c r="Q376">
        <v>630</v>
      </c>
      <c r="R376">
        <v>0</v>
      </c>
      <c r="S376">
        <v>0</v>
      </c>
      <c r="T376">
        <v>0</v>
      </c>
      <c r="U376">
        <v>99</v>
      </c>
      <c r="V376" s="1">
        <f t="shared" si="15"/>
        <v>0.4355</v>
      </c>
      <c r="W376" s="1">
        <f t="shared" si="16"/>
        <v>0</v>
      </c>
      <c r="X376" s="1">
        <f t="shared" si="17"/>
        <v>0</v>
      </c>
    </row>
    <row r="377" spans="1:24" x14ac:dyDescent="0.25">
      <c r="A377">
        <v>2022</v>
      </c>
      <c r="B377">
        <v>8</v>
      </c>
      <c r="C377" t="s">
        <v>25</v>
      </c>
      <c r="D377" t="str">
        <f>_xlfn.XLOOKUP(C377,'Carrier Name Rename'!A:A,'Carrier Name Rename'!B:B)</f>
        <v>Spirit Airlines</v>
      </c>
      <c r="E377" t="s">
        <v>23</v>
      </c>
      <c r="F377" t="s">
        <v>24</v>
      </c>
      <c r="G377">
        <v>62</v>
      </c>
      <c r="H377">
        <v>7</v>
      </c>
      <c r="I377">
        <v>0.87</v>
      </c>
      <c r="J377">
        <v>0</v>
      </c>
      <c r="K377">
        <v>6.04</v>
      </c>
      <c r="L377">
        <v>0.09</v>
      </c>
      <c r="M377">
        <v>0</v>
      </c>
      <c r="N377">
        <v>1</v>
      </c>
      <c r="O377">
        <v>0</v>
      </c>
      <c r="P377">
        <v>365</v>
      </c>
      <c r="Q377">
        <v>26</v>
      </c>
      <c r="R377">
        <v>0</v>
      </c>
      <c r="S377">
        <v>330</v>
      </c>
      <c r="T377">
        <v>9</v>
      </c>
      <c r="U377">
        <v>0</v>
      </c>
      <c r="V377" s="1">
        <f t="shared" si="15"/>
        <v>0.1129</v>
      </c>
      <c r="W377" s="1">
        <f t="shared" si="16"/>
        <v>1.61E-2</v>
      </c>
      <c r="X377" s="1">
        <f t="shared" si="17"/>
        <v>0</v>
      </c>
    </row>
    <row r="378" spans="1:24" x14ac:dyDescent="0.25">
      <c r="A378">
        <v>2022</v>
      </c>
      <c r="B378">
        <v>8</v>
      </c>
      <c r="C378" t="s">
        <v>27</v>
      </c>
      <c r="D378" t="str">
        <f>_xlfn.XLOOKUP(C378,'Carrier Name Rename'!A:A,'Carrier Name Rename'!B:B)</f>
        <v>SkyWest Airlines Inc.</v>
      </c>
      <c r="E378" t="s">
        <v>23</v>
      </c>
      <c r="F378" t="s">
        <v>24</v>
      </c>
      <c r="G378">
        <v>1857</v>
      </c>
      <c r="H378">
        <v>146</v>
      </c>
      <c r="I378">
        <v>100</v>
      </c>
      <c r="J378">
        <v>23</v>
      </c>
      <c r="K378">
        <v>7</v>
      </c>
      <c r="L378">
        <v>0</v>
      </c>
      <c r="M378">
        <v>16</v>
      </c>
      <c r="N378">
        <v>1</v>
      </c>
      <c r="O378">
        <v>1</v>
      </c>
      <c r="P378">
        <v>8933</v>
      </c>
      <c r="Q378">
        <v>6326</v>
      </c>
      <c r="R378">
        <v>1303</v>
      </c>
      <c r="S378">
        <v>249</v>
      </c>
      <c r="T378">
        <v>0</v>
      </c>
      <c r="U378">
        <v>1055</v>
      </c>
      <c r="V378" s="1">
        <f t="shared" si="15"/>
        <v>7.8600000000000003E-2</v>
      </c>
      <c r="W378" s="1">
        <f t="shared" si="16"/>
        <v>5.0000000000000001E-4</v>
      </c>
      <c r="X378" s="1">
        <f t="shared" si="17"/>
        <v>5.0000000000000001E-4</v>
      </c>
    </row>
    <row r="379" spans="1:24" x14ac:dyDescent="0.25">
      <c r="A379">
        <v>2022</v>
      </c>
      <c r="B379">
        <v>8</v>
      </c>
      <c r="C379" t="s">
        <v>29</v>
      </c>
      <c r="D379" t="str">
        <f>_xlfn.XLOOKUP(C379,'Carrier Name Rename'!A:A,'Carrier Name Rename'!B:B)</f>
        <v>Horizon Air</v>
      </c>
      <c r="E379" t="s">
        <v>23</v>
      </c>
      <c r="F379" t="s">
        <v>24</v>
      </c>
      <c r="G379">
        <v>2652</v>
      </c>
      <c r="H379">
        <v>277</v>
      </c>
      <c r="I379">
        <v>82.77</v>
      </c>
      <c r="J379">
        <v>2.69</v>
      </c>
      <c r="K379">
        <v>79.73</v>
      </c>
      <c r="L379">
        <v>0.88</v>
      </c>
      <c r="M379">
        <v>110.94</v>
      </c>
      <c r="N379">
        <v>10</v>
      </c>
      <c r="O379">
        <v>1</v>
      </c>
      <c r="P379">
        <v>12634</v>
      </c>
      <c r="Q379">
        <v>4669</v>
      </c>
      <c r="R379">
        <v>139</v>
      </c>
      <c r="S379">
        <v>2945</v>
      </c>
      <c r="T379">
        <v>30</v>
      </c>
      <c r="U379">
        <v>4851</v>
      </c>
      <c r="V379" s="1">
        <f t="shared" si="15"/>
        <v>0.10440000000000001</v>
      </c>
      <c r="W379" s="1">
        <f t="shared" si="16"/>
        <v>3.8E-3</v>
      </c>
      <c r="X379" s="1">
        <f t="shared" si="17"/>
        <v>4.0000000000000002E-4</v>
      </c>
    </row>
    <row r="380" spans="1:24" x14ac:dyDescent="0.25">
      <c r="A380">
        <v>2022</v>
      </c>
      <c r="B380">
        <v>8</v>
      </c>
      <c r="C380" t="s">
        <v>41</v>
      </c>
      <c r="D380" t="str">
        <f>_xlfn.XLOOKUP(C380,'Carrier Name Rename'!A:A,'Carrier Name Rename'!B:B)</f>
        <v>United Air Lines Inc.</v>
      </c>
      <c r="E380" t="s">
        <v>23</v>
      </c>
      <c r="F380" t="s">
        <v>24</v>
      </c>
      <c r="G380">
        <v>751</v>
      </c>
      <c r="H380">
        <v>136</v>
      </c>
      <c r="I380">
        <v>51.87</v>
      </c>
      <c r="J380">
        <v>5.26</v>
      </c>
      <c r="K380">
        <v>25.41</v>
      </c>
      <c r="L380">
        <v>0</v>
      </c>
      <c r="M380">
        <v>53.46</v>
      </c>
      <c r="N380">
        <v>12</v>
      </c>
      <c r="O380">
        <v>0</v>
      </c>
      <c r="P380">
        <v>9423</v>
      </c>
      <c r="Q380">
        <v>3540</v>
      </c>
      <c r="R380">
        <v>503</v>
      </c>
      <c r="S380">
        <v>1157</v>
      </c>
      <c r="T380">
        <v>0</v>
      </c>
      <c r="U380">
        <v>4223</v>
      </c>
      <c r="V380" s="1">
        <f t="shared" si="15"/>
        <v>0.18110000000000001</v>
      </c>
      <c r="W380" s="1">
        <f t="shared" si="16"/>
        <v>1.6E-2</v>
      </c>
      <c r="X380" s="1">
        <f t="shared" si="17"/>
        <v>0</v>
      </c>
    </row>
    <row r="381" spans="1:24" x14ac:dyDescent="0.25">
      <c r="A381">
        <v>2022</v>
      </c>
      <c r="B381">
        <v>8</v>
      </c>
      <c r="C381" t="s">
        <v>43</v>
      </c>
      <c r="D381" t="str">
        <f>_xlfn.XLOOKUP(C381,'Carrier Name Rename'!A:A,'Carrier Name Rename'!B:B)</f>
        <v>Southwest Airlines Co.</v>
      </c>
      <c r="E381" t="s">
        <v>23</v>
      </c>
      <c r="F381" t="s">
        <v>24</v>
      </c>
      <c r="G381">
        <v>926</v>
      </c>
      <c r="H381">
        <v>244</v>
      </c>
      <c r="I381">
        <v>87.39</v>
      </c>
      <c r="J381">
        <v>1.83</v>
      </c>
      <c r="K381">
        <v>16.690000000000001</v>
      </c>
      <c r="L381">
        <v>1</v>
      </c>
      <c r="M381">
        <v>137.09</v>
      </c>
      <c r="N381">
        <v>12</v>
      </c>
      <c r="O381">
        <v>0</v>
      </c>
      <c r="P381">
        <v>12686</v>
      </c>
      <c r="Q381">
        <v>3693</v>
      </c>
      <c r="R381">
        <v>168</v>
      </c>
      <c r="S381">
        <v>790</v>
      </c>
      <c r="T381">
        <v>149</v>
      </c>
      <c r="U381">
        <v>7886</v>
      </c>
      <c r="V381" s="1">
        <f t="shared" si="15"/>
        <v>0.26350000000000001</v>
      </c>
      <c r="W381" s="1">
        <f t="shared" si="16"/>
        <v>1.2999999999999999E-2</v>
      </c>
      <c r="X381" s="1">
        <f t="shared" si="17"/>
        <v>0</v>
      </c>
    </row>
    <row r="382" spans="1:24" x14ac:dyDescent="0.25">
      <c r="A382">
        <v>2022</v>
      </c>
      <c r="B382">
        <v>7</v>
      </c>
      <c r="C382" t="s">
        <v>31</v>
      </c>
      <c r="D382" t="str">
        <f>_xlfn.XLOOKUP(C382,'Carrier Name Rename'!A:A,'Carrier Name Rename'!B:B)</f>
        <v>American Airlines Inc.</v>
      </c>
      <c r="E382" t="s">
        <v>23</v>
      </c>
      <c r="F382" t="s">
        <v>24</v>
      </c>
      <c r="G382">
        <v>487</v>
      </c>
      <c r="H382">
        <v>163</v>
      </c>
      <c r="I382">
        <v>62.26</v>
      </c>
      <c r="J382">
        <v>8.31</v>
      </c>
      <c r="K382">
        <v>33.130000000000003</v>
      </c>
      <c r="L382">
        <v>0.17</v>
      </c>
      <c r="M382">
        <v>59.13</v>
      </c>
      <c r="N382">
        <v>9</v>
      </c>
      <c r="O382">
        <v>1</v>
      </c>
      <c r="P382">
        <v>10316</v>
      </c>
      <c r="Q382">
        <v>4619</v>
      </c>
      <c r="R382">
        <v>699</v>
      </c>
      <c r="S382">
        <v>1164</v>
      </c>
      <c r="T382">
        <v>19</v>
      </c>
      <c r="U382">
        <v>3815</v>
      </c>
      <c r="V382" s="1">
        <f t="shared" si="15"/>
        <v>0.3347</v>
      </c>
      <c r="W382" s="1">
        <f t="shared" si="16"/>
        <v>1.8499999999999999E-2</v>
      </c>
      <c r="X382" s="1">
        <f t="shared" si="17"/>
        <v>2.0999999999999999E-3</v>
      </c>
    </row>
    <row r="383" spans="1:24" x14ac:dyDescent="0.25">
      <c r="A383">
        <v>2022</v>
      </c>
      <c r="B383">
        <v>7</v>
      </c>
      <c r="C383" t="s">
        <v>33</v>
      </c>
      <c r="D383" t="str">
        <f>_xlfn.XLOOKUP(C383,'Carrier Name Rename'!A:A,'Carrier Name Rename'!B:B)</f>
        <v>Alaska Airlines Inc.</v>
      </c>
      <c r="E383" t="s">
        <v>23</v>
      </c>
      <c r="F383" t="s">
        <v>24</v>
      </c>
      <c r="G383">
        <v>6521</v>
      </c>
      <c r="H383">
        <v>1086</v>
      </c>
      <c r="I383">
        <v>300.98</v>
      </c>
      <c r="J383">
        <v>35.65</v>
      </c>
      <c r="K383">
        <v>390.66</v>
      </c>
      <c r="L383">
        <v>9.65</v>
      </c>
      <c r="M383">
        <v>349.06</v>
      </c>
      <c r="N383">
        <v>30</v>
      </c>
      <c r="O383">
        <v>12</v>
      </c>
      <c r="P383">
        <v>54557</v>
      </c>
      <c r="Q383">
        <v>18969</v>
      </c>
      <c r="R383">
        <v>1920</v>
      </c>
      <c r="S383">
        <v>12321</v>
      </c>
      <c r="T383">
        <v>298</v>
      </c>
      <c r="U383">
        <v>21049</v>
      </c>
      <c r="V383" s="1">
        <f t="shared" si="15"/>
        <v>0.16650000000000001</v>
      </c>
      <c r="W383" s="1">
        <f t="shared" si="16"/>
        <v>4.5999999999999999E-3</v>
      </c>
      <c r="X383" s="1">
        <f t="shared" si="17"/>
        <v>1.8E-3</v>
      </c>
    </row>
    <row r="384" spans="1:24" x14ac:dyDescent="0.25">
      <c r="A384">
        <v>2022</v>
      </c>
      <c r="B384">
        <v>7</v>
      </c>
      <c r="C384" t="s">
        <v>35</v>
      </c>
      <c r="D384" t="str">
        <f>_xlfn.XLOOKUP(C384,'Carrier Name Rename'!A:A,'Carrier Name Rename'!B:B)</f>
        <v>JetBlue Airways</v>
      </c>
      <c r="E384" t="s">
        <v>23</v>
      </c>
      <c r="F384" t="s">
        <v>24</v>
      </c>
      <c r="G384">
        <v>119</v>
      </c>
      <c r="H384">
        <v>50</v>
      </c>
      <c r="I384">
        <v>21.32</v>
      </c>
      <c r="J384">
        <v>0.56000000000000005</v>
      </c>
      <c r="K384">
        <v>24.24</v>
      </c>
      <c r="L384">
        <v>0</v>
      </c>
      <c r="M384">
        <v>3.88</v>
      </c>
      <c r="N384">
        <v>0</v>
      </c>
      <c r="O384">
        <v>0</v>
      </c>
      <c r="P384">
        <v>3288</v>
      </c>
      <c r="Q384">
        <v>1951</v>
      </c>
      <c r="R384">
        <v>42</v>
      </c>
      <c r="S384">
        <v>943</v>
      </c>
      <c r="T384">
        <v>0</v>
      </c>
      <c r="U384">
        <v>352</v>
      </c>
      <c r="V384" s="1">
        <f t="shared" si="15"/>
        <v>0.42020000000000002</v>
      </c>
      <c r="W384" s="1">
        <f t="shared" si="16"/>
        <v>0</v>
      </c>
      <c r="X384" s="1">
        <f t="shared" si="17"/>
        <v>0</v>
      </c>
    </row>
    <row r="385" spans="1:24" x14ac:dyDescent="0.25">
      <c r="A385">
        <v>2022</v>
      </c>
      <c r="B385">
        <v>7</v>
      </c>
      <c r="C385" t="s">
        <v>37</v>
      </c>
      <c r="D385" t="str">
        <f>_xlfn.XLOOKUP(C385,'Carrier Name Rename'!A:A,'Carrier Name Rename'!B:B)</f>
        <v>Delta Air Lines Inc.</v>
      </c>
      <c r="E385" t="s">
        <v>23</v>
      </c>
      <c r="F385" t="s">
        <v>24</v>
      </c>
      <c r="G385">
        <v>2727</v>
      </c>
      <c r="H385">
        <v>393</v>
      </c>
      <c r="I385">
        <v>195.7</v>
      </c>
      <c r="J385">
        <v>10.45</v>
      </c>
      <c r="K385">
        <v>71.349999999999994</v>
      </c>
      <c r="L385">
        <v>0</v>
      </c>
      <c r="M385">
        <v>115.51</v>
      </c>
      <c r="N385">
        <v>34</v>
      </c>
      <c r="O385">
        <v>3</v>
      </c>
      <c r="P385">
        <v>35042</v>
      </c>
      <c r="Q385">
        <v>21618</v>
      </c>
      <c r="R385">
        <v>790</v>
      </c>
      <c r="S385">
        <v>2588</v>
      </c>
      <c r="T385">
        <v>0</v>
      </c>
      <c r="U385">
        <v>10046</v>
      </c>
      <c r="V385" s="1">
        <f t="shared" si="15"/>
        <v>0.14410000000000001</v>
      </c>
      <c r="W385" s="1">
        <f t="shared" si="16"/>
        <v>1.2500000000000001E-2</v>
      </c>
      <c r="X385" s="1">
        <f t="shared" si="17"/>
        <v>1.1000000000000001E-3</v>
      </c>
    </row>
    <row r="386" spans="1:24" x14ac:dyDescent="0.25">
      <c r="A386">
        <v>2022</v>
      </c>
      <c r="B386">
        <v>7</v>
      </c>
      <c r="C386" t="s">
        <v>39</v>
      </c>
      <c r="D386" t="str">
        <f>_xlfn.XLOOKUP(C386,'Carrier Name Rename'!A:A,'Carrier Name Rename'!B:B)</f>
        <v>Frontier Airlines Inc.</v>
      </c>
      <c r="E386" t="s">
        <v>23</v>
      </c>
      <c r="F386" t="s">
        <v>24</v>
      </c>
      <c r="G386">
        <v>39</v>
      </c>
      <c r="H386">
        <v>6</v>
      </c>
      <c r="I386">
        <v>1.95</v>
      </c>
      <c r="J386">
        <v>0.12</v>
      </c>
      <c r="K386">
        <v>2.93</v>
      </c>
      <c r="L386">
        <v>0</v>
      </c>
      <c r="M386">
        <v>1</v>
      </c>
      <c r="N386">
        <v>0</v>
      </c>
      <c r="O386">
        <v>0</v>
      </c>
      <c r="P386">
        <v>284</v>
      </c>
      <c r="Q386">
        <v>55</v>
      </c>
      <c r="R386">
        <v>4</v>
      </c>
      <c r="S386">
        <v>109</v>
      </c>
      <c r="T386">
        <v>0</v>
      </c>
      <c r="U386">
        <v>116</v>
      </c>
      <c r="V386" s="1">
        <f t="shared" si="15"/>
        <v>0.15379999999999999</v>
      </c>
      <c r="W386" s="1">
        <f t="shared" si="16"/>
        <v>0</v>
      </c>
      <c r="X386" s="1">
        <f t="shared" si="17"/>
        <v>0</v>
      </c>
    </row>
    <row r="387" spans="1:24" x14ac:dyDescent="0.25">
      <c r="A387">
        <v>2022</v>
      </c>
      <c r="B387">
        <v>7</v>
      </c>
      <c r="C387" t="s">
        <v>21</v>
      </c>
      <c r="D387" t="str">
        <f>_xlfn.XLOOKUP(C387,'Carrier Name Rename'!A:A,'Carrier Name Rename'!B:B)</f>
        <v>Hawaiian Airlines Inc.</v>
      </c>
      <c r="E387" t="s">
        <v>23</v>
      </c>
      <c r="F387" t="s">
        <v>24</v>
      </c>
      <c r="G387">
        <v>62</v>
      </c>
      <c r="H387">
        <v>22</v>
      </c>
      <c r="I387">
        <v>13.98</v>
      </c>
      <c r="J387">
        <v>0</v>
      </c>
      <c r="K387">
        <v>0</v>
      </c>
      <c r="L387">
        <v>0</v>
      </c>
      <c r="M387">
        <v>8.02</v>
      </c>
      <c r="N387">
        <v>0</v>
      </c>
      <c r="O387">
        <v>0</v>
      </c>
      <c r="P387">
        <v>605</v>
      </c>
      <c r="Q387">
        <v>428</v>
      </c>
      <c r="R387">
        <v>0</v>
      </c>
      <c r="S387">
        <v>0</v>
      </c>
      <c r="T387">
        <v>0</v>
      </c>
      <c r="U387">
        <v>177</v>
      </c>
      <c r="V387" s="1">
        <f t="shared" ref="V387:V450" si="18">ROUND(H387/G387,4)</f>
        <v>0.3548</v>
      </c>
      <c r="W387" s="1">
        <f t="shared" ref="W387:W450" si="19">ROUND(N387/G387,4)</f>
        <v>0</v>
      </c>
      <c r="X387" s="1">
        <f t="shared" ref="X387:X450" si="20">ROUND(O387/G387,4)</f>
        <v>0</v>
      </c>
    </row>
    <row r="388" spans="1:24" x14ac:dyDescent="0.25">
      <c r="A388">
        <v>2022</v>
      </c>
      <c r="B388">
        <v>7</v>
      </c>
      <c r="C388" t="s">
        <v>25</v>
      </c>
      <c r="D388" t="str">
        <f>_xlfn.XLOOKUP(C388,'Carrier Name Rename'!A:A,'Carrier Name Rename'!B:B)</f>
        <v>Spirit Airlines</v>
      </c>
      <c r="E388" t="s">
        <v>23</v>
      </c>
      <c r="F388" t="s">
        <v>24</v>
      </c>
      <c r="G388">
        <v>62</v>
      </c>
      <c r="H388">
        <v>9</v>
      </c>
      <c r="I388">
        <v>1.43</v>
      </c>
      <c r="J388">
        <v>1.69</v>
      </c>
      <c r="K388">
        <v>3.39</v>
      </c>
      <c r="L388">
        <v>0</v>
      </c>
      <c r="M388">
        <v>2.4900000000000002</v>
      </c>
      <c r="N388">
        <v>0</v>
      </c>
      <c r="O388">
        <v>0</v>
      </c>
      <c r="P388">
        <v>395</v>
      </c>
      <c r="Q388">
        <v>70</v>
      </c>
      <c r="R388">
        <v>73</v>
      </c>
      <c r="S388">
        <v>91</v>
      </c>
      <c r="T388">
        <v>0</v>
      </c>
      <c r="U388">
        <v>161</v>
      </c>
      <c r="V388" s="1">
        <f t="shared" si="18"/>
        <v>0.1452</v>
      </c>
      <c r="W388" s="1">
        <f t="shared" si="19"/>
        <v>0</v>
      </c>
      <c r="X388" s="1">
        <f t="shared" si="20"/>
        <v>0</v>
      </c>
    </row>
    <row r="389" spans="1:24" x14ac:dyDescent="0.25">
      <c r="A389">
        <v>2022</v>
      </c>
      <c r="B389">
        <v>7</v>
      </c>
      <c r="C389" t="s">
        <v>27</v>
      </c>
      <c r="D389" t="str">
        <f>_xlfn.XLOOKUP(C389,'Carrier Name Rename'!A:A,'Carrier Name Rename'!B:B)</f>
        <v>SkyWest Airlines Inc.</v>
      </c>
      <c r="E389" t="s">
        <v>23</v>
      </c>
      <c r="F389" t="s">
        <v>24</v>
      </c>
      <c r="G389">
        <v>1863</v>
      </c>
      <c r="H389">
        <v>149</v>
      </c>
      <c r="I389">
        <v>110</v>
      </c>
      <c r="J389">
        <v>21</v>
      </c>
      <c r="K389">
        <v>4</v>
      </c>
      <c r="L389">
        <v>1</v>
      </c>
      <c r="M389">
        <v>13</v>
      </c>
      <c r="N389">
        <v>2</v>
      </c>
      <c r="O389">
        <v>1</v>
      </c>
      <c r="P389">
        <v>8952</v>
      </c>
      <c r="Q389">
        <v>6853</v>
      </c>
      <c r="R389">
        <v>1481</v>
      </c>
      <c r="S389">
        <v>170</v>
      </c>
      <c r="T389">
        <v>15</v>
      </c>
      <c r="U389">
        <v>433</v>
      </c>
      <c r="V389" s="1">
        <f t="shared" si="18"/>
        <v>0.08</v>
      </c>
      <c r="W389" s="1">
        <f t="shared" si="19"/>
        <v>1.1000000000000001E-3</v>
      </c>
      <c r="X389" s="1">
        <f t="shared" si="20"/>
        <v>5.0000000000000001E-4</v>
      </c>
    </row>
    <row r="390" spans="1:24" x14ac:dyDescent="0.25">
      <c r="A390">
        <v>2022</v>
      </c>
      <c r="B390">
        <v>7</v>
      </c>
      <c r="C390" t="s">
        <v>29</v>
      </c>
      <c r="D390" t="str">
        <f>_xlfn.XLOOKUP(C390,'Carrier Name Rename'!A:A,'Carrier Name Rename'!B:B)</f>
        <v>Horizon Air</v>
      </c>
      <c r="E390" t="s">
        <v>23</v>
      </c>
      <c r="F390" t="s">
        <v>24</v>
      </c>
      <c r="G390">
        <v>2735</v>
      </c>
      <c r="H390">
        <v>276</v>
      </c>
      <c r="I390">
        <v>86.71</v>
      </c>
      <c r="J390">
        <v>5.35</v>
      </c>
      <c r="K390">
        <v>57.28</v>
      </c>
      <c r="L390">
        <v>0.99</v>
      </c>
      <c r="M390">
        <v>125.67</v>
      </c>
      <c r="N390">
        <v>7</v>
      </c>
      <c r="O390">
        <v>2</v>
      </c>
      <c r="P390">
        <v>14542</v>
      </c>
      <c r="Q390">
        <v>6566</v>
      </c>
      <c r="R390">
        <v>227</v>
      </c>
      <c r="S390">
        <v>1514</v>
      </c>
      <c r="T390">
        <v>107</v>
      </c>
      <c r="U390">
        <v>6128</v>
      </c>
      <c r="V390" s="1">
        <f t="shared" si="18"/>
        <v>0.1009</v>
      </c>
      <c r="W390" s="1">
        <f t="shared" si="19"/>
        <v>2.5999999999999999E-3</v>
      </c>
      <c r="X390" s="1">
        <f t="shared" si="20"/>
        <v>6.9999999999999999E-4</v>
      </c>
    </row>
    <row r="391" spans="1:24" x14ac:dyDescent="0.25">
      <c r="A391">
        <v>2022</v>
      </c>
      <c r="B391">
        <v>7</v>
      </c>
      <c r="C391" t="s">
        <v>41</v>
      </c>
      <c r="D391" t="str">
        <f>_xlfn.XLOOKUP(C391,'Carrier Name Rename'!A:A,'Carrier Name Rename'!B:B)</f>
        <v>United Air Lines Inc.</v>
      </c>
      <c r="E391" t="s">
        <v>23</v>
      </c>
      <c r="F391" t="s">
        <v>24</v>
      </c>
      <c r="G391">
        <v>762</v>
      </c>
      <c r="H391">
        <v>159</v>
      </c>
      <c r="I391">
        <v>64.19</v>
      </c>
      <c r="J391">
        <v>7.24</v>
      </c>
      <c r="K391">
        <v>27.06</v>
      </c>
      <c r="L391">
        <v>0</v>
      </c>
      <c r="M391">
        <v>60.51</v>
      </c>
      <c r="N391">
        <v>1</v>
      </c>
      <c r="O391">
        <v>0</v>
      </c>
      <c r="P391">
        <v>12333</v>
      </c>
      <c r="Q391">
        <v>4549</v>
      </c>
      <c r="R391">
        <v>530</v>
      </c>
      <c r="S391">
        <v>1134</v>
      </c>
      <c r="T391">
        <v>0</v>
      </c>
      <c r="U391">
        <v>6120</v>
      </c>
      <c r="V391" s="1">
        <f t="shared" si="18"/>
        <v>0.2087</v>
      </c>
      <c r="W391" s="1">
        <f t="shared" si="19"/>
        <v>1.2999999999999999E-3</v>
      </c>
      <c r="X391" s="1">
        <f t="shared" si="20"/>
        <v>0</v>
      </c>
    </row>
    <row r="392" spans="1:24" x14ac:dyDescent="0.25">
      <c r="A392">
        <v>2022</v>
      </c>
      <c r="B392">
        <v>7</v>
      </c>
      <c r="C392" t="s">
        <v>43</v>
      </c>
      <c r="D392" t="str">
        <f>_xlfn.XLOOKUP(C392,'Carrier Name Rename'!A:A,'Carrier Name Rename'!B:B)</f>
        <v>Southwest Airlines Co.</v>
      </c>
      <c r="E392" t="s">
        <v>23</v>
      </c>
      <c r="F392" t="s">
        <v>24</v>
      </c>
      <c r="G392">
        <v>925</v>
      </c>
      <c r="H392">
        <v>214</v>
      </c>
      <c r="I392">
        <v>89.8</v>
      </c>
      <c r="J392">
        <v>1.58</v>
      </c>
      <c r="K392">
        <v>19.23</v>
      </c>
      <c r="L392">
        <v>0</v>
      </c>
      <c r="M392">
        <v>103.39</v>
      </c>
      <c r="N392">
        <v>5</v>
      </c>
      <c r="O392">
        <v>0</v>
      </c>
      <c r="P392">
        <v>12220</v>
      </c>
      <c r="Q392">
        <v>4208</v>
      </c>
      <c r="R392">
        <v>166</v>
      </c>
      <c r="S392">
        <v>768</v>
      </c>
      <c r="T392">
        <v>0</v>
      </c>
      <c r="U392">
        <v>7078</v>
      </c>
      <c r="V392" s="1">
        <f t="shared" si="18"/>
        <v>0.23139999999999999</v>
      </c>
      <c r="W392" s="1">
        <f t="shared" si="19"/>
        <v>5.4000000000000003E-3</v>
      </c>
      <c r="X392" s="1">
        <f t="shared" si="20"/>
        <v>0</v>
      </c>
    </row>
    <row r="393" spans="1:24" x14ac:dyDescent="0.25">
      <c r="A393">
        <v>2022</v>
      </c>
      <c r="B393">
        <v>6</v>
      </c>
      <c r="C393" t="s">
        <v>41</v>
      </c>
      <c r="D393" t="str">
        <f>_xlfn.XLOOKUP(C393,'Carrier Name Rename'!A:A,'Carrier Name Rename'!B:B)</f>
        <v>United Air Lines Inc.</v>
      </c>
      <c r="E393" t="s">
        <v>23</v>
      </c>
      <c r="F393" t="s">
        <v>24</v>
      </c>
      <c r="G393">
        <v>713</v>
      </c>
      <c r="H393">
        <v>153</v>
      </c>
      <c r="I393">
        <v>56.54</v>
      </c>
      <c r="J393">
        <v>1.75</v>
      </c>
      <c r="K393">
        <v>34.11</v>
      </c>
      <c r="L393">
        <v>0</v>
      </c>
      <c r="M393">
        <v>60.6</v>
      </c>
      <c r="N393">
        <v>12</v>
      </c>
      <c r="O393">
        <v>1</v>
      </c>
      <c r="P393">
        <v>9756</v>
      </c>
      <c r="Q393">
        <v>3785</v>
      </c>
      <c r="R393">
        <v>105</v>
      </c>
      <c r="S393">
        <v>1190</v>
      </c>
      <c r="T393">
        <v>0</v>
      </c>
      <c r="U393">
        <v>4676</v>
      </c>
      <c r="V393" s="1">
        <f t="shared" si="18"/>
        <v>0.21460000000000001</v>
      </c>
      <c r="W393" s="1">
        <f t="shared" si="19"/>
        <v>1.6799999999999999E-2</v>
      </c>
      <c r="X393" s="1">
        <f t="shared" si="20"/>
        <v>1.4E-3</v>
      </c>
    </row>
    <row r="394" spans="1:24" x14ac:dyDescent="0.25">
      <c r="A394">
        <v>2022</v>
      </c>
      <c r="B394">
        <v>6</v>
      </c>
      <c r="C394" t="s">
        <v>43</v>
      </c>
      <c r="D394" t="str">
        <f>_xlfn.XLOOKUP(C394,'Carrier Name Rename'!A:A,'Carrier Name Rename'!B:B)</f>
        <v>Southwest Airlines Co.</v>
      </c>
      <c r="E394" t="s">
        <v>23</v>
      </c>
      <c r="F394" t="s">
        <v>24</v>
      </c>
      <c r="G394">
        <v>883</v>
      </c>
      <c r="H394">
        <v>267</v>
      </c>
      <c r="I394">
        <v>128.29</v>
      </c>
      <c r="J394">
        <v>0.08</v>
      </c>
      <c r="K394">
        <v>22.8</v>
      </c>
      <c r="L394">
        <v>1</v>
      </c>
      <c r="M394">
        <v>114.83</v>
      </c>
      <c r="N394">
        <v>3</v>
      </c>
      <c r="O394">
        <v>4</v>
      </c>
      <c r="P394">
        <v>11747</v>
      </c>
      <c r="Q394">
        <v>5477</v>
      </c>
      <c r="R394">
        <v>12</v>
      </c>
      <c r="S394">
        <v>769</v>
      </c>
      <c r="T394">
        <v>22</v>
      </c>
      <c r="U394">
        <v>5467</v>
      </c>
      <c r="V394" s="1">
        <f t="shared" si="18"/>
        <v>0.3024</v>
      </c>
      <c r="W394" s="1">
        <f t="shared" si="19"/>
        <v>3.3999999999999998E-3</v>
      </c>
      <c r="X394" s="1">
        <f t="shared" si="20"/>
        <v>4.4999999999999997E-3</v>
      </c>
    </row>
    <row r="395" spans="1:24" x14ac:dyDescent="0.25">
      <c r="A395">
        <v>2022</v>
      </c>
      <c r="B395">
        <v>6</v>
      </c>
      <c r="C395" t="s">
        <v>31</v>
      </c>
      <c r="D395" t="str">
        <f>_xlfn.XLOOKUP(C395,'Carrier Name Rename'!A:A,'Carrier Name Rename'!B:B)</f>
        <v>American Airlines Inc.</v>
      </c>
      <c r="E395" t="s">
        <v>23</v>
      </c>
      <c r="F395" t="s">
        <v>24</v>
      </c>
      <c r="G395">
        <v>476</v>
      </c>
      <c r="H395">
        <v>174</v>
      </c>
      <c r="I395">
        <v>79.45</v>
      </c>
      <c r="J395">
        <v>7.31</v>
      </c>
      <c r="K395">
        <v>40.130000000000003</v>
      </c>
      <c r="L395">
        <v>0</v>
      </c>
      <c r="M395">
        <v>47.11</v>
      </c>
      <c r="N395">
        <v>18</v>
      </c>
      <c r="O395">
        <v>2</v>
      </c>
      <c r="P395">
        <v>12241</v>
      </c>
      <c r="Q395">
        <v>4983</v>
      </c>
      <c r="R395">
        <v>539</v>
      </c>
      <c r="S395">
        <v>1643</v>
      </c>
      <c r="T395">
        <v>0</v>
      </c>
      <c r="U395">
        <v>5076</v>
      </c>
      <c r="V395" s="1">
        <f t="shared" si="18"/>
        <v>0.36549999999999999</v>
      </c>
      <c r="W395" s="1">
        <f t="shared" si="19"/>
        <v>3.78E-2</v>
      </c>
      <c r="X395" s="1">
        <f t="shared" si="20"/>
        <v>4.1999999999999997E-3</v>
      </c>
    </row>
    <row r="396" spans="1:24" x14ac:dyDescent="0.25">
      <c r="A396">
        <v>2022</v>
      </c>
      <c r="B396">
        <v>6</v>
      </c>
      <c r="C396" t="s">
        <v>33</v>
      </c>
      <c r="D396" t="str">
        <f>_xlfn.XLOOKUP(C396,'Carrier Name Rename'!A:A,'Carrier Name Rename'!B:B)</f>
        <v>Alaska Airlines Inc.</v>
      </c>
      <c r="E396" t="s">
        <v>23</v>
      </c>
      <c r="F396" t="s">
        <v>24</v>
      </c>
      <c r="G396">
        <v>5801</v>
      </c>
      <c r="H396">
        <v>1169</v>
      </c>
      <c r="I396">
        <v>316.81</v>
      </c>
      <c r="J396">
        <v>26.17</v>
      </c>
      <c r="K396">
        <v>464.87</v>
      </c>
      <c r="L396">
        <v>7.59</v>
      </c>
      <c r="M396">
        <v>353.55</v>
      </c>
      <c r="N396">
        <v>50</v>
      </c>
      <c r="O396">
        <v>11</v>
      </c>
      <c r="P396">
        <v>58577</v>
      </c>
      <c r="Q396">
        <v>21509</v>
      </c>
      <c r="R396">
        <v>1760</v>
      </c>
      <c r="S396">
        <v>14722</v>
      </c>
      <c r="T396">
        <v>195</v>
      </c>
      <c r="U396">
        <v>20391</v>
      </c>
      <c r="V396" s="1">
        <f t="shared" si="18"/>
        <v>0.20150000000000001</v>
      </c>
      <c r="W396" s="1">
        <f t="shared" si="19"/>
        <v>8.6E-3</v>
      </c>
      <c r="X396" s="1">
        <f t="shared" si="20"/>
        <v>1.9E-3</v>
      </c>
    </row>
    <row r="397" spans="1:24" x14ac:dyDescent="0.25">
      <c r="A397">
        <v>2022</v>
      </c>
      <c r="B397">
        <v>6</v>
      </c>
      <c r="C397" t="s">
        <v>35</v>
      </c>
      <c r="D397" t="str">
        <f>_xlfn.XLOOKUP(C397,'Carrier Name Rename'!A:A,'Carrier Name Rename'!B:B)</f>
        <v>JetBlue Airways</v>
      </c>
      <c r="E397" t="s">
        <v>23</v>
      </c>
      <c r="F397" t="s">
        <v>24</v>
      </c>
      <c r="G397">
        <v>79</v>
      </c>
      <c r="H397">
        <v>28</v>
      </c>
      <c r="I397">
        <v>10.95</v>
      </c>
      <c r="J397">
        <v>1.1599999999999999</v>
      </c>
      <c r="K397">
        <v>12.85</v>
      </c>
      <c r="L397">
        <v>0</v>
      </c>
      <c r="M397">
        <v>3.03</v>
      </c>
      <c r="N397">
        <v>1</v>
      </c>
      <c r="O397">
        <v>0</v>
      </c>
      <c r="P397">
        <v>1843</v>
      </c>
      <c r="Q397">
        <v>909</v>
      </c>
      <c r="R397">
        <v>160</v>
      </c>
      <c r="S397">
        <v>504</v>
      </c>
      <c r="T397">
        <v>0</v>
      </c>
      <c r="U397">
        <v>270</v>
      </c>
      <c r="V397" s="1">
        <f t="shared" si="18"/>
        <v>0.35439999999999999</v>
      </c>
      <c r="W397" s="1">
        <f t="shared" si="19"/>
        <v>1.2699999999999999E-2</v>
      </c>
      <c r="X397" s="1">
        <f t="shared" si="20"/>
        <v>0</v>
      </c>
    </row>
    <row r="398" spans="1:24" x14ac:dyDescent="0.25">
      <c r="A398">
        <v>2022</v>
      </c>
      <c r="B398">
        <v>6</v>
      </c>
      <c r="C398" t="s">
        <v>37</v>
      </c>
      <c r="D398" t="str">
        <f>_xlfn.XLOOKUP(C398,'Carrier Name Rename'!A:A,'Carrier Name Rename'!B:B)</f>
        <v>Delta Air Lines Inc.</v>
      </c>
      <c r="E398" t="s">
        <v>23</v>
      </c>
      <c r="F398" t="s">
        <v>24</v>
      </c>
      <c r="G398">
        <v>2476</v>
      </c>
      <c r="H398">
        <v>448</v>
      </c>
      <c r="I398">
        <v>217.13</v>
      </c>
      <c r="J398">
        <v>10.43</v>
      </c>
      <c r="K398">
        <v>89.44</v>
      </c>
      <c r="L398">
        <v>0</v>
      </c>
      <c r="M398">
        <v>130.99</v>
      </c>
      <c r="N398">
        <v>131</v>
      </c>
      <c r="O398">
        <v>5</v>
      </c>
      <c r="P398">
        <v>35998</v>
      </c>
      <c r="Q398">
        <v>21612</v>
      </c>
      <c r="R398">
        <v>701</v>
      </c>
      <c r="S398">
        <v>3539</v>
      </c>
      <c r="T398">
        <v>0</v>
      </c>
      <c r="U398">
        <v>10146</v>
      </c>
      <c r="V398" s="1">
        <f t="shared" si="18"/>
        <v>0.18090000000000001</v>
      </c>
      <c r="W398" s="1">
        <f t="shared" si="19"/>
        <v>5.2900000000000003E-2</v>
      </c>
      <c r="X398" s="1">
        <f t="shared" si="20"/>
        <v>2E-3</v>
      </c>
    </row>
    <row r="399" spans="1:24" x14ac:dyDescent="0.25">
      <c r="A399">
        <v>2022</v>
      </c>
      <c r="B399">
        <v>6</v>
      </c>
      <c r="C399" t="s">
        <v>39</v>
      </c>
      <c r="D399" t="str">
        <f>_xlfn.XLOOKUP(C399,'Carrier Name Rename'!A:A,'Carrier Name Rename'!B:B)</f>
        <v>Frontier Airlines Inc.</v>
      </c>
      <c r="E399" t="s">
        <v>23</v>
      </c>
      <c r="F399" t="s">
        <v>24</v>
      </c>
      <c r="G399">
        <v>37</v>
      </c>
      <c r="H399">
        <v>4</v>
      </c>
      <c r="I399">
        <v>1</v>
      </c>
      <c r="J399">
        <v>0.33</v>
      </c>
      <c r="K399">
        <v>0.14000000000000001</v>
      </c>
      <c r="L399">
        <v>0</v>
      </c>
      <c r="M399">
        <v>2.5299999999999998</v>
      </c>
      <c r="N399">
        <v>0</v>
      </c>
      <c r="O399">
        <v>0</v>
      </c>
      <c r="P399">
        <v>201</v>
      </c>
      <c r="Q399">
        <v>34</v>
      </c>
      <c r="R399">
        <v>23</v>
      </c>
      <c r="S399">
        <v>5</v>
      </c>
      <c r="T399">
        <v>0</v>
      </c>
      <c r="U399">
        <v>139</v>
      </c>
      <c r="V399" s="1">
        <f t="shared" si="18"/>
        <v>0.1081</v>
      </c>
      <c r="W399" s="1">
        <f t="shared" si="19"/>
        <v>0</v>
      </c>
      <c r="X399" s="1">
        <f t="shared" si="20"/>
        <v>0</v>
      </c>
    </row>
    <row r="400" spans="1:24" x14ac:dyDescent="0.25">
      <c r="A400">
        <v>2022</v>
      </c>
      <c r="B400">
        <v>6</v>
      </c>
      <c r="C400" t="s">
        <v>21</v>
      </c>
      <c r="D400" t="str">
        <f>_xlfn.XLOOKUP(C400,'Carrier Name Rename'!A:A,'Carrier Name Rename'!B:B)</f>
        <v>Hawaiian Airlines Inc.</v>
      </c>
      <c r="E400" t="s">
        <v>23</v>
      </c>
      <c r="F400" t="s">
        <v>24</v>
      </c>
      <c r="G400">
        <v>60</v>
      </c>
      <c r="H400">
        <v>29</v>
      </c>
      <c r="I400">
        <v>18.87</v>
      </c>
      <c r="J400">
        <v>0</v>
      </c>
      <c r="K400">
        <v>0</v>
      </c>
      <c r="L400">
        <v>0</v>
      </c>
      <c r="M400">
        <v>10.130000000000001</v>
      </c>
      <c r="N400">
        <v>0</v>
      </c>
      <c r="O400">
        <v>0</v>
      </c>
      <c r="P400">
        <v>1359</v>
      </c>
      <c r="Q400">
        <v>888</v>
      </c>
      <c r="R400">
        <v>0</v>
      </c>
      <c r="S400">
        <v>0</v>
      </c>
      <c r="T400">
        <v>0</v>
      </c>
      <c r="U400">
        <v>471</v>
      </c>
      <c r="V400" s="1">
        <f t="shared" si="18"/>
        <v>0.48330000000000001</v>
      </c>
      <c r="W400" s="1">
        <f t="shared" si="19"/>
        <v>0</v>
      </c>
      <c r="X400" s="1">
        <f t="shared" si="20"/>
        <v>0</v>
      </c>
    </row>
    <row r="401" spans="1:24" x14ac:dyDescent="0.25">
      <c r="A401">
        <v>2022</v>
      </c>
      <c r="B401">
        <v>6</v>
      </c>
      <c r="C401" t="s">
        <v>25</v>
      </c>
      <c r="D401" t="str">
        <f>_xlfn.XLOOKUP(C401,'Carrier Name Rename'!A:A,'Carrier Name Rename'!B:B)</f>
        <v>Spirit Airlines</v>
      </c>
      <c r="E401" t="s">
        <v>23</v>
      </c>
      <c r="F401" t="s">
        <v>24</v>
      </c>
      <c r="G401">
        <v>60</v>
      </c>
      <c r="H401">
        <v>7</v>
      </c>
      <c r="I401">
        <v>2.34</v>
      </c>
      <c r="J401">
        <v>0</v>
      </c>
      <c r="K401">
        <v>3.74</v>
      </c>
      <c r="L401">
        <v>0</v>
      </c>
      <c r="M401">
        <v>0.93</v>
      </c>
      <c r="N401">
        <v>0</v>
      </c>
      <c r="O401">
        <v>0</v>
      </c>
      <c r="P401">
        <v>590</v>
      </c>
      <c r="Q401">
        <v>232</v>
      </c>
      <c r="R401">
        <v>0</v>
      </c>
      <c r="S401">
        <v>257</v>
      </c>
      <c r="T401">
        <v>0</v>
      </c>
      <c r="U401">
        <v>101</v>
      </c>
      <c r="V401" s="1">
        <f t="shared" si="18"/>
        <v>0.1167</v>
      </c>
      <c r="W401" s="1">
        <f t="shared" si="19"/>
        <v>0</v>
      </c>
      <c r="X401" s="1">
        <f t="shared" si="20"/>
        <v>0</v>
      </c>
    </row>
    <row r="402" spans="1:24" x14ac:dyDescent="0.25">
      <c r="A402">
        <v>2022</v>
      </c>
      <c r="B402">
        <v>6</v>
      </c>
      <c r="C402" t="s">
        <v>27</v>
      </c>
      <c r="D402" t="str">
        <f>_xlfn.XLOOKUP(C402,'Carrier Name Rename'!A:A,'Carrier Name Rename'!B:B)</f>
        <v>SkyWest Airlines Inc.</v>
      </c>
      <c r="E402" t="s">
        <v>23</v>
      </c>
      <c r="F402" t="s">
        <v>24</v>
      </c>
      <c r="G402">
        <v>1898</v>
      </c>
      <c r="H402">
        <v>191</v>
      </c>
      <c r="I402">
        <v>134</v>
      </c>
      <c r="J402">
        <v>27</v>
      </c>
      <c r="K402">
        <v>3</v>
      </c>
      <c r="L402">
        <v>1</v>
      </c>
      <c r="M402">
        <v>26</v>
      </c>
      <c r="N402">
        <v>1</v>
      </c>
      <c r="O402">
        <v>1</v>
      </c>
      <c r="P402">
        <v>10722</v>
      </c>
      <c r="Q402">
        <v>7703</v>
      </c>
      <c r="R402">
        <v>1481</v>
      </c>
      <c r="S402">
        <v>70</v>
      </c>
      <c r="T402">
        <v>35</v>
      </c>
      <c r="U402">
        <v>1433</v>
      </c>
      <c r="V402" s="1">
        <f t="shared" si="18"/>
        <v>0.10059999999999999</v>
      </c>
      <c r="W402" s="1">
        <f t="shared" si="19"/>
        <v>5.0000000000000001E-4</v>
      </c>
      <c r="X402" s="1">
        <f t="shared" si="20"/>
        <v>5.0000000000000001E-4</v>
      </c>
    </row>
    <row r="403" spans="1:24" x14ac:dyDescent="0.25">
      <c r="A403">
        <v>2022</v>
      </c>
      <c r="B403">
        <v>6</v>
      </c>
      <c r="C403" t="s">
        <v>29</v>
      </c>
      <c r="D403" t="str">
        <f>_xlfn.XLOOKUP(C403,'Carrier Name Rename'!A:A,'Carrier Name Rename'!B:B)</f>
        <v>Horizon Air</v>
      </c>
      <c r="E403" t="s">
        <v>23</v>
      </c>
      <c r="F403" t="s">
        <v>24</v>
      </c>
      <c r="G403">
        <v>2685</v>
      </c>
      <c r="H403">
        <v>408</v>
      </c>
      <c r="I403">
        <v>114.79</v>
      </c>
      <c r="J403">
        <v>3.35</v>
      </c>
      <c r="K403">
        <v>93.17</v>
      </c>
      <c r="L403">
        <v>0</v>
      </c>
      <c r="M403">
        <v>196.69</v>
      </c>
      <c r="N403">
        <v>21</v>
      </c>
      <c r="O403">
        <v>1</v>
      </c>
      <c r="P403">
        <v>20421</v>
      </c>
      <c r="Q403">
        <v>7948</v>
      </c>
      <c r="R403">
        <v>204</v>
      </c>
      <c r="S403">
        <v>2656</v>
      </c>
      <c r="T403">
        <v>0</v>
      </c>
      <c r="U403">
        <v>9613</v>
      </c>
      <c r="V403" s="1">
        <f t="shared" si="18"/>
        <v>0.152</v>
      </c>
      <c r="W403" s="1">
        <f t="shared" si="19"/>
        <v>7.7999999999999996E-3</v>
      </c>
      <c r="X403" s="1">
        <f t="shared" si="20"/>
        <v>4.0000000000000002E-4</v>
      </c>
    </row>
    <row r="404" spans="1:24" x14ac:dyDescent="0.25">
      <c r="A404">
        <v>2022</v>
      </c>
      <c r="B404">
        <v>5</v>
      </c>
      <c r="C404" t="s">
        <v>31</v>
      </c>
      <c r="D404" t="str">
        <f>_xlfn.XLOOKUP(C404,'Carrier Name Rename'!A:A,'Carrier Name Rename'!B:B)</f>
        <v>American Airlines Inc.</v>
      </c>
      <c r="E404" t="s">
        <v>23</v>
      </c>
      <c r="F404" t="s">
        <v>24</v>
      </c>
      <c r="G404">
        <v>442</v>
      </c>
      <c r="H404">
        <v>133</v>
      </c>
      <c r="I404">
        <v>54.11</v>
      </c>
      <c r="J404">
        <v>4.25</v>
      </c>
      <c r="K404">
        <v>45.08</v>
      </c>
      <c r="L404">
        <v>0.17</v>
      </c>
      <c r="M404">
        <v>29.39</v>
      </c>
      <c r="N404">
        <v>3</v>
      </c>
      <c r="O404">
        <v>0</v>
      </c>
      <c r="P404">
        <v>6773</v>
      </c>
      <c r="Q404">
        <v>2455</v>
      </c>
      <c r="R404">
        <v>383</v>
      </c>
      <c r="S404">
        <v>1611</v>
      </c>
      <c r="T404">
        <v>10</v>
      </c>
      <c r="U404">
        <v>2314</v>
      </c>
      <c r="V404" s="1">
        <f t="shared" si="18"/>
        <v>0.3009</v>
      </c>
      <c r="W404" s="1">
        <f t="shared" si="19"/>
        <v>6.7999999999999996E-3</v>
      </c>
      <c r="X404" s="1">
        <f t="shared" si="20"/>
        <v>0</v>
      </c>
    </row>
    <row r="405" spans="1:24" x14ac:dyDescent="0.25">
      <c r="A405">
        <v>2022</v>
      </c>
      <c r="B405">
        <v>5</v>
      </c>
      <c r="C405" t="s">
        <v>33</v>
      </c>
      <c r="D405" t="str">
        <f>_xlfn.XLOOKUP(C405,'Carrier Name Rename'!A:A,'Carrier Name Rename'!B:B)</f>
        <v>Alaska Airlines Inc.</v>
      </c>
      <c r="E405" t="s">
        <v>23</v>
      </c>
      <c r="F405" t="s">
        <v>24</v>
      </c>
      <c r="G405">
        <v>5842</v>
      </c>
      <c r="H405">
        <v>1058</v>
      </c>
      <c r="I405">
        <v>314.93</v>
      </c>
      <c r="J405">
        <v>20.16</v>
      </c>
      <c r="K405">
        <v>418.31</v>
      </c>
      <c r="L405">
        <v>5.4</v>
      </c>
      <c r="M405">
        <v>299.19</v>
      </c>
      <c r="N405">
        <v>222</v>
      </c>
      <c r="O405">
        <v>18</v>
      </c>
      <c r="P405">
        <v>51596</v>
      </c>
      <c r="Q405">
        <v>20255</v>
      </c>
      <c r="R405">
        <v>1323</v>
      </c>
      <c r="S405">
        <v>12231</v>
      </c>
      <c r="T405">
        <v>157</v>
      </c>
      <c r="U405">
        <v>17630</v>
      </c>
      <c r="V405" s="1">
        <f t="shared" si="18"/>
        <v>0.18110000000000001</v>
      </c>
      <c r="W405" s="1">
        <f t="shared" si="19"/>
        <v>3.7999999999999999E-2</v>
      </c>
      <c r="X405" s="1">
        <f t="shared" si="20"/>
        <v>3.0999999999999999E-3</v>
      </c>
    </row>
    <row r="406" spans="1:24" x14ac:dyDescent="0.25">
      <c r="A406">
        <v>2022</v>
      </c>
      <c r="B406">
        <v>5</v>
      </c>
      <c r="C406" t="s">
        <v>35</v>
      </c>
      <c r="D406" t="str">
        <f>_xlfn.XLOOKUP(C406,'Carrier Name Rename'!A:A,'Carrier Name Rename'!B:B)</f>
        <v>JetBlue Airways</v>
      </c>
      <c r="E406" t="s">
        <v>23</v>
      </c>
      <c r="F406" t="s">
        <v>24</v>
      </c>
      <c r="G406">
        <v>90</v>
      </c>
      <c r="H406">
        <v>30</v>
      </c>
      <c r="I406">
        <v>17.47</v>
      </c>
      <c r="J406">
        <v>0.21</v>
      </c>
      <c r="K406">
        <v>9.7899999999999991</v>
      </c>
      <c r="L406">
        <v>0</v>
      </c>
      <c r="M406">
        <v>2.5299999999999998</v>
      </c>
      <c r="N406">
        <v>0</v>
      </c>
      <c r="O406">
        <v>0</v>
      </c>
      <c r="P406">
        <v>1492</v>
      </c>
      <c r="Q406">
        <v>899</v>
      </c>
      <c r="R406">
        <v>30</v>
      </c>
      <c r="S406">
        <v>434</v>
      </c>
      <c r="T406">
        <v>0</v>
      </c>
      <c r="U406">
        <v>129</v>
      </c>
      <c r="V406" s="1">
        <f t="shared" si="18"/>
        <v>0.33329999999999999</v>
      </c>
      <c r="W406" s="1">
        <f t="shared" si="19"/>
        <v>0</v>
      </c>
      <c r="X406" s="1">
        <f t="shared" si="20"/>
        <v>0</v>
      </c>
    </row>
    <row r="407" spans="1:24" x14ac:dyDescent="0.25">
      <c r="A407">
        <v>2022</v>
      </c>
      <c r="B407">
        <v>5</v>
      </c>
      <c r="C407" t="s">
        <v>37</v>
      </c>
      <c r="D407" t="str">
        <f>_xlfn.XLOOKUP(C407,'Carrier Name Rename'!A:A,'Carrier Name Rename'!B:B)</f>
        <v>Delta Air Lines Inc.</v>
      </c>
      <c r="E407" t="s">
        <v>23</v>
      </c>
      <c r="F407" t="s">
        <v>24</v>
      </c>
      <c r="G407">
        <v>2397</v>
      </c>
      <c r="H407">
        <v>325</v>
      </c>
      <c r="I407">
        <v>157.71</v>
      </c>
      <c r="J407">
        <v>3.82</v>
      </c>
      <c r="K407">
        <v>89.47</v>
      </c>
      <c r="L407">
        <v>0</v>
      </c>
      <c r="M407">
        <v>74</v>
      </c>
      <c r="N407">
        <v>87</v>
      </c>
      <c r="O407">
        <v>1</v>
      </c>
      <c r="P407">
        <v>23101</v>
      </c>
      <c r="Q407">
        <v>15101</v>
      </c>
      <c r="R407">
        <v>268</v>
      </c>
      <c r="S407">
        <v>2477</v>
      </c>
      <c r="T407">
        <v>0</v>
      </c>
      <c r="U407">
        <v>5255</v>
      </c>
      <c r="V407" s="1">
        <f t="shared" si="18"/>
        <v>0.1356</v>
      </c>
      <c r="W407" s="1">
        <f t="shared" si="19"/>
        <v>3.6299999999999999E-2</v>
      </c>
      <c r="X407" s="1">
        <f t="shared" si="20"/>
        <v>4.0000000000000002E-4</v>
      </c>
    </row>
    <row r="408" spans="1:24" x14ac:dyDescent="0.25">
      <c r="A408">
        <v>2022</v>
      </c>
      <c r="B408">
        <v>5</v>
      </c>
      <c r="C408" t="s">
        <v>39</v>
      </c>
      <c r="D408" t="str">
        <f>_xlfn.XLOOKUP(C408,'Carrier Name Rename'!A:A,'Carrier Name Rename'!B:B)</f>
        <v>Frontier Airlines Inc.</v>
      </c>
      <c r="E408" t="s">
        <v>23</v>
      </c>
      <c r="F408" t="s">
        <v>24</v>
      </c>
      <c r="G408">
        <v>40</v>
      </c>
      <c r="H408">
        <v>10</v>
      </c>
      <c r="I408">
        <v>4.22</v>
      </c>
      <c r="J408">
        <v>1</v>
      </c>
      <c r="K408">
        <v>2.71</v>
      </c>
      <c r="L408">
        <v>0</v>
      </c>
      <c r="M408">
        <v>2.0699999999999998</v>
      </c>
      <c r="N408">
        <v>1</v>
      </c>
      <c r="O408">
        <v>0</v>
      </c>
      <c r="P408">
        <v>362</v>
      </c>
      <c r="Q408">
        <v>200</v>
      </c>
      <c r="R408">
        <v>23</v>
      </c>
      <c r="S408">
        <v>73</v>
      </c>
      <c r="T408">
        <v>0</v>
      </c>
      <c r="U408">
        <v>66</v>
      </c>
      <c r="V408" s="1">
        <f t="shared" si="18"/>
        <v>0.25</v>
      </c>
      <c r="W408" s="1">
        <f t="shared" si="19"/>
        <v>2.5000000000000001E-2</v>
      </c>
      <c r="X408" s="1">
        <f t="shared" si="20"/>
        <v>0</v>
      </c>
    </row>
    <row r="409" spans="1:24" x14ac:dyDescent="0.25">
      <c r="A409">
        <v>2022</v>
      </c>
      <c r="B409">
        <v>5</v>
      </c>
      <c r="C409" t="s">
        <v>21</v>
      </c>
      <c r="D409" t="str">
        <f>_xlfn.XLOOKUP(C409,'Carrier Name Rename'!A:A,'Carrier Name Rename'!B:B)</f>
        <v>Hawaiian Airlines Inc.</v>
      </c>
      <c r="E409" t="s">
        <v>23</v>
      </c>
      <c r="F409" t="s">
        <v>24</v>
      </c>
      <c r="G409">
        <v>62</v>
      </c>
      <c r="H409">
        <v>23</v>
      </c>
      <c r="I409">
        <v>19.62</v>
      </c>
      <c r="J409">
        <v>0</v>
      </c>
      <c r="K409">
        <v>0</v>
      </c>
      <c r="L409">
        <v>0.67</v>
      </c>
      <c r="M409">
        <v>2.71</v>
      </c>
      <c r="N409">
        <v>0</v>
      </c>
      <c r="O409">
        <v>0</v>
      </c>
      <c r="P409">
        <v>886</v>
      </c>
      <c r="Q409">
        <v>799</v>
      </c>
      <c r="R409">
        <v>0</v>
      </c>
      <c r="S409">
        <v>0</v>
      </c>
      <c r="T409">
        <v>10</v>
      </c>
      <c r="U409">
        <v>77</v>
      </c>
      <c r="V409" s="1">
        <f t="shared" si="18"/>
        <v>0.371</v>
      </c>
      <c r="W409" s="1">
        <f t="shared" si="19"/>
        <v>0</v>
      </c>
      <c r="X409" s="1">
        <f t="shared" si="20"/>
        <v>0</v>
      </c>
    </row>
    <row r="410" spans="1:24" x14ac:dyDescent="0.25">
      <c r="A410">
        <v>2022</v>
      </c>
      <c r="B410">
        <v>5</v>
      </c>
      <c r="C410" t="s">
        <v>25</v>
      </c>
      <c r="D410" t="str">
        <f>_xlfn.XLOOKUP(C410,'Carrier Name Rename'!A:A,'Carrier Name Rename'!B:B)</f>
        <v>Spirit Airlines</v>
      </c>
      <c r="E410" t="s">
        <v>23</v>
      </c>
      <c r="F410" t="s">
        <v>24</v>
      </c>
      <c r="G410">
        <v>64</v>
      </c>
      <c r="H410">
        <v>18</v>
      </c>
      <c r="I410">
        <v>6.43</v>
      </c>
      <c r="J410">
        <v>0</v>
      </c>
      <c r="K410">
        <v>7</v>
      </c>
      <c r="L410">
        <v>0</v>
      </c>
      <c r="M410">
        <v>4.57</v>
      </c>
      <c r="N410">
        <v>0</v>
      </c>
      <c r="O410">
        <v>0</v>
      </c>
      <c r="P410">
        <v>984</v>
      </c>
      <c r="Q410">
        <v>401</v>
      </c>
      <c r="R410">
        <v>0</v>
      </c>
      <c r="S410">
        <v>242</v>
      </c>
      <c r="T410">
        <v>0</v>
      </c>
      <c r="U410">
        <v>341</v>
      </c>
      <c r="V410" s="1">
        <f t="shared" si="18"/>
        <v>0.28129999999999999</v>
      </c>
      <c r="W410" s="1">
        <f t="shared" si="19"/>
        <v>0</v>
      </c>
      <c r="X410" s="1">
        <f t="shared" si="20"/>
        <v>0</v>
      </c>
    </row>
    <row r="411" spans="1:24" x14ac:dyDescent="0.25">
      <c r="A411">
        <v>2022</v>
      </c>
      <c r="B411">
        <v>5</v>
      </c>
      <c r="C411" t="s">
        <v>27</v>
      </c>
      <c r="D411" t="str">
        <f>_xlfn.XLOOKUP(C411,'Carrier Name Rename'!A:A,'Carrier Name Rename'!B:B)</f>
        <v>SkyWest Airlines Inc.</v>
      </c>
      <c r="E411" t="s">
        <v>23</v>
      </c>
      <c r="F411" t="s">
        <v>24</v>
      </c>
      <c r="G411">
        <v>1863</v>
      </c>
      <c r="H411">
        <v>163</v>
      </c>
      <c r="I411">
        <v>130</v>
      </c>
      <c r="J411">
        <v>14</v>
      </c>
      <c r="K411">
        <v>0</v>
      </c>
      <c r="L411">
        <v>0</v>
      </c>
      <c r="M411">
        <v>19</v>
      </c>
      <c r="N411">
        <v>2</v>
      </c>
      <c r="O411">
        <v>0</v>
      </c>
      <c r="P411">
        <v>8837</v>
      </c>
      <c r="Q411">
        <v>7097</v>
      </c>
      <c r="R411">
        <v>746</v>
      </c>
      <c r="S411">
        <v>0</v>
      </c>
      <c r="T411">
        <v>0</v>
      </c>
      <c r="U411">
        <v>994</v>
      </c>
      <c r="V411" s="1">
        <f t="shared" si="18"/>
        <v>8.7499999999999994E-2</v>
      </c>
      <c r="W411" s="1">
        <f t="shared" si="19"/>
        <v>1.1000000000000001E-3</v>
      </c>
      <c r="X411" s="1">
        <f t="shared" si="20"/>
        <v>0</v>
      </c>
    </row>
    <row r="412" spans="1:24" x14ac:dyDescent="0.25">
      <c r="A412">
        <v>2022</v>
      </c>
      <c r="B412">
        <v>5</v>
      </c>
      <c r="C412" t="s">
        <v>29</v>
      </c>
      <c r="D412" t="str">
        <f>_xlfn.XLOOKUP(C412,'Carrier Name Rename'!A:A,'Carrier Name Rename'!B:B)</f>
        <v>Horizon Air</v>
      </c>
      <c r="E412" t="s">
        <v>23</v>
      </c>
      <c r="F412" t="s">
        <v>24</v>
      </c>
      <c r="G412">
        <v>2531</v>
      </c>
      <c r="H412">
        <v>354</v>
      </c>
      <c r="I412">
        <v>96.02</v>
      </c>
      <c r="J412">
        <v>1.07</v>
      </c>
      <c r="K412">
        <v>86.25</v>
      </c>
      <c r="L412">
        <v>0.12</v>
      </c>
      <c r="M412">
        <v>170.55</v>
      </c>
      <c r="N412">
        <v>21</v>
      </c>
      <c r="O412">
        <v>0</v>
      </c>
      <c r="P412">
        <v>18001</v>
      </c>
      <c r="Q412">
        <v>6681</v>
      </c>
      <c r="R412">
        <v>20</v>
      </c>
      <c r="S412">
        <v>2440</v>
      </c>
      <c r="T412">
        <v>14</v>
      </c>
      <c r="U412">
        <v>8846</v>
      </c>
      <c r="V412" s="1">
        <f t="shared" si="18"/>
        <v>0.1399</v>
      </c>
      <c r="W412" s="1">
        <f t="shared" si="19"/>
        <v>8.3000000000000001E-3</v>
      </c>
      <c r="X412" s="1">
        <f t="shared" si="20"/>
        <v>0</v>
      </c>
    </row>
    <row r="413" spans="1:24" x14ac:dyDescent="0.25">
      <c r="A413">
        <v>2022</v>
      </c>
      <c r="B413">
        <v>5</v>
      </c>
      <c r="C413" t="s">
        <v>41</v>
      </c>
      <c r="D413" t="str">
        <f>_xlfn.XLOOKUP(C413,'Carrier Name Rename'!A:A,'Carrier Name Rename'!B:B)</f>
        <v>United Air Lines Inc.</v>
      </c>
      <c r="E413" t="s">
        <v>23</v>
      </c>
      <c r="F413" t="s">
        <v>24</v>
      </c>
      <c r="G413">
        <v>608</v>
      </c>
      <c r="H413">
        <v>124</v>
      </c>
      <c r="I413">
        <v>49.95</v>
      </c>
      <c r="J413">
        <v>2.48</v>
      </c>
      <c r="K413">
        <v>20.39</v>
      </c>
      <c r="L413">
        <v>0</v>
      </c>
      <c r="M413">
        <v>51.19</v>
      </c>
      <c r="N413">
        <v>9</v>
      </c>
      <c r="O413">
        <v>2</v>
      </c>
      <c r="P413">
        <v>7842</v>
      </c>
      <c r="Q413">
        <v>3145</v>
      </c>
      <c r="R413">
        <v>262</v>
      </c>
      <c r="S413">
        <v>623</v>
      </c>
      <c r="T413">
        <v>0</v>
      </c>
      <c r="U413">
        <v>3812</v>
      </c>
      <c r="V413" s="1">
        <f t="shared" si="18"/>
        <v>0.2039</v>
      </c>
      <c r="W413" s="1">
        <f t="shared" si="19"/>
        <v>1.4800000000000001E-2</v>
      </c>
      <c r="X413" s="1">
        <f t="shared" si="20"/>
        <v>3.3E-3</v>
      </c>
    </row>
    <row r="414" spans="1:24" x14ac:dyDescent="0.25">
      <c r="A414">
        <v>2022</v>
      </c>
      <c r="B414">
        <v>5</v>
      </c>
      <c r="C414" t="s">
        <v>43</v>
      </c>
      <c r="D414" t="str">
        <f>_xlfn.XLOOKUP(C414,'Carrier Name Rename'!A:A,'Carrier Name Rename'!B:B)</f>
        <v>Southwest Airlines Co.</v>
      </c>
      <c r="E414" t="s">
        <v>23</v>
      </c>
      <c r="F414" t="s">
        <v>24</v>
      </c>
      <c r="G414">
        <v>828</v>
      </c>
      <c r="H414">
        <v>203</v>
      </c>
      <c r="I414">
        <v>98.82</v>
      </c>
      <c r="J414">
        <v>0</v>
      </c>
      <c r="K414">
        <v>24.16</v>
      </c>
      <c r="L414">
        <v>1.65</v>
      </c>
      <c r="M414">
        <v>78.37</v>
      </c>
      <c r="N414">
        <v>2</v>
      </c>
      <c r="O414">
        <v>1</v>
      </c>
      <c r="P414">
        <v>7995</v>
      </c>
      <c r="Q414">
        <v>3342</v>
      </c>
      <c r="R414">
        <v>0</v>
      </c>
      <c r="S414">
        <v>744</v>
      </c>
      <c r="T414">
        <v>47</v>
      </c>
      <c r="U414">
        <v>3862</v>
      </c>
      <c r="V414" s="1">
        <f t="shared" si="18"/>
        <v>0.2452</v>
      </c>
      <c r="W414" s="1">
        <f t="shared" si="19"/>
        <v>2.3999999999999998E-3</v>
      </c>
      <c r="X414" s="1">
        <f t="shared" si="20"/>
        <v>1.1999999999999999E-3</v>
      </c>
    </row>
    <row r="415" spans="1:24" x14ac:dyDescent="0.25">
      <c r="A415">
        <v>2022</v>
      </c>
      <c r="B415">
        <v>4</v>
      </c>
      <c r="C415" t="s">
        <v>31</v>
      </c>
      <c r="D415" t="str">
        <f>_xlfn.XLOOKUP(C415,'Carrier Name Rename'!A:A,'Carrier Name Rename'!B:B)</f>
        <v>American Airlines Inc.</v>
      </c>
      <c r="E415" t="s">
        <v>23</v>
      </c>
      <c r="F415" t="s">
        <v>24</v>
      </c>
      <c r="G415">
        <v>431</v>
      </c>
      <c r="H415">
        <v>114</v>
      </c>
      <c r="I415">
        <v>41.04</v>
      </c>
      <c r="J415">
        <v>3.48</v>
      </c>
      <c r="K415">
        <v>44.49</v>
      </c>
      <c r="L415">
        <v>0.16</v>
      </c>
      <c r="M415">
        <v>24.84</v>
      </c>
      <c r="N415">
        <v>5</v>
      </c>
      <c r="O415">
        <v>2</v>
      </c>
      <c r="P415">
        <v>5543</v>
      </c>
      <c r="Q415">
        <v>2599</v>
      </c>
      <c r="R415">
        <v>242</v>
      </c>
      <c r="S415">
        <v>1286</v>
      </c>
      <c r="T415">
        <v>3</v>
      </c>
      <c r="U415">
        <v>1413</v>
      </c>
      <c r="V415" s="1">
        <f t="shared" si="18"/>
        <v>0.26450000000000001</v>
      </c>
      <c r="W415" s="1">
        <f t="shared" si="19"/>
        <v>1.1599999999999999E-2</v>
      </c>
      <c r="X415" s="1">
        <f t="shared" si="20"/>
        <v>4.5999999999999999E-3</v>
      </c>
    </row>
    <row r="416" spans="1:24" x14ac:dyDescent="0.25">
      <c r="A416">
        <v>2022</v>
      </c>
      <c r="B416">
        <v>4</v>
      </c>
      <c r="C416" t="s">
        <v>33</v>
      </c>
      <c r="D416" t="str">
        <f>_xlfn.XLOOKUP(C416,'Carrier Name Rename'!A:A,'Carrier Name Rename'!B:B)</f>
        <v>Alaska Airlines Inc.</v>
      </c>
      <c r="E416" t="s">
        <v>23</v>
      </c>
      <c r="F416" t="s">
        <v>24</v>
      </c>
      <c r="G416">
        <v>5833</v>
      </c>
      <c r="H416">
        <v>1289</v>
      </c>
      <c r="I416">
        <v>323.27999999999997</v>
      </c>
      <c r="J416">
        <v>22</v>
      </c>
      <c r="K416">
        <v>517.07000000000005</v>
      </c>
      <c r="L416">
        <v>2.62</v>
      </c>
      <c r="M416">
        <v>424.03</v>
      </c>
      <c r="N416">
        <v>370</v>
      </c>
      <c r="O416">
        <v>30</v>
      </c>
      <c r="P416">
        <v>66030</v>
      </c>
      <c r="Q416">
        <v>19303</v>
      </c>
      <c r="R416">
        <v>1720</v>
      </c>
      <c r="S416">
        <v>17459</v>
      </c>
      <c r="T416">
        <v>100</v>
      </c>
      <c r="U416">
        <v>27448</v>
      </c>
      <c r="V416" s="1">
        <f t="shared" si="18"/>
        <v>0.221</v>
      </c>
      <c r="W416" s="1">
        <f t="shared" si="19"/>
        <v>6.3399999999999998E-2</v>
      </c>
      <c r="X416" s="1">
        <f t="shared" si="20"/>
        <v>5.1000000000000004E-3</v>
      </c>
    </row>
    <row r="417" spans="1:24" x14ac:dyDescent="0.25">
      <c r="A417">
        <v>2022</v>
      </c>
      <c r="B417">
        <v>4</v>
      </c>
      <c r="C417" t="s">
        <v>35</v>
      </c>
      <c r="D417" t="str">
        <f>_xlfn.XLOOKUP(C417,'Carrier Name Rename'!A:A,'Carrier Name Rename'!B:B)</f>
        <v>JetBlue Airways</v>
      </c>
      <c r="E417" t="s">
        <v>23</v>
      </c>
      <c r="F417" t="s">
        <v>24</v>
      </c>
      <c r="G417">
        <v>72</v>
      </c>
      <c r="H417">
        <v>29</v>
      </c>
      <c r="I417">
        <v>16.98</v>
      </c>
      <c r="J417">
        <v>0</v>
      </c>
      <c r="K417">
        <v>7.9</v>
      </c>
      <c r="L417">
        <v>0</v>
      </c>
      <c r="M417">
        <v>4.12</v>
      </c>
      <c r="N417">
        <v>4</v>
      </c>
      <c r="O417">
        <v>0</v>
      </c>
      <c r="P417">
        <v>1814</v>
      </c>
      <c r="Q417">
        <v>1134</v>
      </c>
      <c r="R417">
        <v>0</v>
      </c>
      <c r="S417">
        <v>295</v>
      </c>
      <c r="T417">
        <v>0</v>
      </c>
      <c r="U417">
        <v>385</v>
      </c>
      <c r="V417" s="1">
        <f t="shared" si="18"/>
        <v>0.40279999999999999</v>
      </c>
      <c r="W417" s="1">
        <f t="shared" si="19"/>
        <v>5.5599999999999997E-2</v>
      </c>
      <c r="X417" s="1">
        <f t="shared" si="20"/>
        <v>0</v>
      </c>
    </row>
    <row r="418" spans="1:24" x14ac:dyDescent="0.25">
      <c r="A418">
        <v>2022</v>
      </c>
      <c r="B418">
        <v>4</v>
      </c>
      <c r="C418" t="s">
        <v>37</v>
      </c>
      <c r="D418" t="str">
        <f>_xlfn.XLOOKUP(C418,'Carrier Name Rename'!A:A,'Carrier Name Rename'!B:B)</f>
        <v>Delta Air Lines Inc.</v>
      </c>
      <c r="E418" t="s">
        <v>23</v>
      </c>
      <c r="F418" t="s">
        <v>24</v>
      </c>
      <c r="G418">
        <v>2240</v>
      </c>
      <c r="H418">
        <v>239</v>
      </c>
      <c r="I418">
        <v>119.68</v>
      </c>
      <c r="J418">
        <v>2.78</v>
      </c>
      <c r="K418">
        <v>54.18</v>
      </c>
      <c r="L418">
        <v>0</v>
      </c>
      <c r="M418">
        <v>62.36</v>
      </c>
      <c r="N418">
        <v>9</v>
      </c>
      <c r="O418">
        <v>8</v>
      </c>
      <c r="P418">
        <v>24063</v>
      </c>
      <c r="Q418">
        <v>13496</v>
      </c>
      <c r="R418">
        <v>534</v>
      </c>
      <c r="S418">
        <v>2240</v>
      </c>
      <c r="T418">
        <v>0</v>
      </c>
      <c r="U418">
        <v>7793</v>
      </c>
      <c r="V418" s="1">
        <f t="shared" si="18"/>
        <v>0.1067</v>
      </c>
      <c r="W418" s="1">
        <f t="shared" si="19"/>
        <v>4.0000000000000001E-3</v>
      </c>
      <c r="X418" s="1">
        <f t="shared" si="20"/>
        <v>3.5999999999999999E-3</v>
      </c>
    </row>
    <row r="419" spans="1:24" x14ac:dyDescent="0.25">
      <c r="A419">
        <v>2022</v>
      </c>
      <c r="B419">
        <v>4</v>
      </c>
      <c r="C419" t="s">
        <v>39</v>
      </c>
      <c r="D419" t="str">
        <f>_xlfn.XLOOKUP(C419,'Carrier Name Rename'!A:A,'Carrier Name Rename'!B:B)</f>
        <v>Frontier Airlines Inc.</v>
      </c>
      <c r="E419" t="s">
        <v>23</v>
      </c>
      <c r="F419" t="s">
        <v>24</v>
      </c>
      <c r="G419">
        <v>29</v>
      </c>
      <c r="H419">
        <v>11</v>
      </c>
      <c r="I419">
        <v>3.1</v>
      </c>
      <c r="J419">
        <v>0</v>
      </c>
      <c r="K419">
        <v>3.06</v>
      </c>
      <c r="L419">
        <v>0</v>
      </c>
      <c r="M419">
        <v>4.8499999999999996</v>
      </c>
      <c r="N419">
        <v>1</v>
      </c>
      <c r="O419">
        <v>0</v>
      </c>
      <c r="P419">
        <v>642</v>
      </c>
      <c r="Q419">
        <v>69</v>
      </c>
      <c r="R419">
        <v>0</v>
      </c>
      <c r="S419">
        <v>96</v>
      </c>
      <c r="T419">
        <v>0</v>
      </c>
      <c r="U419">
        <v>477</v>
      </c>
      <c r="V419" s="1">
        <f t="shared" si="18"/>
        <v>0.37930000000000003</v>
      </c>
      <c r="W419" s="1">
        <f t="shared" si="19"/>
        <v>3.4500000000000003E-2</v>
      </c>
      <c r="X419" s="1">
        <f t="shared" si="20"/>
        <v>0</v>
      </c>
    </row>
    <row r="420" spans="1:24" x14ac:dyDescent="0.25">
      <c r="A420">
        <v>2022</v>
      </c>
      <c r="B420">
        <v>4</v>
      </c>
      <c r="C420" t="s">
        <v>21</v>
      </c>
      <c r="D420" t="str">
        <f>_xlfn.XLOOKUP(C420,'Carrier Name Rename'!A:A,'Carrier Name Rename'!B:B)</f>
        <v>Hawaiian Airlines Inc.</v>
      </c>
      <c r="E420" t="s">
        <v>23</v>
      </c>
      <c r="F420" t="s">
        <v>24</v>
      </c>
      <c r="G420">
        <v>60</v>
      </c>
      <c r="H420">
        <v>24</v>
      </c>
      <c r="I420">
        <v>17.96</v>
      </c>
      <c r="J420">
        <v>0</v>
      </c>
      <c r="K420">
        <v>0</v>
      </c>
      <c r="L420">
        <v>0.98</v>
      </c>
      <c r="M420">
        <v>5.05</v>
      </c>
      <c r="N420">
        <v>0</v>
      </c>
      <c r="O420">
        <v>0</v>
      </c>
      <c r="P420">
        <v>729</v>
      </c>
      <c r="Q420">
        <v>586</v>
      </c>
      <c r="R420">
        <v>0</v>
      </c>
      <c r="S420">
        <v>0</v>
      </c>
      <c r="T420">
        <v>23</v>
      </c>
      <c r="U420">
        <v>120</v>
      </c>
      <c r="V420" s="1">
        <f t="shared" si="18"/>
        <v>0.4</v>
      </c>
      <c r="W420" s="1">
        <f t="shared" si="19"/>
        <v>0</v>
      </c>
      <c r="X420" s="1">
        <f t="shared" si="20"/>
        <v>0</v>
      </c>
    </row>
    <row r="421" spans="1:24" x14ac:dyDescent="0.25">
      <c r="A421">
        <v>2022</v>
      </c>
      <c r="B421">
        <v>4</v>
      </c>
      <c r="C421" t="s">
        <v>25</v>
      </c>
      <c r="D421" t="str">
        <f>_xlfn.XLOOKUP(C421,'Carrier Name Rename'!A:A,'Carrier Name Rename'!B:B)</f>
        <v>Spirit Airlines</v>
      </c>
      <c r="E421" t="s">
        <v>23</v>
      </c>
      <c r="F421" t="s">
        <v>24</v>
      </c>
      <c r="G421">
        <v>79</v>
      </c>
      <c r="H421">
        <v>18</v>
      </c>
      <c r="I421">
        <v>8.4499999999999993</v>
      </c>
      <c r="J421">
        <v>0</v>
      </c>
      <c r="K421">
        <v>4.1500000000000004</v>
      </c>
      <c r="L421">
        <v>0</v>
      </c>
      <c r="M421">
        <v>5.41</v>
      </c>
      <c r="N421">
        <v>14</v>
      </c>
      <c r="O421">
        <v>0</v>
      </c>
      <c r="P421">
        <v>1103</v>
      </c>
      <c r="Q421">
        <v>674</v>
      </c>
      <c r="R421">
        <v>0</v>
      </c>
      <c r="S421">
        <v>283</v>
      </c>
      <c r="T421">
        <v>0</v>
      </c>
      <c r="U421">
        <v>146</v>
      </c>
      <c r="V421" s="1">
        <f t="shared" si="18"/>
        <v>0.2278</v>
      </c>
      <c r="W421" s="1">
        <f t="shared" si="19"/>
        <v>0.1772</v>
      </c>
      <c r="X421" s="1">
        <f t="shared" si="20"/>
        <v>0</v>
      </c>
    </row>
    <row r="422" spans="1:24" x14ac:dyDescent="0.25">
      <c r="A422">
        <v>2022</v>
      </c>
      <c r="B422">
        <v>4</v>
      </c>
      <c r="C422" t="s">
        <v>27</v>
      </c>
      <c r="D422" t="str">
        <f>_xlfn.XLOOKUP(C422,'Carrier Name Rename'!A:A,'Carrier Name Rename'!B:B)</f>
        <v>SkyWest Airlines Inc.</v>
      </c>
      <c r="E422" t="s">
        <v>23</v>
      </c>
      <c r="F422" t="s">
        <v>24</v>
      </c>
      <c r="G422">
        <v>1620</v>
      </c>
      <c r="H422">
        <v>179</v>
      </c>
      <c r="I422">
        <v>121</v>
      </c>
      <c r="J422">
        <v>27</v>
      </c>
      <c r="K422">
        <v>6</v>
      </c>
      <c r="L422">
        <v>4</v>
      </c>
      <c r="M422">
        <v>21</v>
      </c>
      <c r="N422">
        <v>1</v>
      </c>
      <c r="O422">
        <v>5</v>
      </c>
      <c r="P422">
        <v>16063</v>
      </c>
      <c r="Q422">
        <v>11252</v>
      </c>
      <c r="R422">
        <v>2149</v>
      </c>
      <c r="S422">
        <v>560</v>
      </c>
      <c r="T422">
        <v>430</v>
      </c>
      <c r="U422">
        <v>1672</v>
      </c>
      <c r="V422" s="1">
        <f t="shared" si="18"/>
        <v>0.1105</v>
      </c>
      <c r="W422" s="1">
        <f t="shared" si="19"/>
        <v>5.9999999999999995E-4</v>
      </c>
      <c r="X422" s="1">
        <f t="shared" si="20"/>
        <v>3.0999999999999999E-3</v>
      </c>
    </row>
    <row r="423" spans="1:24" x14ac:dyDescent="0.25">
      <c r="A423">
        <v>2022</v>
      </c>
      <c r="B423">
        <v>4</v>
      </c>
      <c r="C423" t="s">
        <v>29</v>
      </c>
      <c r="D423" t="str">
        <f>_xlfn.XLOOKUP(C423,'Carrier Name Rename'!A:A,'Carrier Name Rename'!B:B)</f>
        <v>Horizon Air</v>
      </c>
      <c r="E423" t="s">
        <v>23</v>
      </c>
      <c r="F423" t="s">
        <v>24</v>
      </c>
      <c r="G423">
        <v>2252</v>
      </c>
      <c r="H423">
        <v>401</v>
      </c>
      <c r="I423">
        <v>104.99</v>
      </c>
      <c r="J423">
        <v>12.39</v>
      </c>
      <c r="K423">
        <v>125.39</v>
      </c>
      <c r="L423">
        <v>2</v>
      </c>
      <c r="M423">
        <v>156.22999999999999</v>
      </c>
      <c r="N423">
        <v>41</v>
      </c>
      <c r="O423">
        <v>4</v>
      </c>
      <c r="P423">
        <v>22947</v>
      </c>
      <c r="Q423">
        <v>7580</v>
      </c>
      <c r="R423">
        <v>1085</v>
      </c>
      <c r="S423">
        <v>6020</v>
      </c>
      <c r="T423">
        <v>46</v>
      </c>
      <c r="U423">
        <v>8216</v>
      </c>
      <c r="V423" s="1">
        <f t="shared" si="18"/>
        <v>0.17810000000000001</v>
      </c>
      <c r="W423" s="1">
        <f t="shared" si="19"/>
        <v>1.8200000000000001E-2</v>
      </c>
      <c r="X423" s="1">
        <f t="shared" si="20"/>
        <v>1.8E-3</v>
      </c>
    </row>
    <row r="424" spans="1:24" x14ac:dyDescent="0.25">
      <c r="A424">
        <v>2022</v>
      </c>
      <c r="B424">
        <v>4</v>
      </c>
      <c r="C424" t="s">
        <v>41</v>
      </c>
      <c r="D424" t="str">
        <f>_xlfn.XLOOKUP(C424,'Carrier Name Rename'!A:A,'Carrier Name Rename'!B:B)</f>
        <v>United Air Lines Inc.</v>
      </c>
      <c r="E424" t="s">
        <v>23</v>
      </c>
      <c r="F424" t="s">
        <v>24</v>
      </c>
      <c r="G424">
        <v>593</v>
      </c>
      <c r="H424">
        <v>97</v>
      </c>
      <c r="I424">
        <v>35.49</v>
      </c>
      <c r="J424">
        <v>2.04</v>
      </c>
      <c r="K424">
        <v>23.86</v>
      </c>
      <c r="L424">
        <v>0</v>
      </c>
      <c r="M424">
        <v>35.61</v>
      </c>
      <c r="N424">
        <v>3</v>
      </c>
      <c r="O424">
        <v>4</v>
      </c>
      <c r="P424">
        <v>5616</v>
      </c>
      <c r="Q424">
        <v>1736</v>
      </c>
      <c r="R424">
        <v>208</v>
      </c>
      <c r="S424">
        <v>734</v>
      </c>
      <c r="T424">
        <v>0</v>
      </c>
      <c r="U424">
        <v>2938</v>
      </c>
      <c r="V424" s="1">
        <f t="shared" si="18"/>
        <v>0.1636</v>
      </c>
      <c r="W424" s="1">
        <f t="shared" si="19"/>
        <v>5.1000000000000004E-3</v>
      </c>
      <c r="X424" s="1">
        <f t="shared" si="20"/>
        <v>6.7000000000000002E-3</v>
      </c>
    </row>
    <row r="425" spans="1:24" x14ac:dyDescent="0.25">
      <c r="A425">
        <v>2022</v>
      </c>
      <c r="B425">
        <v>4</v>
      </c>
      <c r="C425" t="s">
        <v>43</v>
      </c>
      <c r="D425" t="str">
        <f>_xlfn.XLOOKUP(C425,'Carrier Name Rename'!A:A,'Carrier Name Rename'!B:B)</f>
        <v>Southwest Airlines Co.</v>
      </c>
      <c r="E425" t="s">
        <v>23</v>
      </c>
      <c r="F425" t="s">
        <v>24</v>
      </c>
      <c r="G425">
        <v>740</v>
      </c>
      <c r="H425">
        <v>237</v>
      </c>
      <c r="I425">
        <v>104.75</v>
      </c>
      <c r="J425">
        <v>0</v>
      </c>
      <c r="K425">
        <v>27.52</v>
      </c>
      <c r="L425">
        <v>0.7</v>
      </c>
      <c r="M425">
        <v>104.03</v>
      </c>
      <c r="N425">
        <v>3</v>
      </c>
      <c r="O425">
        <v>2</v>
      </c>
      <c r="P425">
        <v>11926</v>
      </c>
      <c r="Q425">
        <v>4415</v>
      </c>
      <c r="R425">
        <v>0</v>
      </c>
      <c r="S425">
        <v>1229</v>
      </c>
      <c r="T425">
        <v>23</v>
      </c>
      <c r="U425">
        <v>6259</v>
      </c>
      <c r="V425" s="1">
        <f t="shared" si="18"/>
        <v>0.32029999999999997</v>
      </c>
      <c r="W425" s="1">
        <f t="shared" si="19"/>
        <v>4.1000000000000003E-3</v>
      </c>
      <c r="X425" s="1">
        <f t="shared" si="20"/>
        <v>2.7000000000000001E-3</v>
      </c>
    </row>
    <row r="426" spans="1:24" x14ac:dyDescent="0.25">
      <c r="A426">
        <v>2022</v>
      </c>
      <c r="B426">
        <v>3</v>
      </c>
      <c r="C426" t="s">
        <v>31</v>
      </c>
      <c r="D426" t="str">
        <f>_xlfn.XLOOKUP(C426,'Carrier Name Rename'!A:A,'Carrier Name Rename'!B:B)</f>
        <v>American Airlines Inc.</v>
      </c>
      <c r="E426" t="s">
        <v>23</v>
      </c>
      <c r="F426" t="s">
        <v>24</v>
      </c>
      <c r="G426">
        <v>380</v>
      </c>
      <c r="H426">
        <v>79</v>
      </c>
      <c r="I426">
        <v>32.340000000000003</v>
      </c>
      <c r="J426">
        <v>0.52</v>
      </c>
      <c r="K426">
        <v>22.3</v>
      </c>
      <c r="L426">
        <v>0.57999999999999996</v>
      </c>
      <c r="M426">
        <v>23.27</v>
      </c>
      <c r="N426">
        <v>2</v>
      </c>
      <c r="O426">
        <v>0</v>
      </c>
      <c r="P426">
        <v>4419</v>
      </c>
      <c r="Q426">
        <v>2147</v>
      </c>
      <c r="R426">
        <v>34</v>
      </c>
      <c r="S426">
        <v>629</v>
      </c>
      <c r="T426">
        <v>15</v>
      </c>
      <c r="U426">
        <v>1594</v>
      </c>
      <c r="V426" s="1">
        <f t="shared" si="18"/>
        <v>0.2079</v>
      </c>
      <c r="W426" s="1">
        <f t="shared" si="19"/>
        <v>5.3E-3</v>
      </c>
      <c r="X426" s="1">
        <f t="shared" si="20"/>
        <v>0</v>
      </c>
    </row>
    <row r="427" spans="1:24" x14ac:dyDescent="0.25">
      <c r="A427">
        <v>2022</v>
      </c>
      <c r="B427">
        <v>3</v>
      </c>
      <c r="C427" t="s">
        <v>33</v>
      </c>
      <c r="D427" t="str">
        <f>_xlfn.XLOOKUP(C427,'Carrier Name Rename'!A:A,'Carrier Name Rename'!B:B)</f>
        <v>Alaska Airlines Inc.</v>
      </c>
      <c r="E427" t="s">
        <v>23</v>
      </c>
      <c r="F427" t="s">
        <v>24</v>
      </c>
      <c r="G427">
        <v>5777</v>
      </c>
      <c r="H427">
        <v>965</v>
      </c>
      <c r="I427">
        <v>254.2</v>
      </c>
      <c r="J427">
        <v>22.81</v>
      </c>
      <c r="K427">
        <v>402.09</v>
      </c>
      <c r="L427">
        <v>4.53</v>
      </c>
      <c r="M427">
        <v>281.37</v>
      </c>
      <c r="N427">
        <v>87</v>
      </c>
      <c r="O427">
        <v>9</v>
      </c>
      <c r="P427">
        <v>43951</v>
      </c>
      <c r="Q427">
        <v>13801</v>
      </c>
      <c r="R427">
        <v>1698</v>
      </c>
      <c r="S427">
        <v>11289</v>
      </c>
      <c r="T427">
        <v>394</v>
      </c>
      <c r="U427">
        <v>16769</v>
      </c>
      <c r="V427" s="1">
        <f t="shared" si="18"/>
        <v>0.16700000000000001</v>
      </c>
      <c r="W427" s="1">
        <f t="shared" si="19"/>
        <v>1.5100000000000001E-2</v>
      </c>
      <c r="X427" s="1">
        <f t="shared" si="20"/>
        <v>1.6000000000000001E-3</v>
      </c>
    </row>
    <row r="428" spans="1:24" x14ac:dyDescent="0.25">
      <c r="A428">
        <v>2022</v>
      </c>
      <c r="B428">
        <v>3</v>
      </c>
      <c r="C428" t="s">
        <v>35</v>
      </c>
      <c r="D428" t="str">
        <f>_xlfn.XLOOKUP(C428,'Carrier Name Rename'!A:A,'Carrier Name Rename'!B:B)</f>
        <v>JetBlue Airways</v>
      </c>
      <c r="E428" t="s">
        <v>23</v>
      </c>
      <c r="F428" t="s">
        <v>24</v>
      </c>
      <c r="G428">
        <v>75</v>
      </c>
      <c r="H428">
        <v>11</v>
      </c>
      <c r="I428">
        <v>6.29</v>
      </c>
      <c r="J428">
        <v>1</v>
      </c>
      <c r="K428">
        <v>3.64</v>
      </c>
      <c r="L428">
        <v>0</v>
      </c>
      <c r="M428">
        <v>7.0000000000000007E-2</v>
      </c>
      <c r="N428">
        <v>2</v>
      </c>
      <c r="O428">
        <v>2</v>
      </c>
      <c r="P428">
        <v>510</v>
      </c>
      <c r="Q428">
        <v>316</v>
      </c>
      <c r="R428">
        <v>32</v>
      </c>
      <c r="S428">
        <v>153</v>
      </c>
      <c r="T428">
        <v>0</v>
      </c>
      <c r="U428">
        <v>9</v>
      </c>
      <c r="V428" s="1">
        <f t="shared" si="18"/>
        <v>0.1467</v>
      </c>
      <c r="W428" s="1">
        <f t="shared" si="19"/>
        <v>2.6700000000000002E-2</v>
      </c>
      <c r="X428" s="1">
        <f t="shared" si="20"/>
        <v>2.6700000000000002E-2</v>
      </c>
    </row>
    <row r="429" spans="1:24" x14ac:dyDescent="0.25">
      <c r="A429">
        <v>2022</v>
      </c>
      <c r="B429">
        <v>3</v>
      </c>
      <c r="C429" t="s">
        <v>37</v>
      </c>
      <c r="D429" t="str">
        <f>_xlfn.XLOOKUP(C429,'Carrier Name Rename'!A:A,'Carrier Name Rename'!B:B)</f>
        <v>Delta Air Lines Inc.</v>
      </c>
      <c r="E429" t="s">
        <v>23</v>
      </c>
      <c r="F429" t="s">
        <v>24</v>
      </c>
      <c r="G429">
        <v>2295</v>
      </c>
      <c r="H429">
        <v>332</v>
      </c>
      <c r="I429">
        <v>140.44</v>
      </c>
      <c r="J429">
        <v>11.18</v>
      </c>
      <c r="K429">
        <v>91.29</v>
      </c>
      <c r="L429">
        <v>0</v>
      </c>
      <c r="M429">
        <v>89.09</v>
      </c>
      <c r="N429">
        <v>6</v>
      </c>
      <c r="O429">
        <v>3</v>
      </c>
      <c r="P429">
        <v>23749</v>
      </c>
      <c r="Q429">
        <v>11999</v>
      </c>
      <c r="R429">
        <v>2257</v>
      </c>
      <c r="S429">
        <v>2889</v>
      </c>
      <c r="T429">
        <v>0</v>
      </c>
      <c r="U429">
        <v>6604</v>
      </c>
      <c r="V429" s="1">
        <f t="shared" si="18"/>
        <v>0.1447</v>
      </c>
      <c r="W429" s="1">
        <f t="shared" si="19"/>
        <v>2.5999999999999999E-3</v>
      </c>
      <c r="X429" s="1">
        <f t="shared" si="20"/>
        <v>1.2999999999999999E-3</v>
      </c>
    </row>
    <row r="430" spans="1:24" x14ac:dyDescent="0.25">
      <c r="A430">
        <v>2022</v>
      </c>
      <c r="B430">
        <v>3</v>
      </c>
      <c r="C430" t="s">
        <v>39</v>
      </c>
      <c r="D430" t="str">
        <f>_xlfn.XLOOKUP(C430,'Carrier Name Rename'!A:A,'Carrier Name Rename'!B:B)</f>
        <v>Frontier Airlines Inc.</v>
      </c>
      <c r="E430" t="s">
        <v>23</v>
      </c>
      <c r="F430" t="s">
        <v>24</v>
      </c>
      <c r="G430">
        <v>24</v>
      </c>
      <c r="H430">
        <v>7</v>
      </c>
      <c r="I430">
        <v>3.11</v>
      </c>
      <c r="J430">
        <v>0</v>
      </c>
      <c r="K430">
        <v>1.3</v>
      </c>
      <c r="L430">
        <v>0</v>
      </c>
      <c r="M430">
        <v>2.59</v>
      </c>
      <c r="N430">
        <v>0</v>
      </c>
      <c r="O430">
        <v>0</v>
      </c>
      <c r="P430">
        <v>329</v>
      </c>
      <c r="Q430">
        <v>137</v>
      </c>
      <c r="R430">
        <v>0</v>
      </c>
      <c r="S430">
        <v>42</v>
      </c>
      <c r="T430">
        <v>0</v>
      </c>
      <c r="U430">
        <v>150</v>
      </c>
      <c r="V430" s="1">
        <f t="shared" si="18"/>
        <v>0.29170000000000001</v>
      </c>
      <c r="W430" s="1">
        <f t="shared" si="19"/>
        <v>0</v>
      </c>
      <c r="X430" s="1">
        <f t="shared" si="20"/>
        <v>0</v>
      </c>
    </row>
    <row r="431" spans="1:24" x14ac:dyDescent="0.25">
      <c r="A431">
        <v>2022</v>
      </c>
      <c r="B431">
        <v>3</v>
      </c>
      <c r="C431" t="s">
        <v>21</v>
      </c>
      <c r="D431" t="str">
        <f>_xlfn.XLOOKUP(C431,'Carrier Name Rename'!A:A,'Carrier Name Rename'!B:B)</f>
        <v>Hawaiian Airlines Inc.</v>
      </c>
      <c r="E431" t="s">
        <v>23</v>
      </c>
      <c r="F431" t="s">
        <v>24</v>
      </c>
      <c r="G431">
        <v>62</v>
      </c>
      <c r="H431">
        <v>23</v>
      </c>
      <c r="I431">
        <v>20.77</v>
      </c>
      <c r="J431">
        <v>0</v>
      </c>
      <c r="K431">
        <v>0.06</v>
      </c>
      <c r="L431">
        <v>0</v>
      </c>
      <c r="M431">
        <v>2.17</v>
      </c>
      <c r="N431">
        <v>0</v>
      </c>
      <c r="O431">
        <v>1</v>
      </c>
      <c r="P431">
        <v>909</v>
      </c>
      <c r="Q431">
        <v>821</v>
      </c>
      <c r="R431">
        <v>0</v>
      </c>
      <c r="S431">
        <v>1</v>
      </c>
      <c r="T431">
        <v>0</v>
      </c>
      <c r="U431">
        <v>87</v>
      </c>
      <c r="V431" s="1">
        <f t="shared" si="18"/>
        <v>0.371</v>
      </c>
      <c r="W431" s="1">
        <f t="shared" si="19"/>
        <v>0</v>
      </c>
      <c r="X431" s="1">
        <f t="shared" si="20"/>
        <v>1.61E-2</v>
      </c>
    </row>
    <row r="432" spans="1:24" x14ac:dyDescent="0.25">
      <c r="A432">
        <v>2022</v>
      </c>
      <c r="B432">
        <v>3</v>
      </c>
      <c r="C432" t="s">
        <v>25</v>
      </c>
      <c r="D432" t="str">
        <f>_xlfn.XLOOKUP(C432,'Carrier Name Rename'!A:A,'Carrier Name Rename'!B:B)</f>
        <v>Spirit Airlines</v>
      </c>
      <c r="E432" t="s">
        <v>23</v>
      </c>
      <c r="F432" t="s">
        <v>24</v>
      </c>
      <c r="G432">
        <v>85</v>
      </c>
      <c r="H432">
        <v>11</v>
      </c>
      <c r="I432">
        <v>0.37</v>
      </c>
      <c r="J432">
        <v>0.16</v>
      </c>
      <c r="K432">
        <v>6.36</v>
      </c>
      <c r="L432">
        <v>0</v>
      </c>
      <c r="M432">
        <v>4.12</v>
      </c>
      <c r="N432">
        <v>3</v>
      </c>
      <c r="O432">
        <v>0</v>
      </c>
      <c r="P432">
        <v>454</v>
      </c>
      <c r="Q432">
        <v>32</v>
      </c>
      <c r="R432">
        <v>7</v>
      </c>
      <c r="S432">
        <v>211</v>
      </c>
      <c r="T432">
        <v>0</v>
      </c>
      <c r="U432">
        <v>204</v>
      </c>
      <c r="V432" s="1">
        <f t="shared" si="18"/>
        <v>0.12939999999999999</v>
      </c>
      <c r="W432" s="1">
        <f t="shared" si="19"/>
        <v>3.5299999999999998E-2</v>
      </c>
      <c r="X432" s="1">
        <f t="shared" si="20"/>
        <v>0</v>
      </c>
    </row>
    <row r="433" spans="1:24" x14ac:dyDescent="0.25">
      <c r="A433">
        <v>2022</v>
      </c>
      <c r="B433">
        <v>3</v>
      </c>
      <c r="C433" t="s">
        <v>27</v>
      </c>
      <c r="D433" t="str">
        <f>_xlfn.XLOOKUP(C433,'Carrier Name Rename'!A:A,'Carrier Name Rename'!B:B)</f>
        <v>SkyWest Airlines Inc.</v>
      </c>
      <c r="E433" t="s">
        <v>23</v>
      </c>
      <c r="F433" t="s">
        <v>24</v>
      </c>
      <c r="G433">
        <v>1605</v>
      </c>
      <c r="H433">
        <v>133</v>
      </c>
      <c r="I433">
        <v>87</v>
      </c>
      <c r="J433">
        <v>22</v>
      </c>
      <c r="K433">
        <v>1</v>
      </c>
      <c r="L433">
        <v>0</v>
      </c>
      <c r="M433">
        <v>23</v>
      </c>
      <c r="N433">
        <v>0</v>
      </c>
      <c r="O433">
        <v>5</v>
      </c>
      <c r="P433">
        <v>7336</v>
      </c>
      <c r="Q433">
        <v>4708</v>
      </c>
      <c r="R433">
        <v>928</v>
      </c>
      <c r="S433">
        <v>32</v>
      </c>
      <c r="T433">
        <v>0</v>
      </c>
      <c r="U433">
        <v>1668</v>
      </c>
      <c r="V433" s="1">
        <f t="shared" si="18"/>
        <v>8.2900000000000001E-2</v>
      </c>
      <c r="W433" s="1">
        <f t="shared" si="19"/>
        <v>0</v>
      </c>
      <c r="X433" s="1">
        <f t="shared" si="20"/>
        <v>3.0999999999999999E-3</v>
      </c>
    </row>
    <row r="434" spans="1:24" x14ac:dyDescent="0.25">
      <c r="A434">
        <v>2022</v>
      </c>
      <c r="B434">
        <v>3</v>
      </c>
      <c r="C434" t="s">
        <v>29</v>
      </c>
      <c r="D434" t="str">
        <f>_xlfn.XLOOKUP(C434,'Carrier Name Rename'!A:A,'Carrier Name Rename'!B:B)</f>
        <v>Horizon Air</v>
      </c>
      <c r="E434" t="s">
        <v>23</v>
      </c>
      <c r="F434" t="s">
        <v>24</v>
      </c>
      <c r="G434">
        <v>2338</v>
      </c>
      <c r="H434">
        <v>263</v>
      </c>
      <c r="I434">
        <v>81.12</v>
      </c>
      <c r="J434">
        <v>8.42</v>
      </c>
      <c r="K434">
        <v>74.64</v>
      </c>
      <c r="L434">
        <v>3.5</v>
      </c>
      <c r="M434">
        <v>95.32</v>
      </c>
      <c r="N434">
        <v>20</v>
      </c>
      <c r="O434">
        <v>4</v>
      </c>
      <c r="P434">
        <v>13725</v>
      </c>
      <c r="Q434">
        <v>5734</v>
      </c>
      <c r="R434">
        <v>655</v>
      </c>
      <c r="S434">
        <v>2085</v>
      </c>
      <c r="T434">
        <v>166</v>
      </c>
      <c r="U434">
        <v>5085</v>
      </c>
      <c r="V434" s="1">
        <f t="shared" si="18"/>
        <v>0.1125</v>
      </c>
      <c r="W434" s="1">
        <f t="shared" si="19"/>
        <v>8.6E-3</v>
      </c>
      <c r="X434" s="1">
        <f t="shared" si="20"/>
        <v>1.6999999999999999E-3</v>
      </c>
    </row>
    <row r="435" spans="1:24" x14ac:dyDescent="0.25">
      <c r="A435">
        <v>2022</v>
      </c>
      <c r="B435">
        <v>3</v>
      </c>
      <c r="C435" t="s">
        <v>41</v>
      </c>
      <c r="D435" t="str">
        <f>_xlfn.XLOOKUP(C435,'Carrier Name Rename'!A:A,'Carrier Name Rename'!B:B)</f>
        <v>United Air Lines Inc.</v>
      </c>
      <c r="E435" t="s">
        <v>23</v>
      </c>
      <c r="F435" t="s">
        <v>24</v>
      </c>
      <c r="G435">
        <v>566</v>
      </c>
      <c r="H435">
        <v>100</v>
      </c>
      <c r="I435">
        <v>41.67</v>
      </c>
      <c r="J435">
        <v>1</v>
      </c>
      <c r="K435">
        <v>21.63</v>
      </c>
      <c r="L435">
        <v>0</v>
      </c>
      <c r="M435">
        <v>35.700000000000003</v>
      </c>
      <c r="N435">
        <v>0</v>
      </c>
      <c r="O435">
        <v>0</v>
      </c>
      <c r="P435">
        <v>4910</v>
      </c>
      <c r="Q435">
        <v>1803</v>
      </c>
      <c r="R435">
        <v>197</v>
      </c>
      <c r="S435">
        <v>763</v>
      </c>
      <c r="T435">
        <v>0</v>
      </c>
      <c r="U435">
        <v>2147</v>
      </c>
      <c r="V435" s="1">
        <f t="shared" si="18"/>
        <v>0.1767</v>
      </c>
      <c r="W435" s="1">
        <f t="shared" si="19"/>
        <v>0</v>
      </c>
      <c r="X435" s="1">
        <f t="shared" si="20"/>
        <v>0</v>
      </c>
    </row>
    <row r="436" spans="1:24" x14ac:dyDescent="0.25">
      <c r="A436">
        <v>2022</v>
      </c>
      <c r="B436">
        <v>3</v>
      </c>
      <c r="C436" t="s">
        <v>43</v>
      </c>
      <c r="D436" t="str">
        <f>_xlfn.XLOOKUP(C436,'Carrier Name Rename'!A:A,'Carrier Name Rename'!B:B)</f>
        <v>Southwest Airlines Co.</v>
      </c>
      <c r="E436" t="s">
        <v>23</v>
      </c>
      <c r="F436" t="s">
        <v>24</v>
      </c>
      <c r="G436">
        <v>561</v>
      </c>
      <c r="H436">
        <v>158</v>
      </c>
      <c r="I436">
        <v>63.29</v>
      </c>
      <c r="J436">
        <v>0</v>
      </c>
      <c r="K436">
        <v>15.02</v>
      </c>
      <c r="L436">
        <v>0</v>
      </c>
      <c r="M436">
        <v>79.69</v>
      </c>
      <c r="N436">
        <v>5</v>
      </c>
      <c r="O436">
        <v>0</v>
      </c>
      <c r="P436">
        <v>6833</v>
      </c>
      <c r="Q436">
        <v>2814</v>
      </c>
      <c r="R436">
        <v>0</v>
      </c>
      <c r="S436">
        <v>521</v>
      </c>
      <c r="T436">
        <v>0</v>
      </c>
      <c r="U436">
        <v>3498</v>
      </c>
      <c r="V436" s="1">
        <f t="shared" si="18"/>
        <v>0.28160000000000002</v>
      </c>
      <c r="W436" s="1">
        <f t="shared" si="19"/>
        <v>8.8999999999999999E-3</v>
      </c>
      <c r="X436" s="1">
        <f t="shared" si="20"/>
        <v>0</v>
      </c>
    </row>
    <row r="437" spans="1:24" x14ac:dyDescent="0.25">
      <c r="A437">
        <v>2022</v>
      </c>
      <c r="B437">
        <v>2</v>
      </c>
      <c r="C437" t="s">
        <v>31</v>
      </c>
      <c r="D437" t="str">
        <f>_xlfn.XLOOKUP(C437,'Carrier Name Rename'!A:A,'Carrier Name Rename'!B:B)</f>
        <v>American Airlines Inc.</v>
      </c>
      <c r="E437" t="s">
        <v>23</v>
      </c>
      <c r="F437" t="s">
        <v>24</v>
      </c>
      <c r="G437">
        <v>349</v>
      </c>
      <c r="H437">
        <v>66</v>
      </c>
      <c r="I437">
        <v>38.4</v>
      </c>
      <c r="J437">
        <v>4.66</v>
      </c>
      <c r="K437">
        <v>14.24</v>
      </c>
      <c r="L437">
        <v>0</v>
      </c>
      <c r="M437">
        <v>8.7100000000000009</v>
      </c>
      <c r="N437">
        <v>24</v>
      </c>
      <c r="O437">
        <v>0</v>
      </c>
      <c r="P437">
        <v>3256</v>
      </c>
      <c r="Q437">
        <v>2055</v>
      </c>
      <c r="R437">
        <v>244</v>
      </c>
      <c r="S437">
        <v>446</v>
      </c>
      <c r="T437">
        <v>0</v>
      </c>
      <c r="U437">
        <v>511</v>
      </c>
      <c r="V437" s="1">
        <f t="shared" si="18"/>
        <v>0.18909999999999999</v>
      </c>
      <c r="W437" s="1">
        <f t="shared" si="19"/>
        <v>6.88E-2</v>
      </c>
      <c r="X437" s="1">
        <f t="shared" si="20"/>
        <v>0</v>
      </c>
    </row>
    <row r="438" spans="1:24" x14ac:dyDescent="0.25">
      <c r="A438">
        <v>2022</v>
      </c>
      <c r="B438">
        <v>2</v>
      </c>
      <c r="C438" t="s">
        <v>33</v>
      </c>
      <c r="D438" t="str">
        <f>_xlfn.XLOOKUP(C438,'Carrier Name Rename'!A:A,'Carrier Name Rename'!B:B)</f>
        <v>Alaska Airlines Inc.</v>
      </c>
      <c r="E438" t="s">
        <v>23</v>
      </c>
      <c r="F438" t="s">
        <v>24</v>
      </c>
      <c r="G438">
        <v>5012</v>
      </c>
      <c r="H438">
        <v>901</v>
      </c>
      <c r="I438">
        <v>208.44</v>
      </c>
      <c r="J438">
        <v>25.39</v>
      </c>
      <c r="K438">
        <v>402.09</v>
      </c>
      <c r="L438">
        <v>3.37</v>
      </c>
      <c r="M438">
        <v>261.70999999999998</v>
      </c>
      <c r="N438">
        <v>74</v>
      </c>
      <c r="O438">
        <v>10</v>
      </c>
      <c r="P438">
        <v>39956</v>
      </c>
      <c r="Q438">
        <v>12332</v>
      </c>
      <c r="R438">
        <v>2040</v>
      </c>
      <c r="S438">
        <v>12018</v>
      </c>
      <c r="T438">
        <v>166</v>
      </c>
      <c r="U438">
        <v>13400</v>
      </c>
      <c r="V438" s="1">
        <f t="shared" si="18"/>
        <v>0.17979999999999999</v>
      </c>
      <c r="W438" s="1">
        <f t="shared" si="19"/>
        <v>1.4800000000000001E-2</v>
      </c>
      <c r="X438" s="1">
        <f t="shared" si="20"/>
        <v>2E-3</v>
      </c>
    </row>
    <row r="439" spans="1:24" x14ac:dyDescent="0.25">
      <c r="A439">
        <v>2022</v>
      </c>
      <c r="B439">
        <v>2</v>
      </c>
      <c r="C439" t="s">
        <v>35</v>
      </c>
      <c r="D439" t="str">
        <f>_xlfn.XLOOKUP(C439,'Carrier Name Rename'!A:A,'Carrier Name Rename'!B:B)</f>
        <v>JetBlue Airways</v>
      </c>
      <c r="E439" t="s">
        <v>23</v>
      </c>
      <c r="F439" t="s">
        <v>24</v>
      </c>
      <c r="G439">
        <v>68</v>
      </c>
      <c r="H439">
        <v>17</v>
      </c>
      <c r="I439">
        <v>10.43</v>
      </c>
      <c r="J439">
        <v>0</v>
      </c>
      <c r="K439">
        <v>2.66</v>
      </c>
      <c r="L439">
        <v>0</v>
      </c>
      <c r="M439">
        <v>3.91</v>
      </c>
      <c r="N439">
        <v>5</v>
      </c>
      <c r="O439">
        <v>1</v>
      </c>
      <c r="P439">
        <v>1326</v>
      </c>
      <c r="Q439">
        <v>739</v>
      </c>
      <c r="R439">
        <v>0</v>
      </c>
      <c r="S439">
        <v>161</v>
      </c>
      <c r="T439">
        <v>0</v>
      </c>
      <c r="U439">
        <v>426</v>
      </c>
      <c r="V439" s="1">
        <f t="shared" si="18"/>
        <v>0.25</v>
      </c>
      <c r="W439" s="1">
        <f t="shared" si="19"/>
        <v>7.3499999999999996E-2</v>
      </c>
      <c r="X439" s="1">
        <f t="shared" si="20"/>
        <v>1.47E-2</v>
      </c>
    </row>
    <row r="440" spans="1:24" x14ac:dyDescent="0.25">
      <c r="A440">
        <v>2022</v>
      </c>
      <c r="B440">
        <v>2</v>
      </c>
      <c r="C440" t="s">
        <v>37</v>
      </c>
      <c r="D440" t="str">
        <f>_xlfn.XLOOKUP(C440,'Carrier Name Rename'!A:A,'Carrier Name Rename'!B:B)</f>
        <v>Delta Air Lines Inc.</v>
      </c>
      <c r="E440" t="s">
        <v>23</v>
      </c>
      <c r="F440" t="s">
        <v>24</v>
      </c>
      <c r="G440">
        <v>1942</v>
      </c>
      <c r="H440">
        <v>216</v>
      </c>
      <c r="I440">
        <v>91.97</v>
      </c>
      <c r="J440">
        <v>13.58</v>
      </c>
      <c r="K440">
        <v>67.81</v>
      </c>
      <c r="L440">
        <v>0.91</v>
      </c>
      <c r="M440">
        <v>41.73</v>
      </c>
      <c r="N440">
        <v>10</v>
      </c>
      <c r="O440">
        <v>3</v>
      </c>
      <c r="P440">
        <v>16243</v>
      </c>
      <c r="Q440">
        <v>10499</v>
      </c>
      <c r="R440">
        <v>858</v>
      </c>
      <c r="S440">
        <v>2075</v>
      </c>
      <c r="T440">
        <v>84</v>
      </c>
      <c r="U440">
        <v>2727</v>
      </c>
      <c r="V440" s="1">
        <f t="shared" si="18"/>
        <v>0.11119999999999999</v>
      </c>
      <c r="W440" s="1">
        <f t="shared" si="19"/>
        <v>5.1000000000000004E-3</v>
      </c>
      <c r="X440" s="1">
        <f t="shared" si="20"/>
        <v>1.5E-3</v>
      </c>
    </row>
    <row r="441" spans="1:24" x14ac:dyDescent="0.25">
      <c r="A441">
        <v>2022</v>
      </c>
      <c r="B441">
        <v>2</v>
      </c>
      <c r="C441" t="s">
        <v>39</v>
      </c>
      <c r="D441" t="str">
        <f>_xlfn.XLOOKUP(C441,'Carrier Name Rename'!A:A,'Carrier Name Rename'!B:B)</f>
        <v>Frontier Airlines Inc.</v>
      </c>
      <c r="E441" t="s">
        <v>23</v>
      </c>
      <c r="F441" t="s">
        <v>24</v>
      </c>
      <c r="G441">
        <v>33</v>
      </c>
      <c r="H441">
        <v>4</v>
      </c>
      <c r="I441">
        <v>1.05</v>
      </c>
      <c r="J441">
        <v>0</v>
      </c>
      <c r="K441">
        <v>0</v>
      </c>
      <c r="L441">
        <v>0</v>
      </c>
      <c r="M441">
        <v>2.95</v>
      </c>
      <c r="N441">
        <v>1</v>
      </c>
      <c r="O441">
        <v>0</v>
      </c>
      <c r="P441">
        <v>401</v>
      </c>
      <c r="Q441">
        <v>60</v>
      </c>
      <c r="R441">
        <v>0</v>
      </c>
      <c r="S441">
        <v>0</v>
      </c>
      <c r="T441">
        <v>0</v>
      </c>
      <c r="U441">
        <v>341</v>
      </c>
      <c r="V441" s="1">
        <f t="shared" si="18"/>
        <v>0.1212</v>
      </c>
      <c r="W441" s="1">
        <f t="shared" si="19"/>
        <v>3.0300000000000001E-2</v>
      </c>
      <c r="X441" s="1">
        <f t="shared" si="20"/>
        <v>0</v>
      </c>
    </row>
    <row r="442" spans="1:24" x14ac:dyDescent="0.25">
      <c r="A442">
        <v>2022</v>
      </c>
      <c r="B442">
        <v>2</v>
      </c>
      <c r="C442" t="s">
        <v>21</v>
      </c>
      <c r="D442" t="str">
        <f>_xlfn.XLOOKUP(C442,'Carrier Name Rename'!A:A,'Carrier Name Rename'!B:B)</f>
        <v>Hawaiian Airlines Inc.</v>
      </c>
      <c r="E442" t="s">
        <v>23</v>
      </c>
      <c r="F442" t="s">
        <v>24</v>
      </c>
      <c r="G442">
        <v>56</v>
      </c>
      <c r="H442">
        <v>13</v>
      </c>
      <c r="I442">
        <v>10.65</v>
      </c>
      <c r="J442">
        <v>0</v>
      </c>
      <c r="K442">
        <v>0</v>
      </c>
      <c r="L442">
        <v>0</v>
      </c>
      <c r="M442">
        <v>2.35</v>
      </c>
      <c r="N442">
        <v>0</v>
      </c>
      <c r="O442">
        <v>0</v>
      </c>
      <c r="P442">
        <v>356</v>
      </c>
      <c r="Q442">
        <v>279</v>
      </c>
      <c r="R442">
        <v>0</v>
      </c>
      <c r="S442">
        <v>0</v>
      </c>
      <c r="T442">
        <v>0</v>
      </c>
      <c r="U442">
        <v>77</v>
      </c>
      <c r="V442" s="1">
        <f t="shared" si="18"/>
        <v>0.2321</v>
      </c>
      <c r="W442" s="1">
        <f t="shared" si="19"/>
        <v>0</v>
      </c>
      <c r="X442" s="1">
        <f t="shared" si="20"/>
        <v>0</v>
      </c>
    </row>
    <row r="443" spans="1:24" x14ac:dyDescent="0.25">
      <c r="A443">
        <v>2022</v>
      </c>
      <c r="B443">
        <v>2</v>
      </c>
      <c r="C443" t="s">
        <v>25</v>
      </c>
      <c r="D443" t="str">
        <f>_xlfn.XLOOKUP(C443,'Carrier Name Rename'!A:A,'Carrier Name Rename'!B:B)</f>
        <v>Spirit Airlines</v>
      </c>
      <c r="E443" t="s">
        <v>23</v>
      </c>
      <c r="F443" t="s">
        <v>24</v>
      </c>
      <c r="G443">
        <v>68</v>
      </c>
      <c r="H443">
        <v>9</v>
      </c>
      <c r="I443">
        <v>1.68</v>
      </c>
      <c r="J443">
        <v>0</v>
      </c>
      <c r="K443">
        <v>2.33</v>
      </c>
      <c r="L443">
        <v>0</v>
      </c>
      <c r="M443">
        <v>4.99</v>
      </c>
      <c r="N443">
        <v>2</v>
      </c>
      <c r="O443">
        <v>0</v>
      </c>
      <c r="P443">
        <v>734</v>
      </c>
      <c r="Q443">
        <v>100</v>
      </c>
      <c r="R443">
        <v>0</v>
      </c>
      <c r="S443">
        <v>250</v>
      </c>
      <c r="T443">
        <v>0</v>
      </c>
      <c r="U443">
        <v>384</v>
      </c>
      <c r="V443" s="1">
        <f t="shared" si="18"/>
        <v>0.13239999999999999</v>
      </c>
      <c r="W443" s="1">
        <f t="shared" si="19"/>
        <v>2.9399999999999999E-2</v>
      </c>
      <c r="X443" s="1">
        <f t="shared" si="20"/>
        <v>0</v>
      </c>
    </row>
    <row r="444" spans="1:24" x14ac:dyDescent="0.25">
      <c r="A444">
        <v>2022</v>
      </c>
      <c r="B444">
        <v>2</v>
      </c>
      <c r="C444" t="s">
        <v>27</v>
      </c>
      <c r="D444" t="str">
        <f>_xlfn.XLOOKUP(C444,'Carrier Name Rename'!A:A,'Carrier Name Rename'!B:B)</f>
        <v>SkyWest Airlines Inc.</v>
      </c>
      <c r="E444" t="s">
        <v>23</v>
      </c>
      <c r="F444" t="s">
        <v>24</v>
      </c>
      <c r="G444">
        <v>1492</v>
      </c>
      <c r="H444">
        <v>162</v>
      </c>
      <c r="I444">
        <v>91</v>
      </c>
      <c r="J444">
        <v>31</v>
      </c>
      <c r="K444">
        <v>4</v>
      </c>
      <c r="L444">
        <v>2</v>
      </c>
      <c r="M444">
        <v>34</v>
      </c>
      <c r="N444">
        <v>4</v>
      </c>
      <c r="O444">
        <v>4</v>
      </c>
      <c r="P444">
        <v>9527</v>
      </c>
      <c r="Q444">
        <v>5160</v>
      </c>
      <c r="R444">
        <v>1906</v>
      </c>
      <c r="S444">
        <v>223</v>
      </c>
      <c r="T444">
        <v>94</v>
      </c>
      <c r="U444">
        <v>2144</v>
      </c>
      <c r="V444" s="1">
        <f t="shared" si="18"/>
        <v>0.1086</v>
      </c>
      <c r="W444" s="1">
        <f t="shared" si="19"/>
        <v>2.7000000000000001E-3</v>
      </c>
      <c r="X444" s="1">
        <f t="shared" si="20"/>
        <v>2.7000000000000001E-3</v>
      </c>
    </row>
    <row r="445" spans="1:24" x14ac:dyDescent="0.25">
      <c r="A445">
        <v>2022</v>
      </c>
      <c r="B445">
        <v>2</v>
      </c>
      <c r="C445" t="s">
        <v>29</v>
      </c>
      <c r="D445" t="str">
        <f>_xlfn.XLOOKUP(C445,'Carrier Name Rename'!A:A,'Carrier Name Rename'!B:B)</f>
        <v>Horizon Air</v>
      </c>
      <c r="E445" t="s">
        <v>23</v>
      </c>
      <c r="F445" t="s">
        <v>24</v>
      </c>
      <c r="G445">
        <v>2062</v>
      </c>
      <c r="H445">
        <v>304</v>
      </c>
      <c r="I445">
        <v>72.31</v>
      </c>
      <c r="J445">
        <v>29.21</v>
      </c>
      <c r="K445">
        <v>97.18</v>
      </c>
      <c r="L445">
        <v>0</v>
      </c>
      <c r="M445">
        <v>105.3</v>
      </c>
      <c r="N445">
        <v>21</v>
      </c>
      <c r="O445">
        <v>6</v>
      </c>
      <c r="P445">
        <v>15171</v>
      </c>
      <c r="Q445">
        <v>5199</v>
      </c>
      <c r="R445">
        <v>1183</v>
      </c>
      <c r="S445">
        <v>2651</v>
      </c>
      <c r="T445">
        <v>0</v>
      </c>
      <c r="U445">
        <v>6138</v>
      </c>
      <c r="V445" s="1">
        <f t="shared" si="18"/>
        <v>0.1474</v>
      </c>
      <c r="W445" s="1">
        <f t="shared" si="19"/>
        <v>1.0200000000000001E-2</v>
      </c>
      <c r="X445" s="1">
        <f t="shared" si="20"/>
        <v>2.8999999999999998E-3</v>
      </c>
    </row>
    <row r="446" spans="1:24" x14ac:dyDescent="0.25">
      <c r="A446">
        <v>2022</v>
      </c>
      <c r="B446">
        <v>2</v>
      </c>
      <c r="C446" t="s">
        <v>41</v>
      </c>
      <c r="D446" t="str">
        <f>_xlfn.XLOOKUP(C446,'Carrier Name Rename'!A:A,'Carrier Name Rename'!B:B)</f>
        <v>United Air Lines Inc.</v>
      </c>
      <c r="E446" t="s">
        <v>23</v>
      </c>
      <c r="F446" t="s">
        <v>24</v>
      </c>
      <c r="G446">
        <v>481</v>
      </c>
      <c r="H446">
        <v>77</v>
      </c>
      <c r="I446">
        <v>35.51</v>
      </c>
      <c r="J446">
        <v>0.13</v>
      </c>
      <c r="K446">
        <v>16.25</v>
      </c>
      <c r="L446">
        <v>0</v>
      </c>
      <c r="M446">
        <v>25.11</v>
      </c>
      <c r="N446">
        <v>5</v>
      </c>
      <c r="O446">
        <v>0</v>
      </c>
      <c r="P446">
        <v>3461</v>
      </c>
      <c r="Q446">
        <v>1229</v>
      </c>
      <c r="R446">
        <v>39</v>
      </c>
      <c r="S446">
        <v>595</v>
      </c>
      <c r="T446">
        <v>0</v>
      </c>
      <c r="U446">
        <v>1598</v>
      </c>
      <c r="V446" s="1">
        <f t="shared" si="18"/>
        <v>0.16009999999999999</v>
      </c>
      <c r="W446" s="1">
        <f t="shared" si="19"/>
        <v>1.04E-2</v>
      </c>
      <c r="X446" s="1">
        <f t="shared" si="20"/>
        <v>0</v>
      </c>
    </row>
    <row r="447" spans="1:24" x14ac:dyDescent="0.25">
      <c r="A447">
        <v>2022</v>
      </c>
      <c r="B447">
        <v>2</v>
      </c>
      <c r="C447" t="s">
        <v>43</v>
      </c>
      <c r="D447" t="str">
        <f>_xlfn.XLOOKUP(C447,'Carrier Name Rename'!A:A,'Carrier Name Rename'!B:B)</f>
        <v>Southwest Airlines Co.</v>
      </c>
      <c r="E447" t="s">
        <v>23</v>
      </c>
      <c r="F447" t="s">
        <v>24</v>
      </c>
      <c r="G447">
        <v>420</v>
      </c>
      <c r="H447">
        <v>79</v>
      </c>
      <c r="I447">
        <v>41.24</v>
      </c>
      <c r="J447">
        <v>0</v>
      </c>
      <c r="K447">
        <v>3.81</v>
      </c>
      <c r="L447">
        <v>0</v>
      </c>
      <c r="M447">
        <v>33.96</v>
      </c>
      <c r="N447">
        <v>9</v>
      </c>
      <c r="O447">
        <v>0</v>
      </c>
      <c r="P447">
        <v>3009</v>
      </c>
      <c r="Q447">
        <v>1408</v>
      </c>
      <c r="R447">
        <v>0</v>
      </c>
      <c r="S447">
        <v>175</v>
      </c>
      <c r="T447">
        <v>0</v>
      </c>
      <c r="U447">
        <v>1426</v>
      </c>
      <c r="V447" s="1">
        <f t="shared" si="18"/>
        <v>0.18809999999999999</v>
      </c>
      <c r="W447" s="1">
        <f t="shared" si="19"/>
        <v>2.1399999999999999E-2</v>
      </c>
      <c r="X447" s="1">
        <f t="shared" si="20"/>
        <v>0</v>
      </c>
    </row>
    <row r="448" spans="1:24" x14ac:dyDescent="0.25">
      <c r="A448">
        <v>2022</v>
      </c>
      <c r="B448">
        <v>1</v>
      </c>
      <c r="C448" t="s">
        <v>31</v>
      </c>
      <c r="D448" t="str">
        <f>_xlfn.XLOOKUP(C448,'Carrier Name Rename'!A:A,'Carrier Name Rename'!B:B)</f>
        <v>American Airlines Inc.</v>
      </c>
      <c r="E448" t="s">
        <v>23</v>
      </c>
      <c r="F448" t="s">
        <v>24</v>
      </c>
      <c r="G448">
        <v>408</v>
      </c>
      <c r="H448">
        <v>60</v>
      </c>
      <c r="I448">
        <v>32.799999999999997</v>
      </c>
      <c r="J448">
        <v>1.74</v>
      </c>
      <c r="K448">
        <v>9.98</v>
      </c>
      <c r="L448">
        <v>0.64</v>
      </c>
      <c r="M448">
        <v>14.84</v>
      </c>
      <c r="N448">
        <v>5</v>
      </c>
      <c r="O448">
        <v>4</v>
      </c>
      <c r="P448">
        <v>4152</v>
      </c>
      <c r="Q448">
        <v>2534</v>
      </c>
      <c r="R448">
        <v>119</v>
      </c>
      <c r="S448">
        <v>490</v>
      </c>
      <c r="T448">
        <v>16</v>
      </c>
      <c r="U448">
        <v>993</v>
      </c>
      <c r="V448" s="1">
        <f t="shared" si="18"/>
        <v>0.14710000000000001</v>
      </c>
      <c r="W448" s="1">
        <f t="shared" si="19"/>
        <v>1.23E-2</v>
      </c>
      <c r="X448" s="1">
        <f t="shared" si="20"/>
        <v>9.7999999999999997E-3</v>
      </c>
    </row>
    <row r="449" spans="1:24" x14ac:dyDescent="0.25">
      <c r="A449">
        <v>2022</v>
      </c>
      <c r="B449">
        <v>1</v>
      </c>
      <c r="C449" t="s">
        <v>33</v>
      </c>
      <c r="D449" t="str">
        <f>_xlfn.XLOOKUP(C449,'Carrier Name Rename'!A:A,'Carrier Name Rename'!B:B)</f>
        <v>Alaska Airlines Inc.</v>
      </c>
      <c r="E449" t="s">
        <v>23</v>
      </c>
      <c r="F449" t="s">
        <v>24</v>
      </c>
      <c r="G449">
        <v>5096</v>
      </c>
      <c r="H449">
        <v>1136</v>
      </c>
      <c r="I449">
        <v>311.29000000000002</v>
      </c>
      <c r="J449">
        <v>27.1</v>
      </c>
      <c r="K449">
        <v>462.11</v>
      </c>
      <c r="L449">
        <v>4.05</v>
      </c>
      <c r="M449">
        <v>331.45</v>
      </c>
      <c r="N449">
        <v>367</v>
      </c>
      <c r="O449">
        <v>23</v>
      </c>
      <c r="P449">
        <v>63216</v>
      </c>
      <c r="Q449">
        <v>19814</v>
      </c>
      <c r="R449">
        <v>2383</v>
      </c>
      <c r="S449">
        <v>18515</v>
      </c>
      <c r="T449">
        <v>107</v>
      </c>
      <c r="U449">
        <v>22397</v>
      </c>
      <c r="V449" s="1">
        <f t="shared" si="18"/>
        <v>0.22289999999999999</v>
      </c>
      <c r="W449" s="1">
        <f t="shared" si="19"/>
        <v>7.1999999999999995E-2</v>
      </c>
      <c r="X449" s="1">
        <f t="shared" si="20"/>
        <v>4.4999999999999997E-3</v>
      </c>
    </row>
    <row r="450" spans="1:24" x14ac:dyDescent="0.25">
      <c r="A450">
        <v>2022</v>
      </c>
      <c r="B450">
        <v>1</v>
      </c>
      <c r="C450" t="s">
        <v>35</v>
      </c>
      <c r="D450" t="str">
        <f>_xlfn.XLOOKUP(C450,'Carrier Name Rename'!A:A,'Carrier Name Rename'!B:B)</f>
        <v>JetBlue Airways</v>
      </c>
      <c r="E450" t="s">
        <v>23</v>
      </c>
      <c r="F450" t="s">
        <v>24</v>
      </c>
      <c r="G450">
        <v>74</v>
      </c>
      <c r="H450">
        <v>18</v>
      </c>
      <c r="I450">
        <v>8.3000000000000007</v>
      </c>
      <c r="J450">
        <v>1.86</v>
      </c>
      <c r="K450">
        <v>6.17</v>
      </c>
      <c r="L450">
        <v>0</v>
      </c>
      <c r="M450">
        <v>1.66</v>
      </c>
      <c r="N450">
        <v>9</v>
      </c>
      <c r="O450">
        <v>0</v>
      </c>
      <c r="P450">
        <v>1130</v>
      </c>
      <c r="Q450">
        <v>762</v>
      </c>
      <c r="R450">
        <v>58</v>
      </c>
      <c r="S450">
        <v>175</v>
      </c>
      <c r="T450">
        <v>0</v>
      </c>
      <c r="U450">
        <v>135</v>
      </c>
      <c r="V450" s="1">
        <f t="shared" si="18"/>
        <v>0.2432</v>
      </c>
      <c r="W450" s="1">
        <f t="shared" si="19"/>
        <v>0.1216</v>
      </c>
      <c r="X450" s="1">
        <f t="shared" si="20"/>
        <v>0</v>
      </c>
    </row>
    <row r="451" spans="1:24" x14ac:dyDescent="0.25">
      <c r="A451">
        <v>2022</v>
      </c>
      <c r="B451">
        <v>1</v>
      </c>
      <c r="C451" t="s">
        <v>37</v>
      </c>
      <c r="D451" t="str">
        <f>_xlfn.XLOOKUP(C451,'Carrier Name Rename'!A:A,'Carrier Name Rename'!B:B)</f>
        <v>Delta Air Lines Inc.</v>
      </c>
      <c r="E451" t="s">
        <v>23</v>
      </c>
      <c r="F451" t="s">
        <v>24</v>
      </c>
      <c r="G451">
        <v>2171</v>
      </c>
      <c r="H451">
        <v>326</v>
      </c>
      <c r="I451">
        <v>150.07</v>
      </c>
      <c r="J451">
        <v>10.25</v>
      </c>
      <c r="K451">
        <v>89.55</v>
      </c>
      <c r="L451">
        <v>0</v>
      </c>
      <c r="M451">
        <v>76.13</v>
      </c>
      <c r="N451">
        <v>84</v>
      </c>
      <c r="O451">
        <v>15</v>
      </c>
      <c r="P451">
        <v>23872</v>
      </c>
      <c r="Q451">
        <v>12535</v>
      </c>
      <c r="R451">
        <v>844</v>
      </c>
      <c r="S451">
        <v>3491</v>
      </c>
      <c r="T451">
        <v>0</v>
      </c>
      <c r="U451">
        <v>7002</v>
      </c>
      <c r="V451" s="1">
        <f t="shared" ref="V451:V514" si="21">ROUND(H451/G451,4)</f>
        <v>0.1502</v>
      </c>
      <c r="W451" s="1">
        <f t="shared" ref="W451:W514" si="22">ROUND(N451/G451,4)</f>
        <v>3.8699999999999998E-2</v>
      </c>
      <c r="X451" s="1">
        <f t="shared" ref="X451:X514" si="23">ROUND(O451/G451,4)</f>
        <v>6.8999999999999999E-3</v>
      </c>
    </row>
    <row r="452" spans="1:24" x14ac:dyDescent="0.25">
      <c r="A452">
        <v>2022</v>
      </c>
      <c r="B452">
        <v>1</v>
      </c>
      <c r="C452" t="s">
        <v>39</v>
      </c>
      <c r="D452" t="str">
        <f>_xlfn.XLOOKUP(C452,'Carrier Name Rename'!A:A,'Carrier Name Rename'!B:B)</f>
        <v>Frontier Airlines Inc.</v>
      </c>
      <c r="E452" t="s">
        <v>23</v>
      </c>
      <c r="F452" t="s">
        <v>24</v>
      </c>
      <c r="G452">
        <v>36</v>
      </c>
      <c r="H452">
        <v>5</v>
      </c>
      <c r="I452">
        <v>2.59</v>
      </c>
      <c r="J452">
        <v>0</v>
      </c>
      <c r="K452">
        <v>1.42</v>
      </c>
      <c r="L452">
        <v>0</v>
      </c>
      <c r="M452">
        <v>0.99</v>
      </c>
      <c r="N452">
        <v>3</v>
      </c>
      <c r="O452">
        <v>0</v>
      </c>
      <c r="P452">
        <v>785</v>
      </c>
      <c r="Q452">
        <v>604</v>
      </c>
      <c r="R452">
        <v>0</v>
      </c>
      <c r="S452">
        <v>95</v>
      </c>
      <c r="T452">
        <v>0</v>
      </c>
      <c r="U452">
        <v>86</v>
      </c>
      <c r="V452" s="1">
        <f t="shared" si="21"/>
        <v>0.1389</v>
      </c>
      <c r="W452" s="1">
        <f t="shared" si="22"/>
        <v>8.3299999999999999E-2</v>
      </c>
      <c r="X452" s="1">
        <f t="shared" si="23"/>
        <v>0</v>
      </c>
    </row>
    <row r="453" spans="1:24" x14ac:dyDescent="0.25">
      <c r="A453">
        <v>2022</v>
      </c>
      <c r="B453">
        <v>1</v>
      </c>
      <c r="C453" t="s">
        <v>21</v>
      </c>
      <c r="D453" t="str">
        <f>_xlfn.XLOOKUP(C453,'Carrier Name Rename'!A:A,'Carrier Name Rename'!B:B)</f>
        <v>Hawaiian Airlines Inc.</v>
      </c>
      <c r="E453" t="s">
        <v>23</v>
      </c>
      <c r="F453" t="s">
        <v>24</v>
      </c>
      <c r="G453">
        <v>66</v>
      </c>
      <c r="H453">
        <v>23</v>
      </c>
      <c r="I453">
        <v>19.440000000000001</v>
      </c>
      <c r="J453">
        <v>0.96</v>
      </c>
      <c r="K453">
        <v>0</v>
      </c>
      <c r="L453">
        <v>0.82</v>
      </c>
      <c r="M453">
        <v>1.78</v>
      </c>
      <c r="N453">
        <v>0</v>
      </c>
      <c r="O453">
        <v>0</v>
      </c>
      <c r="P453">
        <v>1153</v>
      </c>
      <c r="Q453">
        <v>901</v>
      </c>
      <c r="R453">
        <v>103</v>
      </c>
      <c r="S453">
        <v>0</v>
      </c>
      <c r="T453">
        <v>37</v>
      </c>
      <c r="U453">
        <v>112</v>
      </c>
      <c r="V453" s="1">
        <f t="shared" si="21"/>
        <v>0.34849999999999998</v>
      </c>
      <c r="W453" s="1">
        <f t="shared" si="22"/>
        <v>0</v>
      </c>
      <c r="X453" s="1">
        <f t="shared" si="23"/>
        <v>0</v>
      </c>
    </row>
    <row r="454" spans="1:24" x14ac:dyDescent="0.25">
      <c r="A454">
        <v>2022</v>
      </c>
      <c r="B454">
        <v>1</v>
      </c>
      <c r="C454" t="s">
        <v>25</v>
      </c>
      <c r="D454" t="str">
        <f>_xlfn.XLOOKUP(C454,'Carrier Name Rename'!A:A,'Carrier Name Rename'!B:B)</f>
        <v>Spirit Airlines</v>
      </c>
      <c r="E454" t="s">
        <v>23</v>
      </c>
      <c r="F454" t="s">
        <v>24</v>
      </c>
      <c r="G454">
        <v>53</v>
      </c>
      <c r="H454">
        <v>6</v>
      </c>
      <c r="I454">
        <v>1.65</v>
      </c>
      <c r="J454">
        <v>0</v>
      </c>
      <c r="K454">
        <v>2.35</v>
      </c>
      <c r="L454">
        <v>0</v>
      </c>
      <c r="M454">
        <v>2</v>
      </c>
      <c r="N454">
        <v>0</v>
      </c>
      <c r="O454">
        <v>0</v>
      </c>
      <c r="P454">
        <v>201</v>
      </c>
      <c r="Q454">
        <v>40</v>
      </c>
      <c r="R454">
        <v>0</v>
      </c>
      <c r="S454">
        <v>45</v>
      </c>
      <c r="T454">
        <v>0</v>
      </c>
      <c r="U454">
        <v>116</v>
      </c>
      <c r="V454" s="1">
        <f t="shared" si="21"/>
        <v>0.1132</v>
      </c>
      <c r="W454" s="1">
        <f t="shared" si="22"/>
        <v>0</v>
      </c>
      <c r="X454" s="1">
        <f t="shared" si="23"/>
        <v>0</v>
      </c>
    </row>
    <row r="455" spans="1:24" x14ac:dyDescent="0.25">
      <c r="A455">
        <v>2022</v>
      </c>
      <c r="B455">
        <v>1</v>
      </c>
      <c r="C455" t="s">
        <v>27</v>
      </c>
      <c r="D455" t="str">
        <f>_xlfn.XLOOKUP(C455,'Carrier Name Rename'!A:A,'Carrier Name Rename'!B:B)</f>
        <v>SkyWest Airlines Inc.</v>
      </c>
      <c r="E455" t="s">
        <v>23</v>
      </c>
      <c r="F455" t="s">
        <v>24</v>
      </c>
      <c r="G455">
        <v>1676</v>
      </c>
      <c r="H455">
        <v>237</v>
      </c>
      <c r="I455">
        <v>143</v>
      </c>
      <c r="J455">
        <v>56</v>
      </c>
      <c r="K455">
        <v>8</v>
      </c>
      <c r="L455">
        <v>0</v>
      </c>
      <c r="M455">
        <v>30</v>
      </c>
      <c r="N455">
        <v>129</v>
      </c>
      <c r="O455">
        <v>35</v>
      </c>
      <c r="P455">
        <v>18807</v>
      </c>
      <c r="Q455">
        <v>9140</v>
      </c>
      <c r="R455">
        <v>6998</v>
      </c>
      <c r="S455">
        <v>551</v>
      </c>
      <c r="T455">
        <v>0</v>
      </c>
      <c r="U455">
        <v>2118</v>
      </c>
      <c r="V455" s="1">
        <f t="shared" si="21"/>
        <v>0.1414</v>
      </c>
      <c r="W455" s="1">
        <f t="shared" si="22"/>
        <v>7.6999999999999999E-2</v>
      </c>
      <c r="X455" s="1">
        <f t="shared" si="23"/>
        <v>2.0899999999999998E-2</v>
      </c>
    </row>
    <row r="456" spans="1:24" x14ac:dyDescent="0.25">
      <c r="A456">
        <v>2022</v>
      </c>
      <c r="B456">
        <v>1</v>
      </c>
      <c r="C456" t="s">
        <v>29</v>
      </c>
      <c r="D456" t="str">
        <f>_xlfn.XLOOKUP(C456,'Carrier Name Rename'!A:A,'Carrier Name Rename'!B:B)</f>
        <v>Horizon Air</v>
      </c>
      <c r="E456" t="s">
        <v>23</v>
      </c>
      <c r="F456" t="s">
        <v>24</v>
      </c>
      <c r="G456">
        <v>2437</v>
      </c>
      <c r="H456">
        <v>662</v>
      </c>
      <c r="I456">
        <v>150.86000000000001</v>
      </c>
      <c r="J456">
        <v>50.28</v>
      </c>
      <c r="K456">
        <v>203.15</v>
      </c>
      <c r="L456">
        <v>0.4</v>
      </c>
      <c r="M456">
        <v>257.31</v>
      </c>
      <c r="N456">
        <v>132</v>
      </c>
      <c r="O456">
        <v>9</v>
      </c>
      <c r="P456">
        <v>40184</v>
      </c>
      <c r="Q456">
        <v>10218</v>
      </c>
      <c r="R456">
        <v>4561</v>
      </c>
      <c r="S456">
        <v>7995</v>
      </c>
      <c r="T456">
        <v>6</v>
      </c>
      <c r="U456">
        <v>17404</v>
      </c>
      <c r="V456" s="1">
        <f t="shared" si="21"/>
        <v>0.27160000000000001</v>
      </c>
      <c r="W456" s="1">
        <f t="shared" si="22"/>
        <v>5.4199999999999998E-2</v>
      </c>
      <c r="X456" s="1">
        <f t="shared" si="23"/>
        <v>3.7000000000000002E-3</v>
      </c>
    </row>
    <row r="457" spans="1:24" x14ac:dyDescent="0.25">
      <c r="A457">
        <v>2022</v>
      </c>
      <c r="B457">
        <v>1</v>
      </c>
      <c r="C457" t="s">
        <v>41</v>
      </c>
      <c r="D457" t="str">
        <f>_xlfn.XLOOKUP(C457,'Carrier Name Rename'!A:A,'Carrier Name Rename'!B:B)</f>
        <v>United Air Lines Inc.</v>
      </c>
      <c r="E457" t="s">
        <v>23</v>
      </c>
      <c r="F457" t="s">
        <v>24</v>
      </c>
      <c r="G457">
        <v>455</v>
      </c>
      <c r="H457">
        <v>112</v>
      </c>
      <c r="I457">
        <v>63.33</v>
      </c>
      <c r="J457">
        <v>1.06</v>
      </c>
      <c r="K457">
        <v>15.71</v>
      </c>
      <c r="L457">
        <v>0</v>
      </c>
      <c r="M457">
        <v>31.9</v>
      </c>
      <c r="N457">
        <v>12</v>
      </c>
      <c r="O457">
        <v>1</v>
      </c>
      <c r="P457">
        <v>7118</v>
      </c>
      <c r="Q457">
        <v>3330</v>
      </c>
      <c r="R457">
        <v>89</v>
      </c>
      <c r="S457">
        <v>766</v>
      </c>
      <c r="T457">
        <v>0</v>
      </c>
      <c r="U457">
        <v>2933</v>
      </c>
      <c r="V457" s="1">
        <f t="shared" si="21"/>
        <v>0.2462</v>
      </c>
      <c r="W457" s="1">
        <f t="shared" si="22"/>
        <v>2.64E-2</v>
      </c>
      <c r="X457" s="1">
        <f t="shared" si="23"/>
        <v>2.2000000000000001E-3</v>
      </c>
    </row>
    <row r="458" spans="1:24" x14ac:dyDescent="0.25">
      <c r="A458">
        <v>2022</v>
      </c>
      <c r="B458">
        <v>1</v>
      </c>
      <c r="C458" t="s">
        <v>43</v>
      </c>
      <c r="D458" t="str">
        <f>_xlfn.XLOOKUP(C458,'Carrier Name Rename'!A:A,'Carrier Name Rename'!B:B)</f>
        <v>Southwest Airlines Co.</v>
      </c>
      <c r="E458" t="s">
        <v>23</v>
      </c>
      <c r="F458" t="s">
        <v>24</v>
      </c>
      <c r="G458">
        <v>478</v>
      </c>
      <c r="H458">
        <v>90</v>
      </c>
      <c r="I458">
        <v>51.44</v>
      </c>
      <c r="J458">
        <v>0.28000000000000003</v>
      </c>
      <c r="K458">
        <v>7.01</v>
      </c>
      <c r="L458">
        <v>0</v>
      </c>
      <c r="M458">
        <v>31.27</v>
      </c>
      <c r="N458">
        <v>25</v>
      </c>
      <c r="O458">
        <v>2</v>
      </c>
      <c r="P458">
        <v>5414</v>
      </c>
      <c r="Q458">
        <v>2684</v>
      </c>
      <c r="R458">
        <v>11</v>
      </c>
      <c r="S458">
        <v>387</v>
      </c>
      <c r="T458">
        <v>0</v>
      </c>
      <c r="U458">
        <v>2332</v>
      </c>
      <c r="V458" s="1">
        <f t="shared" si="21"/>
        <v>0.1883</v>
      </c>
      <c r="W458" s="1">
        <f t="shared" si="22"/>
        <v>5.2299999999999999E-2</v>
      </c>
      <c r="X458" s="1">
        <f t="shared" si="23"/>
        <v>4.1999999999999997E-3</v>
      </c>
    </row>
    <row r="459" spans="1:24" x14ac:dyDescent="0.25">
      <c r="A459">
        <v>2021</v>
      </c>
      <c r="B459">
        <v>12</v>
      </c>
      <c r="C459" t="s">
        <v>31</v>
      </c>
      <c r="D459" t="str">
        <f>_xlfn.XLOOKUP(C459,'Carrier Name Rename'!A:A,'Carrier Name Rename'!B:B)</f>
        <v>American Airlines Inc.</v>
      </c>
      <c r="E459" t="s">
        <v>23</v>
      </c>
      <c r="F459" t="s">
        <v>24</v>
      </c>
      <c r="G459">
        <v>492</v>
      </c>
      <c r="H459">
        <v>104</v>
      </c>
      <c r="I459">
        <v>43.31</v>
      </c>
      <c r="J459">
        <v>0.87</v>
      </c>
      <c r="K459">
        <v>32.47</v>
      </c>
      <c r="L459">
        <v>0.71</v>
      </c>
      <c r="M459">
        <v>26.64</v>
      </c>
      <c r="N459">
        <v>0</v>
      </c>
      <c r="O459">
        <v>4</v>
      </c>
      <c r="P459">
        <v>5733</v>
      </c>
      <c r="Q459">
        <v>2234</v>
      </c>
      <c r="R459">
        <v>38</v>
      </c>
      <c r="S459">
        <v>1656</v>
      </c>
      <c r="T459">
        <v>20</v>
      </c>
      <c r="U459">
        <v>1785</v>
      </c>
      <c r="V459" s="1">
        <f t="shared" si="21"/>
        <v>0.2114</v>
      </c>
      <c r="W459" s="1">
        <f t="shared" si="22"/>
        <v>0</v>
      </c>
      <c r="X459" s="1">
        <f t="shared" si="23"/>
        <v>8.0999999999999996E-3</v>
      </c>
    </row>
    <row r="460" spans="1:24" x14ac:dyDescent="0.25">
      <c r="A460">
        <v>2021</v>
      </c>
      <c r="B460">
        <v>12</v>
      </c>
      <c r="C460" t="s">
        <v>33</v>
      </c>
      <c r="D460" t="str">
        <f>_xlfn.XLOOKUP(C460,'Carrier Name Rename'!A:A,'Carrier Name Rename'!B:B)</f>
        <v>Alaska Airlines Inc.</v>
      </c>
      <c r="E460" t="s">
        <v>23</v>
      </c>
      <c r="F460" t="s">
        <v>24</v>
      </c>
      <c r="G460">
        <v>5098</v>
      </c>
      <c r="H460">
        <v>1425</v>
      </c>
      <c r="I460">
        <v>341.2</v>
      </c>
      <c r="J460">
        <v>32.409999999999997</v>
      </c>
      <c r="K460">
        <v>599.39</v>
      </c>
      <c r="L460">
        <v>8.3800000000000008</v>
      </c>
      <c r="M460">
        <v>443.62</v>
      </c>
      <c r="N460">
        <v>383</v>
      </c>
      <c r="O460">
        <v>26</v>
      </c>
      <c r="P460">
        <v>83952</v>
      </c>
      <c r="Q460">
        <v>22840</v>
      </c>
      <c r="R460">
        <v>4135</v>
      </c>
      <c r="S460">
        <v>26829</v>
      </c>
      <c r="T460">
        <v>262</v>
      </c>
      <c r="U460">
        <v>29886</v>
      </c>
      <c r="V460" s="1">
        <f t="shared" si="21"/>
        <v>0.27950000000000003</v>
      </c>
      <c r="W460" s="1">
        <f t="shared" si="22"/>
        <v>7.51E-2</v>
      </c>
      <c r="X460" s="1">
        <f t="shared" si="23"/>
        <v>5.1000000000000004E-3</v>
      </c>
    </row>
    <row r="461" spans="1:24" x14ac:dyDescent="0.25">
      <c r="A461">
        <v>2021</v>
      </c>
      <c r="B461">
        <v>12</v>
      </c>
      <c r="C461" t="s">
        <v>35</v>
      </c>
      <c r="D461" t="str">
        <f>_xlfn.XLOOKUP(C461,'Carrier Name Rename'!A:A,'Carrier Name Rename'!B:B)</f>
        <v>JetBlue Airways</v>
      </c>
      <c r="E461" t="s">
        <v>23</v>
      </c>
      <c r="F461" t="s">
        <v>24</v>
      </c>
      <c r="G461">
        <v>75</v>
      </c>
      <c r="H461">
        <v>36</v>
      </c>
      <c r="I461">
        <v>9.02</v>
      </c>
      <c r="J461">
        <v>0.39</v>
      </c>
      <c r="K461">
        <v>23.36</v>
      </c>
      <c r="L461">
        <v>0.04</v>
      </c>
      <c r="M461">
        <v>3.2</v>
      </c>
      <c r="N461">
        <v>4</v>
      </c>
      <c r="O461">
        <v>0</v>
      </c>
      <c r="P461">
        <v>1976</v>
      </c>
      <c r="Q461">
        <v>588</v>
      </c>
      <c r="R461">
        <v>69</v>
      </c>
      <c r="S461">
        <v>959</v>
      </c>
      <c r="T461">
        <v>3</v>
      </c>
      <c r="U461">
        <v>357</v>
      </c>
      <c r="V461" s="1">
        <f t="shared" si="21"/>
        <v>0.48</v>
      </c>
      <c r="W461" s="1">
        <f t="shared" si="22"/>
        <v>5.33E-2</v>
      </c>
      <c r="X461" s="1">
        <f t="shared" si="23"/>
        <v>0</v>
      </c>
    </row>
    <row r="462" spans="1:24" x14ac:dyDescent="0.25">
      <c r="A462">
        <v>2021</v>
      </c>
      <c r="B462">
        <v>12</v>
      </c>
      <c r="C462" t="s">
        <v>37</v>
      </c>
      <c r="D462" t="str">
        <f>_xlfn.XLOOKUP(C462,'Carrier Name Rename'!A:A,'Carrier Name Rename'!B:B)</f>
        <v>Delta Air Lines Inc.</v>
      </c>
      <c r="E462" t="s">
        <v>23</v>
      </c>
      <c r="F462" t="s">
        <v>24</v>
      </c>
      <c r="G462">
        <v>2389</v>
      </c>
      <c r="H462">
        <v>503</v>
      </c>
      <c r="I462">
        <v>194.09</v>
      </c>
      <c r="J462">
        <v>10.33</v>
      </c>
      <c r="K462">
        <v>172.91</v>
      </c>
      <c r="L462">
        <v>0</v>
      </c>
      <c r="M462">
        <v>125.66</v>
      </c>
      <c r="N462">
        <v>188</v>
      </c>
      <c r="O462">
        <v>8</v>
      </c>
      <c r="P462">
        <v>46947</v>
      </c>
      <c r="Q462">
        <v>21017</v>
      </c>
      <c r="R462">
        <v>1502</v>
      </c>
      <c r="S462">
        <v>9240</v>
      </c>
      <c r="T462">
        <v>0</v>
      </c>
      <c r="U462">
        <v>15188</v>
      </c>
      <c r="V462" s="1">
        <f t="shared" si="21"/>
        <v>0.21049999999999999</v>
      </c>
      <c r="W462" s="1">
        <f t="shared" si="22"/>
        <v>7.8700000000000006E-2</v>
      </c>
      <c r="X462" s="1">
        <f t="shared" si="23"/>
        <v>3.3E-3</v>
      </c>
    </row>
    <row r="463" spans="1:24" x14ac:dyDescent="0.25">
      <c r="A463">
        <v>2021</v>
      </c>
      <c r="B463">
        <v>12</v>
      </c>
      <c r="C463" t="s">
        <v>39</v>
      </c>
      <c r="D463" t="str">
        <f>_xlfn.XLOOKUP(C463,'Carrier Name Rename'!A:A,'Carrier Name Rename'!B:B)</f>
        <v>Frontier Airlines Inc.</v>
      </c>
      <c r="E463" t="s">
        <v>23</v>
      </c>
      <c r="F463" t="s">
        <v>24</v>
      </c>
      <c r="G463">
        <v>40</v>
      </c>
      <c r="H463">
        <v>9</v>
      </c>
      <c r="I463">
        <v>3.33</v>
      </c>
      <c r="J463">
        <v>0</v>
      </c>
      <c r="K463">
        <v>4.67</v>
      </c>
      <c r="L463">
        <v>0</v>
      </c>
      <c r="M463">
        <v>1</v>
      </c>
      <c r="N463">
        <v>0</v>
      </c>
      <c r="O463">
        <v>0</v>
      </c>
      <c r="P463">
        <v>805</v>
      </c>
      <c r="Q463">
        <v>150</v>
      </c>
      <c r="R463">
        <v>0</v>
      </c>
      <c r="S463">
        <v>617</v>
      </c>
      <c r="T463">
        <v>0</v>
      </c>
      <c r="U463">
        <v>38</v>
      </c>
      <c r="V463" s="1">
        <f t="shared" si="21"/>
        <v>0.22500000000000001</v>
      </c>
      <c r="W463" s="1">
        <f t="shared" si="22"/>
        <v>0</v>
      </c>
      <c r="X463" s="1">
        <f t="shared" si="23"/>
        <v>0</v>
      </c>
    </row>
    <row r="464" spans="1:24" x14ac:dyDescent="0.25">
      <c r="A464">
        <v>2021</v>
      </c>
      <c r="B464">
        <v>12</v>
      </c>
      <c r="C464" t="s">
        <v>21</v>
      </c>
      <c r="D464" t="str">
        <f>_xlfn.XLOOKUP(C464,'Carrier Name Rename'!A:A,'Carrier Name Rename'!B:B)</f>
        <v>Hawaiian Airlines Inc.</v>
      </c>
      <c r="E464" t="s">
        <v>23</v>
      </c>
      <c r="F464" t="s">
        <v>24</v>
      </c>
      <c r="G464">
        <v>78</v>
      </c>
      <c r="H464">
        <v>35</v>
      </c>
      <c r="I464">
        <v>30.3</v>
      </c>
      <c r="J464">
        <v>0.85</v>
      </c>
      <c r="K464">
        <v>0</v>
      </c>
      <c r="L464">
        <v>0</v>
      </c>
      <c r="M464">
        <v>3.85</v>
      </c>
      <c r="N464">
        <v>0</v>
      </c>
      <c r="O464">
        <v>0</v>
      </c>
      <c r="P464">
        <v>2052</v>
      </c>
      <c r="Q464">
        <v>1451</v>
      </c>
      <c r="R464">
        <v>28</v>
      </c>
      <c r="S464">
        <v>0</v>
      </c>
      <c r="T464">
        <v>0</v>
      </c>
      <c r="U464">
        <v>573</v>
      </c>
      <c r="V464" s="1">
        <f t="shared" si="21"/>
        <v>0.44869999999999999</v>
      </c>
      <c r="W464" s="1">
        <f t="shared" si="22"/>
        <v>0</v>
      </c>
      <c r="X464" s="1">
        <f t="shared" si="23"/>
        <v>0</v>
      </c>
    </row>
    <row r="465" spans="1:24" x14ac:dyDescent="0.25">
      <c r="A465">
        <v>2021</v>
      </c>
      <c r="B465">
        <v>12</v>
      </c>
      <c r="C465" t="s">
        <v>25</v>
      </c>
      <c r="D465" t="str">
        <f>_xlfn.XLOOKUP(C465,'Carrier Name Rename'!A:A,'Carrier Name Rename'!B:B)</f>
        <v>Spirit Airlines</v>
      </c>
      <c r="E465" t="s">
        <v>23</v>
      </c>
      <c r="F465" t="s">
        <v>24</v>
      </c>
      <c r="G465">
        <v>54</v>
      </c>
      <c r="H465">
        <v>13</v>
      </c>
      <c r="I465">
        <v>2.59</v>
      </c>
      <c r="J465">
        <v>0</v>
      </c>
      <c r="K465">
        <v>4.8</v>
      </c>
      <c r="L465">
        <v>0</v>
      </c>
      <c r="M465">
        <v>5.61</v>
      </c>
      <c r="N465">
        <v>1</v>
      </c>
      <c r="O465">
        <v>0</v>
      </c>
      <c r="P465">
        <v>901</v>
      </c>
      <c r="Q465">
        <v>241</v>
      </c>
      <c r="R465">
        <v>0</v>
      </c>
      <c r="S465">
        <v>363</v>
      </c>
      <c r="T465">
        <v>0</v>
      </c>
      <c r="U465">
        <v>297</v>
      </c>
      <c r="V465" s="1">
        <f t="shared" si="21"/>
        <v>0.2407</v>
      </c>
      <c r="W465" s="1">
        <f t="shared" si="22"/>
        <v>1.8499999999999999E-2</v>
      </c>
      <c r="X465" s="1">
        <f t="shared" si="23"/>
        <v>0</v>
      </c>
    </row>
    <row r="466" spans="1:24" x14ac:dyDescent="0.25">
      <c r="A466">
        <v>2021</v>
      </c>
      <c r="B466">
        <v>12</v>
      </c>
      <c r="C466" t="s">
        <v>27</v>
      </c>
      <c r="D466" t="str">
        <f>_xlfn.XLOOKUP(C466,'Carrier Name Rename'!A:A,'Carrier Name Rename'!B:B)</f>
        <v>SkyWest Airlines Inc.</v>
      </c>
      <c r="E466" t="s">
        <v>23</v>
      </c>
      <c r="F466" t="s">
        <v>24</v>
      </c>
      <c r="G466">
        <v>1532</v>
      </c>
      <c r="H466">
        <v>283</v>
      </c>
      <c r="I466">
        <v>169</v>
      </c>
      <c r="J466">
        <v>71</v>
      </c>
      <c r="K466">
        <v>7</v>
      </c>
      <c r="L466">
        <v>0</v>
      </c>
      <c r="M466">
        <v>36</v>
      </c>
      <c r="N466">
        <v>168</v>
      </c>
      <c r="O466">
        <v>4</v>
      </c>
      <c r="P466">
        <v>26576</v>
      </c>
      <c r="Q466">
        <v>13677</v>
      </c>
      <c r="R466">
        <v>9551</v>
      </c>
      <c r="S466">
        <v>384</v>
      </c>
      <c r="T466">
        <v>0</v>
      </c>
      <c r="U466">
        <v>2964</v>
      </c>
      <c r="V466" s="1">
        <f t="shared" si="21"/>
        <v>0.1847</v>
      </c>
      <c r="W466" s="1">
        <f t="shared" si="22"/>
        <v>0.10970000000000001</v>
      </c>
      <c r="X466" s="1">
        <f t="shared" si="23"/>
        <v>2.5999999999999999E-3</v>
      </c>
    </row>
    <row r="467" spans="1:24" x14ac:dyDescent="0.25">
      <c r="A467">
        <v>2021</v>
      </c>
      <c r="B467">
        <v>12</v>
      </c>
      <c r="C467" t="s">
        <v>29</v>
      </c>
      <c r="D467" t="str">
        <f>_xlfn.XLOOKUP(C467,'Carrier Name Rename'!A:A,'Carrier Name Rename'!B:B)</f>
        <v>Horizon Air</v>
      </c>
      <c r="E467" t="s">
        <v>23</v>
      </c>
      <c r="F467" t="s">
        <v>24</v>
      </c>
      <c r="G467">
        <v>2283</v>
      </c>
      <c r="H467">
        <v>576</v>
      </c>
      <c r="I467">
        <v>127.49</v>
      </c>
      <c r="J467">
        <v>58.31</v>
      </c>
      <c r="K467">
        <v>216.62</v>
      </c>
      <c r="L467">
        <v>0.16</v>
      </c>
      <c r="M467">
        <v>173.41</v>
      </c>
      <c r="N467">
        <v>157</v>
      </c>
      <c r="O467">
        <v>3</v>
      </c>
      <c r="P467">
        <v>41762</v>
      </c>
      <c r="Q467">
        <v>11053</v>
      </c>
      <c r="R467">
        <v>5448</v>
      </c>
      <c r="S467">
        <v>10437</v>
      </c>
      <c r="T467">
        <v>4</v>
      </c>
      <c r="U467">
        <v>14820</v>
      </c>
      <c r="V467" s="1">
        <f t="shared" si="21"/>
        <v>0.25230000000000002</v>
      </c>
      <c r="W467" s="1">
        <f t="shared" si="22"/>
        <v>6.88E-2</v>
      </c>
      <c r="X467" s="1">
        <f t="shared" si="23"/>
        <v>1.2999999999999999E-3</v>
      </c>
    </row>
    <row r="468" spans="1:24" x14ac:dyDescent="0.25">
      <c r="A468">
        <v>2021</v>
      </c>
      <c r="B468">
        <v>12</v>
      </c>
      <c r="C468" t="s">
        <v>41</v>
      </c>
      <c r="D468" t="str">
        <f>_xlfn.XLOOKUP(C468,'Carrier Name Rename'!A:A,'Carrier Name Rename'!B:B)</f>
        <v>United Air Lines Inc.</v>
      </c>
      <c r="E468" t="s">
        <v>23</v>
      </c>
      <c r="F468" t="s">
        <v>24</v>
      </c>
      <c r="G468">
        <v>624</v>
      </c>
      <c r="H468">
        <v>165</v>
      </c>
      <c r="I468">
        <v>77.040000000000006</v>
      </c>
      <c r="J468">
        <v>0</v>
      </c>
      <c r="K468">
        <v>47.5</v>
      </c>
      <c r="L468">
        <v>0</v>
      </c>
      <c r="M468">
        <v>40.46</v>
      </c>
      <c r="N468">
        <v>24</v>
      </c>
      <c r="O468">
        <v>2</v>
      </c>
      <c r="P468">
        <v>8433</v>
      </c>
      <c r="Q468">
        <v>3764</v>
      </c>
      <c r="R468">
        <v>0</v>
      </c>
      <c r="S468">
        <v>1813</v>
      </c>
      <c r="T468">
        <v>0</v>
      </c>
      <c r="U468">
        <v>2856</v>
      </c>
      <c r="V468" s="1">
        <f t="shared" si="21"/>
        <v>0.26440000000000002</v>
      </c>
      <c r="W468" s="1">
        <f t="shared" si="22"/>
        <v>3.85E-2</v>
      </c>
      <c r="X468" s="1">
        <f t="shared" si="23"/>
        <v>3.2000000000000002E-3</v>
      </c>
    </row>
    <row r="469" spans="1:24" x14ac:dyDescent="0.25">
      <c r="A469">
        <v>2021</v>
      </c>
      <c r="B469">
        <v>12</v>
      </c>
      <c r="C469" t="s">
        <v>43</v>
      </c>
      <c r="D469" t="str">
        <f>_xlfn.XLOOKUP(C469,'Carrier Name Rename'!A:A,'Carrier Name Rename'!B:B)</f>
        <v>Southwest Airlines Co.</v>
      </c>
      <c r="E469" t="s">
        <v>23</v>
      </c>
      <c r="F469" t="s">
        <v>24</v>
      </c>
      <c r="G469">
        <v>501</v>
      </c>
      <c r="H469">
        <v>193</v>
      </c>
      <c r="I469">
        <v>96.46</v>
      </c>
      <c r="J469">
        <v>1</v>
      </c>
      <c r="K469">
        <v>20.6</v>
      </c>
      <c r="L469">
        <v>1.37</v>
      </c>
      <c r="M469">
        <v>73.569999999999993</v>
      </c>
      <c r="N469">
        <v>6</v>
      </c>
      <c r="O469">
        <v>2</v>
      </c>
      <c r="P469">
        <v>9623</v>
      </c>
      <c r="Q469">
        <v>4341</v>
      </c>
      <c r="R469">
        <v>24</v>
      </c>
      <c r="S469">
        <v>912</v>
      </c>
      <c r="T469">
        <v>26</v>
      </c>
      <c r="U469">
        <v>4320</v>
      </c>
      <c r="V469" s="1">
        <f t="shared" si="21"/>
        <v>0.38519999999999999</v>
      </c>
      <c r="W469" s="1">
        <f t="shared" si="22"/>
        <v>1.2E-2</v>
      </c>
      <c r="X469" s="1">
        <f t="shared" si="23"/>
        <v>4.0000000000000001E-3</v>
      </c>
    </row>
    <row r="470" spans="1:24" x14ac:dyDescent="0.25">
      <c r="A470">
        <v>2021</v>
      </c>
      <c r="B470">
        <v>11</v>
      </c>
      <c r="C470" t="s">
        <v>31</v>
      </c>
      <c r="D470" t="str">
        <f>_xlfn.XLOOKUP(C470,'Carrier Name Rename'!A:A,'Carrier Name Rename'!B:B)</f>
        <v>American Airlines Inc.</v>
      </c>
      <c r="E470" t="s">
        <v>23</v>
      </c>
      <c r="F470" t="s">
        <v>24</v>
      </c>
      <c r="G470">
        <v>501</v>
      </c>
      <c r="H470">
        <v>92</v>
      </c>
      <c r="I470">
        <v>44.01</v>
      </c>
      <c r="J470">
        <v>0.57999999999999996</v>
      </c>
      <c r="K470">
        <v>25.73</v>
      </c>
      <c r="L470">
        <v>0.21</v>
      </c>
      <c r="M470">
        <v>21.48</v>
      </c>
      <c r="N470">
        <v>7</v>
      </c>
      <c r="O470">
        <v>2</v>
      </c>
      <c r="P470">
        <v>4658</v>
      </c>
      <c r="Q470">
        <v>2059</v>
      </c>
      <c r="R470">
        <v>15</v>
      </c>
      <c r="S470">
        <v>738</v>
      </c>
      <c r="T470">
        <v>19</v>
      </c>
      <c r="U470">
        <v>1827</v>
      </c>
      <c r="V470" s="1">
        <f t="shared" si="21"/>
        <v>0.18360000000000001</v>
      </c>
      <c r="W470" s="1">
        <f t="shared" si="22"/>
        <v>1.4E-2</v>
      </c>
      <c r="X470" s="1">
        <f t="shared" si="23"/>
        <v>4.0000000000000001E-3</v>
      </c>
    </row>
    <row r="471" spans="1:24" x14ac:dyDescent="0.25">
      <c r="A471">
        <v>2021</v>
      </c>
      <c r="B471">
        <v>11</v>
      </c>
      <c r="C471" t="s">
        <v>33</v>
      </c>
      <c r="D471" t="str">
        <f>_xlfn.XLOOKUP(C471,'Carrier Name Rename'!A:A,'Carrier Name Rename'!B:B)</f>
        <v>Alaska Airlines Inc.</v>
      </c>
      <c r="E471" t="s">
        <v>23</v>
      </c>
      <c r="F471" t="s">
        <v>24</v>
      </c>
      <c r="G471">
        <v>5317</v>
      </c>
      <c r="H471">
        <v>1019</v>
      </c>
      <c r="I471">
        <v>270.77</v>
      </c>
      <c r="J471">
        <v>17.03</v>
      </c>
      <c r="K471">
        <v>475.82</v>
      </c>
      <c r="L471">
        <v>5.63</v>
      </c>
      <c r="M471">
        <v>249.76</v>
      </c>
      <c r="N471">
        <v>72</v>
      </c>
      <c r="O471">
        <v>14</v>
      </c>
      <c r="P471">
        <v>44662</v>
      </c>
      <c r="Q471">
        <v>14457</v>
      </c>
      <c r="R471">
        <v>851</v>
      </c>
      <c r="S471">
        <v>14315</v>
      </c>
      <c r="T471">
        <v>185</v>
      </c>
      <c r="U471">
        <v>14854</v>
      </c>
      <c r="V471" s="1">
        <f t="shared" si="21"/>
        <v>0.19159999999999999</v>
      </c>
      <c r="W471" s="1">
        <f t="shared" si="22"/>
        <v>1.35E-2</v>
      </c>
      <c r="X471" s="1">
        <f t="shared" si="23"/>
        <v>2.5999999999999999E-3</v>
      </c>
    </row>
    <row r="472" spans="1:24" x14ac:dyDescent="0.25">
      <c r="A472">
        <v>2021</v>
      </c>
      <c r="B472">
        <v>11</v>
      </c>
      <c r="C472" t="s">
        <v>35</v>
      </c>
      <c r="D472" t="str">
        <f>_xlfn.XLOOKUP(C472,'Carrier Name Rename'!A:A,'Carrier Name Rename'!B:B)</f>
        <v>JetBlue Airways</v>
      </c>
      <c r="E472" t="s">
        <v>23</v>
      </c>
      <c r="F472" t="s">
        <v>24</v>
      </c>
      <c r="G472">
        <v>73</v>
      </c>
      <c r="H472">
        <v>15</v>
      </c>
      <c r="I472">
        <v>8.32</v>
      </c>
      <c r="J472">
        <v>0</v>
      </c>
      <c r="K472">
        <v>6.68</v>
      </c>
      <c r="L472">
        <v>0</v>
      </c>
      <c r="M472">
        <v>0</v>
      </c>
      <c r="N472">
        <v>0</v>
      </c>
      <c r="O472">
        <v>0</v>
      </c>
      <c r="P472">
        <v>677</v>
      </c>
      <c r="Q472">
        <v>516</v>
      </c>
      <c r="R472">
        <v>0</v>
      </c>
      <c r="S472">
        <v>161</v>
      </c>
      <c r="T472">
        <v>0</v>
      </c>
      <c r="U472">
        <v>0</v>
      </c>
      <c r="V472" s="1">
        <f t="shared" si="21"/>
        <v>0.20549999999999999</v>
      </c>
      <c r="W472" s="1">
        <f t="shared" si="22"/>
        <v>0</v>
      </c>
      <c r="X472" s="1">
        <f t="shared" si="23"/>
        <v>0</v>
      </c>
    </row>
    <row r="473" spans="1:24" x14ac:dyDescent="0.25">
      <c r="A473">
        <v>2021</v>
      </c>
      <c r="B473">
        <v>11</v>
      </c>
      <c r="C473" t="s">
        <v>37</v>
      </c>
      <c r="D473" t="str">
        <f>_xlfn.XLOOKUP(C473,'Carrier Name Rename'!A:A,'Carrier Name Rename'!B:B)</f>
        <v>Delta Air Lines Inc.</v>
      </c>
      <c r="E473" t="s">
        <v>23</v>
      </c>
      <c r="F473" t="s">
        <v>24</v>
      </c>
      <c r="G473">
        <v>2323</v>
      </c>
      <c r="H473">
        <v>272</v>
      </c>
      <c r="I473">
        <v>126.04</v>
      </c>
      <c r="J473">
        <v>3.7</v>
      </c>
      <c r="K473">
        <v>85.76</v>
      </c>
      <c r="L473">
        <v>3</v>
      </c>
      <c r="M473">
        <v>53.5</v>
      </c>
      <c r="N473">
        <v>0</v>
      </c>
      <c r="O473">
        <v>3</v>
      </c>
      <c r="P473">
        <v>18725</v>
      </c>
      <c r="Q473">
        <v>12763</v>
      </c>
      <c r="R473">
        <v>346</v>
      </c>
      <c r="S473">
        <v>2174</v>
      </c>
      <c r="T473">
        <v>127</v>
      </c>
      <c r="U473">
        <v>3315</v>
      </c>
      <c r="V473" s="1">
        <f t="shared" si="21"/>
        <v>0.1171</v>
      </c>
      <c r="W473" s="1">
        <f t="shared" si="22"/>
        <v>0</v>
      </c>
      <c r="X473" s="1">
        <f t="shared" si="23"/>
        <v>1.2999999999999999E-3</v>
      </c>
    </row>
    <row r="474" spans="1:24" x14ac:dyDescent="0.25">
      <c r="A474">
        <v>2021</v>
      </c>
      <c r="B474">
        <v>11</v>
      </c>
      <c r="C474" t="s">
        <v>39</v>
      </c>
      <c r="D474" t="str">
        <f>_xlfn.XLOOKUP(C474,'Carrier Name Rename'!A:A,'Carrier Name Rename'!B:B)</f>
        <v>Frontier Airlines Inc.</v>
      </c>
      <c r="E474" t="s">
        <v>23</v>
      </c>
      <c r="F474" t="s">
        <v>24</v>
      </c>
      <c r="G474">
        <v>39</v>
      </c>
      <c r="H474">
        <v>4</v>
      </c>
      <c r="I474">
        <v>0.96</v>
      </c>
      <c r="J474">
        <v>0</v>
      </c>
      <c r="K474">
        <v>2.2000000000000002</v>
      </c>
      <c r="L474">
        <v>0</v>
      </c>
      <c r="M474">
        <v>0.84</v>
      </c>
      <c r="N474">
        <v>0</v>
      </c>
      <c r="O474">
        <v>0</v>
      </c>
      <c r="P474">
        <v>227</v>
      </c>
      <c r="Q474">
        <v>21</v>
      </c>
      <c r="R474">
        <v>0</v>
      </c>
      <c r="S474">
        <v>78</v>
      </c>
      <c r="T474">
        <v>0</v>
      </c>
      <c r="U474">
        <v>128</v>
      </c>
      <c r="V474" s="1">
        <f t="shared" si="21"/>
        <v>0.1026</v>
      </c>
      <c r="W474" s="1">
        <f t="shared" si="22"/>
        <v>0</v>
      </c>
      <c r="X474" s="1">
        <f t="shared" si="23"/>
        <v>0</v>
      </c>
    </row>
    <row r="475" spans="1:24" x14ac:dyDescent="0.25">
      <c r="A475">
        <v>2021</v>
      </c>
      <c r="B475">
        <v>11</v>
      </c>
      <c r="C475" t="s">
        <v>21</v>
      </c>
      <c r="D475" t="str">
        <f>_xlfn.XLOOKUP(C475,'Carrier Name Rename'!A:A,'Carrier Name Rename'!B:B)</f>
        <v>Hawaiian Airlines Inc.</v>
      </c>
      <c r="E475" t="s">
        <v>23</v>
      </c>
      <c r="F475" t="s">
        <v>24</v>
      </c>
      <c r="G475">
        <v>66</v>
      </c>
      <c r="H475">
        <v>3</v>
      </c>
      <c r="I475">
        <v>2.91</v>
      </c>
      <c r="J475">
        <v>0</v>
      </c>
      <c r="K475">
        <v>0</v>
      </c>
      <c r="L475">
        <v>0</v>
      </c>
      <c r="M475">
        <v>0.09</v>
      </c>
      <c r="N475">
        <v>0</v>
      </c>
      <c r="O475">
        <v>1</v>
      </c>
      <c r="P475">
        <v>94</v>
      </c>
      <c r="Q475">
        <v>89</v>
      </c>
      <c r="R475">
        <v>0</v>
      </c>
      <c r="S475">
        <v>0</v>
      </c>
      <c r="T475">
        <v>0</v>
      </c>
      <c r="U475">
        <v>5</v>
      </c>
      <c r="V475" s="1">
        <f t="shared" si="21"/>
        <v>4.5499999999999999E-2</v>
      </c>
      <c r="W475" s="1">
        <f t="shared" si="22"/>
        <v>0</v>
      </c>
      <c r="X475" s="1">
        <f t="shared" si="23"/>
        <v>1.52E-2</v>
      </c>
    </row>
    <row r="476" spans="1:24" x14ac:dyDescent="0.25">
      <c r="A476">
        <v>2021</v>
      </c>
      <c r="B476">
        <v>11</v>
      </c>
      <c r="C476" t="s">
        <v>25</v>
      </c>
      <c r="D476" t="str">
        <f>_xlfn.XLOOKUP(C476,'Carrier Name Rename'!A:A,'Carrier Name Rename'!B:B)</f>
        <v>Spirit Airlines</v>
      </c>
      <c r="E476" t="s">
        <v>23</v>
      </c>
      <c r="F476" t="s">
        <v>24</v>
      </c>
      <c r="G476">
        <v>60</v>
      </c>
      <c r="H476">
        <v>10</v>
      </c>
      <c r="I476">
        <v>5.26</v>
      </c>
      <c r="J476">
        <v>0</v>
      </c>
      <c r="K476">
        <v>2.73</v>
      </c>
      <c r="L476">
        <v>0.06</v>
      </c>
      <c r="M476">
        <v>1.95</v>
      </c>
      <c r="N476">
        <v>0</v>
      </c>
      <c r="O476">
        <v>0</v>
      </c>
      <c r="P476">
        <v>721</v>
      </c>
      <c r="Q476">
        <v>309</v>
      </c>
      <c r="R476">
        <v>0</v>
      </c>
      <c r="S476">
        <v>103</v>
      </c>
      <c r="T476">
        <v>7</v>
      </c>
      <c r="U476">
        <v>302</v>
      </c>
      <c r="V476" s="1">
        <f t="shared" si="21"/>
        <v>0.16669999999999999</v>
      </c>
      <c r="W476" s="1">
        <f t="shared" si="22"/>
        <v>0</v>
      </c>
      <c r="X476" s="1">
        <f t="shared" si="23"/>
        <v>0</v>
      </c>
    </row>
    <row r="477" spans="1:24" x14ac:dyDescent="0.25">
      <c r="A477">
        <v>2021</v>
      </c>
      <c r="B477">
        <v>11</v>
      </c>
      <c r="C477" t="s">
        <v>27</v>
      </c>
      <c r="D477" t="str">
        <f>_xlfn.XLOOKUP(C477,'Carrier Name Rename'!A:A,'Carrier Name Rename'!B:B)</f>
        <v>SkyWest Airlines Inc.</v>
      </c>
      <c r="E477" t="s">
        <v>23</v>
      </c>
      <c r="F477" t="s">
        <v>24</v>
      </c>
      <c r="G477">
        <v>1565</v>
      </c>
      <c r="H477">
        <v>146</v>
      </c>
      <c r="I477">
        <v>106</v>
      </c>
      <c r="J477">
        <v>24</v>
      </c>
      <c r="K477">
        <v>3</v>
      </c>
      <c r="L477">
        <v>0</v>
      </c>
      <c r="M477">
        <v>13</v>
      </c>
      <c r="N477">
        <v>3</v>
      </c>
      <c r="O477">
        <v>3</v>
      </c>
      <c r="P477">
        <v>8021</v>
      </c>
      <c r="Q477">
        <v>5808</v>
      </c>
      <c r="R477">
        <v>1265</v>
      </c>
      <c r="S477">
        <v>87</v>
      </c>
      <c r="T477">
        <v>0</v>
      </c>
      <c r="U477">
        <v>861</v>
      </c>
      <c r="V477" s="1">
        <f t="shared" si="21"/>
        <v>9.3299999999999994E-2</v>
      </c>
      <c r="W477" s="1">
        <f t="shared" si="22"/>
        <v>1.9E-3</v>
      </c>
      <c r="X477" s="1">
        <f t="shared" si="23"/>
        <v>1.9E-3</v>
      </c>
    </row>
    <row r="478" spans="1:24" x14ac:dyDescent="0.25">
      <c r="A478">
        <v>2021</v>
      </c>
      <c r="B478">
        <v>11</v>
      </c>
      <c r="C478" t="s">
        <v>29</v>
      </c>
      <c r="D478" t="str">
        <f>_xlfn.XLOOKUP(C478,'Carrier Name Rename'!A:A,'Carrier Name Rename'!B:B)</f>
        <v>Horizon Air</v>
      </c>
      <c r="E478" t="s">
        <v>23</v>
      </c>
      <c r="F478" t="s">
        <v>24</v>
      </c>
      <c r="G478">
        <v>2304</v>
      </c>
      <c r="H478">
        <v>244</v>
      </c>
      <c r="I478">
        <v>60.47</v>
      </c>
      <c r="J478">
        <v>9.98</v>
      </c>
      <c r="K478">
        <v>89.68</v>
      </c>
      <c r="L478">
        <v>0</v>
      </c>
      <c r="M478">
        <v>83.87</v>
      </c>
      <c r="N478">
        <v>10</v>
      </c>
      <c r="O478">
        <v>6</v>
      </c>
      <c r="P478">
        <v>12812</v>
      </c>
      <c r="Q478">
        <v>3942</v>
      </c>
      <c r="R478">
        <v>498</v>
      </c>
      <c r="S478">
        <v>2703</v>
      </c>
      <c r="T478">
        <v>0</v>
      </c>
      <c r="U478">
        <v>5669</v>
      </c>
      <c r="V478" s="1">
        <f t="shared" si="21"/>
        <v>0.10589999999999999</v>
      </c>
      <c r="W478" s="1">
        <f t="shared" si="22"/>
        <v>4.3E-3</v>
      </c>
      <c r="X478" s="1">
        <f t="shared" si="23"/>
        <v>2.5999999999999999E-3</v>
      </c>
    </row>
    <row r="479" spans="1:24" x14ac:dyDescent="0.25">
      <c r="A479">
        <v>2021</v>
      </c>
      <c r="B479">
        <v>11</v>
      </c>
      <c r="C479" t="s">
        <v>41</v>
      </c>
      <c r="D479" t="str">
        <f>_xlfn.XLOOKUP(C479,'Carrier Name Rename'!A:A,'Carrier Name Rename'!B:B)</f>
        <v>United Air Lines Inc.</v>
      </c>
      <c r="E479" t="s">
        <v>23</v>
      </c>
      <c r="F479" t="s">
        <v>24</v>
      </c>
      <c r="G479">
        <v>674</v>
      </c>
      <c r="H479">
        <v>87</v>
      </c>
      <c r="I479">
        <v>40.65</v>
      </c>
      <c r="J479">
        <v>0</v>
      </c>
      <c r="K479">
        <v>24.41</v>
      </c>
      <c r="L479">
        <v>0</v>
      </c>
      <c r="M479">
        <v>21.95</v>
      </c>
      <c r="N479">
        <v>1</v>
      </c>
      <c r="O479">
        <v>4</v>
      </c>
      <c r="P479">
        <v>4059</v>
      </c>
      <c r="Q479">
        <v>1675</v>
      </c>
      <c r="R479">
        <v>0</v>
      </c>
      <c r="S479">
        <v>741</v>
      </c>
      <c r="T479">
        <v>0</v>
      </c>
      <c r="U479">
        <v>1643</v>
      </c>
      <c r="V479" s="1">
        <f t="shared" si="21"/>
        <v>0.12909999999999999</v>
      </c>
      <c r="W479" s="1">
        <f t="shared" si="22"/>
        <v>1.5E-3</v>
      </c>
      <c r="X479" s="1">
        <f t="shared" si="23"/>
        <v>5.8999999999999999E-3</v>
      </c>
    </row>
    <row r="480" spans="1:24" x14ac:dyDescent="0.25">
      <c r="A480">
        <v>2021</v>
      </c>
      <c r="B480">
        <v>11</v>
      </c>
      <c r="C480" t="s">
        <v>43</v>
      </c>
      <c r="D480" t="str">
        <f>_xlfn.XLOOKUP(C480,'Carrier Name Rename'!A:A,'Carrier Name Rename'!B:B)</f>
        <v>Southwest Airlines Co.</v>
      </c>
      <c r="E480" t="s">
        <v>23</v>
      </c>
      <c r="F480" t="s">
        <v>24</v>
      </c>
      <c r="G480">
        <v>559</v>
      </c>
      <c r="H480">
        <v>126</v>
      </c>
      <c r="I480">
        <v>60.11</v>
      </c>
      <c r="J480">
        <v>0</v>
      </c>
      <c r="K480">
        <v>16.86</v>
      </c>
      <c r="L480">
        <v>0</v>
      </c>
      <c r="M480">
        <v>49.03</v>
      </c>
      <c r="N480">
        <v>3</v>
      </c>
      <c r="O480">
        <v>1</v>
      </c>
      <c r="P480">
        <v>5042</v>
      </c>
      <c r="Q480">
        <v>2304</v>
      </c>
      <c r="R480">
        <v>0</v>
      </c>
      <c r="S480">
        <v>481</v>
      </c>
      <c r="T480">
        <v>0</v>
      </c>
      <c r="U480">
        <v>2257</v>
      </c>
      <c r="V480" s="1">
        <f t="shared" si="21"/>
        <v>0.22539999999999999</v>
      </c>
      <c r="W480" s="1">
        <f t="shared" si="22"/>
        <v>5.4000000000000003E-3</v>
      </c>
      <c r="X480" s="1">
        <f t="shared" si="23"/>
        <v>1.8E-3</v>
      </c>
    </row>
    <row r="481" spans="1:24" x14ac:dyDescent="0.25">
      <c r="A481">
        <v>2021</v>
      </c>
      <c r="B481">
        <v>10</v>
      </c>
      <c r="C481" t="s">
        <v>29</v>
      </c>
      <c r="D481" t="str">
        <f>_xlfn.XLOOKUP(C481,'Carrier Name Rename'!A:A,'Carrier Name Rename'!B:B)</f>
        <v>Horizon Air</v>
      </c>
      <c r="E481" t="s">
        <v>23</v>
      </c>
      <c r="F481" t="s">
        <v>24</v>
      </c>
      <c r="G481">
        <v>2286</v>
      </c>
      <c r="H481">
        <v>198</v>
      </c>
      <c r="I481">
        <v>51.9</v>
      </c>
      <c r="J481">
        <v>1.33</v>
      </c>
      <c r="K481">
        <v>81.05</v>
      </c>
      <c r="L481">
        <v>0</v>
      </c>
      <c r="M481">
        <v>63.72</v>
      </c>
      <c r="N481">
        <v>8</v>
      </c>
      <c r="O481">
        <v>6</v>
      </c>
      <c r="P481">
        <v>9676</v>
      </c>
      <c r="Q481">
        <v>3049</v>
      </c>
      <c r="R481">
        <v>97</v>
      </c>
      <c r="S481">
        <v>3076</v>
      </c>
      <c r="T481">
        <v>0</v>
      </c>
      <c r="U481">
        <v>3454</v>
      </c>
      <c r="V481" s="1">
        <f t="shared" si="21"/>
        <v>8.6599999999999996E-2</v>
      </c>
      <c r="W481" s="1">
        <f t="shared" si="22"/>
        <v>3.5000000000000001E-3</v>
      </c>
      <c r="X481" s="1">
        <f t="shared" si="23"/>
        <v>2.5999999999999999E-3</v>
      </c>
    </row>
    <row r="482" spans="1:24" x14ac:dyDescent="0.25">
      <c r="A482">
        <v>2021</v>
      </c>
      <c r="B482">
        <v>10</v>
      </c>
      <c r="C482" t="s">
        <v>41</v>
      </c>
      <c r="D482" t="str">
        <f>_xlfn.XLOOKUP(C482,'Carrier Name Rename'!A:A,'Carrier Name Rename'!B:B)</f>
        <v>United Air Lines Inc.</v>
      </c>
      <c r="E482" t="s">
        <v>23</v>
      </c>
      <c r="F482" t="s">
        <v>24</v>
      </c>
      <c r="G482">
        <v>731</v>
      </c>
      <c r="H482">
        <v>88</v>
      </c>
      <c r="I482">
        <v>29.57</v>
      </c>
      <c r="J482">
        <v>3.01</v>
      </c>
      <c r="K482">
        <v>17.45</v>
      </c>
      <c r="L482">
        <v>0</v>
      </c>
      <c r="M482">
        <v>37.96</v>
      </c>
      <c r="N482">
        <v>2</v>
      </c>
      <c r="O482">
        <v>1</v>
      </c>
      <c r="P482">
        <v>4972</v>
      </c>
      <c r="Q482">
        <v>1213</v>
      </c>
      <c r="R482">
        <v>242</v>
      </c>
      <c r="S482">
        <v>896</v>
      </c>
      <c r="T482">
        <v>0</v>
      </c>
      <c r="U482">
        <v>2621</v>
      </c>
      <c r="V482" s="1">
        <f t="shared" si="21"/>
        <v>0.12039999999999999</v>
      </c>
      <c r="W482" s="1">
        <f t="shared" si="22"/>
        <v>2.7000000000000001E-3</v>
      </c>
      <c r="X482" s="1">
        <f t="shared" si="23"/>
        <v>1.4E-3</v>
      </c>
    </row>
    <row r="483" spans="1:24" x14ac:dyDescent="0.25">
      <c r="A483">
        <v>2021</v>
      </c>
      <c r="B483">
        <v>10</v>
      </c>
      <c r="C483" t="s">
        <v>43</v>
      </c>
      <c r="D483" t="str">
        <f>_xlfn.XLOOKUP(C483,'Carrier Name Rename'!A:A,'Carrier Name Rename'!B:B)</f>
        <v>Southwest Airlines Co.</v>
      </c>
      <c r="E483" t="s">
        <v>23</v>
      </c>
      <c r="F483" t="s">
        <v>24</v>
      </c>
      <c r="G483">
        <v>887</v>
      </c>
      <c r="H483">
        <v>228</v>
      </c>
      <c r="I483">
        <v>101.48</v>
      </c>
      <c r="J483">
        <v>0.28000000000000003</v>
      </c>
      <c r="K483">
        <v>24.05</v>
      </c>
      <c r="L483">
        <v>0</v>
      </c>
      <c r="M483">
        <v>102.19</v>
      </c>
      <c r="N483">
        <v>32</v>
      </c>
      <c r="O483">
        <v>1</v>
      </c>
      <c r="P483">
        <v>11361</v>
      </c>
      <c r="Q483">
        <v>4869</v>
      </c>
      <c r="R483">
        <v>5</v>
      </c>
      <c r="S483">
        <v>868</v>
      </c>
      <c r="T483">
        <v>0</v>
      </c>
      <c r="U483">
        <v>5619</v>
      </c>
      <c r="V483" s="1">
        <f t="shared" si="21"/>
        <v>0.25700000000000001</v>
      </c>
      <c r="W483" s="1">
        <f t="shared" si="22"/>
        <v>3.61E-2</v>
      </c>
      <c r="X483" s="1">
        <f t="shared" si="23"/>
        <v>1.1000000000000001E-3</v>
      </c>
    </row>
    <row r="484" spans="1:24" x14ac:dyDescent="0.25">
      <c r="A484">
        <v>2021</v>
      </c>
      <c r="B484">
        <v>10</v>
      </c>
      <c r="C484" t="s">
        <v>31</v>
      </c>
      <c r="D484" t="str">
        <f>_xlfn.XLOOKUP(C484,'Carrier Name Rename'!A:A,'Carrier Name Rename'!B:B)</f>
        <v>American Airlines Inc.</v>
      </c>
      <c r="E484" t="s">
        <v>23</v>
      </c>
      <c r="F484" t="s">
        <v>24</v>
      </c>
      <c r="G484">
        <v>602</v>
      </c>
      <c r="H484">
        <v>142</v>
      </c>
      <c r="I484">
        <v>63.6</v>
      </c>
      <c r="J484">
        <v>0.52</v>
      </c>
      <c r="K484">
        <v>37.42</v>
      </c>
      <c r="L484">
        <v>0.38</v>
      </c>
      <c r="M484">
        <v>40.08</v>
      </c>
      <c r="N484">
        <v>26</v>
      </c>
      <c r="O484">
        <v>2</v>
      </c>
      <c r="P484">
        <v>9268</v>
      </c>
      <c r="Q484">
        <v>4701</v>
      </c>
      <c r="R484">
        <v>28</v>
      </c>
      <c r="S484">
        <v>1422</v>
      </c>
      <c r="T484">
        <v>6</v>
      </c>
      <c r="U484">
        <v>3111</v>
      </c>
      <c r="V484" s="1">
        <f t="shared" si="21"/>
        <v>0.2359</v>
      </c>
      <c r="W484" s="1">
        <f t="shared" si="22"/>
        <v>4.3200000000000002E-2</v>
      </c>
      <c r="X484" s="1">
        <f t="shared" si="23"/>
        <v>3.3E-3</v>
      </c>
    </row>
    <row r="485" spans="1:24" x14ac:dyDescent="0.25">
      <c r="A485">
        <v>2021</v>
      </c>
      <c r="B485">
        <v>10</v>
      </c>
      <c r="C485" t="s">
        <v>33</v>
      </c>
      <c r="D485" t="str">
        <f>_xlfn.XLOOKUP(C485,'Carrier Name Rename'!A:A,'Carrier Name Rename'!B:B)</f>
        <v>Alaska Airlines Inc.</v>
      </c>
      <c r="E485" t="s">
        <v>23</v>
      </c>
      <c r="F485" t="s">
        <v>24</v>
      </c>
      <c r="G485">
        <v>5953</v>
      </c>
      <c r="H485">
        <v>950</v>
      </c>
      <c r="I485">
        <v>253.25</v>
      </c>
      <c r="J485">
        <v>15.63</v>
      </c>
      <c r="K485">
        <v>428.36</v>
      </c>
      <c r="L485">
        <v>3.16</v>
      </c>
      <c r="M485">
        <v>249.6</v>
      </c>
      <c r="N485">
        <v>60</v>
      </c>
      <c r="O485">
        <v>8</v>
      </c>
      <c r="P485">
        <v>43942</v>
      </c>
      <c r="Q485">
        <v>14322</v>
      </c>
      <c r="R485">
        <v>840</v>
      </c>
      <c r="S485">
        <v>13355</v>
      </c>
      <c r="T485">
        <v>96</v>
      </c>
      <c r="U485">
        <v>15329</v>
      </c>
      <c r="V485" s="1">
        <f t="shared" si="21"/>
        <v>0.15959999999999999</v>
      </c>
      <c r="W485" s="1">
        <f t="shared" si="22"/>
        <v>1.01E-2</v>
      </c>
      <c r="X485" s="1">
        <f t="shared" si="23"/>
        <v>1.2999999999999999E-3</v>
      </c>
    </row>
    <row r="486" spans="1:24" x14ac:dyDescent="0.25">
      <c r="A486">
        <v>2021</v>
      </c>
      <c r="B486">
        <v>10</v>
      </c>
      <c r="C486" t="s">
        <v>35</v>
      </c>
      <c r="D486" t="str">
        <f>_xlfn.XLOOKUP(C486,'Carrier Name Rename'!A:A,'Carrier Name Rename'!B:B)</f>
        <v>JetBlue Airways</v>
      </c>
      <c r="E486" t="s">
        <v>23</v>
      </c>
      <c r="F486" t="s">
        <v>24</v>
      </c>
      <c r="G486">
        <v>77</v>
      </c>
      <c r="H486">
        <v>11</v>
      </c>
      <c r="I486">
        <v>5.75</v>
      </c>
      <c r="J486">
        <v>1</v>
      </c>
      <c r="K486">
        <v>3</v>
      </c>
      <c r="L486">
        <v>0</v>
      </c>
      <c r="M486">
        <v>1.25</v>
      </c>
      <c r="N486">
        <v>0</v>
      </c>
      <c r="O486">
        <v>0</v>
      </c>
      <c r="P486">
        <v>928</v>
      </c>
      <c r="Q486">
        <v>541</v>
      </c>
      <c r="R486">
        <v>193</v>
      </c>
      <c r="S486">
        <v>143</v>
      </c>
      <c r="T486">
        <v>0</v>
      </c>
      <c r="U486">
        <v>51</v>
      </c>
      <c r="V486" s="1">
        <f t="shared" si="21"/>
        <v>0.1429</v>
      </c>
      <c r="W486" s="1">
        <f t="shared" si="22"/>
        <v>0</v>
      </c>
      <c r="X486" s="1">
        <f t="shared" si="23"/>
        <v>0</v>
      </c>
    </row>
    <row r="487" spans="1:24" x14ac:dyDescent="0.25">
      <c r="A487">
        <v>2021</v>
      </c>
      <c r="B487">
        <v>10</v>
      </c>
      <c r="C487" t="s">
        <v>37</v>
      </c>
      <c r="D487" t="str">
        <f>_xlfn.XLOOKUP(C487,'Carrier Name Rename'!A:A,'Carrier Name Rename'!B:B)</f>
        <v>Delta Air Lines Inc.</v>
      </c>
      <c r="E487" t="s">
        <v>23</v>
      </c>
      <c r="F487" t="s">
        <v>24</v>
      </c>
      <c r="G487">
        <v>2510</v>
      </c>
      <c r="H487">
        <v>247</v>
      </c>
      <c r="I487">
        <v>100.72</v>
      </c>
      <c r="J487">
        <v>2.92</v>
      </c>
      <c r="K487">
        <v>94.71</v>
      </c>
      <c r="L487">
        <v>0</v>
      </c>
      <c r="M487">
        <v>48.65</v>
      </c>
      <c r="N487">
        <v>1</v>
      </c>
      <c r="O487">
        <v>6</v>
      </c>
      <c r="P487">
        <v>15140</v>
      </c>
      <c r="Q487">
        <v>8609</v>
      </c>
      <c r="R487">
        <v>94</v>
      </c>
      <c r="S487">
        <v>2747</v>
      </c>
      <c r="T487">
        <v>0</v>
      </c>
      <c r="U487">
        <v>3690</v>
      </c>
      <c r="V487" s="1">
        <f t="shared" si="21"/>
        <v>9.8400000000000001E-2</v>
      </c>
      <c r="W487" s="1">
        <f t="shared" si="22"/>
        <v>4.0000000000000002E-4</v>
      </c>
      <c r="X487" s="1">
        <f t="shared" si="23"/>
        <v>2.3999999999999998E-3</v>
      </c>
    </row>
    <row r="488" spans="1:24" x14ac:dyDescent="0.25">
      <c r="A488">
        <v>2021</v>
      </c>
      <c r="B488">
        <v>10</v>
      </c>
      <c r="C488" t="s">
        <v>39</v>
      </c>
      <c r="D488" t="str">
        <f>_xlfn.XLOOKUP(C488,'Carrier Name Rename'!A:A,'Carrier Name Rename'!B:B)</f>
        <v>Frontier Airlines Inc.</v>
      </c>
      <c r="E488" t="s">
        <v>23</v>
      </c>
      <c r="F488" t="s">
        <v>24</v>
      </c>
      <c r="G488">
        <v>65</v>
      </c>
      <c r="H488">
        <v>12</v>
      </c>
      <c r="I488">
        <v>7.29</v>
      </c>
      <c r="J488">
        <v>0</v>
      </c>
      <c r="K488">
        <v>2.85</v>
      </c>
      <c r="L488">
        <v>0</v>
      </c>
      <c r="M488">
        <v>1.86</v>
      </c>
      <c r="N488">
        <v>0</v>
      </c>
      <c r="O488">
        <v>0</v>
      </c>
      <c r="P488">
        <v>447</v>
      </c>
      <c r="Q488">
        <v>186</v>
      </c>
      <c r="R488">
        <v>0</v>
      </c>
      <c r="S488">
        <v>78</v>
      </c>
      <c r="T488">
        <v>0</v>
      </c>
      <c r="U488">
        <v>183</v>
      </c>
      <c r="V488" s="1">
        <f t="shared" si="21"/>
        <v>0.18459999999999999</v>
      </c>
      <c r="W488" s="1">
        <f t="shared" si="22"/>
        <v>0</v>
      </c>
      <c r="X488" s="1">
        <f t="shared" si="23"/>
        <v>0</v>
      </c>
    </row>
    <row r="489" spans="1:24" x14ac:dyDescent="0.25">
      <c r="A489">
        <v>2021</v>
      </c>
      <c r="B489">
        <v>10</v>
      </c>
      <c r="C489" t="s">
        <v>21</v>
      </c>
      <c r="D489" t="str">
        <f>_xlfn.XLOOKUP(C489,'Carrier Name Rename'!A:A,'Carrier Name Rename'!B:B)</f>
        <v>Hawaiian Airlines Inc.</v>
      </c>
      <c r="E489" t="s">
        <v>23</v>
      </c>
      <c r="F489" t="s">
        <v>24</v>
      </c>
      <c r="G489">
        <v>62</v>
      </c>
      <c r="H489">
        <v>13</v>
      </c>
      <c r="I489">
        <v>9.91</v>
      </c>
      <c r="J489">
        <v>0</v>
      </c>
      <c r="K489">
        <v>0</v>
      </c>
      <c r="L489">
        <v>0</v>
      </c>
      <c r="M489">
        <v>3.09</v>
      </c>
      <c r="N489">
        <v>0</v>
      </c>
      <c r="O489">
        <v>0</v>
      </c>
      <c r="P489">
        <v>480</v>
      </c>
      <c r="Q489">
        <v>241</v>
      </c>
      <c r="R489">
        <v>0</v>
      </c>
      <c r="S489">
        <v>0</v>
      </c>
      <c r="T489">
        <v>0</v>
      </c>
      <c r="U489">
        <v>239</v>
      </c>
      <c r="V489" s="1">
        <f t="shared" si="21"/>
        <v>0.2097</v>
      </c>
      <c r="W489" s="1">
        <f t="shared" si="22"/>
        <v>0</v>
      </c>
      <c r="X489" s="1">
        <f t="shared" si="23"/>
        <v>0</v>
      </c>
    </row>
    <row r="490" spans="1:24" x14ac:dyDescent="0.25">
      <c r="A490">
        <v>2021</v>
      </c>
      <c r="B490">
        <v>10</v>
      </c>
      <c r="C490" t="s">
        <v>25</v>
      </c>
      <c r="D490" t="str">
        <f>_xlfn.XLOOKUP(C490,'Carrier Name Rename'!A:A,'Carrier Name Rename'!B:B)</f>
        <v>Spirit Airlines</v>
      </c>
      <c r="E490" t="s">
        <v>23</v>
      </c>
      <c r="F490" t="s">
        <v>24</v>
      </c>
      <c r="G490">
        <v>65</v>
      </c>
      <c r="H490">
        <v>10</v>
      </c>
      <c r="I490">
        <v>3.35</v>
      </c>
      <c r="J490">
        <v>0</v>
      </c>
      <c r="K490">
        <v>4.8899999999999997</v>
      </c>
      <c r="L490">
        <v>0</v>
      </c>
      <c r="M490">
        <v>1.76</v>
      </c>
      <c r="N490">
        <v>1</v>
      </c>
      <c r="O490">
        <v>0</v>
      </c>
      <c r="P490">
        <v>293</v>
      </c>
      <c r="Q490">
        <v>128</v>
      </c>
      <c r="R490">
        <v>0</v>
      </c>
      <c r="S490">
        <v>113</v>
      </c>
      <c r="T490">
        <v>0</v>
      </c>
      <c r="U490">
        <v>52</v>
      </c>
      <c r="V490" s="1">
        <f t="shared" si="21"/>
        <v>0.15379999999999999</v>
      </c>
      <c r="W490" s="1">
        <f t="shared" si="22"/>
        <v>1.54E-2</v>
      </c>
      <c r="X490" s="1">
        <f t="shared" si="23"/>
        <v>0</v>
      </c>
    </row>
    <row r="491" spans="1:24" x14ac:dyDescent="0.25">
      <c r="A491">
        <v>2021</v>
      </c>
      <c r="B491">
        <v>10</v>
      </c>
      <c r="C491" t="s">
        <v>27</v>
      </c>
      <c r="D491" t="str">
        <f>_xlfn.XLOOKUP(C491,'Carrier Name Rename'!A:A,'Carrier Name Rename'!B:B)</f>
        <v>SkyWest Airlines Inc.</v>
      </c>
      <c r="E491" t="s">
        <v>23</v>
      </c>
      <c r="F491" t="s">
        <v>24</v>
      </c>
      <c r="G491">
        <v>1834</v>
      </c>
      <c r="H491">
        <v>187</v>
      </c>
      <c r="I491">
        <v>114</v>
      </c>
      <c r="J491">
        <v>36</v>
      </c>
      <c r="K491">
        <v>6</v>
      </c>
      <c r="L491">
        <v>2</v>
      </c>
      <c r="M491">
        <v>29</v>
      </c>
      <c r="N491">
        <v>43</v>
      </c>
      <c r="O491">
        <v>6</v>
      </c>
      <c r="P491">
        <v>14140</v>
      </c>
      <c r="Q491">
        <v>8603</v>
      </c>
      <c r="R491">
        <v>2666</v>
      </c>
      <c r="S491">
        <v>617</v>
      </c>
      <c r="T491">
        <v>203</v>
      </c>
      <c r="U491">
        <v>2051</v>
      </c>
      <c r="V491" s="1">
        <f t="shared" si="21"/>
        <v>0.10199999999999999</v>
      </c>
      <c r="W491" s="1">
        <f t="shared" si="22"/>
        <v>2.3400000000000001E-2</v>
      </c>
      <c r="X491" s="1">
        <f t="shared" si="23"/>
        <v>3.3E-3</v>
      </c>
    </row>
    <row r="492" spans="1:24" x14ac:dyDescent="0.25">
      <c r="A492">
        <v>2021</v>
      </c>
      <c r="B492">
        <v>9</v>
      </c>
      <c r="C492" t="s">
        <v>31</v>
      </c>
      <c r="D492" t="str">
        <f>_xlfn.XLOOKUP(C492,'Carrier Name Rename'!A:A,'Carrier Name Rename'!B:B)</f>
        <v>American Airlines Inc.</v>
      </c>
      <c r="E492" t="s">
        <v>23</v>
      </c>
      <c r="F492" t="s">
        <v>24</v>
      </c>
      <c r="G492">
        <v>540</v>
      </c>
      <c r="H492">
        <v>98</v>
      </c>
      <c r="I492">
        <v>38.99</v>
      </c>
      <c r="J492">
        <v>3.68</v>
      </c>
      <c r="K492">
        <v>32.89</v>
      </c>
      <c r="L492">
        <v>0</v>
      </c>
      <c r="M492">
        <v>22.44</v>
      </c>
      <c r="N492">
        <v>2</v>
      </c>
      <c r="O492">
        <v>2</v>
      </c>
      <c r="P492">
        <v>6118</v>
      </c>
      <c r="Q492">
        <v>3222</v>
      </c>
      <c r="R492">
        <v>328</v>
      </c>
      <c r="S492">
        <v>1124</v>
      </c>
      <c r="T492">
        <v>0</v>
      </c>
      <c r="U492">
        <v>1444</v>
      </c>
      <c r="V492" s="1">
        <f t="shared" si="21"/>
        <v>0.18149999999999999</v>
      </c>
      <c r="W492" s="1">
        <f t="shared" si="22"/>
        <v>3.7000000000000002E-3</v>
      </c>
      <c r="X492" s="1">
        <f t="shared" si="23"/>
        <v>3.7000000000000002E-3</v>
      </c>
    </row>
    <row r="493" spans="1:24" x14ac:dyDescent="0.25">
      <c r="A493">
        <v>2021</v>
      </c>
      <c r="B493">
        <v>9</v>
      </c>
      <c r="C493" t="s">
        <v>33</v>
      </c>
      <c r="D493" t="str">
        <f>_xlfn.XLOOKUP(C493,'Carrier Name Rename'!A:A,'Carrier Name Rename'!B:B)</f>
        <v>Alaska Airlines Inc.</v>
      </c>
      <c r="E493" t="s">
        <v>23</v>
      </c>
      <c r="F493" t="s">
        <v>24</v>
      </c>
      <c r="G493">
        <v>5911</v>
      </c>
      <c r="H493">
        <v>783</v>
      </c>
      <c r="I493">
        <v>182.69</v>
      </c>
      <c r="J493">
        <v>11.86</v>
      </c>
      <c r="K493">
        <v>358.95</v>
      </c>
      <c r="L493">
        <v>4.1100000000000003</v>
      </c>
      <c r="M493">
        <v>225.39</v>
      </c>
      <c r="N493">
        <v>39</v>
      </c>
      <c r="O493">
        <v>5</v>
      </c>
      <c r="P493">
        <v>37880</v>
      </c>
      <c r="Q493">
        <v>12638</v>
      </c>
      <c r="R493">
        <v>725</v>
      </c>
      <c r="S493">
        <v>11079</v>
      </c>
      <c r="T493">
        <v>141</v>
      </c>
      <c r="U493">
        <v>13297</v>
      </c>
      <c r="V493" s="1">
        <f t="shared" si="21"/>
        <v>0.13250000000000001</v>
      </c>
      <c r="W493" s="1">
        <f t="shared" si="22"/>
        <v>6.6E-3</v>
      </c>
      <c r="X493" s="1">
        <f t="shared" si="23"/>
        <v>8.0000000000000004E-4</v>
      </c>
    </row>
    <row r="494" spans="1:24" x14ac:dyDescent="0.25">
      <c r="A494">
        <v>2021</v>
      </c>
      <c r="B494">
        <v>9</v>
      </c>
      <c r="C494" t="s">
        <v>35</v>
      </c>
      <c r="D494" t="str">
        <f>_xlfn.XLOOKUP(C494,'Carrier Name Rename'!A:A,'Carrier Name Rename'!B:B)</f>
        <v>JetBlue Airways</v>
      </c>
      <c r="E494" t="s">
        <v>23</v>
      </c>
      <c r="F494" t="s">
        <v>24</v>
      </c>
      <c r="G494">
        <v>101</v>
      </c>
      <c r="H494">
        <v>24</v>
      </c>
      <c r="I494">
        <v>11.09</v>
      </c>
      <c r="J494">
        <v>1.08</v>
      </c>
      <c r="K494">
        <v>8.5399999999999991</v>
      </c>
      <c r="L494">
        <v>0</v>
      </c>
      <c r="M494">
        <v>3.29</v>
      </c>
      <c r="N494">
        <v>4</v>
      </c>
      <c r="O494">
        <v>0</v>
      </c>
      <c r="P494">
        <v>1921</v>
      </c>
      <c r="Q494">
        <v>913</v>
      </c>
      <c r="R494">
        <v>312</v>
      </c>
      <c r="S494">
        <v>433</v>
      </c>
      <c r="T494">
        <v>0</v>
      </c>
      <c r="U494">
        <v>263</v>
      </c>
      <c r="V494" s="1">
        <f t="shared" si="21"/>
        <v>0.23760000000000001</v>
      </c>
      <c r="W494" s="1">
        <f t="shared" si="22"/>
        <v>3.9600000000000003E-2</v>
      </c>
      <c r="X494" s="1">
        <f t="shared" si="23"/>
        <v>0</v>
      </c>
    </row>
    <row r="495" spans="1:24" x14ac:dyDescent="0.25">
      <c r="A495">
        <v>2021</v>
      </c>
      <c r="B495">
        <v>9</v>
      </c>
      <c r="C495" t="s">
        <v>37</v>
      </c>
      <c r="D495" t="str">
        <f>_xlfn.XLOOKUP(C495,'Carrier Name Rename'!A:A,'Carrier Name Rename'!B:B)</f>
        <v>Delta Air Lines Inc.</v>
      </c>
      <c r="E495" t="s">
        <v>23</v>
      </c>
      <c r="F495" t="s">
        <v>24</v>
      </c>
      <c r="G495">
        <v>2445</v>
      </c>
      <c r="H495">
        <v>265</v>
      </c>
      <c r="I495">
        <v>118.28</v>
      </c>
      <c r="J495">
        <v>3.13</v>
      </c>
      <c r="K495">
        <v>105.38</v>
      </c>
      <c r="L495">
        <v>2</v>
      </c>
      <c r="M495">
        <v>36.200000000000003</v>
      </c>
      <c r="N495">
        <v>1</v>
      </c>
      <c r="O495">
        <v>4</v>
      </c>
      <c r="P495">
        <v>16631</v>
      </c>
      <c r="Q495">
        <v>10439</v>
      </c>
      <c r="R495">
        <v>208</v>
      </c>
      <c r="S495">
        <v>3126</v>
      </c>
      <c r="T495">
        <v>78</v>
      </c>
      <c r="U495">
        <v>2780</v>
      </c>
      <c r="V495" s="1">
        <f t="shared" si="21"/>
        <v>0.1084</v>
      </c>
      <c r="W495" s="1">
        <f t="shared" si="22"/>
        <v>4.0000000000000002E-4</v>
      </c>
      <c r="X495" s="1">
        <f t="shared" si="23"/>
        <v>1.6000000000000001E-3</v>
      </c>
    </row>
    <row r="496" spans="1:24" x14ac:dyDescent="0.25">
      <c r="A496">
        <v>2021</v>
      </c>
      <c r="B496">
        <v>9</v>
      </c>
      <c r="C496" t="s">
        <v>39</v>
      </c>
      <c r="D496" t="str">
        <f>_xlfn.XLOOKUP(C496,'Carrier Name Rename'!A:A,'Carrier Name Rename'!B:B)</f>
        <v>Frontier Airlines Inc.</v>
      </c>
      <c r="E496" t="s">
        <v>23</v>
      </c>
      <c r="F496" t="s">
        <v>24</v>
      </c>
      <c r="G496">
        <v>65</v>
      </c>
      <c r="H496">
        <v>14</v>
      </c>
      <c r="I496">
        <v>6.16</v>
      </c>
      <c r="J496">
        <v>0.38</v>
      </c>
      <c r="K496">
        <v>5.0999999999999996</v>
      </c>
      <c r="L496">
        <v>0</v>
      </c>
      <c r="M496">
        <v>2.36</v>
      </c>
      <c r="N496">
        <v>0</v>
      </c>
      <c r="O496">
        <v>0</v>
      </c>
      <c r="P496">
        <v>520</v>
      </c>
      <c r="Q496">
        <v>241</v>
      </c>
      <c r="R496">
        <v>6</v>
      </c>
      <c r="S496">
        <v>145</v>
      </c>
      <c r="T496">
        <v>0</v>
      </c>
      <c r="U496">
        <v>128</v>
      </c>
      <c r="V496" s="1">
        <f t="shared" si="21"/>
        <v>0.21540000000000001</v>
      </c>
      <c r="W496" s="1">
        <f t="shared" si="22"/>
        <v>0</v>
      </c>
      <c r="X496" s="1">
        <f t="shared" si="23"/>
        <v>0</v>
      </c>
    </row>
    <row r="497" spans="1:24" x14ac:dyDescent="0.25">
      <c r="A497">
        <v>2021</v>
      </c>
      <c r="B497">
        <v>9</v>
      </c>
      <c r="C497" t="s">
        <v>21</v>
      </c>
      <c r="D497" t="str">
        <f>_xlfn.XLOOKUP(C497,'Carrier Name Rename'!A:A,'Carrier Name Rename'!B:B)</f>
        <v>Hawaiian Airlines Inc.</v>
      </c>
      <c r="E497" t="s">
        <v>23</v>
      </c>
      <c r="F497" t="s">
        <v>24</v>
      </c>
      <c r="G497">
        <v>60</v>
      </c>
      <c r="H497">
        <v>13</v>
      </c>
      <c r="I497">
        <v>12.42</v>
      </c>
      <c r="J497">
        <v>0</v>
      </c>
      <c r="K497">
        <v>0</v>
      </c>
      <c r="L497">
        <v>0</v>
      </c>
      <c r="M497">
        <v>0.57999999999999996</v>
      </c>
      <c r="N497">
        <v>0</v>
      </c>
      <c r="O497">
        <v>1</v>
      </c>
      <c r="P497">
        <v>389</v>
      </c>
      <c r="Q497">
        <v>368</v>
      </c>
      <c r="R497">
        <v>0</v>
      </c>
      <c r="S497">
        <v>0</v>
      </c>
      <c r="T497">
        <v>0</v>
      </c>
      <c r="U497">
        <v>21</v>
      </c>
      <c r="V497" s="1">
        <f t="shared" si="21"/>
        <v>0.2167</v>
      </c>
      <c r="W497" s="1">
        <f t="shared" si="22"/>
        <v>0</v>
      </c>
      <c r="X497" s="1">
        <f t="shared" si="23"/>
        <v>1.67E-2</v>
      </c>
    </row>
    <row r="498" spans="1:24" x14ac:dyDescent="0.25">
      <c r="A498">
        <v>2021</v>
      </c>
      <c r="B498">
        <v>9</v>
      </c>
      <c r="C498" t="s">
        <v>25</v>
      </c>
      <c r="D498" t="str">
        <f>_xlfn.XLOOKUP(C498,'Carrier Name Rename'!A:A,'Carrier Name Rename'!B:B)</f>
        <v>Spirit Airlines</v>
      </c>
      <c r="E498" t="s">
        <v>23</v>
      </c>
      <c r="F498" t="s">
        <v>24</v>
      </c>
      <c r="G498">
        <v>62</v>
      </c>
      <c r="H498">
        <v>8</v>
      </c>
      <c r="I498">
        <v>2.68</v>
      </c>
      <c r="J498">
        <v>1</v>
      </c>
      <c r="K498">
        <v>2.41</v>
      </c>
      <c r="L498">
        <v>1</v>
      </c>
      <c r="M498">
        <v>0.91</v>
      </c>
      <c r="N498">
        <v>0</v>
      </c>
      <c r="O498">
        <v>0</v>
      </c>
      <c r="P498">
        <v>237</v>
      </c>
      <c r="Q498">
        <v>48</v>
      </c>
      <c r="R498">
        <v>51</v>
      </c>
      <c r="S498">
        <v>53</v>
      </c>
      <c r="T498">
        <v>65</v>
      </c>
      <c r="U498">
        <v>20</v>
      </c>
      <c r="V498" s="1">
        <f t="shared" si="21"/>
        <v>0.129</v>
      </c>
      <c r="W498" s="1">
        <f t="shared" si="22"/>
        <v>0</v>
      </c>
      <c r="X498" s="1">
        <f t="shared" si="23"/>
        <v>0</v>
      </c>
    </row>
    <row r="499" spans="1:24" x14ac:dyDescent="0.25">
      <c r="A499">
        <v>2021</v>
      </c>
      <c r="B499">
        <v>9</v>
      </c>
      <c r="C499" t="s">
        <v>27</v>
      </c>
      <c r="D499" t="str">
        <f>_xlfn.XLOOKUP(C499,'Carrier Name Rename'!A:A,'Carrier Name Rename'!B:B)</f>
        <v>SkyWest Airlines Inc.</v>
      </c>
      <c r="E499" t="s">
        <v>23</v>
      </c>
      <c r="F499" t="s">
        <v>24</v>
      </c>
      <c r="G499">
        <v>1870</v>
      </c>
      <c r="H499">
        <v>146</v>
      </c>
      <c r="I499">
        <v>101</v>
      </c>
      <c r="J499">
        <v>25</v>
      </c>
      <c r="K499">
        <v>9</v>
      </c>
      <c r="L499">
        <v>0</v>
      </c>
      <c r="M499">
        <v>11</v>
      </c>
      <c r="N499">
        <v>0</v>
      </c>
      <c r="O499">
        <v>3</v>
      </c>
      <c r="P499">
        <v>8345</v>
      </c>
      <c r="Q499">
        <v>5690</v>
      </c>
      <c r="R499">
        <v>1029</v>
      </c>
      <c r="S499">
        <v>337</v>
      </c>
      <c r="T499">
        <v>0</v>
      </c>
      <c r="U499">
        <v>1289</v>
      </c>
      <c r="V499" s="1">
        <f t="shared" si="21"/>
        <v>7.8100000000000003E-2</v>
      </c>
      <c r="W499" s="1">
        <f t="shared" si="22"/>
        <v>0</v>
      </c>
      <c r="X499" s="1">
        <f t="shared" si="23"/>
        <v>1.6000000000000001E-3</v>
      </c>
    </row>
    <row r="500" spans="1:24" x14ac:dyDescent="0.25">
      <c r="A500">
        <v>2021</v>
      </c>
      <c r="B500">
        <v>9</v>
      </c>
      <c r="C500" t="s">
        <v>29</v>
      </c>
      <c r="D500" t="str">
        <f>_xlfn.XLOOKUP(C500,'Carrier Name Rename'!A:A,'Carrier Name Rename'!B:B)</f>
        <v>Horizon Air</v>
      </c>
      <c r="E500" t="s">
        <v>23</v>
      </c>
      <c r="F500" t="s">
        <v>24</v>
      </c>
      <c r="G500">
        <v>2760</v>
      </c>
      <c r="H500">
        <v>333</v>
      </c>
      <c r="I500">
        <v>76.75</v>
      </c>
      <c r="J500">
        <v>1</v>
      </c>
      <c r="K500">
        <v>128.06</v>
      </c>
      <c r="L500">
        <v>0.17</v>
      </c>
      <c r="M500">
        <v>127.02</v>
      </c>
      <c r="N500">
        <v>9</v>
      </c>
      <c r="O500">
        <v>1</v>
      </c>
      <c r="P500">
        <v>16755</v>
      </c>
      <c r="Q500">
        <v>6810</v>
      </c>
      <c r="R500">
        <v>30</v>
      </c>
      <c r="S500">
        <v>3831</v>
      </c>
      <c r="T500">
        <v>11</v>
      </c>
      <c r="U500">
        <v>6073</v>
      </c>
      <c r="V500" s="1">
        <f t="shared" si="21"/>
        <v>0.1207</v>
      </c>
      <c r="W500" s="1">
        <f t="shared" si="22"/>
        <v>3.3E-3</v>
      </c>
      <c r="X500" s="1">
        <f t="shared" si="23"/>
        <v>4.0000000000000002E-4</v>
      </c>
    </row>
    <row r="501" spans="1:24" x14ac:dyDescent="0.25">
      <c r="A501">
        <v>2021</v>
      </c>
      <c r="B501">
        <v>9</v>
      </c>
      <c r="C501" t="s">
        <v>41</v>
      </c>
      <c r="D501" t="str">
        <f>_xlfn.XLOOKUP(C501,'Carrier Name Rename'!A:A,'Carrier Name Rename'!B:B)</f>
        <v>United Air Lines Inc.</v>
      </c>
      <c r="E501" t="s">
        <v>23</v>
      </c>
      <c r="F501" t="s">
        <v>24</v>
      </c>
      <c r="G501">
        <v>729</v>
      </c>
      <c r="H501">
        <v>115</v>
      </c>
      <c r="I501">
        <v>39.9</v>
      </c>
      <c r="J501">
        <v>5.67</v>
      </c>
      <c r="K501">
        <v>40.6</v>
      </c>
      <c r="L501">
        <v>0</v>
      </c>
      <c r="M501">
        <v>28.83</v>
      </c>
      <c r="N501">
        <v>4</v>
      </c>
      <c r="O501">
        <v>0</v>
      </c>
      <c r="P501">
        <v>5582</v>
      </c>
      <c r="Q501">
        <v>1822</v>
      </c>
      <c r="R501">
        <v>458</v>
      </c>
      <c r="S501">
        <v>1142</v>
      </c>
      <c r="T501">
        <v>0</v>
      </c>
      <c r="U501">
        <v>2160</v>
      </c>
      <c r="V501" s="1">
        <f t="shared" si="21"/>
        <v>0.1578</v>
      </c>
      <c r="W501" s="1">
        <f t="shared" si="22"/>
        <v>5.4999999999999997E-3</v>
      </c>
      <c r="X501" s="1">
        <f t="shared" si="23"/>
        <v>0</v>
      </c>
    </row>
    <row r="502" spans="1:24" x14ac:dyDescent="0.25">
      <c r="A502">
        <v>2021</v>
      </c>
      <c r="B502">
        <v>9</v>
      </c>
      <c r="C502" t="s">
        <v>43</v>
      </c>
      <c r="D502" t="str">
        <f>_xlfn.XLOOKUP(C502,'Carrier Name Rename'!A:A,'Carrier Name Rename'!B:B)</f>
        <v>Southwest Airlines Co.</v>
      </c>
      <c r="E502" t="s">
        <v>23</v>
      </c>
      <c r="F502" t="s">
        <v>24</v>
      </c>
      <c r="G502">
        <v>950</v>
      </c>
      <c r="H502">
        <v>157</v>
      </c>
      <c r="I502">
        <v>68.33</v>
      </c>
      <c r="J502">
        <v>2.4500000000000002</v>
      </c>
      <c r="K502">
        <v>31.93</v>
      </c>
      <c r="L502">
        <v>1.03</v>
      </c>
      <c r="M502">
        <v>53.26</v>
      </c>
      <c r="N502">
        <v>8</v>
      </c>
      <c r="O502">
        <v>0</v>
      </c>
      <c r="P502">
        <v>6958</v>
      </c>
      <c r="Q502">
        <v>3522</v>
      </c>
      <c r="R502">
        <v>109</v>
      </c>
      <c r="S502">
        <v>949</v>
      </c>
      <c r="T502">
        <v>18</v>
      </c>
      <c r="U502">
        <v>2360</v>
      </c>
      <c r="V502" s="1">
        <f t="shared" si="21"/>
        <v>0.1653</v>
      </c>
      <c r="W502" s="1">
        <f t="shared" si="22"/>
        <v>8.3999999999999995E-3</v>
      </c>
      <c r="X502" s="1">
        <f t="shared" si="23"/>
        <v>0</v>
      </c>
    </row>
    <row r="503" spans="1:24" x14ac:dyDescent="0.25">
      <c r="A503">
        <v>2021</v>
      </c>
      <c r="B503">
        <v>8</v>
      </c>
      <c r="C503" t="s">
        <v>31</v>
      </c>
      <c r="D503" t="str">
        <f>_xlfn.XLOOKUP(C503,'Carrier Name Rename'!A:A,'Carrier Name Rename'!B:B)</f>
        <v>American Airlines Inc.</v>
      </c>
      <c r="E503" t="s">
        <v>23</v>
      </c>
      <c r="F503" t="s">
        <v>24</v>
      </c>
      <c r="G503">
        <v>641</v>
      </c>
      <c r="H503">
        <v>184</v>
      </c>
      <c r="I503">
        <v>76.05</v>
      </c>
      <c r="J503">
        <v>12.1</v>
      </c>
      <c r="K503">
        <v>48.49</v>
      </c>
      <c r="L503">
        <v>1.1399999999999999</v>
      </c>
      <c r="M503">
        <v>46.21</v>
      </c>
      <c r="N503">
        <v>29</v>
      </c>
      <c r="O503">
        <v>2</v>
      </c>
      <c r="P503">
        <v>11907</v>
      </c>
      <c r="Q503">
        <v>5272</v>
      </c>
      <c r="R503">
        <v>1221</v>
      </c>
      <c r="S503">
        <v>1586</v>
      </c>
      <c r="T503">
        <v>54</v>
      </c>
      <c r="U503">
        <v>3774</v>
      </c>
      <c r="V503" s="1">
        <f t="shared" si="21"/>
        <v>0.28710000000000002</v>
      </c>
      <c r="W503" s="1">
        <f t="shared" si="22"/>
        <v>4.5199999999999997E-2</v>
      </c>
      <c r="X503" s="1">
        <f t="shared" si="23"/>
        <v>3.0999999999999999E-3</v>
      </c>
    </row>
    <row r="504" spans="1:24" x14ac:dyDescent="0.25">
      <c r="A504">
        <v>2021</v>
      </c>
      <c r="B504">
        <v>8</v>
      </c>
      <c r="C504" t="s">
        <v>33</v>
      </c>
      <c r="D504" t="str">
        <f>_xlfn.XLOOKUP(C504,'Carrier Name Rename'!A:A,'Carrier Name Rename'!B:B)</f>
        <v>Alaska Airlines Inc.</v>
      </c>
      <c r="E504" t="s">
        <v>23</v>
      </c>
      <c r="F504" t="s">
        <v>24</v>
      </c>
      <c r="G504">
        <v>6018</v>
      </c>
      <c r="H504">
        <v>1150</v>
      </c>
      <c r="I504">
        <v>298.23</v>
      </c>
      <c r="J504">
        <v>26.14</v>
      </c>
      <c r="K504">
        <v>458.15</v>
      </c>
      <c r="L504">
        <v>8.16</v>
      </c>
      <c r="M504">
        <v>359.32</v>
      </c>
      <c r="N504">
        <v>48</v>
      </c>
      <c r="O504">
        <v>1</v>
      </c>
      <c r="P504">
        <v>56676</v>
      </c>
      <c r="Q504">
        <v>17600</v>
      </c>
      <c r="R504">
        <v>2436</v>
      </c>
      <c r="S504">
        <v>13679</v>
      </c>
      <c r="T504">
        <v>243</v>
      </c>
      <c r="U504">
        <v>22718</v>
      </c>
      <c r="V504" s="1">
        <f t="shared" si="21"/>
        <v>0.19109999999999999</v>
      </c>
      <c r="W504" s="1">
        <f t="shared" si="22"/>
        <v>8.0000000000000002E-3</v>
      </c>
      <c r="X504" s="1">
        <f t="shared" si="23"/>
        <v>2.0000000000000001E-4</v>
      </c>
    </row>
    <row r="505" spans="1:24" x14ac:dyDescent="0.25">
      <c r="A505">
        <v>2021</v>
      </c>
      <c r="B505">
        <v>8</v>
      </c>
      <c r="C505" t="s">
        <v>35</v>
      </c>
      <c r="D505" t="str">
        <f>_xlfn.XLOOKUP(C505,'Carrier Name Rename'!A:A,'Carrier Name Rename'!B:B)</f>
        <v>JetBlue Airways</v>
      </c>
      <c r="E505" t="s">
        <v>23</v>
      </c>
      <c r="F505" t="s">
        <v>24</v>
      </c>
      <c r="G505">
        <v>134</v>
      </c>
      <c r="H505">
        <v>37</v>
      </c>
      <c r="I505">
        <v>21.8</v>
      </c>
      <c r="J505">
        <v>0.64</v>
      </c>
      <c r="K505">
        <v>7.17</v>
      </c>
      <c r="L505">
        <v>0</v>
      </c>
      <c r="M505">
        <v>7.39</v>
      </c>
      <c r="N505">
        <v>0</v>
      </c>
      <c r="O505">
        <v>0</v>
      </c>
      <c r="P505">
        <v>2268</v>
      </c>
      <c r="Q505">
        <v>1247</v>
      </c>
      <c r="R505">
        <v>49</v>
      </c>
      <c r="S505">
        <v>456</v>
      </c>
      <c r="T505">
        <v>0</v>
      </c>
      <c r="U505">
        <v>516</v>
      </c>
      <c r="V505" s="1">
        <f t="shared" si="21"/>
        <v>0.27610000000000001</v>
      </c>
      <c r="W505" s="1">
        <f t="shared" si="22"/>
        <v>0</v>
      </c>
      <c r="X505" s="1">
        <f t="shared" si="23"/>
        <v>0</v>
      </c>
    </row>
    <row r="506" spans="1:24" x14ac:dyDescent="0.25">
      <c r="A506">
        <v>2021</v>
      </c>
      <c r="B506">
        <v>8</v>
      </c>
      <c r="C506" t="s">
        <v>37</v>
      </c>
      <c r="D506" t="str">
        <f>_xlfn.XLOOKUP(C506,'Carrier Name Rename'!A:A,'Carrier Name Rename'!B:B)</f>
        <v>Delta Air Lines Inc.</v>
      </c>
      <c r="E506" t="s">
        <v>23</v>
      </c>
      <c r="F506" t="s">
        <v>24</v>
      </c>
      <c r="G506">
        <v>2579</v>
      </c>
      <c r="H506">
        <v>312</v>
      </c>
      <c r="I506">
        <v>157.36000000000001</v>
      </c>
      <c r="J506">
        <v>9.33</v>
      </c>
      <c r="K506">
        <v>71.98</v>
      </c>
      <c r="L506">
        <v>1.3</v>
      </c>
      <c r="M506">
        <v>72.02</v>
      </c>
      <c r="N506">
        <v>3</v>
      </c>
      <c r="O506">
        <v>1</v>
      </c>
      <c r="P506">
        <v>21446</v>
      </c>
      <c r="Q506">
        <v>12954</v>
      </c>
      <c r="R506">
        <v>561</v>
      </c>
      <c r="S506">
        <v>2244</v>
      </c>
      <c r="T506">
        <v>52</v>
      </c>
      <c r="U506">
        <v>5635</v>
      </c>
      <c r="V506" s="1">
        <f t="shared" si="21"/>
        <v>0.121</v>
      </c>
      <c r="W506" s="1">
        <f t="shared" si="22"/>
        <v>1.1999999999999999E-3</v>
      </c>
      <c r="X506" s="1">
        <f t="shared" si="23"/>
        <v>4.0000000000000002E-4</v>
      </c>
    </row>
    <row r="507" spans="1:24" x14ac:dyDescent="0.25">
      <c r="A507">
        <v>2021</v>
      </c>
      <c r="B507">
        <v>8</v>
      </c>
      <c r="C507" t="s">
        <v>39</v>
      </c>
      <c r="D507" t="str">
        <f>_xlfn.XLOOKUP(C507,'Carrier Name Rename'!A:A,'Carrier Name Rename'!B:B)</f>
        <v>Frontier Airlines Inc.</v>
      </c>
      <c r="E507" t="s">
        <v>23</v>
      </c>
      <c r="F507" t="s">
        <v>24</v>
      </c>
      <c r="G507">
        <v>73</v>
      </c>
      <c r="H507">
        <v>15</v>
      </c>
      <c r="I507">
        <v>7.04</v>
      </c>
      <c r="J507">
        <v>0.74</v>
      </c>
      <c r="K507">
        <v>2.95</v>
      </c>
      <c r="L507">
        <v>0</v>
      </c>
      <c r="M507">
        <v>4.2699999999999996</v>
      </c>
      <c r="N507">
        <v>0</v>
      </c>
      <c r="O507">
        <v>0</v>
      </c>
      <c r="P507">
        <v>893</v>
      </c>
      <c r="Q507">
        <v>374</v>
      </c>
      <c r="R507">
        <v>62</v>
      </c>
      <c r="S507">
        <v>85</v>
      </c>
      <c r="T507">
        <v>0</v>
      </c>
      <c r="U507">
        <v>372</v>
      </c>
      <c r="V507" s="1">
        <f t="shared" si="21"/>
        <v>0.20549999999999999</v>
      </c>
      <c r="W507" s="1">
        <f t="shared" si="22"/>
        <v>0</v>
      </c>
      <c r="X507" s="1">
        <f t="shared" si="23"/>
        <v>0</v>
      </c>
    </row>
    <row r="508" spans="1:24" x14ac:dyDescent="0.25">
      <c r="A508">
        <v>2021</v>
      </c>
      <c r="B508">
        <v>8</v>
      </c>
      <c r="C508" t="s">
        <v>21</v>
      </c>
      <c r="D508" t="str">
        <f>_xlfn.XLOOKUP(C508,'Carrier Name Rename'!A:A,'Carrier Name Rename'!B:B)</f>
        <v>Hawaiian Airlines Inc.</v>
      </c>
      <c r="E508" t="s">
        <v>23</v>
      </c>
      <c r="F508" t="s">
        <v>24</v>
      </c>
      <c r="G508">
        <v>62</v>
      </c>
      <c r="H508">
        <v>20</v>
      </c>
      <c r="I508">
        <v>15.39</v>
      </c>
      <c r="J508">
        <v>0</v>
      </c>
      <c r="K508">
        <v>0</v>
      </c>
      <c r="L508">
        <v>0</v>
      </c>
      <c r="M508">
        <v>4.6100000000000003</v>
      </c>
      <c r="N508">
        <v>0</v>
      </c>
      <c r="O508">
        <v>0</v>
      </c>
      <c r="P508">
        <v>771</v>
      </c>
      <c r="Q508">
        <v>615</v>
      </c>
      <c r="R508">
        <v>0</v>
      </c>
      <c r="S508">
        <v>0</v>
      </c>
      <c r="T508">
        <v>0</v>
      </c>
      <c r="U508">
        <v>156</v>
      </c>
      <c r="V508" s="1">
        <f t="shared" si="21"/>
        <v>0.3226</v>
      </c>
      <c r="W508" s="1">
        <f t="shared" si="22"/>
        <v>0</v>
      </c>
      <c r="X508" s="1">
        <f t="shared" si="23"/>
        <v>0</v>
      </c>
    </row>
    <row r="509" spans="1:24" x14ac:dyDescent="0.25">
      <c r="A509">
        <v>2021</v>
      </c>
      <c r="B509">
        <v>8</v>
      </c>
      <c r="C509" t="s">
        <v>25</v>
      </c>
      <c r="D509" t="str">
        <f>_xlfn.XLOOKUP(C509,'Carrier Name Rename'!A:A,'Carrier Name Rename'!B:B)</f>
        <v>Spirit Airlines</v>
      </c>
      <c r="E509" t="s">
        <v>23</v>
      </c>
      <c r="F509" t="s">
        <v>24</v>
      </c>
      <c r="G509">
        <v>62</v>
      </c>
      <c r="H509">
        <v>8</v>
      </c>
      <c r="I509">
        <v>2.1800000000000002</v>
      </c>
      <c r="J509">
        <v>1</v>
      </c>
      <c r="K509">
        <v>1.07</v>
      </c>
      <c r="L509">
        <v>0</v>
      </c>
      <c r="M509">
        <v>3.75</v>
      </c>
      <c r="N509">
        <v>7</v>
      </c>
      <c r="O509">
        <v>0</v>
      </c>
      <c r="P509">
        <v>538</v>
      </c>
      <c r="Q509">
        <v>170</v>
      </c>
      <c r="R509">
        <v>100</v>
      </c>
      <c r="S509">
        <v>25</v>
      </c>
      <c r="T509">
        <v>0</v>
      </c>
      <c r="U509">
        <v>243</v>
      </c>
      <c r="V509" s="1">
        <f t="shared" si="21"/>
        <v>0.129</v>
      </c>
      <c r="W509" s="1">
        <f t="shared" si="22"/>
        <v>0.1129</v>
      </c>
      <c r="X509" s="1">
        <f t="shared" si="23"/>
        <v>0</v>
      </c>
    </row>
    <row r="510" spans="1:24" x14ac:dyDescent="0.25">
      <c r="A510">
        <v>2021</v>
      </c>
      <c r="B510">
        <v>8</v>
      </c>
      <c r="C510" t="s">
        <v>27</v>
      </c>
      <c r="D510" t="str">
        <f>_xlfn.XLOOKUP(C510,'Carrier Name Rename'!A:A,'Carrier Name Rename'!B:B)</f>
        <v>SkyWest Airlines Inc.</v>
      </c>
      <c r="E510" t="s">
        <v>23</v>
      </c>
      <c r="F510" t="s">
        <v>24</v>
      </c>
      <c r="G510">
        <v>2478</v>
      </c>
      <c r="H510">
        <v>248</v>
      </c>
      <c r="I510">
        <v>153</v>
      </c>
      <c r="J510">
        <v>25</v>
      </c>
      <c r="K510">
        <v>10</v>
      </c>
      <c r="L510">
        <v>1</v>
      </c>
      <c r="M510">
        <v>59</v>
      </c>
      <c r="N510">
        <v>9</v>
      </c>
      <c r="O510">
        <v>1</v>
      </c>
      <c r="P510">
        <v>14543</v>
      </c>
      <c r="Q510">
        <v>7646</v>
      </c>
      <c r="R510">
        <v>2373</v>
      </c>
      <c r="S510">
        <v>432</v>
      </c>
      <c r="T510">
        <v>29</v>
      </c>
      <c r="U510">
        <v>4063</v>
      </c>
      <c r="V510" s="1">
        <f t="shared" si="21"/>
        <v>0.10009999999999999</v>
      </c>
      <c r="W510" s="1">
        <f t="shared" si="22"/>
        <v>3.5999999999999999E-3</v>
      </c>
      <c r="X510" s="1">
        <f t="shared" si="23"/>
        <v>4.0000000000000002E-4</v>
      </c>
    </row>
    <row r="511" spans="1:24" x14ac:dyDescent="0.25">
      <c r="A511">
        <v>2021</v>
      </c>
      <c r="B511">
        <v>8</v>
      </c>
      <c r="C511" t="s">
        <v>29</v>
      </c>
      <c r="D511" t="str">
        <f>_xlfn.XLOOKUP(C511,'Carrier Name Rename'!A:A,'Carrier Name Rename'!B:B)</f>
        <v>Horizon Air</v>
      </c>
      <c r="E511" t="s">
        <v>23</v>
      </c>
      <c r="F511" t="s">
        <v>24</v>
      </c>
      <c r="G511">
        <v>2961</v>
      </c>
      <c r="H511">
        <v>464</v>
      </c>
      <c r="I511">
        <v>97.53</v>
      </c>
      <c r="J511">
        <v>7.78</v>
      </c>
      <c r="K511">
        <v>155.54</v>
      </c>
      <c r="L511">
        <v>0</v>
      </c>
      <c r="M511">
        <v>203.16</v>
      </c>
      <c r="N511">
        <v>27</v>
      </c>
      <c r="O511">
        <v>0</v>
      </c>
      <c r="P511">
        <v>21320</v>
      </c>
      <c r="Q511">
        <v>6469</v>
      </c>
      <c r="R511">
        <v>398</v>
      </c>
      <c r="S511">
        <v>4298</v>
      </c>
      <c r="T511">
        <v>0</v>
      </c>
      <c r="U511">
        <v>10155</v>
      </c>
      <c r="V511" s="1">
        <f t="shared" si="21"/>
        <v>0.15670000000000001</v>
      </c>
      <c r="W511" s="1">
        <f t="shared" si="22"/>
        <v>9.1000000000000004E-3</v>
      </c>
      <c r="X511" s="1">
        <f t="shared" si="23"/>
        <v>0</v>
      </c>
    </row>
    <row r="512" spans="1:24" x14ac:dyDescent="0.25">
      <c r="A512">
        <v>2021</v>
      </c>
      <c r="B512">
        <v>8</v>
      </c>
      <c r="C512" t="s">
        <v>41</v>
      </c>
      <c r="D512" t="str">
        <f>_xlfn.XLOOKUP(C512,'Carrier Name Rename'!A:A,'Carrier Name Rename'!B:B)</f>
        <v>United Air Lines Inc.</v>
      </c>
      <c r="E512" t="s">
        <v>23</v>
      </c>
      <c r="F512" t="s">
        <v>24</v>
      </c>
      <c r="G512">
        <v>742</v>
      </c>
      <c r="H512">
        <v>186</v>
      </c>
      <c r="I512">
        <v>67.97</v>
      </c>
      <c r="J512">
        <v>10.33</v>
      </c>
      <c r="K512">
        <v>56.46</v>
      </c>
      <c r="L512">
        <v>0</v>
      </c>
      <c r="M512">
        <v>51.24</v>
      </c>
      <c r="N512">
        <v>5</v>
      </c>
      <c r="O512">
        <v>0</v>
      </c>
      <c r="P512">
        <v>10343</v>
      </c>
      <c r="Q512">
        <v>3599</v>
      </c>
      <c r="R512">
        <v>821</v>
      </c>
      <c r="S512">
        <v>2166</v>
      </c>
      <c r="T512">
        <v>0</v>
      </c>
      <c r="U512">
        <v>3757</v>
      </c>
      <c r="V512" s="1">
        <f t="shared" si="21"/>
        <v>0.25069999999999998</v>
      </c>
      <c r="W512" s="1">
        <f t="shared" si="22"/>
        <v>6.7000000000000002E-3</v>
      </c>
      <c r="X512" s="1">
        <f t="shared" si="23"/>
        <v>0</v>
      </c>
    </row>
    <row r="513" spans="1:24" x14ac:dyDescent="0.25">
      <c r="A513">
        <v>2021</v>
      </c>
      <c r="B513">
        <v>8</v>
      </c>
      <c r="C513" t="s">
        <v>43</v>
      </c>
      <c r="D513" t="str">
        <f>_xlfn.XLOOKUP(C513,'Carrier Name Rename'!A:A,'Carrier Name Rename'!B:B)</f>
        <v>Southwest Airlines Co.</v>
      </c>
      <c r="E513" t="s">
        <v>23</v>
      </c>
      <c r="F513" t="s">
        <v>24</v>
      </c>
      <c r="G513">
        <v>1001</v>
      </c>
      <c r="H513">
        <v>325</v>
      </c>
      <c r="I513">
        <v>155.82</v>
      </c>
      <c r="J513">
        <v>0.42</v>
      </c>
      <c r="K513">
        <v>42.85</v>
      </c>
      <c r="L513">
        <v>1.39</v>
      </c>
      <c r="M513">
        <v>124.53</v>
      </c>
      <c r="N513">
        <v>12</v>
      </c>
      <c r="O513">
        <v>2</v>
      </c>
      <c r="P513">
        <v>16802</v>
      </c>
      <c r="Q513">
        <v>7804</v>
      </c>
      <c r="R513">
        <v>82</v>
      </c>
      <c r="S513">
        <v>1556</v>
      </c>
      <c r="T513">
        <v>91</v>
      </c>
      <c r="U513">
        <v>7269</v>
      </c>
      <c r="V513" s="1">
        <f t="shared" si="21"/>
        <v>0.32469999999999999</v>
      </c>
      <c r="W513" s="1">
        <f t="shared" si="22"/>
        <v>1.2E-2</v>
      </c>
      <c r="X513" s="1">
        <f t="shared" si="23"/>
        <v>2E-3</v>
      </c>
    </row>
    <row r="514" spans="1:24" x14ac:dyDescent="0.25">
      <c r="A514">
        <v>2021</v>
      </c>
      <c r="B514">
        <v>7</v>
      </c>
      <c r="C514" t="s">
        <v>37</v>
      </c>
      <c r="D514" t="str">
        <f>_xlfn.XLOOKUP(C514,'Carrier Name Rename'!A:A,'Carrier Name Rename'!B:B)</f>
        <v>Delta Air Lines Inc.</v>
      </c>
      <c r="E514" t="s">
        <v>23</v>
      </c>
      <c r="F514" t="s">
        <v>24</v>
      </c>
      <c r="G514">
        <v>2581</v>
      </c>
      <c r="H514">
        <v>240</v>
      </c>
      <c r="I514">
        <v>128.69999999999999</v>
      </c>
      <c r="J514">
        <v>12.2</v>
      </c>
      <c r="K514">
        <v>45.7</v>
      </c>
      <c r="L514">
        <v>2</v>
      </c>
      <c r="M514">
        <v>51.4</v>
      </c>
      <c r="N514">
        <v>4</v>
      </c>
      <c r="O514">
        <v>1</v>
      </c>
      <c r="P514">
        <v>22985</v>
      </c>
      <c r="Q514">
        <v>15449</v>
      </c>
      <c r="R514">
        <v>2432</v>
      </c>
      <c r="S514">
        <v>1388</v>
      </c>
      <c r="T514">
        <v>72</v>
      </c>
      <c r="U514">
        <v>3644</v>
      </c>
      <c r="V514" s="1">
        <f t="shared" si="21"/>
        <v>9.2999999999999999E-2</v>
      </c>
      <c r="W514" s="1">
        <f t="shared" si="22"/>
        <v>1.5E-3</v>
      </c>
      <c r="X514" s="1">
        <f t="shared" si="23"/>
        <v>4.0000000000000002E-4</v>
      </c>
    </row>
    <row r="515" spans="1:24" x14ac:dyDescent="0.25">
      <c r="A515">
        <v>2021</v>
      </c>
      <c r="B515">
        <v>7</v>
      </c>
      <c r="C515" t="s">
        <v>39</v>
      </c>
      <c r="D515" t="str">
        <f>_xlfn.XLOOKUP(C515,'Carrier Name Rename'!A:A,'Carrier Name Rename'!B:B)</f>
        <v>Frontier Airlines Inc.</v>
      </c>
      <c r="E515" t="s">
        <v>23</v>
      </c>
      <c r="F515" t="s">
        <v>24</v>
      </c>
      <c r="G515">
        <v>72</v>
      </c>
      <c r="H515">
        <v>11</v>
      </c>
      <c r="I515">
        <v>4.26</v>
      </c>
      <c r="J515">
        <v>2.0699999999999998</v>
      </c>
      <c r="K515">
        <v>1.9</v>
      </c>
      <c r="L515">
        <v>0</v>
      </c>
      <c r="M515">
        <v>2.78</v>
      </c>
      <c r="N515">
        <v>1</v>
      </c>
      <c r="O515">
        <v>0</v>
      </c>
      <c r="P515">
        <v>619</v>
      </c>
      <c r="Q515">
        <v>196</v>
      </c>
      <c r="R515">
        <v>79</v>
      </c>
      <c r="S515">
        <v>98</v>
      </c>
      <c r="T515">
        <v>0</v>
      </c>
      <c r="U515">
        <v>246</v>
      </c>
      <c r="V515" s="1">
        <f t="shared" ref="V515:V578" si="24">ROUND(H515/G515,4)</f>
        <v>0.15279999999999999</v>
      </c>
      <c r="W515" s="1">
        <f t="shared" ref="W515:W578" si="25">ROUND(N515/G515,4)</f>
        <v>1.3899999999999999E-2</v>
      </c>
      <c r="X515" s="1">
        <f t="shared" ref="X515:X578" si="26">ROUND(O515/G515,4)</f>
        <v>0</v>
      </c>
    </row>
    <row r="516" spans="1:24" x14ac:dyDescent="0.25">
      <c r="A516">
        <v>2021</v>
      </c>
      <c r="B516">
        <v>7</v>
      </c>
      <c r="C516" t="s">
        <v>21</v>
      </c>
      <c r="D516" t="str">
        <f>_xlfn.XLOOKUP(C516,'Carrier Name Rename'!A:A,'Carrier Name Rename'!B:B)</f>
        <v>Hawaiian Airlines Inc.</v>
      </c>
      <c r="E516" t="s">
        <v>23</v>
      </c>
      <c r="F516" t="s">
        <v>24</v>
      </c>
      <c r="G516">
        <v>62</v>
      </c>
      <c r="H516">
        <v>16</v>
      </c>
      <c r="I516">
        <v>13.22</v>
      </c>
      <c r="J516">
        <v>0</v>
      </c>
      <c r="K516">
        <v>0</v>
      </c>
      <c r="L516">
        <v>0</v>
      </c>
      <c r="M516">
        <v>2.78</v>
      </c>
      <c r="N516">
        <v>0</v>
      </c>
      <c r="O516">
        <v>0</v>
      </c>
      <c r="P516">
        <v>427</v>
      </c>
      <c r="Q516">
        <v>360</v>
      </c>
      <c r="R516">
        <v>0</v>
      </c>
      <c r="S516">
        <v>0</v>
      </c>
      <c r="T516">
        <v>0</v>
      </c>
      <c r="U516">
        <v>67</v>
      </c>
      <c r="V516" s="1">
        <f t="shared" si="24"/>
        <v>0.2581</v>
      </c>
      <c r="W516" s="1">
        <f t="shared" si="25"/>
        <v>0</v>
      </c>
      <c r="X516" s="1">
        <f t="shared" si="26"/>
        <v>0</v>
      </c>
    </row>
    <row r="517" spans="1:24" x14ac:dyDescent="0.25">
      <c r="A517">
        <v>2021</v>
      </c>
      <c r="B517">
        <v>7</v>
      </c>
      <c r="C517" t="s">
        <v>25</v>
      </c>
      <c r="D517" t="str">
        <f>_xlfn.XLOOKUP(C517,'Carrier Name Rename'!A:A,'Carrier Name Rename'!B:B)</f>
        <v>Spirit Airlines</v>
      </c>
      <c r="E517" t="s">
        <v>23</v>
      </c>
      <c r="F517" t="s">
        <v>24</v>
      </c>
      <c r="G517">
        <v>49</v>
      </c>
      <c r="H517">
        <v>13</v>
      </c>
      <c r="I517">
        <v>1.0900000000000001</v>
      </c>
      <c r="J517">
        <v>1.22</v>
      </c>
      <c r="K517">
        <v>1.89</v>
      </c>
      <c r="L517">
        <v>0</v>
      </c>
      <c r="M517">
        <v>8.8000000000000007</v>
      </c>
      <c r="N517">
        <v>0</v>
      </c>
      <c r="O517">
        <v>0</v>
      </c>
      <c r="P517">
        <v>875</v>
      </c>
      <c r="Q517">
        <v>60</v>
      </c>
      <c r="R517">
        <v>45</v>
      </c>
      <c r="S517">
        <v>86</v>
      </c>
      <c r="T517">
        <v>0</v>
      </c>
      <c r="U517">
        <v>684</v>
      </c>
      <c r="V517" s="1">
        <f t="shared" si="24"/>
        <v>0.26529999999999998</v>
      </c>
      <c r="W517" s="1">
        <f t="shared" si="25"/>
        <v>0</v>
      </c>
      <c r="X517" s="1">
        <f t="shared" si="26"/>
        <v>0</v>
      </c>
    </row>
    <row r="518" spans="1:24" x14ac:dyDescent="0.25">
      <c r="A518">
        <v>2021</v>
      </c>
      <c r="B518">
        <v>7</v>
      </c>
      <c r="C518" t="s">
        <v>27</v>
      </c>
      <c r="D518" t="str">
        <f>_xlfn.XLOOKUP(C518,'Carrier Name Rename'!A:A,'Carrier Name Rename'!B:B)</f>
        <v>SkyWest Airlines Inc.</v>
      </c>
      <c r="E518" t="s">
        <v>23</v>
      </c>
      <c r="F518" t="s">
        <v>24</v>
      </c>
      <c r="G518">
        <v>2647</v>
      </c>
      <c r="H518">
        <v>293</v>
      </c>
      <c r="I518">
        <v>165</v>
      </c>
      <c r="J518">
        <v>45</v>
      </c>
      <c r="K518">
        <v>5</v>
      </c>
      <c r="L518">
        <v>3</v>
      </c>
      <c r="M518">
        <v>75</v>
      </c>
      <c r="N518">
        <v>6</v>
      </c>
      <c r="O518">
        <v>14</v>
      </c>
      <c r="P518">
        <v>21507</v>
      </c>
      <c r="Q518">
        <v>12892</v>
      </c>
      <c r="R518">
        <v>3936</v>
      </c>
      <c r="S518">
        <v>165</v>
      </c>
      <c r="T518">
        <v>57</v>
      </c>
      <c r="U518">
        <v>4457</v>
      </c>
      <c r="V518" s="1">
        <f t="shared" si="24"/>
        <v>0.11070000000000001</v>
      </c>
      <c r="W518" s="1">
        <f t="shared" si="25"/>
        <v>2.3E-3</v>
      </c>
      <c r="X518" s="1">
        <f t="shared" si="26"/>
        <v>5.3E-3</v>
      </c>
    </row>
    <row r="519" spans="1:24" x14ac:dyDescent="0.25">
      <c r="A519">
        <v>2021</v>
      </c>
      <c r="B519">
        <v>7</v>
      </c>
      <c r="C519" t="s">
        <v>29</v>
      </c>
      <c r="D519" t="str">
        <f>_xlfn.XLOOKUP(C519,'Carrier Name Rename'!A:A,'Carrier Name Rename'!B:B)</f>
        <v>Horizon Air</v>
      </c>
      <c r="E519" t="s">
        <v>23</v>
      </c>
      <c r="F519" t="s">
        <v>24</v>
      </c>
      <c r="G519">
        <v>2921</v>
      </c>
      <c r="H519">
        <v>369</v>
      </c>
      <c r="I519">
        <v>105.55</v>
      </c>
      <c r="J519">
        <v>5.51</v>
      </c>
      <c r="K519">
        <v>85.68</v>
      </c>
      <c r="L519">
        <v>0.27</v>
      </c>
      <c r="M519">
        <v>171.98</v>
      </c>
      <c r="N519">
        <v>22</v>
      </c>
      <c r="O519">
        <v>1</v>
      </c>
      <c r="P519">
        <v>17734</v>
      </c>
      <c r="Q519">
        <v>6879</v>
      </c>
      <c r="R519">
        <v>333</v>
      </c>
      <c r="S519">
        <v>2173</v>
      </c>
      <c r="T519">
        <v>6</v>
      </c>
      <c r="U519">
        <v>8343</v>
      </c>
      <c r="V519" s="1">
        <f t="shared" si="24"/>
        <v>0.1263</v>
      </c>
      <c r="W519" s="1">
        <f t="shared" si="25"/>
        <v>7.4999999999999997E-3</v>
      </c>
      <c r="X519" s="1">
        <f t="shared" si="26"/>
        <v>2.9999999999999997E-4</v>
      </c>
    </row>
    <row r="520" spans="1:24" x14ac:dyDescent="0.25">
      <c r="A520">
        <v>2021</v>
      </c>
      <c r="B520">
        <v>7</v>
      </c>
      <c r="C520" t="s">
        <v>41</v>
      </c>
      <c r="D520" t="str">
        <f>_xlfn.XLOOKUP(C520,'Carrier Name Rename'!A:A,'Carrier Name Rename'!B:B)</f>
        <v>United Air Lines Inc.</v>
      </c>
      <c r="E520" t="s">
        <v>23</v>
      </c>
      <c r="F520" t="s">
        <v>24</v>
      </c>
      <c r="G520">
        <v>731</v>
      </c>
      <c r="H520">
        <v>200</v>
      </c>
      <c r="I520">
        <v>64.930000000000007</v>
      </c>
      <c r="J520">
        <v>17.16</v>
      </c>
      <c r="K520">
        <v>44.4</v>
      </c>
      <c r="L520">
        <v>0</v>
      </c>
      <c r="M520">
        <v>73.510000000000005</v>
      </c>
      <c r="N520">
        <v>7</v>
      </c>
      <c r="O520">
        <v>0</v>
      </c>
      <c r="P520">
        <v>13612</v>
      </c>
      <c r="Q520">
        <v>3269</v>
      </c>
      <c r="R520">
        <v>1963</v>
      </c>
      <c r="S520">
        <v>1760</v>
      </c>
      <c r="T520">
        <v>0</v>
      </c>
      <c r="U520">
        <v>6620</v>
      </c>
      <c r="V520" s="1">
        <f t="shared" si="24"/>
        <v>0.27360000000000001</v>
      </c>
      <c r="W520" s="1">
        <f t="shared" si="25"/>
        <v>9.5999999999999992E-3</v>
      </c>
      <c r="X520" s="1">
        <f t="shared" si="26"/>
        <v>0</v>
      </c>
    </row>
    <row r="521" spans="1:24" x14ac:dyDescent="0.25">
      <c r="A521">
        <v>2021</v>
      </c>
      <c r="B521">
        <v>7</v>
      </c>
      <c r="C521" t="s">
        <v>43</v>
      </c>
      <c r="D521" t="str">
        <f>_xlfn.XLOOKUP(C521,'Carrier Name Rename'!A:A,'Carrier Name Rename'!B:B)</f>
        <v>Southwest Airlines Co.</v>
      </c>
      <c r="E521" t="s">
        <v>23</v>
      </c>
      <c r="F521" t="s">
        <v>24</v>
      </c>
      <c r="G521">
        <v>978</v>
      </c>
      <c r="H521">
        <v>260</v>
      </c>
      <c r="I521">
        <v>117.06</v>
      </c>
      <c r="J521">
        <v>2.19</v>
      </c>
      <c r="K521">
        <v>27.15</v>
      </c>
      <c r="L521">
        <v>0</v>
      </c>
      <c r="M521">
        <v>113.61</v>
      </c>
      <c r="N521">
        <v>16</v>
      </c>
      <c r="O521">
        <v>0</v>
      </c>
      <c r="P521">
        <v>13012</v>
      </c>
      <c r="Q521">
        <v>5535</v>
      </c>
      <c r="R521">
        <v>180</v>
      </c>
      <c r="S521">
        <v>894</v>
      </c>
      <c r="T521">
        <v>0</v>
      </c>
      <c r="U521">
        <v>6403</v>
      </c>
      <c r="V521" s="1">
        <f t="shared" si="24"/>
        <v>0.26579999999999998</v>
      </c>
      <c r="W521" s="1">
        <f t="shared" si="25"/>
        <v>1.6400000000000001E-2</v>
      </c>
      <c r="X521" s="1">
        <f t="shared" si="26"/>
        <v>0</v>
      </c>
    </row>
    <row r="522" spans="1:24" x14ac:dyDescent="0.25">
      <c r="A522">
        <v>2021</v>
      </c>
      <c r="B522">
        <v>7</v>
      </c>
      <c r="C522" t="s">
        <v>31</v>
      </c>
      <c r="D522" t="str">
        <f>_xlfn.XLOOKUP(C522,'Carrier Name Rename'!A:A,'Carrier Name Rename'!B:B)</f>
        <v>American Airlines Inc.</v>
      </c>
      <c r="E522" t="s">
        <v>23</v>
      </c>
      <c r="F522" t="s">
        <v>24</v>
      </c>
      <c r="G522">
        <v>657</v>
      </c>
      <c r="H522">
        <v>157</v>
      </c>
      <c r="I522">
        <v>73.099999999999994</v>
      </c>
      <c r="J522">
        <v>7.82</v>
      </c>
      <c r="K522">
        <v>26.87</v>
      </c>
      <c r="L522">
        <v>1.34</v>
      </c>
      <c r="M522">
        <v>47.87</v>
      </c>
      <c r="N522">
        <v>7</v>
      </c>
      <c r="O522">
        <v>1</v>
      </c>
      <c r="P522">
        <v>12587</v>
      </c>
      <c r="Q522">
        <v>6606</v>
      </c>
      <c r="R522">
        <v>652</v>
      </c>
      <c r="S522">
        <v>950</v>
      </c>
      <c r="T522">
        <v>35</v>
      </c>
      <c r="U522">
        <v>4344</v>
      </c>
      <c r="V522" s="1">
        <f t="shared" si="24"/>
        <v>0.23899999999999999</v>
      </c>
      <c r="W522" s="1">
        <f t="shared" si="25"/>
        <v>1.0699999999999999E-2</v>
      </c>
      <c r="X522" s="1">
        <f t="shared" si="26"/>
        <v>1.5E-3</v>
      </c>
    </row>
    <row r="523" spans="1:24" x14ac:dyDescent="0.25">
      <c r="A523">
        <v>2021</v>
      </c>
      <c r="B523">
        <v>7</v>
      </c>
      <c r="C523" t="s">
        <v>33</v>
      </c>
      <c r="D523" t="str">
        <f>_xlfn.XLOOKUP(C523,'Carrier Name Rename'!A:A,'Carrier Name Rename'!B:B)</f>
        <v>Alaska Airlines Inc.</v>
      </c>
      <c r="E523" t="s">
        <v>23</v>
      </c>
      <c r="F523" t="s">
        <v>24</v>
      </c>
      <c r="G523">
        <v>5785</v>
      </c>
      <c r="H523">
        <v>930</v>
      </c>
      <c r="I523">
        <v>254.99</v>
      </c>
      <c r="J523">
        <v>29.94</v>
      </c>
      <c r="K523">
        <v>342.51</v>
      </c>
      <c r="L523">
        <v>5.1100000000000003</v>
      </c>
      <c r="M523">
        <v>297.45</v>
      </c>
      <c r="N523">
        <v>42</v>
      </c>
      <c r="O523">
        <v>10</v>
      </c>
      <c r="P523">
        <v>43728</v>
      </c>
      <c r="Q523">
        <v>14230</v>
      </c>
      <c r="R523">
        <v>1865</v>
      </c>
      <c r="S523">
        <v>9744</v>
      </c>
      <c r="T523">
        <v>124</v>
      </c>
      <c r="U523">
        <v>17765</v>
      </c>
      <c r="V523" s="1">
        <f t="shared" si="24"/>
        <v>0.1608</v>
      </c>
      <c r="W523" s="1">
        <f t="shared" si="25"/>
        <v>7.3000000000000001E-3</v>
      </c>
      <c r="X523" s="1">
        <f t="shared" si="26"/>
        <v>1.6999999999999999E-3</v>
      </c>
    </row>
    <row r="524" spans="1:24" x14ac:dyDescent="0.25">
      <c r="A524">
        <v>2021</v>
      </c>
      <c r="B524">
        <v>7</v>
      </c>
      <c r="C524" t="s">
        <v>35</v>
      </c>
      <c r="D524" t="str">
        <f>_xlfn.XLOOKUP(C524,'Carrier Name Rename'!A:A,'Carrier Name Rename'!B:B)</f>
        <v>JetBlue Airways</v>
      </c>
      <c r="E524" t="s">
        <v>23</v>
      </c>
      <c r="F524" t="s">
        <v>24</v>
      </c>
      <c r="G524">
        <v>133</v>
      </c>
      <c r="H524">
        <v>41</v>
      </c>
      <c r="I524">
        <v>23.84</v>
      </c>
      <c r="J524">
        <v>2.68</v>
      </c>
      <c r="K524">
        <v>3.16</v>
      </c>
      <c r="L524">
        <v>0.47</v>
      </c>
      <c r="M524">
        <v>10.85</v>
      </c>
      <c r="N524">
        <v>6</v>
      </c>
      <c r="O524">
        <v>2</v>
      </c>
      <c r="P524">
        <v>4517</v>
      </c>
      <c r="Q524">
        <v>2215</v>
      </c>
      <c r="R524">
        <v>421</v>
      </c>
      <c r="S524">
        <v>198</v>
      </c>
      <c r="T524">
        <v>60</v>
      </c>
      <c r="U524">
        <v>1623</v>
      </c>
      <c r="V524" s="1">
        <f t="shared" si="24"/>
        <v>0.30830000000000002</v>
      </c>
      <c r="W524" s="1">
        <f t="shared" si="25"/>
        <v>4.5100000000000001E-2</v>
      </c>
      <c r="X524" s="1">
        <f t="shared" si="26"/>
        <v>1.4999999999999999E-2</v>
      </c>
    </row>
    <row r="525" spans="1:24" x14ac:dyDescent="0.25">
      <c r="A525">
        <v>2021</v>
      </c>
      <c r="B525">
        <v>6</v>
      </c>
      <c r="C525" t="s">
        <v>31</v>
      </c>
      <c r="D525" t="str">
        <f>_xlfn.XLOOKUP(C525,'Carrier Name Rename'!A:A,'Carrier Name Rename'!B:B)</f>
        <v>American Airlines Inc.</v>
      </c>
      <c r="E525" t="s">
        <v>23</v>
      </c>
      <c r="F525" t="s">
        <v>24</v>
      </c>
      <c r="G525">
        <v>612</v>
      </c>
      <c r="H525">
        <v>185</v>
      </c>
      <c r="I525">
        <v>83.13</v>
      </c>
      <c r="J525">
        <v>13.48</v>
      </c>
      <c r="K525">
        <v>36.07</v>
      </c>
      <c r="L525">
        <v>0.34</v>
      </c>
      <c r="M525">
        <v>51.97</v>
      </c>
      <c r="N525">
        <v>18</v>
      </c>
      <c r="O525">
        <v>2</v>
      </c>
      <c r="P525">
        <v>11558</v>
      </c>
      <c r="Q525">
        <v>4554</v>
      </c>
      <c r="R525">
        <v>1287</v>
      </c>
      <c r="S525">
        <v>1546</v>
      </c>
      <c r="T525">
        <v>11</v>
      </c>
      <c r="U525">
        <v>4160</v>
      </c>
      <c r="V525" s="1">
        <f t="shared" si="24"/>
        <v>0.30230000000000001</v>
      </c>
      <c r="W525" s="1">
        <f t="shared" si="25"/>
        <v>2.9399999999999999E-2</v>
      </c>
      <c r="X525" s="1">
        <f t="shared" si="26"/>
        <v>3.3E-3</v>
      </c>
    </row>
    <row r="526" spans="1:24" x14ac:dyDescent="0.25">
      <c r="A526">
        <v>2021</v>
      </c>
      <c r="B526">
        <v>6</v>
      </c>
      <c r="C526" t="s">
        <v>33</v>
      </c>
      <c r="D526" t="str">
        <f>_xlfn.XLOOKUP(C526,'Carrier Name Rename'!A:A,'Carrier Name Rename'!B:B)</f>
        <v>Alaska Airlines Inc.</v>
      </c>
      <c r="E526" t="s">
        <v>23</v>
      </c>
      <c r="F526" t="s">
        <v>24</v>
      </c>
      <c r="G526">
        <v>5709</v>
      </c>
      <c r="H526">
        <v>1146</v>
      </c>
      <c r="I526">
        <v>272.33</v>
      </c>
      <c r="J526">
        <v>21.27</v>
      </c>
      <c r="K526">
        <v>483.52</v>
      </c>
      <c r="L526">
        <v>6.73</v>
      </c>
      <c r="M526">
        <v>362.15</v>
      </c>
      <c r="N526">
        <v>103</v>
      </c>
      <c r="O526">
        <v>6</v>
      </c>
      <c r="P526">
        <v>53671</v>
      </c>
      <c r="Q526">
        <v>16327</v>
      </c>
      <c r="R526">
        <v>1254</v>
      </c>
      <c r="S526">
        <v>15724</v>
      </c>
      <c r="T526">
        <v>208</v>
      </c>
      <c r="U526">
        <v>20158</v>
      </c>
      <c r="V526" s="1">
        <f t="shared" si="24"/>
        <v>0.20069999999999999</v>
      </c>
      <c r="W526" s="1">
        <f t="shared" si="25"/>
        <v>1.7999999999999999E-2</v>
      </c>
      <c r="X526" s="1">
        <f t="shared" si="26"/>
        <v>1.1000000000000001E-3</v>
      </c>
    </row>
    <row r="527" spans="1:24" x14ac:dyDescent="0.25">
      <c r="A527">
        <v>2021</v>
      </c>
      <c r="B527">
        <v>6</v>
      </c>
      <c r="C527" t="s">
        <v>35</v>
      </c>
      <c r="D527" t="str">
        <f>_xlfn.XLOOKUP(C527,'Carrier Name Rename'!A:A,'Carrier Name Rename'!B:B)</f>
        <v>JetBlue Airways</v>
      </c>
      <c r="E527" t="s">
        <v>23</v>
      </c>
      <c r="F527" t="s">
        <v>24</v>
      </c>
      <c r="G527">
        <v>101</v>
      </c>
      <c r="H527">
        <v>23</v>
      </c>
      <c r="I527">
        <v>7.41</v>
      </c>
      <c r="J527">
        <v>1.74</v>
      </c>
      <c r="K527">
        <v>8.1199999999999992</v>
      </c>
      <c r="L527">
        <v>0.02</v>
      </c>
      <c r="M527">
        <v>5.71</v>
      </c>
      <c r="N527">
        <v>1</v>
      </c>
      <c r="O527">
        <v>1</v>
      </c>
      <c r="P527">
        <v>1530</v>
      </c>
      <c r="Q527">
        <v>580</v>
      </c>
      <c r="R527">
        <v>188</v>
      </c>
      <c r="S527">
        <v>338</v>
      </c>
      <c r="T527">
        <v>2</v>
      </c>
      <c r="U527">
        <v>422</v>
      </c>
      <c r="V527" s="1">
        <f t="shared" si="24"/>
        <v>0.22770000000000001</v>
      </c>
      <c r="W527" s="1">
        <f t="shared" si="25"/>
        <v>9.9000000000000008E-3</v>
      </c>
      <c r="X527" s="1">
        <f t="shared" si="26"/>
        <v>9.9000000000000008E-3</v>
      </c>
    </row>
    <row r="528" spans="1:24" x14ac:dyDescent="0.25">
      <c r="A528">
        <v>2021</v>
      </c>
      <c r="B528">
        <v>6</v>
      </c>
      <c r="C528" t="s">
        <v>37</v>
      </c>
      <c r="D528" t="str">
        <f>_xlfn.XLOOKUP(C528,'Carrier Name Rename'!A:A,'Carrier Name Rename'!B:B)</f>
        <v>Delta Air Lines Inc.</v>
      </c>
      <c r="E528" t="s">
        <v>23</v>
      </c>
      <c r="F528" t="s">
        <v>24</v>
      </c>
      <c r="G528">
        <v>2403</v>
      </c>
      <c r="H528">
        <v>245</v>
      </c>
      <c r="I528">
        <v>117.3</v>
      </c>
      <c r="J528">
        <v>7.39</v>
      </c>
      <c r="K528">
        <v>64.62</v>
      </c>
      <c r="L528">
        <v>1</v>
      </c>
      <c r="M528">
        <v>54.69</v>
      </c>
      <c r="N528">
        <v>1</v>
      </c>
      <c r="O528">
        <v>4</v>
      </c>
      <c r="P528">
        <v>22261</v>
      </c>
      <c r="Q528">
        <v>13009</v>
      </c>
      <c r="R528">
        <v>2606</v>
      </c>
      <c r="S528">
        <v>2003</v>
      </c>
      <c r="T528">
        <v>25</v>
      </c>
      <c r="U528">
        <v>4618</v>
      </c>
      <c r="V528" s="1">
        <f t="shared" si="24"/>
        <v>0.10199999999999999</v>
      </c>
      <c r="W528" s="1">
        <f t="shared" si="25"/>
        <v>4.0000000000000002E-4</v>
      </c>
      <c r="X528" s="1">
        <f t="shared" si="26"/>
        <v>1.6999999999999999E-3</v>
      </c>
    </row>
    <row r="529" spans="1:24" x14ac:dyDescent="0.25">
      <c r="A529">
        <v>2021</v>
      </c>
      <c r="B529">
        <v>6</v>
      </c>
      <c r="C529" t="s">
        <v>39</v>
      </c>
      <c r="D529" t="str">
        <f>_xlfn.XLOOKUP(C529,'Carrier Name Rename'!A:A,'Carrier Name Rename'!B:B)</f>
        <v>Frontier Airlines Inc.</v>
      </c>
      <c r="E529" t="s">
        <v>23</v>
      </c>
      <c r="F529" t="s">
        <v>24</v>
      </c>
      <c r="G529">
        <v>65</v>
      </c>
      <c r="H529">
        <v>12</v>
      </c>
      <c r="I529">
        <v>3.17</v>
      </c>
      <c r="J529">
        <v>0</v>
      </c>
      <c r="K529">
        <v>5.82</v>
      </c>
      <c r="L529">
        <v>0</v>
      </c>
      <c r="M529">
        <v>3.01</v>
      </c>
      <c r="N529">
        <v>1</v>
      </c>
      <c r="O529">
        <v>0</v>
      </c>
      <c r="P529">
        <v>764</v>
      </c>
      <c r="Q529">
        <v>134</v>
      </c>
      <c r="R529">
        <v>0</v>
      </c>
      <c r="S529">
        <v>208</v>
      </c>
      <c r="T529">
        <v>0</v>
      </c>
      <c r="U529">
        <v>422</v>
      </c>
      <c r="V529" s="1">
        <f t="shared" si="24"/>
        <v>0.18459999999999999</v>
      </c>
      <c r="W529" s="1">
        <f t="shared" si="25"/>
        <v>1.54E-2</v>
      </c>
      <c r="X529" s="1">
        <f t="shared" si="26"/>
        <v>0</v>
      </c>
    </row>
    <row r="530" spans="1:24" x14ac:dyDescent="0.25">
      <c r="A530">
        <v>2021</v>
      </c>
      <c r="B530">
        <v>6</v>
      </c>
      <c r="C530" t="s">
        <v>21</v>
      </c>
      <c r="D530" t="str">
        <f>_xlfn.XLOOKUP(C530,'Carrier Name Rename'!A:A,'Carrier Name Rename'!B:B)</f>
        <v>Hawaiian Airlines Inc.</v>
      </c>
      <c r="E530" t="s">
        <v>23</v>
      </c>
      <c r="F530" t="s">
        <v>24</v>
      </c>
      <c r="G530">
        <v>60</v>
      </c>
      <c r="H530">
        <v>12</v>
      </c>
      <c r="I530">
        <v>11.72</v>
      </c>
      <c r="J530">
        <v>0</v>
      </c>
      <c r="K530">
        <v>0</v>
      </c>
      <c r="L530">
        <v>0</v>
      </c>
      <c r="M530">
        <v>0.28000000000000003</v>
      </c>
      <c r="N530">
        <v>0</v>
      </c>
      <c r="O530">
        <v>1</v>
      </c>
      <c r="P530">
        <v>383</v>
      </c>
      <c r="Q530">
        <v>369</v>
      </c>
      <c r="R530">
        <v>0</v>
      </c>
      <c r="S530">
        <v>0</v>
      </c>
      <c r="T530">
        <v>0</v>
      </c>
      <c r="U530">
        <v>14</v>
      </c>
      <c r="V530" s="1">
        <f t="shared" si="24"/>
        <v>0.2</v>
      </c>
      <c r="W530" s="1">
        <f t="shared" si="25"/>
        <v>0</v>
      </c>
      <c r="X530" s="1">
        <f t="shared" si="26"/>
        <v>1.67E-2</v>
      </c>
    </row>
    <row r="531" spans="1:24" x14ac:dyDescent="0.25">
      <c r="A531">
        <v>2021</v>
      </c>
      <c r="B531">
        <v>6</v>
      </c>
      <c r="C531" t="s">
        <v>25</v>
      </c>
      <c r="D531" t="str">
        <f>_xlfn.XLOOKUP(C531,'Carrier Name Rename'!A:A,'Carrier Name Rename'!B:B)</f>
        <v>Spirit Airlines</v>
      </c>
      <c r="E531" t="s">
        <v>23</v>
      </c>
      <c r="F531" t="s">
        <v>24</v>
      </c>
      <c r="G531">
        <v>49</v>
      </c>
      <c r="H531">
        <v>6</v>
      </c>
      <c r="I531">
        <v>2.23</v>
      </c>
      <c r="J531">
        <v>0.33</v>
      </c>
      <c r="K531">
        <v>3.44</v>
      </c>
      <c r="L531">
        <v>0</v>
      </c>
      <c r="M531">
        <v>0</v>
      </c>
      <c r="N531">
        <v>0</v>
      </c>
      <c r="O531">
        <v>0</v>
      </c>
      <c r="P531">
        <v>279</v>
      </c>
      <c r="Q531">
        <v>205</v>
      </c>
      <c r="R531">
        <v>6</v>
      </c>
      <c r="S531">
        <v>68</v>
      </c>
      <c r="T531">
        <v>0</v>
      </c>
      <c r="U531">
        <v>0</v>
      </c>
      <c r="V531" s="1">
        <f t="shared" si="24"/>
        <v>0.12239999999999999</v>
      </c>
      <c r="W531" s="1">
        <f t="shared" si="25"/>
        <v>0</v>
      </c>
      <c r="X531" s="1">
        <f t="shared" si="26"/>
        <v>0</v>
      </c>
    </row>
    <row r="532" spans="1:24" x14ac:dyDescent="0.25">
      <c r="A532">
        <v>2021</v>
      </c>
      <c r="B532">
        <v>6</v>
      </c>
      <c r="C532" t="s">
        <v>27</v>
      </c>
      <c r="D532" t="str">
        <f>_xlfn.XLOOKUP(C532,'Carrier Name Rename'!A:A,'Carrier Name Rename'!B:B)</f>
        <v>SkyWest Airlines Inc.</v>
      </c>
      <c r="E532" t="s">
        <v>23</v>
      </c>
      <c r="F532" t="s">
        <v>24</v>
      </c>
      <c r="G532">
        <v>2444</v>
      </c>
      <c r="H532">
        <v>319</v>
      </c>
      <c r="I532">
        <v>213</v>
      </c>
      <c r="J532">
        <v>44</v>
      </c>
      <c r="K532">
        <v>4</v>
      </c>
      <c r="L532">
        <v>2</v>
      </c>
      <c r="M532">
        <v>56</v>
      </c>
      <c r="N532">
        <v>2</v>
      </c>
      <c r="O532">
        <v>0</v>
      </c>
      <c r="P532">
        <v>24603</v>
      </c>
      <c r="Q532">
        <v>15282</v>
      </c>
      <c r="R532">
        <v>4671</v>
      </c>
      <c r="S532">
        <v>333</v>
      </c>
      <c r="T532">
        <v>50</v>
      </c>
      <c r="U532">
        <v>4267</v>
      </c>
      <c r="V532" s="1">
        <f t="shared" si="24"/>
        <v>0.1305</v>
      </c>
      <c r="W532" s="1">
        <f t="shared" si="25"/>
        <v>8.0000000000000004E-4</v>
      </c>
      <c r="X532" s="1">
        <f t="shared" si="26"/>
        <v>0</v>
      </c>
    </row>
    <row r="533" spans="1:24" x14ac:dyDescent="0.25">
      <c r="A533">
        <v>2021</v>
      </c>
      <c r="B533">
        <v>6</v>
      </c>
      <c r="C533" t="s">
        <v>29</v>
      </c>
      <c r="D533" t="str">
        <f>_xlfn.XLOOKUP(C533,'Carrier Name Rename'!A:A,'Carrier Name Rename'!B:B)</f>
        <v>Horizon Air</v>
      </c>
      <c r="E533" t="s">
        <v>23</v>
      </c>
      <c r="F533" t="s">
        <v>24</v>
      </c>
      <c r="G533">
        <v>2943</v>
      </c>
      <c r="H533">
        <v>341</v>
      </c>
      <c r="I533">
        <v>107.69</v>
      </c>
      <c r="J533">
        <v>8.1</v>
      </c>
      <c r="K533">
        <v>85.95</v>
      </c>
      <c r="L533">
        <v>0.65</v>
      </c>
      <c r="M533">
        <v>138.61000000000001</v>
      </c>
      <c r="N533">
        <v>35</v>
      </c>
      <c r="O533">
        <v>1</v>
      </c>
      <c r="P533">
        <v>15609</v>
      </c>
      <c r="Q533">
        <v>6054</v>
      </c>
      <c r="R533">
        <v>276</v>
      </c>
      <c r="S533">
        <v>2230</v>
      </c>
      <c r="T533">
        <v>13</v>
      </c>
      <c r="U533">
        <v>7036</v>
      </c>
      <c r="V533" s="1">
        <f t="shared" si="24"/>
        <v>0.1159</v>
      </c>
      <c r="W533" s="1">
        <f t="shared" si="25"/>
        <v>1.1900000000000001E-2</v>
      </c>
      <c r="X533" s="1">
        <f t="shared" si="26"/>
        <v>2.9999999999999997E-4</v>
      </c>
    </row>
    <row r="534" spans="1:24" x14ac:dyDescent="0.25">
      <c r="A534">
        <v>2021</v>
      </c>
      <c r="B534">
        <v>6</v>
      </c>
      <c r="C534" t="s">
        <v>41</v>
      </c>
      <c r="D534" t="str">
        <f>_xlfn.XLOOKUP(C534,'Carrier Name Rename'!A:A,'Carrier Name Rename'!B:B)</f>
        <v>United Air Lines Inc.</v>
      </c>
      <c r="E534" t="s">
        <v>23</v>
      </c>
      <c r="F534" t="s">
        <v>24</v>
      </c>
      <c r="G534">
        <v>505</v>
      </c>
      <c r="H534">
        <v>125</v>
      </c>
      <c r="I534">
        <v>43.18</v>
      </c>
      <c r="J534">
        <v>10.35</v>
      </c>
      <c r="K534">
        <v>42.5</v>
      </c>
      <c r="L534">
        <v>0</v>
      </c>
      <c r="M534">
        <v>28.97</v>
      </c>
      <c r="N534">
        <v>3</v>
      </c>
      <c r="O534">
        <v>1</v>
      </c>
      <c r="P534">
        <v>6521</v>
      </c>
      <c r="Q534">
        <v>1739</v>
      </c>
      <c r="R534">
        <v>875</v>
      </c>
      <c r="S534">
        <v>1552</v>
      </c>
      <c r="T534">
        <v>0</v>
      </c>
      <c r="U534">
        <v>2355</v>
      </c>
      <c r="V534" s="1">
        <f t="shared" si="24"/>
        <v>0.2475</v>
      </c>
      <c r="W534" s="1">
        <f t="shared" si="25"/>
        <v>5.8999999999999999E-3</v>
      </c>
      <c r="X534" s="1">
        <f t="shared" si="26"/>
        <v>2E-3</v>
      </c>
    </row>
    <row r="535" spans="1:24" x14ac:dyDescent="0.25">
      <c r="A535">
        <v>2021</v>
      </c>
      <c r="B535">
        <v>6</v>
      </c>
      <c r="C535" t="s">
        <v>43</v>
      </c>
      <c r="D535" t="str">
        <f>_xlfn.XLOOKUP(C535,'Carrier Name Rename'!A:A,'Carrier Name Rename'!B:B)</f>
        <v>Southwest Airlines Co.</v>
      </c>
      <c r="E535" t="s">
        <v>23</v>
      </c>
      <c r="F535" t="s">
        <v>24</v>
      </c>
      <c r="G535">
        <v>890</v>
      </c>
      <c r="H535">
        <v>305</v>
      </c>
      <c r="I535">
        <v>126.57</v>
      </c>
      <c r="J535">
        <v>1.3</v>
      </c>
      <c r="K535">
        <v>42.72</v>
      </c>
      <c r="L535">
        <v>0</v>
      </c>
      <c r="M535">
        <v>134.41</v>
      </c>
      <c r="N535">
        <v>24</v>
      </c>
      <c r="O535">
        <v>0</v>
      </c>
      <c r="P535">
        <v>18975</v>
      </c>
      <c r="Q535">
        <v>7290</v>
      </c>
      <c r="R535">
        <v>132</v>
      </c>
      <c r="S535">
        <v>1677</v>
      </c>
      <c r="T535">
        <v>0</v>
      </c>
      <c r="U535">
        <v>9876</v>
      </c>
      <c r="V535" s="1">
        <f t="shared" si="24"/>
        <v>0.3427</v>
      </c>
      <c r="W535" s="1">
        <f t="shared" si="25"/>
        <v>2.7E-2</v>
      </c>
      <c r="X535" s="1">
        <f t="shared" si="26"/>
        <v>0</v>
      </c>
    </row>
    <row r="536" spans="1:24" x14ac:dyDescent="0.25">
      <c r="A536">
        <v>2021</v>
      </c>
      <c r="B536">
        <v>5</v>
      </c>
      <c r="C536" t="s">
        <v>31</v>
      </c>
      <c r="D536" t="str">
        <f>_xlfn.XLOOKUP(C536,'Carrier Name Rename'!A:A,'Carrier Name Rename'!B:B)</f>
        <v>American Airlines Inc.</v>
      </c>
      <c r="E536" t="s">
        <v>23</v>
      </c>
      <c r="F536" t="s">
        <v>24</v>
      </c>
      <c r="G536">
        <v>462</v>
      </c>
      <c r="H536">
        <v>76</v>
      </c>
      <c r="I536">
        <v>24.22</v>
      </c>
      <c r="J536">
        <v>4.49</v>
      </c>
      <c r="K536">
        <v>26.3</v>
      </c>
      <c r="L536">
        <v>1.19</v>
      </c>
      <c r="M536">
        <v>19.79</v>
      </c>
      <c r="N536">
        <v>6</v>
      </c>
      <c r="O536">
        <v>2</v>
      </c>
      <c r="P536">
        <v>4190</v>
      </c>
      <c r="Q536">
        <v>1005</v>
      </c>
      <c r="R536">
        <v>475</v>
      </c>
      <c r="S536">
        <v>838</v>
      </c>
      <c r="T536">
        <v>84</v>
      </c>
      <c r="U536">
        <v>1788</v>
      </c>
      <c r="V536" s="1">
        <f t="shared" si="24"/>
        <v>0.16450000000000001</v>
      </c>
      <c r="W536" s="1">
        <f t="shared" si="25"/>
        <v>1.2999999999999999E-2</v>
      </c>
      <c r="X536" s="1">
        <f t="shared" si="26"/>
        <v>4.3E-3</v>
      </c>
    </row>
    <row r="537" spans="1:24" x14ac:dyDescent="0.25">
      <c r="A537">
        <v>2021</v>
      </c>
      <c r="B537">
        <v>5</v>
      </c>
      <c r="C537" t="s">
        <v>33</v>
      </c>
      <c r="D537" t="str">
        <f>_xlfn.XLOOKUP(C537,'Carrier Name Rename'!A:A,'Carrier Name Rename'!B:B)</f>
        <v>Alaska Airlines Inc.</v>
      </c>
      <c r="E537" t="s">
        <v>23</v>
      </c>
      <c r="F537" t="s">
        <v>24</v>
      </c>
      <c r="G537">
        <v>5602</v>
      </c>
      <c r="H537">
        <v>514</v>
      </c>
      <c r="I537">
        <v>145.56</v>
      </c>
      <c r="J537">
        <v>9.61</v>
      </c>
      <c r="K537">
        <v>222.87</v>
      </c>
      <c r="L537">
        <v>2.4700000000000002</v>
      </c>
      <c r="M537">
        <v>133.49</v>
      </c>
      <c r="N537">
        <v>13</v>
      </c>
      <c r="O537">
        <v>5</v>
      </c>
      <c r="P537">
        <v>21971</v>
      </c>
      <c r="Q537">
        <v>8481</v>
      </c>
      <c r="R537">
        <v>950</v>
      </c>
      <c r="S537">
        <v>5981</v>
      </c>
      <c r="T537">
        <v>68</v>
      </c>
      <c r="U537">
        <v>6491</v>
      </c>
      <c r="V537" s="1">
        <f t="shared" si="24"/>
        <v>9.1800000000000007E-2</v>
      </c>
      <c r="W537" s="1">
        <f t="shared" si="25"/>
        <v>2.3E-3</v>
      </c>
      <c r="X537" s="1">
        <f t="shared" si="26"/>
        <v>8.9999999999999998E-4</v>
      </c>
    </row>
    <row r="538" spans="1:24" x14ac:dyDescent="0.25">
      <c r="A538">
        <v>2021</v>
      </c>
      <c r="B538">
        <v>5</v>
      </c>
      <c r="C538" t="s">
        <v>35</v>
      </c>
      <c r="D538" t="str">
        <f>_xlfn.XLOOKUP(C538,'Carrier Name Rename'!A:A,'Carrier Name Rename'!B:B)</f>
        <v>JetBlue Airways</v>
      </c>
      <c r="E538" t="s">
        <v>23</v>
      </c>
      <c r="F538" t="s">
        <v>24</v>
      </c>
      <c r="G538">
        <v>77</v>
      </c>
      <c r="H538">
        <v>11</v>
      </c>
      <c r="I538">
        <v>2.8</v>
      </c>
      <c r="J538">
        <v>0.56000000000000005</v>
      </c>
      <c r="K538">
        <v>6.5</v>
      </c>
      <c r="L538">
        <v>0</v>
      </c>
      <c r="M538">
        <v>1.1399999999999999</v>
      </c>
      <c r="N538">
        <v>1</v>
      </c>
      <c r="O538">
        <v>0</v>
      </c>
      <c r="P538">
        <v>401</v>
      </c>
      <c r="Q538">
        <v>153</v>
      </c>
      <c r="R538">
        <v>34</v>
      </c>
      <c r="S538">
        <v>173</v>
      </c>
      <c r="T538">
        <v>0</v>
      </c>
      <c r="U538">
        <v>41</v>
      </c>
      <c r="V538" s="1">
        <f t="shared" si="24"/>
        <v>0.1429</v>
      </c>
      <c r="W538" s="1">
        <f t="shared" si="25"/>
        <v>1.2999999999999999E-2</v>
      </c>
      <c r="X538" s="1">
        <f t="shared" si="26"/>
        <v>0</v>
      </c>
    </row>
    <row r="539" spans="1:24" x14ac:dyDescent="0.25">
      <c r="A539">
        <v>2021</v>
      </c>
      <c r="B539">
        <v>5</v>
      </c>
      <c r="C539" t="s">
        <v>37</v>
      </c>
      <c r="D539" t="str">
        <f>_xlfn.XLOOKUP(C539,'Carrier Name Rename'!A:A,'Carrier Name Rename'!B:B)</f>
        <v>Delta Air Lines Inc.</v>
      </c>
      <c r="E539" t="s">
        <v>23</v>
      </c>
      <c r="F539" t="s">
        <v>24</v>
      </c>
      <c r="G539">
        <v>2097</v>
      </c>
      <c r="H539">
        <v>176</v>
      </c>
      <c r="I539">
        <v>77.22</v>
      </c>
      <c r="J539">
        <v>3.23</v>
      </c>
      <c r="K539">
        <v>62.47</v>
      </c>
      <c r="L539">
        <v>1</v>
      </c>
      <c r="M539">
        <v>32.08</v>
      </c>
      <c r="N539">
        <v>1</v>
      </c>
      <c r="O539">
        <v>2</v>
      </c>
      <c r="P539">
        <v>10837</v>
      </c>
      <c r="Q539">
        <v>5681</v>
      </c>
      <c r="R539">
        <v>500</v>
      </c>
      <c r="S539">
        <v>1501</v>
      </c>
      <c r="T539">
        <v>51</v>
      </c>
      <c r="U539">
        <v>3104</v>
      </c>
      <c r="V539" s="1">
        <f t="shared" si="24"/>
        <v>8.3900000000000002E-2</v>
      </c>
      <c r="W539" s="1">
        <f t="shared" si="25"/>
        <v>5.0000000000000001E-4</v>
      </c>
      <c r="X539" s="1">
        <f t="shared" si="26"/>
        <v>1E-3</v>
      </c>
    </row>
    <row r="540" spans="1:24" x14ac:dyDescent="0.25">
      <c r="A540">
        <v>2021</v>
      </c>
      <c r="B540">
        <v>5</v>
      </c>
      <c r="C540" t="s">
        <v>39</v>
      </c>
      <c r="D540" t="str">
        <f>_xlfn.XLOOKUP(C540,'Carrier Name Rename'!A:A,'Carrier Name Rename'!B:B)</f>
        <v>Frontier Airlines Inc.</v>
      </c>
      <c r="E540" t="s">
        <v>23</v>
      </c>
      <c r="F540" t="s">
        <v>24</v>
      </c>
      <c r="G540">
        <v>50</v>
      </c>
      <c r="H540">
        <v>6</v>
      </c>
      <c r="I540">
        <v>2.54</v>
      </c>
      <c r="J540">
        <v>0</v>
      </c>
      <c r="K540">
        <v>1.25</v>
      </c>
      <c r="L540">
        <v>0</v>
      </c>
      <c r="M540">
        <v>2.21</v>
      </c>
      <c r="N540">
        <v>0</v>
      </c>
      <c r="O540">
        <v>0</v>
      </c>
      <c r="P540">
        <v>291</v>
      </c>
      <c r="Q540">
        <v>61</v>
      </c>
      <c r="R540">
        <v>0</v>
      </c>
      <c r="S540">
        <v>51</v>
      </c>
      <c r="T540">
        <v>0</v>
      </c>
      <c r="U540">
        <v>179</v>
      </c>
      <c r="V540" s="1">
        <f t="shared" si="24"/>
        <v>0.12</v>
      </c>
      <c r="W540" s="1">
        <f t="shared" si="25"/>
        <v>0</v>
      </c>
      <c r="X540" s="1">
        <f t="shared" si="26"/>
        <v>0</v>
      </c>
    </row>
    <row r="541" spans="1:24" x14ac:dyDescent="0.25">
      <c r="A541">
        <v>2021</v>
      </c>
      <c r="B541">
        <v>5</v>
      </c>
      <c r="C541" t="s">
        <v>21</v>
      </c>
      <c r="D541" t="str">
        <f>_xlfn.XLOOKUP(C541,'Carrier Name Rename'!A:A,'Carrier Name Rename'!B:B)</f>
        <v>Hawaiian Airlines Inc.</v>
      </c>
      <c r="E541" t="s">
        <v>23</v>
      </c>
      <c r="F541" t="s">
        <v>24</v>
      </c>
      <c r="G541">
        <v>62</v>
      </c>
      <c r="H541">
        <v>8</v>
      </c>
      <c r="I541">
        <v>6.71</v>
      </c>
      <c r="J541">
        <v>0</v>
      </c>
      <c r="K541">
        <v>0</v>
      </c>
      <c r="L541">
        <v>0</v>
      </c>
      <c r="M541">
        <v>1.29</v>
      </c>
      <c r="N541">
        <v>0</v>
      </c>
      <c r="O541">
        <v>0</v>
      </c>
      <c r="P541">
        <v>218</v>
      </c>
      <c r="Q541">
        <v>165</v>
      </c>
      <c r="R541">
        <v>0</v>
      </c>
      <c r="S541">
        <v>0</v>
      </c>
      <c r="T541">
        <v>0</v>
      </c>
      <c r="U541">
        <v>53</v>
      </c>
      <c r="V541" s="1">
        <f t="shared" si="24"/>
        <v>0.129</v>
      </c>
      <c r="W541" s="1">
        <f t="shared" si="25"/>
        <v>0</v>
      </c>
      <c r="X541" s="1">
        <f t="shared" si="26"/>
        <v>0</v>
      </c>
    </row>
    <row r="542" spans="1:24" x14ac:dyDescent="0.25">
      <c r="A542">
        <v>2021</v>
      </c>
      <c r="B542">
        <v>5</v>
      </c>
      <c r="C542" t="s">
        <v>25</v>
      </c>
      <c r="D542" t="str">
        <f>_xlfn.XLOOKUP(C542,'Carrier Name Rename'!A:A,'Carrier Name Rename'!B:B)</f>
        <v>Spirit Airlines</v>
      </c>
      <c r="E542" t="s">
        <v>23</v>
      </c>
      <c r="F542" t="s">
        <v>24</v>
      </c>
      <c r="G542">
        <v>61</v>
      </c>
      <c r="H542">
        <v>6</v>
      </c>
      <c r="I542">
        <v>0.2</v>
      </c>
      <c r="J542">
        <v>0.65</v>
      </c>
      <c r="K542">
        <v>4.53</v>
      </c>
      <c r="L542">
        <v>0</v>
      </c>
      <c r="M542">
        <v>0.63</v>
      </c>
      <c r="N542">
        <v>0</v>
      </c>
      <c r="O542">
        <v>0</v>
      </c>
      <c r="P542">
        <v>115</v>
      </c>
      <c r="Q542">
        <v>3</v>
      </c>
      <c r="R542">
        <v>11</v>
      </c>
      <c r="S542">
        <v>86</v>
      </c>
      <c r="T542">
        <v>0</v>
      </c>
      <c r="U542">
        <v>15</v>
      </c>
      <c r="V542" s="1">
        <f t="shared" si="24"/>
        <v>9.8400000000000001E-2</v>
      </c>
      <c r="W542" s="1">
        <f t="shared" si="25"/>
        <v>0</v>
      </c>
      <c r="X542" s="1">
        <f t="shared" si="26"/>
        <v>0</v>
      </c>
    </row>
    <row r="543" spans="1:24" x14ac:dyDescent="0.25">
      <c r="A543">
        <v>2021</v>
      </c>
      <c r="B543">
        <v>5</v>
      </c>
      <c r="C543" t="s">
        <v>27</v>
      </c>
      <c r="D543" t="str">
        <f>_xlfn.XLOOKUP(C543,'Carrier Name Rename'!A:A,'Carrier Name Rename'!B:B)</f>
        <v>SkyWest Airlines Inc.</v>
      </c>
      <c r="E543" t="s">
        <v>23</v>
      </c>
      <c r="F543" t="s">
        <v>24</v>
      </c>
      <c r="G543">
        <v>2036</v>
      </c>
      <c r="H543">
        <v>151</v>
      </c>
      <c r="I543">
        <v>114</v>
      </c>
      <c r="J543">
        <v>20</v>
      </c>
      <c r="K543">
        <v>2</v>
      </c>
      <c r="L543">
        <v>1</v>
      </c>
      <c r="M543">
        <v>14</v>
      </c>
      <c r="N543">
        <v>1</v>
      </c>
      <c r="O543">
        <v>3</v>
      </c>
      <c r="P543">
        <v>9463</v>
      </c>
      <c r="Q543">
        <v>6741</v>
      </c>
      <c r="R543">
        <v>1919</v>
      </c>
      <c r="S543">
        <v>85</v>
      </c>
      <c r="T543">
        <v>32</v>
      </c>
      <c r="U543">
        <v>686</v>
      </c>
      <c r="V543" s="1">
        <f t="shared" si="24"/>
        <v>7.4200000000000002E-2</v>
      </c>
      <c r="W543" s="1">
        <f t="shared" si="25"/>
        <v>5.0000000000000001E-4</v>
      </c>
      <c r="X543" s="1">
        <f t="shared" si="26"/>
        <v>1.5E-3</v>
      </c>
    </row>
    <row r="544" spans="1:24" x14ac:dyDescent="0.25">
      <c r="A544">
        <v>2021</v>
      </c>
      <c r="B544">
        <v>5</v>
      </c>
      <c r="C544" t="s">
        <v>29</v>
      </c>
      <c r="D544" t="str">
        <f>_xlfn.XLOOKUP(C544,'Carrier Name Rename'!A:A,'Carrier Name Rename'!B:B)</f>
        <v>Horizon Air</v>
      </c>
      <c r="E544" t="s">
        <v>23</v>
      </c>
      <c r="F544" t="s">
        <v>24</v>
      </c>
      <c r="G544">
        <v>3004</v>
      </c>
      <c r="H544">
        <v>274</v>
      </c>
      <c r="I544">
        <v>84.09</v>
      </c>
      <c r="J544">
        <v>2.98</v>
      </c>
      <c r="K544">
        <v>110.92</v>
      </c>
      <c r="L544">
        <v>0.94</v>
      </c>
      <c r="M544">
        <v>75.069999999999993</v>
      </c>
      <c r="N544">
        <v>15</v>
      </c>
      <c r="O544">
        <v>4</v>
      </c>
      <c r="P544">
        <v>13965</v>
      </c>
      <c r="Q544">
        <v>7150</v>
      </c>
      <c r="R544">
        <v>194</v>
      </c>
      <c r="S544">
        <v>3135</v>
      </c>
      <c r="T544">
        <v>17</v>
      </c>
      <c r="U544">
        <v>3469</v>
      </c>
      <c r="V544" s="1">
        <f t="shared" si="24"/>
        <v>9.1200000000000003E-2</v>
      </c>
      <c r="W544" s="1">
        <f t="shared" si="25"/>
        <v>5.0000000000000001E-3</v>
      </c>
      <c r="X544" s="1">
        <f t="shared" si="26"/>
        <v>1.2999999999999999E-3</v>
      </c>
    </row>
    <row r="545" spans="1:24" x14ac:dyDescent="0.25">
      <c r="A545">
        <v>2021</v>
      </c>
      <c r="B545">
        <v>5</v>
      </c>
      <c r="C545" t="s">
        <v>41</v>
      </c>
      <c r="D545" t="str">
        <f>_xlfn.XLOOKUP(C545,'Carrier Name Rename'!A:A,'Carrier Name Rename'!B:B)</f>
        <v>United Air Lines Inc.</v>
      </c>
      <c r="E545" t="s">
        <v>23</v>
      </c>
      <c r="F545" t="s">
        <v>24</v>
      </c>
      <c r="G545">
        <v>406</v>
      </c>
      <c r="H545">
        <v>53</v>
      </c>
      <c r="I545">
        <v>20.29</v>
      </c>
      <c r="J545">
        <v>4.8600000000000003</v>
      </c>
      <c r="K545">
        <v>16.149999999999999</v>
      </c>
      <c r="L545">
        <v>0</v>
      </c>
      <c r="M545">
        <v>11.7</v>
      </c>
      <c r="N545">
        <v>0</v>
      </c>
      <c r="O545">
        <v>0</v>
      </c>
      <c r="P545">
        <v>2928</v>
      </c>
      <c r="Q545">
        <v>1067</v>
      </c>
      <c r="R545">
        <v>362</v>
      </c>
      <c r="S545">
        <v>503</v>
      </c>
      <c r="T545">
        <v>0</v>
      </c>
      <c r="U545">
        <v>996</v>
      </c>
      <c r="V545" s="1">
        <f t="shared" si="24"/>
        <v>0.1305</v>
      </c>
      <c r="W545" s="1">
        <f t="shared" si="25"/>
        <v>0</v>
      </c>
      <c r="X545" s="1">
        <f t="shared" si="26"/>
        <v>0</v>
      </c>
    </row>
    <row r="546" spans="1:24" x14ac:dyDescent="0.25">
      <c r="A546">
        <v>2021</v>
      </c>
      <c r="B546">
        <v>5</v>
      </c>
      <c r="C546" t="s">
        <v>43</v>
      </c>
      <c r="D546" t="str">
        <f>_xlfn.XLOOKUP(C546,'Carrier Name Rename'!A:A,'Carrier Name Rename'!B:B)</f>
        <v>Southwest Airlines Co.</v>
      </c>
      <c r="E546" t="s">
        <v>23</v>
      </c>
      <c r="F546" t="s">
        <v>24</v>
      </c>
      <c r="G546">
        <v>554</v>
      </c>
      <c r="H546">
        <v>110</v>
      </c>
      <c r="I546">
        <v>53.36</v>
      </c>
      <c r="J546">
        <v>1.45</v>
      </c>
      <c r="K546">
        <v>8.4499999999999993</v>
      </c>
      <c r="L546">
        <v>0</v>
      </c>
      <c r="M546">
        <v>46.74</v>
      </c>
      <c r="N546">
        <v>0</v>
      </c>
      <c r="O546">
        <v>0</v>
      </c>
      <c r="P546">
        <v>5880</v>
      </c>
      <c r="Q546">
        <v>2267</v>
      </c>
      <c r="R546">
        <v>89</v>
      </c>
      <c r="S546">
        <v>191</v>
      </c>
      <c r="T546">
        <v>0</v>
      </c>
      <c r="U546">
        <v>3333</v>
      </c>
      <c r="V546" s="1">
        <f t="shared" si="24"/>
        <v>0.1986</v>
      </c>
      <c r="W546" s="1">
        <f t="shared" si="25"/>
        <v>0</v>
      </c>
      <c r="X546" s="1">
        <f t="shared" si="26"/>
        <v>0</v>
      </c>
    </row>
    <row r="547" spans="1:24" x14ac:dyDescent="0.25">
      <c r="A547">
        <v>2021</v>
      </c>
      <c r="B547">
        <v>4</v>
      </c>
      <c r="C547" t="s">
        <v>37</v>
      </c>
      <c r="D547" t="str">
        <f>_xlfn.XLOOKUP(C547,'Carrier Name Rename'!A:A,'Carrier Name Rename'!B:B)</f>
        <v>Delta Air Lines Inc.</v>
      </c>
      <c r="E547" t="s">
        <v>23</v>
      </c>
      <c r="F547" t="s">
        <v>24</v>
      </c>
      <c r="G547">
        <v>1747</v>
      </c>
      <c r="H547">
        <v>77</v>
      </c>
      <c r="I547">
        <v>38.75</v>
      </c>
      <c r="J547">
        <v>1</v>
      </c>
      <c r="K547">
        <v>21.5</v>
      </c>
      <c r="L547">
        <v>0</v>
      </c>
      <c r="M547">
        <v>15.75</v>
      </c>
      <c r="N547">
        <v>1</v>
      </c>
      <c r="O547">
        <v>2</v>
      </c>
      <c r="P547">
        <v>7663</v>
      </c>
      <c r="Q547">
        <v>5433</v>
      </c>
      <c r="R547">
        <v>103</v>
      </c>
      <c r="S547">
        <v>632</v>
      </c>
      <c r="T547">
        <v>0</v>
      </c>
      <c r="U547">
        <v>1495</v>
      </c>
      <c r="V547" s="1">
        <f t="shared" si="24"/>
        <v>4.41E-2</v>
      </c>
      <c r="W547" s="1">
        <f t="shared" si="25"/>
        <v>5.9999999999999995E-4</v>
      </c>
      <c r="X547" s="1">
        <f t="shared" si="26"/>
        <v>1.1000000000000001E-3</v>
      </c>
    </row>
    <row r="548" spans="1:24" x14ac:dyDescent="0.25">
      <c r="A548">
        <v>2021</v>
      </c>
      <c r="B548">
        <v>4</v>
      </c>
      <c r="C548" t="s">
        <v>39</v>
      </c>
      <c r="D548" t="str">
        <f>_xlfn.XLOOKUP(C548,'Carrier Name Rename'!A:A,'Carrier Name Rename'!B:B)</f>
        <v>Frontier Airlines Inc.</v>
      </c>
      <c r="E548" t="s">
        <v>23</v>
      </c>
      <c r="F548" t="s">
        <v>24</v>
      </c>
      <c r="G548">
        <v>42</v>
      </c>
      <c r="H548">
        <v>3</v>
      </c>
      <c r="I548">
        <v>1</v>
      </c>
      <c r="J548">
        <v>0</v>
      </c>
      <c r="K548">
        <v>1</v>
      </c>
      <c r="L548">
        <v>0</v>
      </c>
      <c r="M548">
        <v>1</v>
      </c>
      <c r="N548">
        <v>0</v>
      </c>
      <c r="O548">
        <v>0</v>
      </c>
      <c r="P548">
        <v>356</v>
      </c>
      <c r="Q548">
        <v>17</v>
      </c>
      <c r="R548">
        <v>0</v>
      </c>
      <c r="S548">
        <v>28</v>
      </c>
      <c r="T548">
        <v>0</v>
      </c>
      <c r="U548">
        <v>311</v>
      </c>
      <c r="V548" s="1">
        <f t="shared" si="24"/>
        <v>7.1400000000000005E-2</v>
      </c>
      <c r="W548" s="1">
        <f t="shared" si="25"/>
        <v>0</v>
      </c>
      <c r="X548" s="1">
        <f t="shared" si="26"/>
        <v>0</v>
      </c>
    </row>
    <row r="549" spans="1:24" x14ac:dyDescent="0.25">
      <c r="A549">
        <v>2021</v>
      </c>
      <c r="B549">
        <v>4</v>
      </c>
      <c r="C549" t="s">
        <v>21</v>
      </c>
      <c r="D549" t="str">
        <f>_xlfn.XLOOKUP(C549,'Carrier Name Rename'!A:A,'Carrier Name Rename'!B:B)</f>
        <v>Hawaiian Airlines Inc.</v>
      </c>
      <c r="E549" t="s">
        <v>23</v>
      </c>
      <c r="F549" t="s">
        <v>24</v>
      </c>
      <c r="G549">
        <v>61</v>
      </c>
      <c r="H549">
        <v>23</v>
      </c>
      <c r="I549">
        <v>22.95</v>
      </c>
      <c r="J549">
        <v>0</v>
      </c>
      <c r="K549">
        <v>0</v>
      </c>
      <c r="L549">
        <v>0</v>
      </c>
      <c r="M549">
        <v>0.05</v>
      </c>
      <c r="N549">
        <v>0</v>
      </c>
      <c r="O549">
        <v>0</v>
      </c>
      <c r="P549">
        <v>627</v>
      </c>
      <c r="Q549">
        <v>625</v>
      </c>
      <c r="R549">
        <v>0</v>
      </c>
      <c r="S549">
        <v>0</v>
      </c>
      <c r="T549">
        <v>0</v>
      </c>
      <c r="U549">
        <v>2</v>
      </c>
      <c r="V549" s="1">
        <f t="shared" si="24"/>
        <v>0.377</v>
      </c>
      <c r="W549" s="1">
        <f t="shared" si="25"/>
        <v>0</v>
      </c>
      <c r="X549" s="1">
        <f t="shared" si="26"/>
        <v>0</v>
      </c>
    </row>
    <row r="550" spans="1:24" x14ac:dyDescent="0.25">
      <c r="A550">
        <v>2021</v>
      </c>
      <c r="B550">
        <v>4</v>
      </c>
      <c r="C550" t="s">
        <v>25</v>
      </c>
      <c r="D550" t="str">
        <f>_xlfn.XLOOKUP(C550,'Carrier Name Rename'!A:A,'Carrier Name Rename'!B:B)</f>
        <v>Spirit Airlines</v>
      </c>
      <c r="E550" t="s">
        <v>23</v>
      </c>
      <c r="F550" t="s">
        <v>24</v>
      </c>
      <c r="G550">
        <v>58</v>
      </c>
      <c r="H550">
        <v>6</v>
      </c>
      <c r="I550">
        <v>1.1299999999999999</v>
      </c>
      <c r="J550">
        <v>0</v>
      </c>
      <c r="K550">
        <v>3.06</v>
      </c>
      <c r="L550">
        <v>0</v>
      </c>
      <c r="M550">
        <v>1.8</v>
      </c>
      <c r="N550">
        <v>0</v>
      </c>
      <c r="O550">
        <v>0</v>
      </c>
      <c r="P550">
        <v>136</v>
      </c>
      <c r="Q550">
        <v>19</v>
      </c>
      <c r="R550">
        <v>0</v>
      </c>
      <c r="S550">
        <v>74</v>
      </c>
      <c r="T550">
        <v>0</v>
      </c>
      <c r="U550">
        <v>43</v>
      </c>
      <c r="V550" s="1">
        <f t="shared" si="24"/>
        <v>0.10340000000000001</v>
      </c>
      <c r="W550" s="1">
        <f t="shared" si="25"/>
        <v>0</v>
      </c>
      <c r="X550" s="1">
        <f t="shared" si="26"/>
        <v>0</v>
      </c>
    </row>
    <row r="551" spans="1:24" x14ac:dyDescent="0.25">
      <c r="A551">
        <v>2021</v>
      </c>
      <c r="B551">
        <v>4</v>
      </c>
      <c r="C551" t="s">
        <v>27</v>
      </c>
      <c r="D551" t="str">
        <f>_xlfn.XLOOKUP(C551,'Carrier Name Rename'!A:A,'Carrier Name Rename'!B:B)</f>
        <v>SkyWest Airlines Inc.</v>
      </c>
      <c r="E551" t="s">
        <v>23</v>
      </c>
      <c r="F551" t="s">
        <v>24</v>
      </c>
      <c r="G551">
        <v>1793</v>
      </c>
      <c r="H551">
        <v>87</v>
      </c>
      <c r="I551">
        <v>64</v>
      </c>
      <c r="J551">
        <v>15</v>
      </c>
      <c r="K551">
        <v>2</v>
      </c>
      <c r="L551">
        <v>1</v>
      </c>
      <c r="M551">
        <v>5</v>
      </c>
      <c r="N551">
        <v>0</v>
      </c>
      <c r="O551">
        <v>2</v>
      </c>
      <c r="P551">
        <v>5286</v>
      </c>
      <c r="Q551">
        <v>3277</v>
      </c>
      <c r="R551">
        <v>1664</v>
      </c>
      <c r="S551">
        <v>65</v>
      </c>
      <c r="T551">
        <v>20</v>
      </c>
      <c r="U551">
        <v>260</v>
      </c>
      <c r="V551" s="1">
        <f t="shared" si="24"/>
        <v>4.8500000000000001E-2</v>
      </c>
      <c r="W551" s="1">
        <f t="shared" si="25"/>
        <v>0</v>
      </c>
      <c r="X551" s="1">
        <f t="shared" si="26"/>
        <v>1.1000000000000001E-3</v>
      </c>
    </row>
    <row r="552" spans="1:24" x14ac:dyDescent="0.25">
      <c r="A552">
        <v>2021</v>
      </c>
      <c r="B552">
        <v>4</v>
      </c>
      <c r="C552" t="s">
        <v>29</v>
      </c>
      <c r="D552" t="str">
        <f>_xlfn.XLOOKUP(C552,'Carrier Name Rename'!A:A,'Carrier Name Rename'!B:B)</f>
        <v>Horizon Air</v>
      </c>
      <c r="E552" t="s">
        <v>23</v>
      </c>
      <c r="F552" t="s">
        <v>24</v>
      </c>
      <c r="G552">
        <v>2787</v>
      </c>
      <c r="H552">
        <v>202</v>
      </c>
      <c r="I552">
        <v>51.35</v>
      </c>
      <c r="J552">
        <v>0.91</v>
      </c>
      <c r="K552">
        <v>85.19</v>
      </c>
      <c r="L552">
        <v>0.71</v>
      </c>
      <c r="M552">
        <v>63.84</v>
      </c>
      <c r="N552">
        <v>16</v>
      </c>
      <c r="O552">
        <v>1</v>
      </c>
      <c r="P552">
        <v>8092</v>
      </c>
      <c r="Q552">
        <v>2675</v>
      </c>
      <c r="R552">
        <v>37</v>
      </c>
      <c r="S552">
        <v>2533</v>
      </c>
      <c r="T552">
        <v>20</v>
      </c>
      <c r="U552">
        <v>2827</v>
      </c>
      <c r="V552" s="1">
        <f t="shared" si="24"/>
        <v>7.2499999999999995E-2</v>
      </c>
      <c r="W552" s="1">
        <f t="shared" si="25"/>
        <v>5.7000000000000002E-3</v>
      </c>
      <c r="X552" s="1">
        <f t="shared" si="26"/>
        <v>4.0000000000000002E-4</v>
      </c>
    </row>
    <row r="553" spans="1:24" x14ac:dyDescent="0.25">
      <c r="A553">
        <v>2021</v>
      </c>
      <c r="B553">
        <v>4</v>
      </c>
      <c r="C553" t="s">
        <v>41</v>
      </c>
      <c r="D553" t="str">
        <f>_xlfn.XLOOKUP(C553,'Carrier Name Rename'!A:A,'Carrier Name Rename'!B:B)</f>
        <v>United Air Lines Inc.</v>
      </c>
      <c r="E553" t="s">
        <v>23</v>
      </c>
      <c r="F553" t="s">
        <v>24</v>
      </c>
      <c r="G553">
        <v>315</v>
      </c>
      <c r="H553">
        <v>28</v>
      </c>
      <c r="I553">
        <v>11.5</v>
      </c>
      <c r="J553">
        <v>1</v>
      </c>
      <c r="K553">
        <v>11.49</v>
      </c>
      <c r="L553">
        <v>0</v>
      </c>
      <c r="M553">
        <v>4.0199999999999996</v>
      </c>
      <c r="N553">
        <v>0</v>
      </c>
      <c r="O553">
        <v>0</v>
      </c>
      <c r="P553">
        <v>1361</v>
      </c>
      <c r="Q553">
        <v>560</v>
      </c>
      <c r="R553">
        <v>56</v>
      </c>
      <c r="S553">
        <v>335</v>
      </c>
      <c r="T553">
        <v>0</v>
      </c>
      <c r="U553">
        <v>410</v>
      </c>
      <c r="V553" s="1">
        <f t="shared" si="24"/>
        <v>8.8900000000000007E-2</v>
      </c>
      <c r="W553" s="1">
        <f t="shared" si="25"/>
        <v>0</v>
      </c>
      <c r="X553" s="1">
        <f t="shared" si="26"/>
        <v>0</v>
      </c>
    </row>
    <row r="554" spans="1:24" x14ac:dyDescent="0.25">
      <c r="A554">
        <v>2021</v>
      </c>
      <c r="B554">
        <v>4</v>
      </c>
      <c r="C554" t="s">
        <v>43</v>
      </c>
      <c r="D554" t="str">
        <f>_xlfn.XLOOKUP(C554,'Carrier Name Rename'!A:A,'Carrier Name Rename'!B:B)</f>
        <v>Southwest Airlines Co.</v>
      </c>
      <c r="E554" t="s">
        <v>23</v>
      </c>
      <c r="F554" t="s">
        <v>24</v>
      </c>
      <c r="G554">
        <v>448</v>
      </c>
      <c r="H554">
        <v>48</v>
      </c>
      <c r="I554">
        <v>28.13</v>
      </c>
      <c r="J554">
        <v>0</v>
      </c>
      <c r="K554">
        <v>5.29</v>
      </c>
      <c r="L554">
        <v>0</v>
      </c>
      <c r="M554">
        <v>14.58</v>
      </c>
      <c r="N554">
        <v>0</v>
      </c>
      <c r="O554">
        <v>1</v>
      </c>
      <c r="P554">
        <v>1964</v>
      </c>
      <c r="Q554">
        <v>1262</v>
      </c>
      <c r="R554">
        <v>0</v>
      </c>
      <c r="S554">
        <v>158</v>
      </c>
      <c r="T554">
        <v>0</v>
      </c>
      <c r="U554">
        <v>544</v>
      </c>
      <c r="V554" s="1">
        <f t="shared" si="24"/>
        <v>0.1071</v>
      </c>
      <c r="W554" s="1">
        <f t="shared" si="25"/>
        <v>0</v>
      </c>
      <c r="X554" s="1">
        <f t="shared" si="26"/>
        <v>2.2000000000000001E-3</v>
      </c>
    </row>
    <row r="555" spans="1:24" x14ac:dyDescent="0.25">
      <c r="A555">
        <v>2021</v>
      </c>
      <c r="B555">
        <v>4</v>
      </c>
      <c r="C555" t="s">
        <v>31</v>
      </c>
      <c r="D555" t="str">
        <f>_xlfn.XLOOKUP(C555,'Carrier Name Rename'!A:A,'Carrier Name Rename'!B:B)</f>
        <v>American Airlines Inc.</v>
      </c>
      <c r="E555" t="s">
        <v>23</v>
      </c>
      <c r="F555" t="s">
        <v>24</v>
      </c>
      <c r="G555">
        <v>426</v>
      </c>
      <c r="H555">
        <v>41</v>
      </c>
      <c r="I555">
        <v>19.399999999999999</v>
      </c>
      <c r="J555">
        <v>0.2</v>
      </c>
      <c r="K555">
        <v>13.34</v>
      </c>
      <c r="L555">
        <v>0</v>
      </c>
      <c r="M555">
        <v>8.06</v>
      </c>
      <c r="N555">
        <v>1</v>
      </c>
      <c r="O555">
        <v>1</v>
      </c>
      <c r="P555">
        <v>2565</v>
      </c>
      <c r="Q555">
        <v>1573</v>
      </c>
      <c r="R555">
        <v>25</v>
      </c>
      <c r="S555">
        <v>390</v>
      </c>
      <c r="T555">
        <v>0</v>
      </c>
      <c r="U555">
        <v>577</v>
      </c>
      <c r="V555" s="1">
        <f t="shared" si="24"/>
        <v>9.6199999999999994E-2</v>
      </c>
      <c r="W555" s="1">
        <f t="shared" si="25"/>
        <v>2.3E-3</v>
      </c>
      <c r="X555" s="1">
        <f t="shared" si="26"/>
        <v>2.3E-3</v>
      </c>
    </row>
    <row r="556" spans="1:24" x14ac:dyDescent="0.25">
      <c r="A556">
        <v>2021</v>
      </c>
      <c r="B556">
        <v>4</v>
      </c>
      <c r="C556" t="s">
        <v>33</v>
      </c>
      <c r="D556" t="str">
        <f>_xlfn.XLOOKUP(C556,'Carrier Name Rename'!A:A,'Carrier Name Rename'!B:B)</f>
        <v>Alaska Airlines Inc.</v>
      </c>
      <c r="E556" t="s">
        <v>23</v>
      </c>
      <c r="F556" t="s">
        <v>24</v>
      </c>
      <c r="G556">
        <v>5402</v>
      </c>
      <c r="H556">
        <v>519</v>
      </c>
      <c r="I556">
        <v>159.68</v>
      </c>
      <c r="J556">
        <v>2.71</v>
      </c>
      <c r="K556">
        <v>215.52</v>
      </c>
      <c r="L556">
        <v>1.21</v>
      </c>
      <c r="M556">
        <v>139.88</v>
      </c>
      <c r="N556">
        <v>42</v>
      </c>
      <c r="O556">
        <v>2</v>
      </c>
      <c r="P556">
        <v>23431</v>
      </c>
      <c r="Q556">
        <v>8437</v>
      </c>
      <c r="R556">
        <v>150</v>
      </c>
      <c r="S556">
        <v>5563</v>
      </c>
      <c r="T556">
        <v>217</v>
      </c>
      <c r="U556">
        <v>9064</v>
      </c>
      <c r="V556" s="1">
        <f t="shared" si="24"/>
        <v>9.6100000000000005E-2</v>
      </c>
      <c r="W556" s="1">
        <f t="shared" si="25"/>
        <v>7.7999999999999996E-3</v>
      </c>
      <c r="X556" s="1">
        <f t="shared" si="26"/>
        <v>4.0000000000000002E-4</v>
      </c>
    </row>
    <row r="557" spans="1:24" x14ac:dyDescent="0.25">
      <c r="A557">
        <v>2021</v>
      </c>
      <c r="B557">
        <v>4</v>
      </c>
      <c r="C557" t="s">
        <v>35</v>
      </c>
      <c r="D557" t="str">
        <f>_xlfn.XLOOKUP(C557,'Carrier Name Rename'!A:A,'Carrier Name Rename'!B:B)</f>
        <v>JetBlue Airways</v>
      </c>
      <c r="E557" t="s">
        <v>23</v>
      </c>
      <c r="F557" t="s">
        <v>24</v>
      </c>
      <c r="G557">
        <v>36</v>
      </c>
      <c r="H557">
        <v>4</v>
      </c>
      <c r="I557">
        <v>3.58</v>
      </c>
      <c r="J557">
        <v>0</v>
      </c>
      <c r="K557">
        <v>0.25</v>
      </c>
      <c r="L557">
        <v>0</v>
      </c>
      <c r="M557">
        <v>0.17</v>
      </c>
      <c r="N557">
        <v>0</v>
      </c>
      <c r="O557">
        <v>0</v>
      </c>
      <c r="P557">
        <v>201</v>
      </c>
      <c r="Q557">
        <v>189</v>
      </c>
      <c r="R557">
        <v>0</v>
      </c>
      <c r="S557">
        <v>5</v>
      </c>
      <c r="T557">
        <v>0</v>
      </c>
      <c r="U557">
        <v>7</v>
      </c>
      <c r="V557" s="1">
        <f t="shared" si="24"/>
        <v>0.1111</v>
      </c>
      <c r="W557" s="1">
        <f t="shared" si="25"/>
        <v>0</v>
      </c>
      <c r="X557" s="1">
        <f t="shared" si="26"/>
        <v>0</v>
      </c>
    </row>
    <row r="558" spans="1:24" x14ac:dyDescent="0.25">
      <c r="A558">
        <v>2021</v>
      </c>
      <c r="B558">
        <v>3</v>
      </c>
      <c r="C558" t="s">
        <v>31</v>
      </c>
      <c r="D558" t="str">
        <f>_xlfn.XLOOKUP(C558,'Carrier Name Rename'!A:A,'Carrier Name Rename'!B:B)</f>
        <v>American Airlines Inc.</v>
      </c>
      <c r="E558" t="s">
        <v>23</v>
      </c>
      <c r="F558" t="s">
        <v>24</v>
      </c>
      <c r="G558">
        <v>375</v>
      </c>
      <c r="H558">
        <v>40</v>
      </c>
      <c r="I558">
        <v>19.7</v>
      </c>
      <c r="J558">
        <v>0.35</v>
      </c>
      <c r="K558">
        <v>9.6199999999999992</v>
      </c>
      <c r="L558">
        <v>0.43</v>
      </c>
      <c r="M558">
        <v>9.89</v>
      </c>
      <c r="N558">
        <v>2</v>
      </c>
      <c r="O558">
        <v>0</v>
      </c>
      <c r="P558">
        <v>2256</v>
      </c>
      <c r="Q558">
        <v>1176</v>
      </c>
      <c r="R558">
        <v>6</v>
      </c>
      <c r="S558">
        <v>251</v>
      </c>
      <c r="T558">
        <v>12</v>
      </c>
      <c r="U558">
        <v>811</v>
      </c>
      <c r="V558" s="1">
        <f t="shared" si="24"/>
        <v>0.1067</v>
      </c>
      <c r="W558" s="1">
        <f t="shared" si="25"/>
        <v>5.3E-3</v>
      </c>
      <c r="X558" s="1">
        <f t="shared" si="26"/>
        <v>0</v>
      </c>
    </row>
    <row r="559" spans="1:24" x14ac:dyDescent="0.25">
      <c r="A559">
        <v>2021</v>
      </c>
      <c r="B559">
        <v>3</v>
      </c>
      <c r="C559" t="s">
        <v>33</v>
      </c>
      <c r="D559" t="str">
        <f>_xlfn.XLOOKUP(C559,'Carrier Name Rename'!A:A,'Carrier Name Rename'!B:B)</f>
        <v>Alaska Airlines Inc.</v>
      </c>
      <c r="E559" t="s">
        <v>23</v>
      </c>
      <c r="F559" t="s">
        <v>24</v>
      </c>
      <c r="G559">
        <v>5209</v>
      </c>
      <c r="H559">
        <v>491</v>
      </c>
      <c r="I559">
        <v>141.06</v>
      </c>
      <c r="J559">
        <v>6.01</v>
      </c>
      <c r="K559">
        <v>200.17</v>
      </c>
      <c r="L559">
        <v>1.86</v>
      </c>
      <c r="M559">
        <v>141.9</v>
      </c>
      <c r="N559">
        <v>88</v>
      </c>
      <c r="O559">
        <v>5</v>
      </c>
      <c r="P559">
        <v>25690</v>
      </c>
      <c r="Q559">
        <v>10172</v>
      </c>
      <c r="R559">
        <v>414</v>
      </c>
      <c r="S559">
        <v>5406</v>
      </c>
      <c r="T559">
        <v>72</v>
      </c>
      <c r="U559">
        <v>9626</v>
      </c>
      <c r="V559" s="1">
        <f t="shared" si="24"/>
        <v>9.4299999999999995E-2</v>
      </c>
      <c r="W559" s="1">
        <f t="shared" si="25"/>
        <v>1.6899999999999998E-2</v>
      </c>
      <c r="X559" s="1">
        <f t="shared" si="26"/>
        <v>1E-3</v>
      </c>
    </row>
    <row r="560" spans="1:24" x14ac:dyDescent="0.25">
      <c r="A560">
        <v>2021</v>
      </c>
      <c r="B560">
        <v>3</v>
      </c>
      <c r="C560" t="s">
        <v>35</v>
      </c>
      <c r="D560" t="str">
        <f>_xlfn.XLOOKUP(C560,'Carrier Name Rename'!A:A,'Carrier Name Rename'!B:B)</f>
        <v>JetBlue Airways</v>
      </c>
      <c r="E560" t="s">
        <v>23</v>
      </c>
      <c r="F560" t="s">
        <v>24</v>
      </c>
      <c r="G560">
        <v>25</v>
      </c>
      <c r="H560">
        <v>5</v>
      </c>
      <c r="I560">
        <v>4.91</v>
      </c>
      <c r="J560">
        <v>0</v>
      </c>
      <c r="K560">
        <v>0</v>
      </c>
      <c r="L560">
        <v>0.09</v>
      </c>
      <c r="M560">
        <v>0</v>
      </c>
      <c r="N560">
        <v>0</v>
      </c>
      <c r="O560">
        <v>0</v>
      </c>
      <c r="P560">
        <v>201</v>
      </c>
      <c r="Q560">
        <v>195</v>
      </c>
      <c r="R560">
        <v>0</v>
      </c>
      <c r="S560">
        <v>0</v>
      </c>
      <c r="T560">
        <v>6</v>
      </c>
      <c r="U560">
        <v>0</v>
      </c>
      <c r="V560" s="1">
        <f t="shared" si="24"/>
        <v>0.2</v>
      </c>
      <c r="W560" s="1">
        <f t="shared" si="25"/>
        <v>0</v>
      </c>
      <c r="X560" s="1">
        <f t="shared" si="26"/>
        <v>0</v>
      </c>
    </row>
    <row r="561" spans="1:24" x14ac:dyDescent="0.25">
      <c r="A561">
        <v>2021</v>
      </c>
      <c r="B561">
        <v>3</v>
      </c>
      <c r="C561" t="s">
        <v>37</v>
      </c>
      <c r="D561" t="str">
        <f>_xlfn.XLOOKUP(C561,'Carrier Name Rename'!A:A,'Carrier Name Rename'!B:B)</f>
        <v>Delta Air Lines Inc.</v>
      </c>
      <c r="E561" t="s">
        <v>23</v>
      </c>
      <c r="F561" t="s">
        <v>24</v>
      </c>
      <c r="G561">
        <v>1721</v>
      </c>
      <c r="H561">
        <v>96</v>
      </c>
      <c r="I561">
        <v>52.01</v>
      </c>
      <c r="J561">
        <v>1.51</v>
      </c>
      <c r="K561">
        <v>29.22</v>
      </c>
      <c r="L561">
        <v>0</v>
      </c>
      <c r="M561">
        <v>13.27</v>
      </c>
      <c r="N561">
        <v>1</v>
      </c>
      <c r="O561">
        <v>2</v>
      </c>
      <c r="P561">
        <v>7425</v>
      </c>
      <c r="Q561">
        <v>5532</v>
      </c>
      <c r="R561">
        <v>50</v>
      </c>
      <c r="S561">
        <v>809</v>
      </c>
      <c r="T561">
        <v>0</v>
      </c>
      <c r="U561">
        <v>1034</v>
      </c>
      <c r="V561" s="1">
        <f t="shared" si="24"/>
        <v>5.5800000000000002E-2</v>
      </c>
      <c r="W561" s="1">
        <f t="shared" si="25"/>
        <v>5.9999999999999995E-4</v>
      </c>
      <c r="X561" s="1">
        <f t="shared" si="26"/>
        <v>1.1999999999999999E-3</v>
      </c>
    </row>
    <row r="562" spans="1:24" x14ac:dyDescent="0.25">
      <c r="A562">
        <v>2021</v>
      </c>
      <c r="B562">
        <v>3</v>
      </c>
      <c r="C562" t="s">
        <v>39</v>
      </c>
      <c r="D562" t="str">
        <f>_xlfn.XLOOKUP(C562,'Carrier Name Rename'!A:A,'Carrier Name Rename'!B:B)</f>
        <v>Frontier Airlines Inc.</v>
      </c>
      <c r="E562" t="s">
        <v>23</v>
      </c>
      <c r="F562" t="s">
        <v>24</v>
      </c>
      <c r="G562">
        <v>39</v>
      </c>
      <c r="H562">
        <v>3</v>
      </c>
      <c r="I562">
        <v>1.7</v>
      </c>
      <c r="J562">
        <v>0</v>
      </c>
      <c r="K562">
        <v>1.3</v>
      </c>
      <c r="L562">
        <v>0</v>
      </c>
      <c r="M562">
        <v>0</v>
      </c>
      <c r="N562">
        <v>2</v>
      </c>
      <c r="O562">
        <v>0</v>
      </c>
      <c r="P562">
        <v>66</v>
      </c>
      <c r="Q562">
        <v>38</v>
      </c>
      <c r="R562">
        <v>0</v>
      </c>
      <c r="S562">
        <v>28</v>
      </c>
      <c r="T562">
        <v>0</v>
      </c>
      <c r="U562">
        <v>0</v>
      </c>
      <c r="V562" s="1">
        <f t="shared" si="24"/>
        <v>7.6899999999999996E-2</v>
      </c>
      <c r="W562" s="1">
        <f t="shared" si="25"/>
        <v>5.1299999999999998E-2</v>
      </c>
      <c r="X562" s="1">
        <f t="shared" si="26"/>
        <v>0</v>
      </c>
    </row>
    <row r="563" spans="1:24" x14ac:dyDescent="0.25">
      <c r="A563">
        <v>2021</v>
      </c>
      <c r="B563">
        <v>3</v>
      </c>
      <c r="C563" t="s">
        <v>21</v>
      </c>
      <c r="D563" t="str">
        <f>_xlfn.XLOOKUP(C563,'Carrier Name Rename'!A:A,'Carrier Name Rename'!B:B)</f>
        <v>Hawaiian Airlines Inc.</v>
      </c>
      <c r="E563" t="s">
        <v>23</v>
      </c>
      <c r="F563" t="s">
        <v>24</v>
      </c>
      <c r="G563">
        <v>62</v>
      </c>
      <c r="H563">
        <v>18</v>
      </c>
      <c r="I563">
        <v>15.95</v>
      </c>
      <c r="J563">
        <v>0</v>
      </c>
      <c r="K563">
        <v>0.5</v>
      </c>
      <c r="L563">
        <v>0</v>
      </c>
      <c r="M563">
        <v>1.56</v>
      </c>
      <c r="N563">
        <v>0</v>
      </c>
      <c r="O563">
        <v>0</v>
      </c>
      <c r="P563">
        <v>568</v>
      </c>
      <c r="Q563">
        <v>513</v>
      </c>
      <c r="R563">
        <v>0</v>
      </c>
      <c r="S563">
        <v>17</v>
      </c>
      <c r="T563">
        <v>0</v>
      </c>
      <c r="U563">
        <v>38</v>
      </c>
      <c r="V563" s="1">
        <f t="shared" si="24"/>
        <v>0.2903</v>
      </c>
      <c r="W563" s="1">
        <f t="shared" si="25"/>
        <v>0</v>
      </c>
      <c r="X563" s="1">
        <f t="shared" si="26"/>
        <v>0</v>
      </c>
    </row>
    <row r="564" spans="1:24" x14ac:dyDescent="0.25">
      <c r="A564">
        <v>2021</v>
      </c>
      <c r="B564">
        <v>3</v>
      </c>
      <c r="C564" t="s">
        <v>25</v>
      </c>
      <c r="D564" t="str">
        <f>_xlfn.XLOOKUP(C564,'Carrier Name Rename'!A:A,'Carrier Name Rename'!B:B)</f>
        <v>Spirit Airlines</v>
      </c>
      <c r="E564" t="s">
        <v>23</v>
      </c>
      <c r="F564" t="s">
        <v>24</v>
      </c>
      <c r="G564">
        <v>51</v>
      </c>
      <c r="H564">
        <v>7</v>
      </c>
      <c r="I564">
        <v>2</v>
      </c>
      <c r="J564">
        <v>0</v>
      </c>
      <c r="K564">
        <v>5</v>
      </c>
      <c r="L564">
        <v>0</v>
      </c>
      <c r="M564">
        <v>0</v>
      </c>
      <c r="N564">
        <v>0</v>
      </c>
      <c r="O564">
        <v>1</v>
      </c>
      <c r="P564">
        <v>367</v>
      </c>
      <c r="Q564">
        <v>158</v>
      </c>
      <c r="R564">
        <v>0</v>
      </c>
      <c r="S564">
        <v>209</v>
      </c>
      <c r="T564">
        <v>0</v>
      </c>
      <c r="U564">
        <v>0</v>
      </c>
      <c r="V564" s="1">
        <f t="shared" si="24"/>
        <v>0.13730000000000001</v>
      </c>
      <c r="W564" s="1">
        <f t="shared" si="25"/>
        <v>0</v>
      </c>
      <c r="X564" s="1">
        <f t="shared" si="26"/>
        <v>1.9599999999999999E-2</v>
      </c>
    </row>
    <row r="565" spans="1:24" x14ac:dyDescent="0.25">
      <c r="A565">
        <v>2021</v>
      </c>
      <c r="B565">
        <v>3</v>
      </c>
      <c r="C565" t="s">
        <v>27</v>
      </c>
      <c r="D565" t="str">
        <f>_xlfn.XLOOKUP(C565,'Carrier Name Rename'!A:A,'Carrier Name Rename'!B:B)</f>
        <v>SkyWest Airlines Inc.</v>
      </c>
      <c r="E565" t="s">
        <v>23</v>
      </c>
      <c r="F565" t="s">
        <v>24</v>
      </c>
      <c r="G565">
        <v>1768</v>
      </c>
      <c r="H565">
        <v>109</v>
      </c>
      <c r="I565">
        <v>86</v>
      </c>
      <c r="J565">
        <v>12</v>
      </c>
      <c r="K565">
        <v>2</v>
      </c>
      <c r="L565">
        <v>0</v>
      </c>
      <c r="M565">
        <v>9</v>
      </c>
      <c r="N565">
        <v>9</v>
      </c>
      <c r="O565">
        <v>1</v>
      </c>
      <c r="P565">
        <v>6021</v>
      </c>
      <c r="Q565">
        <v>3815</v>
      </c>
      <c r="R565">
        <v>1503</v>
      </c>
      <c r="S565">
        <v>141</v>
      </c>
      <c r="T565">
        <v>0</v>
      </c>
      <c r="U565">
        <v>562</v>
      </c>
      <c r="V565" s="1">
        <f t="shared" si="24"/>
        <v>6.1699999999999998E-2</v>
      </c>
      <c r="W565" s="1">
        <f t="shared" si="25"/>
        <v>5.1000000000000004E-3</v>
      </c>
      <c r="X565" s="1">
        <f t="shared" si="26"/>
        <v>5.9999999999999995E-4</v>
      </c>
    </row>
    <row r="566" spans="1:24" x14ac:dyDescent="0.25">
      <c r="A566">
        <v>2021</v>
      </c>
      <c r="B566">
        <v>3</v>
      </c>
      <c r="C566" t="s">
        <v>29</v>
      </c>
      <c r="D566" t="str">
        <f>_xlfn.XLOOKUP(C566,'Carrier Name Rename'!A:A,'Carrier Name Rename'!B:B)</f>
        <v>Horizon Air</v>
      </c>
      <c r="E566" t="s">
        <v>23</v>
      </c>
      <c r="F566" t="s">
        <v>24</v>
      </c>
      <c r="G566">
        <v>2911</v>
      </c>
      <c r="H566">
        <v>285</v>
      </c>
      <c r="I566">
        <v>78.67</v>
      </c>
      <c r="J566">
        <v>5.38</v>
      </c>
      <c r="K566">
        <v>111.58</v>
      </c>
      <c r="L566">
        <v>0.38</v>
      </c>
      <c r="M566">
        <v>88.99</v>
      </c>
      <c r="N566">
        <v>29</v>
      </c>
      <c r="O566">
        <v>4</v>
      </c>
      <c r="P566">
        <v>13580</v>
      </c>
      <c r="Q566">
        <v>6301</v>
      </c>
      <c r="R566">
        <v>273</v>
      </c>
      <c r="S566">
        <v>2884</v>
      </c>
      <c r="T566">
        <v>6</v>
      </c>
      <c r="U566">
        <v>4116</v>
      </c>
      <c r="V566" s="1">
        <f t="shared" si="24"/>
        <v>9.7900000000000001E-2</v>
      </c>
      <c r="W566" s="1">
        <f t="shared" si="25"/>
        <v>0.01</v>
      </c>
      <c r="X566" s="1">
        <f t="shared" si="26"/>
        <v>1.4E-3</v>
      </c>
    </row>
    <row r="567" spans="1:24" x14ac:dyDescent="0.25">
      <c r="A567">
        <v>2021</v>
      </c>
      <c r="B567">
        <v>3</v>
      </c>
      <c r="C567" t="s">
        <v>41</v>
      </c>
      <c r="D567" t="str">
        <f>_xlfn.XLOOKUP(C567,'Carrier Name Rename'!A:A,'Carrier Name Rename'!B:B)</f>
        <v>United Air Lines Inc.</v>
      </c>
      <c r="E567" t="s">
        <v>23</v>
      </c>
      <c r="F567" t="s">
        <v>24</v>
      </c>
      <c r="G567">
        <v>312</v>
      </c>
      <c r="H567">
        <v>18</v>
      </c>
      <c r="I567">
        <v>6.84</v>
      </c>
      <c r="J567">
        <v>1.19</v>
      </c>
      <c r="K567">
        <v>6</v>
      </c>
      <c r="L567">
        <v>0</v>
      </c>
      <c r="M567">
        <v>3.97</v>
      </c>
      <c r="N567">
        <v>6</v>
      </c>
      <c r="O567">
        <v>0</v>
      </c>
      <c r="P567">
        <v>943</v>
      </c>
      <c r="Q567">
        <v>303</v>
      </c>
      <c r="R567">
        <v>91</v>
      </c>
      <c r="S567">
        <v>179</v>
      </c>
      <c r="T567">
        <v>0</v>
      </c>
      <c r="U567">
        <v>370</v>
      </c>
      <c r="V567" s="1">
        <f t="shared" si="24"/>
        <v>5.7700000000000001E-2</v>
      </c>
      <c r="W567" s="1">
        <f t="shared" si="25"/>
        <v>1.9199999999999998E-2</v>
      </c>
      <c r="X567" s="1">
        <f t="shared" si="26"/>
        <v>0</v>
      </c>
    </row>
    <row r="568" spans="1:24" x14ac:dyDescent="0.25">
      <c r="A568">
        <v>2021</v>
      </c>
      <c r="B568">
        <v>3</v>
      </c>
      <c r="C568" t="s">
        <v>43</v>
      </c>
      <c r="D568" t="str">
        <f>_xlfn.XLOOKUP(C568,'Carrier Name Rename'!A:A,'Carrier Name Rename'!B:B)</f>
        <v>Southwest Airlines Co.</v>
      </c>
      <c r="E568" t="s">
        <v>23</v>
      </c>
      <c r="F568" t="s">
        <v>24</v>
      </c>
      <c r="G568">
        <v>405</v>
      </c>
      <c r="H568">
        <v>53</v>
      </c>
      <c r="I568">
        <v>28.51</v>
      </c>
      <c r="J568">
        <v>0</v>
      </c>
      <c r="K568">
        <v>5.41</v>
      </c>
      <c r="L568">
        <v>0.96</v>
      </c>
      <c r="M568">
        <v>18.12</v>
      </c>
      <c r="N568">
        <v>9</v>
      </c>
      <c r="O568">
        <v>0</v>
      </c>
      <c r="P568">
        <v>2621</v>
      </c>
      <c r="Q568">
        <v>1166</v>
      </c>
      <c r="R568">
        <v>0</v>
      </c>
      <c r="S568">
        <v>193</v>
      </c>
      <c r="T568">
        <v>47</v>
      </c>
      <c r="U568">
        <v>1215</v>
      </c>
      <c r="V568" s="1">
        <f t="shared" si="24"/>
        <v>0.13089999999999999</v>
      </c>
      <c r="W568" s="1">
        <f t="shared" si="25"/>
        <v>2.2200000000000001E-2</v>
      </c>
      <c r="X568" s="1">
        <f t="shared" si="26"/>
        <v>0</v>
      </c>
    </row>
    <row r="569" spans="1:24" x14ac:dyDescent="0.25">
      <c r="A569">
        <v>2021</v>
      </c>
      <c r="B569">
        <v>2</v>
      </c>
      <c r="C569" t="s">
        <v>31</v>
      </c>
      <c r="D569" t="str">
        <f>_xlfn.XLOOKUP(C569,'Carrier Name Rename'!A:A,'Carrier Name Rename'!B:B)</f>
        <v>American Airlines Inc.</v>
      </c>
      <c r="E569" t="s">
        <v>23</v>
      </c>
      <c r="F569" t="s">
        <v>24</v>
      </c>
      <c r="G569">
        <v>283</v>
      </c>
      <c r="H569">
        <v>55</v>
      </c>
      <c r="I569">
        <v>19.29</v>
      </c>
      <c r="J569">
        <v>4.4400000000000004</v>
      </c>
      <c r="K569">
        <v>22.13</v>
      </c>
      <c r="L569">
        <v>0</v>
      </c>
      <c r="M569">
        <v>9.14</v>
      </c>
      <c r="N569">
        <v>21</v>
      </c>
      <c r="O569">
        <v>0</v>
      </c>
      <c r="P569">
        <v>3285</v>
      </c>
      <c r="Q569">
        <v>1480</v>
      </c>
      <c r="R569">
        <v>275</v>
      </c>
      <c r="S569">
        <v>706</v>
      </c>
      <c r="T569">
        <v>0</v>
      </c>
      <c r="U569">
        <v>824</v>
      </c>
      <c r="V569" s="1">
        <f t="shared" si="24"/>
        <v>0.1943</v>
      </c>
      <c r="W569" s="1">
        <f t="shared" si="25"/>
        <v>7.4200000000000002E-2</v>
      </c>
      <c r="X569" s="1">
        <f t="shared" si="26"/>
        <v>0</v>
      </c>
    </row>
    <row r="570" spans="1:24" x14ac:dyDescent="0.25">
      <c r="A570">
        <v>2021</v>
      </c>
      <c r="B570">
        <v>2</v>
      </c>
      <c r="C570" t="s">
        <v>33</v>
      </c>
      <c r="D570" t="str">
        <f>_xlfn.XLOOKUP(C570,'Carrier Name Rename'!A:A,'Carrier Name Rename'!B:B)</f>
        <v>Alaska Airlines Inc.</v>
      </c>
      <c r="E570" t="s">
        <v>23</v>
      </c>
      <c r="F570" t="s">
        <v>24</v>
      </c>
      <c r="G570">
        <v>4186</v>
      </c>
      <c r="H570">
        <v>892</v>
      </c>
      <c r="I570">
        <v>112.1</v>
      </c>
      <c r="J570">
        <v>28.17</v>
      </c>
      <c r="K570">
        <v>634.89</v>
      </c>
      <c r="L570">
        <v>2.17</v>
      </c>
      <c r="M570">
        <v>114.68</v>
      </c>
      <c r="N570">
        <v>277</v>
      </c>
      <c r="O570">
        <v>6</v>
      </c>
      <c r="P570">
        <v>47555</v>
      </c>
      <c r="Q570">
        <v>9151</v>
      </c>
      <c r="R570">
        <v>4138</v>
      </c>
      <c r="S570">
        <v>23715</v>
      </c>
      <c r="T570">
        <v>51</v>
      </c>
      <c r="U570">
        <v>10500</v>
      </c>
      <c r="V570" s="1">
        <f t="shared" si="24"/>
        <v>0.21310000000000001</v>
      </c>
      <c r="W570" s="1">
        <f t="shared" si="25"/>
        <v>6.6199999999999995E-2</v>
      </c>
      <c r="X570" s="1">
        <f t="shared" si="26"/>
        <v>1.4E-3</v>
      </c>
    </row>
    <row r="571" spans="1:24" x14ac:dyDescent="0.25">
      <c r="A571">
        <v>2021</v>
      </c>
      <c r="B571">
        <v>2</v>
      </c>
      <c r="C571" t="s">
        <v>35</v>
      </c>
      <c r="D571" t="str">
        <f>_xlfn.XLOOKUP(C571,'Carrier Name Rename'!A:A,'Carrier Name Rename'!B:B)</f>
        <v>JetBlue Airways</v>
      </c>
      <c r="E571" t="s">
        <v>23</v>
      </c>
      <c r="F571" t="s">
        <v>24</v>
      </c>
      <c r="G571">
        <v>13</v>
      </c>
      <c r="H571">
        <v>4</v>
      </c>
      <c r="I571">
        <v>0.19</v>
      </c>
      <c r="J571">
        <v>0</v>
      </c>
      <c r="K571">
        <v>3.09</v>
      </c>
      <c r="L571">
        <v>0</v>
      </c>
      <c r="M571">
        <v>0.72</v>
      </c>
      <c r="N571">
        <v>0</v>
      </c>
      <c r="O571">
        <v>0</v>
      </c>
      <c r="P571">
        <v>160</v>
      </c>
      <c r="Q571">
        <v>18</v>
      </c>
      <c r="R571">
        <v>0</v>
      </c>
      <c r="S571">
        <v>73</v>
      </c>
      <c r="T571">
        <v>0</v>
      </c>
      <c r="U571">
        <v>69</v>
      </c>
      <c r="V571" s="1">
        <f t="shared" si="24"/>
        <v>0.30769999999999997</v>
      </c>
      <c r="W571" s="1">
        <f t="shared" si="25"/>
        <v>0</v>
      </c>
      <c r="X571" s="1">
        <f t="shared" si="26"/>
        <v>0</v>
      </c>
    </row>
    <row r="572" spans="1:24" x14ac:dyDescent="0.25">
      <c r="A572">
        <v>2021</v>
      </c>
      <c r="B572">
        <v>2</v>
      </c>
      <c r="C572" t="s">
        <v>37</v>
      </c>
      <c r="D572" t="str">
        <f>_xlfn.XLOOKUP(C572,'Carrier Name Rename'!A:A,'Carrier Name Rename'!B:B)</f>
        <v>Delta Air Lines Inc.</v>
      </c>
      <c r="E572" t="s">
        <v>23</v>
      </c>
      <c r="F572" t="s">
        <v>24</v>
      </c>
      <c r="G572">
        <v>1389</v>
      </c>
      <c r="H572">
        <v>170</v>
      </c>
      <c r="I572">
        <v>41.14</v>
      </c>
      <c r="J572">
        <v>8.65</v>
      </c>
      <c r="K572">
        <v>96.87</v>
      </c>
      <c r="L572">
        <v>0</v>
      </c>
      <c r="M572">
        <v>23.34</v>
      </c>
      <c r="N572">
        <v>13</v>
      </c>
      <c r="O572">
        <v>4</v>
      </c>
      <c r="P572">
        <v>10864</v>
      </c>
      <c r="Q572">
        <v>4320</v>
      </c>
      <c r="R572">
        <v>1400</v>
      </c>
      <c r="S572">
        <v>2920</v>
      </c>
      <c r="T572">
        <v>0</v>
      </c>
      <c r="U572">
        <v>2224</v>
      </c>
      <c r="V572" s="1">
        <f t="shared" si="24"/>
        <v>0.12239999999999999</v>
      </c>
      <c r="W572" s="1">
        <f t="shared" si="25"/>
        <v>9.4000000000000004E-3</v>
      </c>
      <c r="X572" s="1">
        <f t="shared" si="26"/>
        <v>2.8999999999999998E-3</v>
      </c>
    </row>
    <row r="573" spans="1:24" x14ac:dyDescent="0.25">
      <c r="A573">
        <v>2021</v>
      </c>
      <c r="B573">
        <v>2</v>
      </c>
      <c r="C573" t="s">
        <v>39</v>
      </c>
      <c r="D573" t="str">
        <f>_xlfn.XLOOKUP(C573,'Carrier Name Rename'!A:A,'Carrier Name Rename'!B:B)</f>
        <v>Frontier Airlines Inc.</v>
      </c>
      <c r="E573" t="s">
        <v>23</v>
      </c>
      <c r="F573" t="s">
        <v>24</v>
      </c>
      <c r="G573">
        <v>18</v>
      </c>
      <c r="H573">
        <v>4</v>
      </c>
      <c r="I573">
        <v>0.03</v>
      </c>
      <c r="J573">
        <v>0.61</v>
      </c>
      <c r="K573">
        <v>3.36</v>
      </c>
      <c r="L573">
        <v>0</v>
      </c>
      <c r="M573">
        <v>0</v>
      </c>
      <c r="N573">
        <v>0</v>
      </c>
      <c r="O573">
        <v>0</v>
      </c>
      <c r="P573">
        <v>162</v>
      </c>
      <c r="Q573">
        <v>1</v>
      </c>
      <c r="R573">
        <v>36</v>
      </c>
      <c r="S573">
        <v>125</v>
      </c>
      <c r="T573">
        <v>0</v>
      </c>
      <c r="U573">
        <v>0</v>
      </c>
      <c r="V573" s="1">
        <f t="shared" si="24"/>
        <v>0.22220000000000001</v>
      </c>
      <c r="W573" s="1">
        <f t="shared" si="25"/>
        <v>0</v>
      </c>
      <c r="X573" s="1">
        <f t="shared" si="26"/>
        <v>0</v>
      </c>
    </row>
    <row r="574" spans="1:24" x14ac:dyDescent="0.25">
      <c r="A574">
        <v>2021</v>
      </c>
      <c r="B574">
        <v>2</v>
      </c>
      <c r="C574" t="s">
        <v>21</v>
      </c>
      <c r="D574" t="str">
        <f>_xlfn.XLOOKUP(C574,'Carrier Name Rename'!A:A,'Carrier Name Rename'!B:B)</f>
        <v>Hawaiian Airlines Inc.</v>
      </c>
      <c r="E574" t="s">
        <v>23</v>
      </c>
      <c r="F574" t="s">
        <v>24</v>
      </c>
      <c r="G574">
        <v>56</v>
      </c>
      <c r="H574">
        <v>5</v>
      </c>
      <c r="I574">
        <v>4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1</v>
      </c>
      <c r="P574">
        <v>133</v>
      </c>
      <c r="Q574">
        <v>115</v>
      </c>
      <c r="R574">
        <v>0</v>
      </c>
      <c r="S574">
        <v>0</v>
      </c>
      <c r="T574">
        <v>0</v>
      </c>
      <c r="U574">
        <v>18</v>
      </c>
      <c r="V574" s="1">
        <f t="shared" si="24"/>
        <v>8.9300000000000004E-2</v>
      </c>
      <c r="W574" s="1">
        <f t="shared" si="25"/>
        <v>0</v>
      </c>
      <c r="X574" s="1">
        <f t="shared" si="26"/>
        <v>1.7899999999999999E-2</v>
      </c>
    </row>
    <row r="575" spans="1:24" x14ac:dyDescent="0.25">
      <c r="A575">
        <v>2021</v>
      </c>
      <c r="B575">
        <v>2</v>
      </c>
      <c r="C575" t="s">
        <v>25</v>
      </c>
      <c r="D575" t="str">
        <f>_xlfn.XLOOKUP(C575,'Carrier Name Rename'!A:A,'Carrier Name Rename'!B:B)</f>
        <v>Spirit Airlines</v>
      </c>
      <c r="E575" t="s">
        <v>23</v>
      </c>
      <c r="F575" t="s">
        <v>24</v>
      </c>
      <c r="G575">
        <v>28</v>
      </c>
      <c r="H575">
        <v>8</v>
      </c>
      <c r="I575">
        <v>0.98</v>
      </c>
      <c r="J575">
        <v>0</v>
      </c>
      <c r="K575">
        <v>7.02</v>
      </c>
      <c r="L575">
        <v>0</v>
      </c>
      <c r="M575">
        <v>0</v>
      </c>
      <c r="N575">
        <v>0</v>
      </c>
      <c r="O575">
        <v>0</v>
      </c>
      <c r="P575">
        <v>350</v>
      </c>
      <c r="Q575">
        <v>201</v>
      </c>
      <c r="R575">
        <v>0</v>
      </c>
      <c r="S575">
        <v>149</v>
      </c>
      <c r="T575">
        <v>0</v>
      </c>
      <c r="U575">
        <v>0</v>
      </c>
      <c r="V575" s="1">
        <f t="shared" si="24"/>
        <v>0.28570000000000001</v>
      </c>
      <c r="W575" s="1">
        <f t="shared" si="25"/>
        <v>0</v>
      </c>
      <c r="X575" s="1">
        <f t="shared" si="26"/>
        <v>0</v>
      </c>
    </row>
    <row r="576" spans="1:24" x14ac:dyDescent="0.25">
      <c r="A576">
        <v>2021</v>
      </c>
      <c r="B576">
        <v>2</v>
      </c>
      <c r="C576" t="s">
        <v>27</v>
      </c>
      <c r="D576" t="str">
        <f>_xlfn.XLOOKUP(C576,'Carrier Name Rename'!A:A,'Carrier Name Rename'!B:B)</f>
        <v>SkyWest Airlines Inc.</v>
      </c>
      <c r="E576" t="s">
        <v>23</v>
      </c>
      <c r="F576" t="s">
        <v>24</v>
      </c>
      <c r="G576">
        <v>1520</v>
      </c>
      <c r="H576">
        <v>182</v>
      </c>
      <c r="I576">
        <v>132</v>
      </c>
      <c r="J576">
        <v>40</v>
      </c>
      <c r="K576">
        <v>3</v>
      </c>
      <c r="L576">
        <v>0</v>
      </c>
      <c r="M576">
        <v>7</v>
      </c>
      <c r="N576">
        <v>53</v>
      </c>
      <c r="O576">
        <v>3</v>
      </c>
      <c r="P576">
        <v>11422</v>
      </c>
      <c r="Q576">
        <v>7697</v>
      </c>
      <c r="R576">
        <v>2999</v>
      </c>
      <c r="S576">
        <v>274</v>
      </c>
      <c r="T576">
        <v>0</v>
      </c>
      <c r="U576">
        <v>452</v>
      </c>
      <c r="V576" s="1">
        <f t="shared" si="24"/>
        <v>0.1197</v>
      </c>
      <c r="W576" s="1">
        <f t="shared" si="25"/>
        <v>3.49E-2</v>
      </c>
      <c r="X576" s="1">
        <f t="shared" si="26"/>
        <v>2E-3</v>
      </c>
    </row>
    <row r="577" spans="1:24" x14ac:dyDescent="0.25">
      <c r="A577">
        <v>2021</v>
      </c>
      <c r="B577">
        <v>2</v>
      </c>
      <c r="C577" t="s">
        <v>29</v>
      </c>
      <c r="D577" t="str">
        <f>_xlfn.XLOOKUP(C577,'Carrier Name Rename'!A:A,'Carrier Name Rename'!B:B)</f>
        <v>Horizon Air</v>
      </c>
      <c r="E577" t="s">
        <v>23</v>
      </c>
      <c r="F577" t="s">
        <v>24</v>
      </c>
      <c r="G577">
        <v>2536</v>
      </c>
      <c r="H577">
        <v>512</v>
      </c>
      <c r="I577">
        <v>87.06</v>
      </c>
      <c r="J577">
        <v>44.96</v>
      </c>
      <c r="K577">
        <v>260.54000000000002</v>
      </c>
      <c r="L577">
        <v>0</v>
      </c>
      <c r="M577">
        <v>119.43</v>
      </c>
      <c r="N577">
        <v>201</v>
      </c>
      <c r="O577">
        <v>7</v>
      </c>
      <c r="P577">
        <v>26398</v>
      </c>
      <c r="Q577">
        <v>6338</v>
      </c>
      <c r="R577">
        <v>3818</v>
      </c>
      <c r="S577">
        <v>9327</v>
      </c>
      <c r="T577">
        <v>0</v>
      </c>
      <c r="U577">
        <v>6915</v>
      </c>
      <c r="V577" s="1">
        <f t="shared" si="24"/>
        <v>0.2019</v>
      </c>
      <c r="W577" s="1">
        <f t="shared" si="25"/>
        <v>7.9299999999999995E-2</v>
      </c>
      <c r="X577" s="1">
        <f t="shared" si="26"/>
        <v>2.8E-3</v>
      </c>
    </row>
    <row r="578" spans="1:24" x14ac:dyDescent="0.25">
      <c r="A578">
        <v>2021</v>
      </c>
      <c r="B578">
        <v>2</v>
      </c>
      <c r="C578" t="s">
        <v>41</v>
      </c>
      <c r="D578" t="str">
        <f>_xlfn.XLOOKUP(C578,'Carrier Name Rename'!A:A,'Carrier Name Rename'!B:B)</f>
        <v>United Air Lines Inc.</v>
      </c>
      <c r="E578" t="s">
        <v>23</v>
      </c>
      <c r="F578" t="s">
        <v>24</v>
      </c>
      <c r="G578">
        <v>228</v>
      </c>
      <c r="H578">
        <v>51</v>
      </c>
      <c r="I578">
        <v>12.1</v>
      </c>
      <c r="J578">
        <v>5.18</v>
      </c>
      <c r="K578">
        <v>27.13</v>
      </c>
      <c r="L578">
        <v>0</v>
      </c>
      <c r="M578">
        <v>6.59</v>
      </c>
      <c r="N578">
        <v>5</v>
      </c>
      <c r="O578">
        <v>0</v>
      </c>
      <c r="P578">
        <v>2216</v>
      </c>
      <c r="Q578">
        <v>451</v>
      </c>
      <c r="R578">
        <v>274</v>
      </c>
      <c r="S578">
        <v>847</v>
      </c>
      <c r="T578">
        <v>0</v>
      </c>
      <c r="U578">
        <v>644</v>
      </c>
      <c r="V578" s="1">
        <f t="shared" si="24"/>
        <v>0.22370000000000001</v>
      </c>
      <c r="W578" s="1">
        <f t="shared" si="25"/>
        <v>2.1899999999999999E-2</v>
      </c>
      <c r="X578" s="1">
        <f t="shared" si="26"/>
        <v>0</v>
      </c>
    </row>
    <row r="579" spans="1:24" x14ac:dyDescent="0.25">
      <c r="A579">
        <v>2021</v>
      </c>
      <c r="B579">
        <v>2</v>
      </c>
      <c r="C579" t="s">
        <v>43</v>
      </c>
      <c r="D579" t="str">
        <f>_xlfn.XLOOKUP(C579,'Carrier Name Rename'!A:A,'Carrier Name Rename'!B:B)</f>
        <v>Southwest Airlines Co.</v>
      </c>
      <c r="E579" t="s">
        <v>23</v>
      </c>
      <c r="F579" t="s">
        <v>24</v>
      </c>
      <c r="G579">
        <v>299</v>
      </c>
      <c r="H579">
        <v>48</v>
      </c>
      <c r="I579">
        <v>21.34</v>
      </c>
      <c r="J579">
        <v>0</v>
      </c>
      <c r="K579">
        <v>9.91</v>
      </c>
      <c r="L579">
        <v>1</v>
      </c>
      <c r="M579">
        <v>15.76</v>
      </c>
      <c r="N579">
        <v>18</v>
      </c>
      <c r="O579">
        <v>0</v>
      </c>
      <c r="P579">
        <v>1477</v>
      </c>
      <c r="Q579">
        <v>677</v>
      </c>
      <c r="R579">
        <v>0</v>
      </c>
      <c r="S579">
        <v>302</v>
      </c>
      <c r="T579">
        <v>28</v>
      </c>
      <c r="U579">
        <v>470</v>
      </c>
      <c r="V579" s="1">
        <f t="shared" ref="V579:V642" si="27">ROUND(H579/G579,4)</f>
        <v>0.1605</v>
      </c>
      <c r="W579" s="1">
        <f t="shared" ref="W579:W642" si="28">ROUND(N579/G579,4)</f>
        <v>6.0199999999999997E-2</v>
      </c>
      <c r="X579" s="1">
        <f t="shared" ref="X579:X642" si="29">ROUND(O579/G579,4)</f>
        <v>0</v>
      </c>
    </row>
    <row r="580" spans="1:24" x14ac:dyDescent="0.25">
      <c r="A580">
        <v>2021</v>
      </c>
      <c r="B580">
        <v>1</v>
      </c>
      <c r="C580" t="s">
        <v>31</v>
      </c>
      <c r="D580" t="str">
        <f>_xlfn.XLOOKUP(C580,'Carrier Name Rename'!A:A,'Carrier Name Rename'!B:B)</f>
        <v>American Airlines Inc.</v>
      </c>
      <c r="E580" t="s">
        <v>23</v>
      </c>
      <c r="F580" t="s">
        <v>24</v>
      </c>
      <c r="G580">
        <v>330</v>
      </c>
      <c r="H580">
        <v>22</v>
      </c>
      <c r="I580">
        <v>5.53</v>
      </c>
      <c r="J580">
        <v>1.1100000000000001</v>
      </c>
      <c r="K580">
        <v>8.81</v>
      </c>
      <c r="L580">
        <v>0</v>
      </c>
      <c r="M580">
        <v>6.55</v>
      </c>
      <c r="N580">
        <v>2</v>
      </c>
      <c r="O580">
        <v>0</v>
      </c>
      <c r="P580">
        <v>933</v>
      </c>
      <c r="Q580">
        <v>261</v>
      </c>
      <c r="R580">
        <v>68</v>
      </c>
      <c r="S580">
        <v>225</v>
      </c>
      <c r="T580">
        <v>0</v>
      </c>
      <c r="U580">
        <v>379</v>
      </c>
      <c r="V580" s="1">
        <f t="shared" si="27"/>
        <v>6.6699999999999995E-2</v>
      </c>
      <c r="W580" s="1">
        <f t="shared" si="28"/>
        <v>6.1000000000000004E-3</v>
      </c>
      <c r="X580" s="1">
        <f t="shared" si="29"/>
        <v>0</v>
      </c>
    </row>
    <row r="581" spans="1:24" x14ac:dyDescent="0.25">
      <c r="A581">
        <v>2021</v>
      </c>
      <c r="B581">
        <v>1</v>
      </c>
      <c r="C581" t="s">
        <v>33</v>
      </c>
      <c r="D581" t="str">
        <f>_xlfn.XLOOKUP(C581,'Carrier Name Rename'!A:A,'Carrier Name Rename'!B:B)</f>
        <v>Alaska Airlines Inc.</v>
      </c>
      <c r="E581" t="s">
        <v>23</v>
      </c>
      <c r="F581" t="s">
        <v>24</v>
      </c>
      <c r="G581">
        <v>3806</v>
      </c>
      <c r="H581">
        <v>298</v>
      </c>
      <c r="I581">
        <v>75.89</v>
      </c>
      <c r="J581">
        <v>5.19</v>
      </c>
      <c r="K581">
        <v>170.36</v>
      </c>
      <c r="L581">
        <v>1</v>
      </c>
      <c r="M581">
        <v>45.56</v>
      </c>
      <c r="N581">
        <v>23</v>
      </c>
      <c r="O581">
        <v>4</v>
      </c>
      <c r="P581">
        <v>12780</v>
      </c>
      <c r="Q581">
        <v>4400</v>
      </c>
      <c r="R581">
        <v>468</v>
      </c>
      <c r="S581">
        <v>4661</v>
      </c>
      <c r="T581">
        <v>30</v>
      </c>
      <c r="U581">
        <v>3221</v>
      </c>
      <c r="V581" s="1">
        <f t="shared" si="27"/>
        <v>7.8299999999999995E-2</v>
      </c>
      <c r="W581" s="1">
        <f t="shared" si="28"/>
        <v>6.0000000000000001E-3</v>
      </c>
      <c r="X581" s="1">
        <f t="shared" si="29"/>
        <v>1.1000000000000001E-3</v>
      </c>
    </row>
    <row r="582" spans="1:24" x14ac:dyDescent="0.25">
      <c r="A582">
        <v>2021</v>
      </c>
      <c r="B582">
        <v>1</v>
      </c>
      <c r="C582" t="s">
        <v>35</v>
      </c>
      <c r="D582" t="str">
        <f>_xlfn.XLOOKUP(C582,'Carrier Name Rename'!A:A,'Carrier Name Rename'!B:B)</f>
        <v>JetBlue Airways</v>
      </c>
      <c r="E582" t="s">
        <v>23</v>
      </c>
      <c r="F582" t="s">
        <v>24</v>
      </c>
      <c r="G582">
        <v>20</v>
      </c>
      <c r="H582">
        <v>1</v>
      </c>
      <c r="I582">
        <v>0.55000000000000004</v>
      </c>
      <c r="J582">
        <v>0</v>
      </c>
      <c r="K582">
        <v>0.2</v>
      </c>
      <c r="L582">
        <v>0</v>
      </c>
      <c r="M582">
        <v>0.25</v>
      </c>
      <c r="N582">
        <v>0</v>
      </c>
      <c r="O582">
        <v>0</v>
      </c>
      <c r="P582">
        <v>40</v>
      </c>
      <c r="Q582">
        <v>22</v>
      </c>
      <c r="R582">
        <v>0</v>
      </c>
      <c r="S582">
        <v>8</v>
      </c>
      <c r="T582">
        <v>0</v>
      </c>
      <c r="U582">
        <v>10</v>
      </c>
      <c r="V582" s="1">
        <f t="shared" si="27"/>
        <v>0.05</v>
      </c>
      <c r="W582" s="1">
        <f t="shared" si="28"/>
        <v>0</v>
      </c>
      <c r="X582" s="1">
        <f t="shared" si="29"/>
        <v>0</v>
      </c>
    </row>
    <row r="583" spans="1:24" x14ac:dyDescent="0.25">
      <c r="A583">
        <v>2021</v>
      </c>
      <c r="B583">
        <v>1</v>
      </c>
      <c r="C583" t="s">
        <v>37</v>
      </c>
      <c r="D583" t="str">
        <f>_xlfn.XLOOKUP(C583,'Carrier Name Rename'!A:A,'Carrier Name Rename'!B:B)</f>
        <v>Delta Air Lines Inc.</v>
      </c>
      <c r="E583" t="s">
        <v>23</v>
      </c>
      <c r="F583" t="s">
        <v>24</v>
      </c>
      <c r="G583">
        <v>1572</v>
      </c>
      <c r="H583">
        <v>98</v>
      </c>
      <c r="I583">
        <v>45.01</v>
      </c>
      <c r="J583">
        <v>0.28999999999999998</v>
      </c>
      <c r="K583">
        <v>33.35</v>
      </c>
      <c r="L583">
        <v>0</v>
      </c>
      <c r="M583">
        <v>19.350000000000001</v>
      </c>
      <c r="N583">
        <v>3</v>
      </c>
      <c r="O583">
        <v>3</v>
      </c>
      <c r="P583">
        <v>7224</v>
      </c>
      <c r="Q583">
        <v>4572</v>
      </c>
      <c r="R583">
        <v>11</v>
      </c>
      <c r="S583">
        <v>946</v>
      </c>
      <c r="T583">
        <v>0</v>
      </c>
      <c r="U583">
        <v>1695</v>
      </c>
      <c r="V583" s="1">
        <f t="shared" si="27"/>
        <v>6.2300000000000001E-2</v>
      </c>
      <c r="W583" s="1">
        <f t="shared" si="28"/>
        <v>1.9E-3</v>
      </c>
      <c r="X583" s="1">
        <f t="shared" si="29"/>
        <v>1.9E-3</v>
      </c>
    </row>
    <row r="584" spans="1:24" x14ac:dyDescent="0.25">
      <c r="A584">
        <v>2021</v>
      </c>
      <c r="B584">
        <v>1</v>
      </c>
      <c r="C584" t="s">
        <v>39</v>
      </c>
      <c r="D584" t="str">
        <f>_xlfn.XLOOKUP(C584,'Carrier Name Rename'!A:A,'Carrier Name Rename'!B:B)</f>
        <v>Frontier Airlines Inc.</v>
      </c>
      <c r="E584" t="s">
        <v>23</v>
      </c>
      <c r="F584" t="s">
        <v>24</v>
      </c>
      <c r="G584">
        <v>25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 s="1">
        <f t="shared" si="27"/>
        <v>0</v>
      </c>
      <c r="W584" s="1">
        <f t="shared" si="28"/>
        <v>0</v>
      </c>
      <c r="X584" s="1">
        <f t="shared" si="29"/>
        <v>0</v>
      </c>
    </row>
    <row r="585" spans="1:24" x14ac:dyDescent="0.25">
      <c r="A585">
        <v>2021</v>
      </c>
      <c r="B585">
        <v>1</v>
      </c>
      <c r="C585" t="s">
        <v>21</v>
      </c>
      <c r="D585" t="str">
        <f>_xlfn.XLOOKUP(C585,'Carrier Name Rename'!A:A,'Carrier Name Rename'!B:B)</f>
        <v>Hawaiian Airlines Inc.</v>
      </c>
      <c r="E585" t="s">
        <v>23</v>
      </c>
      <c r="F585" t="s">
        <v>24</v>
      </c>
      <c r="G585">
        <v>62</v>
      </c>
      <c r="H585">
        <v>16</v>
      </c>
      <c r="I585">
        <v>15.05</v>
      </c>
      <c r="J585">
        <v>0</v>
      </c>
      <c r="K585">
        <v>0</v>
      </c>
      <c r="L585">
        <v>0</v>
      </c>
      <c r="M585">
        <v>0.95</v>
      </c>
      <c r="N585">
        <v>0</v>
      </c>
      <c r="O585">
        <v>0</v>
      </c>
      <c r="P585">
        <v>508</v>
      </c>
      <c r="Q585">
        <v>470</v>
      </c>
      <c r="R585">
        <v>0</v>
      </c>
      <c r="S585">
        <v>0</v>
      </c>
      <c r="T585">
        <v>0</v>
      </c>
      <c r="U585">
        <v>38</v>
      </c>
      <c r="V585" s="1">
        <f t="shared" si="27"/>
        <v>0.2581</v>
      </c>
      <c r="W585" s="1">
        <f t="shared" si="28"/>
        <v>0</v>
      </c>
      <c r="X585" s="1">
        <f t="shared" si="29"/>
        <v>0</v>
      </c>
    </row>
    <row r="586" spans="1:24" x14ac:dyDescent="0.25">
      <c r="A586">
        <v>2021</v>
      </c>
      <c r="B586">
        <v>1</v>
      </c>
      <c r="C586" t="s">
        <v>25</v>
      </c>
      <c r="D586" t="str">
        <f>_xlfn.XLOOKUP(C586,'Carrier Name Rename'!A:A,'Carrier Name Rename'!B:B)</f>
        <v>Spirit Airlines</v>
      </c>
      <c r="E586" t="s">
        <v>23</v>
      </c>
      <c r="F586" t="s">
        <v>24</v>
      </c>
      <c r="G586">
        <v>36</v>
      </c>
      <c r="H586">
        <v>1</v>
      </c>
      <c r="I586">
        <v>0.9</v>
      </c>
      <c r="J586">
        <v>0</v>
      </c>
      <c r="K586">
        <v>0.1</v>
      </c>
      <c r="L586">
        <v>0</v>
      </c>
      <c r="M586">
        <v>0</v>
      </c>
      <c r="N586">
        <v>0</v>
      </c>
      <c r="O586">
        <v>1</v>
      </c>
      <c r="P586">
        <v>21</v>
      </c>
      <c r="Q586">
        <v>19</v>
      </c>
      <c r="R586">
        <v>0</v>
      </c>
      <c r="S586">
        <v>2</v>
      </c>
      <c r="T586">
        <v>0</v>
      </c>
      <c r="U586">
        <v>0</v>
      </c>
      <c r="V586" s="1">
        <f t="shared" si="27"/>
        <v>2.7799999999999998E-2</v>
      </c>
      <c r="W586" s="1">
        <f t="shared" si="28"/>
        <v>0</v>
      </c>
      <c r="X586" s="1">
        <f t="shared" si="29"/>
        <v>2.7799999999999998E-2</v>
      </c>
    </row>
    <row r="587" spans="1:24" x14ac:dyDescent="0.25">
      <c r="A587">
        <v>2021</v>
      </c>
      <c r="B587">
        <v>1</v>
      </c>
      <c r="C587" t="s">
        <v>27</v>
      </c>
      <c r="D587" t="str">
        <f>_xlfn.XLOOKUP(C587,'Carrier Name Rename'!A:A,'Carrier Name Rename'!B:B)</f>
        <v>SkyWest Airlines Inc.</v>
      </c>
      <c r="E587" t="s">
        <v>23</v>
      </c>
      <c r="F587" t="s">
        <v>24</v>
      </c>
      <c r="G587">
        <v>1718</v>
      </c>
      <c r="H587">
        <v>106</v>
      </c>
      <c r="I587">
        <v>70</v>
      </c>
      <c r="J587">
        <v>21</v>
      </c>
      <c r="K587">
        <v>0</v>
      </c>
      <c r="L587">
        <v>1</v>
      </c>
      <c r="M587">
        <v>14</v>
      </c>
      <c r="N587">
        <v>2</v>
      </c>
      <c r="O587">
        <v>6</v>
      </c>
      <c r="P587">
        <v>9000</v>
      </c>
      <c r="Q587">
        <v>4689</v>
      </c>
      <c r="R587">
        <v>3194</v>
      </c>
      <c r="S587">
        <v>0</v>
      </c>
      <c r="T587">
        <v>19</v>
      </c>
      <c r="U587">
        <v>1098</v>
      </c>
      <c r="V587" s="1">
        <f t="shared" si="27"/>
        <v>6.1699999999999998E-2</v>
      </c>
      <c r="W587" s="1">
        <f t="shared" si="28"/>
        <v>1.1999999999999999E-3</v>
      </c>
      <c r="X587" s="1">
        <f t="shared" si="29"/>
        <v>3.5000000000000001E-3</v>
      </c>
    </row>
    <row r="588" spans="1:24" x14ac:dyDescent="0.25">
      <c r="A588">
        <v>2021</v>
      </c>
      <c r="B588">
        <v>1</v>
      </c>
      <c r="C588" t="s">
        <v>29</v>
      </c>
      <c r="D588" t="str">
        <f>_xlfn.XLOOKUP(C588,'Carrier Name Rename'!A:A,'Carrier Name Rename'!B:B)</f>
        <v>Horizon Air</v>
      </c>
      <c r="E588" t="s">
        <v>23</v>
      </c>
      <c r="F588" t="s">
        <v>24</v>
      </c>
      <c r="G588">
        <v>2505</v>
      </c>
      <c r="H588">
        <v>208</v>
      </c>
      <c r="I588">
        <v>74.09</v>
      </c>
      <c r="J588">
        <v>12.4</v>
      </c>
      <c r="K588">
        <v>59.68</v>
      </c>
      <c r="L588">
        <v>0</v>
      </c>
      <c r="M588">
        <v>61.83</v>
      </c>
      <c r="N588">
        <v>38</v>
      </c>
      <c r="O588">
        <v>3</v>
      </c>
      <c r="P588">
        <v>10725</v>
      </c>
      <c r="Q588">
        <v>4865</v>
      </c>
      <c r="R588">
        <v>639</v>
      </c>
      <c r="S588">
        <v>1755</v>
      </c>
      <c r="T588">
        <v>0</v>
      </c>
      <c r="U588">
        <v>3466</v>
      </c>
      <c r="V588" s="1">
        <f t="shared" si="27"/>
        <v>8.3000000000000004E-2</v>
      </c>
      <c r="W588" s="1">
        <f t="shared" si="28"/>
        <v>1.52E-2</v>
      </c>
      <c r="X588" s="1">
        <f t="shared" si="29"/>
        <v>1.1999999999999999E-3</v>
      </c>
    </row>
    <row r="589" spans="1:24" x14ac:dyDescent="0.25">
      <c r="A589">
        <v>2021</v>
      </c>
      <c r="B589">
        <v>1</v>
      </c>
      <c r="C589" t="s">
        <v>41</v>
      </c>
      <c r="D589" t="str">
        <f>_xlfn.XLOOKUP(C589,'Carrier Name Rename'!A:A,'Carrier Name Rename'!B:B)</f>
        <v>United Air Lines Inc.</v>
      </c>
      <c r="E589" t="s">
        <v>23</v>
      </c>
      <c r="F589" t="s">
        <v>24</v>
      </c>
      <c r="G589">
        <v>248</v>
      </c>
      <c r="H589">
        <v>10</v>
      </c>
      <c r="I589">
        <v>3.07</v>
      </c>
      <c r="J589">
        <v>0.46</v>
      </c>
      <c r="K589">
        <v>4</v>
      </c>
      <c r="L589">
        <v>0</v>
      </c>
      <c r="M589">
        <v>2.4700000000000002</v>
      </c>
      <c r="N589">
        <v>0</v>
      </c>
      <c r="O589">
        <v>0</v>
      </c>
      <c r="P589">
        <v>454</v>
      </c>
      <c r="Q589">
        <v>213</v>
      </c>
      <c r="R589">
        <v>18</v>
      </c>
      <c r="S589">
        <v>87</v>
      </c>
      <c r="T589">
        <v>0</v>
      </c>
      <c r="U589">
        <v>136</v>
      </c>
      <c r="V589" s="1">
        <f t="shared" si="27"/>
        <v>4.0300000000000002E-2</v>
      </c>
      <c r="W589" s="1">
        <f t="shared" si="28"/>
        <v>0</v>
      </c>
      <c r="X589" s="1">
        <f t="shared" si="29"/>
        <v>0</v>
      </c>
    </row>
    <row r="590" spans="1:24" x14ac:dyDescent="0.25">
      <c r="A590">
        <v>2021</v>
      </c>
      <c r="B590">
        <v>1</v>
      </c>
      <c r="C590" t="s">
        <v>43</v>
      </c>
      <c r="D590" t="str">
        <f>_xlfn.XLOOKUP(C590,'Carrier Name Rename'!A:A,'Carrier Name Rename'!B:B)</f>
        <v>Southwest Airlines Co.</v>
      </c>
      <c r="E590" t="s">
        <v>23</v>
      </c>
      <c r="F590" t="s">
        <v>24</v>
      </c>
      <c r="G590">
        <v>351</v>
      </c>
      <c r="H590">
        <v>30</v>
      </c>
      <c r="I590">
        <v>13.51</v>
      </c>
      <c r="J590">
        <v>0</v>
      </c>
      <c r="K590">
        <v>1.76</v>
      </c>
      <c r="L590">
        <v>0</v>
      </c>
      <c r="M590">
        <v>14.72</v>
      </c>
      <c r="N590">
        <v>0</v>
      </c>
      <c r="O590">
        <v>0</v>
      </c>
      <c r="P590">
        <v>1272</v>
      </c>
      <c r="Q590">
        <v>578</v>
      </c>
      <c r="R590">
        <v>0</v>
      </c>
      <c r="S590">
        <v>46</v>
      </c>
      <c r="T590">
        <v>0</v>
      </c>
      <c r="U590">
        <v>648</v>
      </c>
      <c r="V590" s="1">
        <f t="shared" si="27"/>
        <v>8.5500000000000007E-2</v>
      </c>
      <c r="W590" s="1">
        <f t="shared" si="28"/>
        <v>0</v>
      </c>
      <c r="X590" s="1">
        <f t="shared" si="29"/>
        <v>0</v>
      </c>
    </row>
    <row r="591" spans="1:24" x14ac:dyDescent="0.25">
      <c r="A591">
        <v>2020</v>
      </c>
      <c r="B591">
        <v>12</v>
      </c>
      <c r="C591" t="s">
        <v>31</v>
      </c>
      <c r="D591" t="str">
        <f>_xlfn.XLOOKUP(C591,'Carrier Name Rename'!A:A,'Carrier Name Rename'!B:B)</f>
        <v>American Airlines Inc.</v>
      </c>
      <c r="E591" t="s">
        <v>23</v>
      </c>
      <c r="F591" t="s">
        <v>24</v>
      </c>
      <c r="G591">
        <v>337</v>
      </c>
      <c r="H591">
        <v>34</v>
      </c>
      <c r="I591">
        <v>13.72</v>
      </c>
      <c r="J591">
        <v>0</v>
      </c>
      <c r="K591">
        <v>11.3</v>
      </c>
      <c r="L591">
        <v>0</v>
      </c>
      <c r="M591">
        <v>8.98</v>
      </c>
      <c r="N591">
        <v>0</v>
      </c>
      <c r="O591">
        <v>0</v>
      </c>
      <c r="P591">
        <v>1872</v>
      </c>
      <c r="Q591">
        <v>722</v>
      </c>
      <c r="R591">
        <v>0</v>
      </c>
      <c r="S591">
        <v>525</v>
      </c>
      <c r="T591">
        <v>0</v>
      </c>
      <c r="U591">
        <v>625</v>
      </c>
      <c r="V591" s="1">
        <f t="shared" si="27"/>
        <v>0.1009</v>
      </c>
      <c r="W591" s="1">
        <f t="shared" si="28"/>
        <v>0</v>
      </c>
      <c r="X591" s="1">
        <f t="shared" si="29"/>
        <v>0</v>
      </c>
    </row>
    <row r="592" spans="1:24" x14ac:dyDescent="0.25">
      <c r="A592">
        <v>2020</v>
      </c>
      <c r="B592">
        <v>12</v>
      </c>
      <c r="C592" t="s">
        <v>33</v>
      </c>
      <c r="D592" t="str">
        <f>_xlfn.XLOOKUP(C592,'Carrier Name Rename'!A:A,'Carrier Name Rename'!B:B)</f>
        <v>Alaska Airlines Inc.</v>
      </c>
      <c r="E592" t="s">
        <v>23</v>
      </c>
      <c r="F592" t="s">
        <v>24</v>
      </c>
      <c r="G592">
        <v>3812</v>
      </c>
      <c r="H592">
        <v>235</v>
      </c>
      <c r="I592">
        <v>64.400000000000006</v>
      </c>
      <c r="J592">
        <v>10.24</v>
      </c>
      <c r="K592">
        <v>109.48</v>
      </c>
      <c r="L592">
        <v>1.47</v>
      </c>
      <c r="M592">
        <v>49.41</v>
      </c>
      <c r="N592">
        <v>47</v>
      </c>
      <c r="O592">
        <v>6</v>
      </c>
      <c r="P592">
        <v>11162</v>
      </c>
      <c r="Q592">
        <v>4013</v>
      </c>
      <c r="R592">
        <v>669</v>
      </c>
      <c r="S592">
        <v>3119</v>
      </c>
      <c r="T592">
        <v>28</v>
      </c>
      <c r="U592">
        <v>3333</v>
      </c>
      <c r="V592" s="1">
        <f t="shared" si="27"/>
        <v>6.1600000000000002E-2</v>
      </c>
      <c r="W592" s="1">
        <f t="shared" si="28"/>
        <v>1.23E-2</v>
      </c>
      <c r="X592" s="1">
        <f t="shared" si="29"/>
        <v>1.6000000000000001E-3</v>
      </c>
    </row>
    <row r="593" spans="1:24" x14ac:dyDescent="0.25">
      <c r="A593">
        <v>2020</v>
      </c>
      <c r="B593">
        <v>12</v>
      </c>
      <c r="C593" t="s">
        <v>35</v>
      </c>
      <c r="D593" t="str">
        <f>_xlfn.XLOOKUP(C593,'Carrier Name Rename'!A:A,'Carrier Name Rename'!B:B)</f>
        <v>JetBlue Airways</v>
      </c>
      <c r="E593" t="s">
        <v>23</v>
      </c>
      <c r="F593" t="s">
        <v>24</v>
      </c>
      <c r="G593">
        <v>37</v>
      </c>
      <c r="H593">
        <v>7</v>
      </c>
      <c r="I593">
        <v>3.44</v>
      </c>
      <c r="J593">
        <v>0.48</v>
      </c>
      <c r="K593">
        <v>3.08</v>
      </c>
      <c r="L593">
        <v>0</v>
      </c>
      <c r="M593">
        <v>0</v>
      </c>
      <c r="N593">
        <v>1</v>
      </c>
      <c r="O593">
        <v>0</v>
      </c>
      <c r="P593">
        <v>521</v>
      </c>
      <c r="Q593">
        <v>263</v>
      </c>
      <c r="R593">
        <v>64</v>
      </c>
      <c r="S593">
        <v>194</v>
      </c>
      <c r="T593">
        <v>0</v>
      </c>
      <c r="U593">
        <v>0</v>
      </c>
      <c r="V593" s="1">
        <f t="shared" si="27"/>
        <v>0.18920000000000001</v>
      </c>
      <c r="W593" s="1">
        <f t="shared" si="28"/>
        <v>2.7E-2</v>
      </c>
      <c r="X593" s="1">
        <f t="shared" si="29"/>
        <v>0</v>
      </c>
    </row>
    <row r="594" spans="1:24" x14ac:dyDescent="0.25">
      <c r="A594">
        <v>2020</v>
      </c>
      <c r="B594">
        <v>12</v>
      </c>
      <c r="C594" t="s">
        <v>37</v>
      </c>
      <c r="D594" t="str">
        <f>_xlfn.XLOOKUP(C594,'Carrier Name Rename'!A:A,'Carrier Name Rename'!B:B)</f>
        <v>Delta Air Lines Inc.</v>
      </c>
      <c r="E594" t="s">
        <v>23</v>
      </c>
      <c r="F594" t="s">
        <v>24</v>
      </c>
      <c r="G594">
        <v>1669</v>
      </c>
      <c r="H594">
        <v>155</v>
      </c>
      <c r="I594">
        <v>54.1</v>
      </c>
      <c r="J594">
        <v>5.43</v>
      </c>
      <c r="K594">
        <v>79.12</v>
      </c>
      <c r="L594">
        <v>0</v>
      </c>
      <c r="M594">
        <v>16.350000000000001</v>
      </c>
      <c r="N594">
        <v>27</v>
      </c>
      <c r="O594">
        <v>2</v>
      </c>
      <c r="P594">
        <v>10126</v>
      </c>
      <c r="Q594">
        <v>5677</v>
      </c>
      <c r="R594">
        <v>600</v>
      </c>
      <c r="S594">
        <v>2768</v>
      </c>
      <c r="T594">
        <v>0</v>
      </c>
      <c r="U594">
        <v>1081</v>
      </c>
      <c r="V594" s="1">
        <f t="shared" si="27"/>
        <v>9.2899999999999996E-2</v>
      </c>
      <c r="W594" s="1">
        <f t="shared" si="28"/>
        <v>1.6199999999999999E-2</v>
      </c>
      <c r="X594" s="1">
        <f t="shared" si="29"/>
        <v>1.1999999999999999E-3</v>
      </c>
    </row>
    <row r="595" spans="1:24" x14ac:dyDescent="0.25">
      <c r="A595">
        <v>2020</v>
      </c>
      <c r="B595">
        <v>12</v>
      </c>
      <c r="C595" t="s">
        <v>39</v>
      </c>
      <c r="D595" t="str">
        <f>_xlfn.XLOOKUP(C595,'Carrier Name Rename'!A:A,'Carrier Name Rename'!B:B)</f>
        <v>Frontier Airlines Inc.</v>
      </c>
      <c r="E595" t="s">
        <v>23</v>
      </c>
      <c r="F595" t="s">
        <v>24</v>
      </c>
      <c r="G595">
        <v>45</v>
      </c>
      <c r="H595">
        <v>5</v>
      </c>
      <c r="I595">
        <v>1.58</v>
      </c>
      <c r="J595">
        <v>0</v>
      </c>
      <c r="K595">
        <v>3.38</v>
      </c>
      <c r="L595">
        <v>0</v>
      </c>
      <c r="M595">
        <v>0.04</v>
      </c>
      <c r="N595">
        <v>0</v>
      </c>
      <c r="O595">
        <v>0</v>
      </c>
      <c r="P595">
        <v>133</v>
      </c>
      <c r="Q595">
        <v>30</v>
      </c>
      <c r="R595">
        <v>0</v>
      </c>
      <c r="S595">
        <v>102</v>
      </c>
      <c r="T595">
        <v>0</v>
      </c>
      <c r="U595">
        <v>1</v>
      </c>
      <c r="V595" s="1">
        <f t="shared" si="27"/>
        <v>0.1111</v>
      </c>
      <c r="W595" s="1">
        <f t="shared" si="28"/>
        <v>0</v>
      </c>
      <c r="X595" s="1">
        <f t="shared" si="29"/>
        <v>0</v>
      </c>
    </row>
    <row r="596" spans="1:24" x14ac:dyDescent="0.25">
      <c r="A596">
        <v>2020</v>
      </c>
      <c r="B596">
        <v>12</v>
      </c>
      <c r="C596" t="s">
        <v>21</v>
      </c>
      <c r="D596" t="str">
        <f>_xlfn.XLOOKUP(C596,'Carrier Name Rename'!A:A,'Carrier Name Rename'!B:B)</f>
        <v>Hawaiian Airlines Inc.</v>
      </c>
      <c r="E596" t="s">
        <v>23</v>
      </c>
      <c r="F596" t="s">
        <v>24</v>
      </c>
      <c r="G596">
        <v>54</v>
      </c>
      <c r="H596">
        <v>9</v>
      </c>
      <c r="I596">
        <v>9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274</v>
      </c>
      <c r="Q596">
        <v>274</v>
      </c>
      <c r="R596">
        <v>0</v>
      </c>
      <c r="S596">
        <v>0</v>
      </c>
      <c r="T596">
        <v>0</v>
      </c>
      <c r="U596">
        <v>0</v>
      </c>
      <c r="V596" s="1">
        <f t="shared" si="27"/>
        <v>0.16669999999999999</v>
      </c>
      <c r="W596" s="1">
        <f t="shared" si="28"/>
        <v>0</v>
      </c>
      <c r="X596" s="1">
        <f t="shared" si="29"/>
        <v>0</v>
      </c>
    </row>
    <row r="597" spans="1:24" x14ac:dyDescent="0.25">
      <c r="A597">
        <v>2020</v>
      </c>
      <c r="B597">
        <v>12</v>
      </c>
      <c r="C597" t="s">
        <v>25</v>
      </c>
      <c r="D597" t="str">
        <f>_xlfn.XLOOKUP(C597,'Carrier Name Rename'!A:A,'Carrier Name Rename'!B:B)</f>
        <v>Spirit Airlines</v>
      </c>
      <c r="E597" t="s">
        <v>23</v>
      </c>
      <c r="F597" t="s">
        <v>24</v>
      </c>
      <c r="G597">
        <v>43</v>
      </c>
      <c r="H597">
        <v>10</v>
      </c>
      <c r="I597">
        <v>0.37</v>
      </c>
      <c r="J597">
        <v>0</v>
      </c>
      <c r="K597">
        <v>8</v>
      </c>
      <c r="L597">
        <v>0.7</v>
      </c>
      <c r="M597">
        <v>0.93</v>
      </c>
      <c r="N597">
        <v>0</v>
      </c>
      <c r="O597">
        <v>0</v>
      </c>
      <c r="P597">
        <v>256</v>
      </c>
      <c r="Q597">
        <v>10</v>
      </c>
      <c r="R597">
        <v>0</v>
      </c>
      <c r="S597">
        <v>199</v>
      </c>
      <c r="T597">
        <v>19</v>
      </c>
      <c r="U597">
        <v>28</v>
      </c>
      <c r="V597" s="1">
        <f t="shared" si="27"/>
        <v>0.2326</v>
      </c>
      <c r="W597" s="1">
        <f t="shared" si="28"/>
        <v>0</v>
      </c>
      <c r="X597" s="1">
        <f t="shared" si="29"/>
        <v>0</v>
      </c>
    </row>
    <row r="598" spans="1:24" x14ac:dyDescent="0.25">
      <c r="A598">
        <v>2020</v>
      </c>
      <c r="B598">
        <v>12</v>
      </c>
      <c r="C598" t="s">
        <v>27</v>
      </c>
      <c r="D598" t="str">
        <f>_xlfn.XLOOKUP(C598,'Carrier Name Rename'!A:A,'Carrier Name Rename'!B:B)</f>
        <v>SkyWest Airlines Inc.</v>
      </c>
      <c r="E598" t="s">
        <v>23</v>
      </c>
      <c r="F598" t="s">
        <v>24</v>
      </c>
      <c r="G598">
        <v>1883</v>
      </c>
      <c r="H598">
        <v>160</v>
      </c>
      <c r="I598">
        <v>109</v>
      </c>
      <c r="J598">
        <v>35</v>
      </c>
      <c r="K598">
        <v>3</v>
      </c>
      <c r="L598">
        <v>0</v>
      </c>
      <c r="M598">
        <v>13</v>
      </c>
      <c r="N598">
        <v>16</v>
      </c>
      <c r="O598">
        <v>10</v>
      </c>
      <c r="P598">
        <v>10028</v>
      </c>
      <c r="Q598">
        <v>4687</v>
      </c>
      <c r="R598">
        <v>4435</v>
      </c>
      <c r="S598">
        <v>258</v>
      </c>
      <c r="T598">
        <v>0</v>
      </c>
      <c r="U598">
        <v>648</v>
      </c>
      <c r="V598" s="1">
        <f t="shared" si="27"/>
        <v>8.5000000000000006E-2</v>
      </c>
      <c r="W598" s="1">
        <f t="shared" si="28"/>
        <v>8.5000000000000006E-3</v>
      </c>
      <c r="X598" s="1">
        <f t="shared" si="29"/>
        <v>5.3E-3</v>
      </c>
    </row>
    <row r="599" spans="1:24" x14ac:dyDescent="0.25">
      <c r="A599">
        <v>2020</v>
      </c>
      <c r="B599">
        <v>12</v>
      </c>
      <c r="C599" t="s">
        <v>29</v>
      </c>
      <c r="D599" t="str">
        <f>_xlfn.XLOOKUP(C599,'Carrier Name Rename'!A:A,'Carrier Name Rename'!B:B)</f>
        <v>Horizon Air</v>
      </c>
      <c r="E599" t="s">
        <v>23</v>
      </c>
      <c r="F599" t="s">
        <v>24</v>
      </c>
      <c r="G599">
        <v>2810</v>
      </c>
      <c r="H599">
        <v>286</v>
      </c>
      <c r="I599">
        <v>68.95</v>
      </c>
      <c r="J599">
        <v>19.47</v>
      </c>
      <c r="K599">
        <v>123.83</v>
      </c>
      <c r="L599">
        <v>0</v>
      </c>
      <c r="M599">
        <v>73.75</v>
      </c>
      <c r="N599">
        <v>54</v>
      </c>
      <c r="O599">
        <v>3</v>
      </c>
      <c r="P599">
        <v>11804</v>
      </c>
      <c r="Q599">
        <v>4370</v>
      </c>
      <c r="R599">
        <v>997</v>
      </c>
      <c r="S599">
        <v>3364</v>
      </c>
      <c r="T599">
        <v>0</v>
      </c>
      <c r="U599">
        <v>3073</v>
      </c>
      <c r="V599" s="1">
        <f t="shared" si="27"/>
        <v>0.1018</v>
      </c>
      <c r="W599" s="1">
        <f t="shared" si="28"/>
        <v>1.9199999999999998E-2</v>
      </c>
      <c r="X599" s="1">
        <f t="shared" si="29"/>
        <v>1.1000000000000001E-3</v>
      </c>
    </row>
    <row r="600" spans="1:24" x14ac:dyDescent="0.25">
      <c r="A600">
        <v>2020</v>
      </c>
      <c r="B600">
        <v>12</v>
      </c>
      <c r="C600" t="s">
        <v>41</v>
      </c>
      <c r="D600" t="str">
        <f>_xlfn.XLOOKUP(C600,'Carrier Name Rename'!A:A,'Carrier Name Rename'!B:B)</f>
        <v>United Air Lines Inc.</v>
      </c>
      <c r="E600" t="s">
        <v>23</v>
      </c>
      <c r="F600" t="s">
        <v>24</v>
      </c>
      <c r="G600">
        <v>363</v>
      </c>
      <c r="H600">
        <v>26</v>
      </c>
      <c r="I600">
        <v>13.36</v>
      </c>
      <c r="J600">
        <v>1.02</v>
      </c>
      <c r="K600">
        <v>5.2</v>
      </c>
      <c r="L600">
        <v>0</v>
      </c>
      <c r="M600">
        <v>6.41</v>
      </c>
      <c r="N600">
        <v>2</v>
      </c>
      <c r="O600">
        <v>1</v>
      </c>
      <c r="P600">
        <v>1161</v>
      </c>
      <c r="Q600">
        <v>456</v>
      </c>
      <c r="R600">
        <v>75</v>
      </c>
      <c r="S600">
        <v>159</v>
      </c>
      <c r="T600">
        <v>0</v>
      </c>
      <c r="U600">
        <v>471</v>
      </c>
      <c r="V600" s="1">
        <f t="shared" si="27"/>
        <v>7.1599999999999997E-2</v>
      </c>
      <c r="W600" s="1">
        <f t="shared" si="28"/>
        <v>5.4999999999999997E-3</v>
      </c>
      <c r="X600" s="1">
        <f t="shared" si="29"/>
        <v>2.8E-3</v>
      </c>
    </row>
    <row r="601" spans="1:24" x14ac:dyDescent="0.25">
      <c r="A601">
        <v>2020</v>
      </c>
      <c r="B601">
        <v>12</v>
      </c>
      <c r="C601" t="s">
        <v>43</v>
      </c>
      <c r="D601" t="str">
        <f>_xlfn.XLOOKUP(C601,'Carrier Name Rename'!A:A,'Carrier Name Rename'!B:B)</f>
        <v>Southwest Airlines Co.</v>
      </c>
      <c r="E601" t="s">
        <v>23</v>
      </c>
      <c r="F601" t="s">
        <v>24</v>
      </c>
      <c r="G601">
        <v>402</v>
      </c>
      <c r="H601">
        <v>52</v>
      </c>
      <c r="I601">
        <v>29.02</v>
      </c>
      <c r="J601">
        <v>0</v>
      </c>
      <c r="K601">
        <v>7.5</v>
      </c>
      <c r="L601">
        <v>0</v>
      </c>
      <c r="M601">
        <v>15.48</v>
      </c>
      <c r="N601">
        <v>0</v>
      </c>
      <c r="O601">
        <v>1</v>
      </c>
      <c r="P601">
        <v>1747</v>
      </c>
      <c r="Q601">
        <v>1006</v>
      </c>
      <c r="R601">
        <v>0</v>
      </c>
      <c r="S601">
        <v>209</v>
      </c>
      <c r="T601">
        <v>0</v>
      </c>
      <c r="U601">
        <v>532</v>
      </c>
      <c r="V601" s="1">
        <f t="shared" si="27"/>
        <v>0.12939999999999999</v>
      </c>
      <c r="W601" s="1">
        <f t="shared" si="28"/>
        <v>0</v>
      </c>
      <c r="X601" s="1">
        <f t="shared" si="29"/>
        <v>2.5000000000000001E-3</v>
      </c>
    </row>
    <row r="602" spans="1:24" x14ac:dyDescent="0.25">
      <c r="A602">
        <v>2020</v>
      </c>
      <c r="B602">
        <v>11</v>
      </c>
      <c r="C602" t="s">
        <v>31</v>
      </c>
      <c r="D602" t="str">
        <f>_xlfn.XLOOKUP(C602,'Carrier Name Rename'!A:A,'Carrier Name Rename'!B:B)</f>
        <v>American Airlines Inc.</v>
      </c>
      <c r="E602" t="s">
        <v>23</v>
      </c>
      <c r="F602" t="s">
        <v>24</v>
      </c>
      <c r="G602">
        <v>355</v>
      </c>
      <c r="H602">
        <v>31</v>
      </c>
      <c r="I602">
        <v>12.82</v>
      </c>
      <c r="J602">
        <v>1</v>
      </c>
      <c r="K602">
        <v>16.55</v>
      </c>
      <c r="L602">
        <v>0.34</v>
      </c>
      <c r="M602">
        <v>0.28999999999999998</v>
      </c>
      <c r="N602">
        <v>0</v>
      </c>
      <c r="O602">
        <v>0</v>
      </c>
      <c r="P602">
        <v>781</v>
      </c>
      <c r="Q602">
        <v>361</v>
      </c>
      <c r="R602">
        <v>31</v>
      </c>
      <c r="S602">
        <v>357</v>
      </c>
      <c r="T602">
        <v>27</v>
      </c>
      <c r="U602">
        <v>5</v>
      </c>
      <c r="V602" s="1">
        <f t="shared" si="27"/>
        <v>8.7300000000000003E-2</v>
      </c>
      <c r="W602" s="1">
        <f t="shared" si="28"/>
        <v>0</v>
      </c>
      <c r="X602" s="1">
        <f t="shared" si="29"/>
        <v>0</v>
      </c>
    </row>
    <row r="603" spans="1:24" x14ac:dyDescent="0.25">
      <c r="A603">
        <v>2020</v>
      </c>
      <c r="B603">
        <v>11</v>
      </c>
      <c r="C603" t="s">
        <v>33</v>
      </c>
      <c r="D603" t="str">
        <f>_xlfn.XLOOKUP(C603,'Carrier Name Rename'!A:A,'Carrier Name Rename'!B:B)</f>
        <v>Alaska Airlines Inc.</v>
      </c>
      <c r="E603" t="s">
        <v>23</v>
      </c>
      <c r="F603" t="s">
        <v>24</v>
      </c>
      <c r="G603">
        <v>3884</v>
      </c>
      <c r="H603">
        <v>368</v>
      </c>
      <c r="I603">
        <v>113.47</v>
      </c>
      <c r="J603">
        <v>4.63</v>
      </c>
      <c r="K603">
        <v>152.69</v>
      </c>
      <c r="L603">
        <v>0.7</v>
      </c>
      <c r="M603">
        <v>96.51</v>
      </c>
      <c r="N603">
        <v>38</v>
      </c>
      <c r="O603">
        <v>4</v>
      </c>
      <c r="P603">
        <v>18098</v>
      </c>
      <c r="Q603">
        <v>8022</v>
      </c>
      <c r="R603">
        <v>265</v>
      </c>
      <c r="S603">
        <v>4232</v>
      </c>
      <c r="T603">
        <v>16</v>
      </c>
      <c r="U603">
        <v>5563</v>
      </c>
      <c r="V603" s="1">
        <f t="shared" si="27"/>
        <v>9.4700000000000006E-2</v>
      </c>
      <c r="W603" s="1">
        <f t="shared" si="28"/>
        <v>9.7999999999999997E-3</v>
      </c>
      <c r="X603" s="1">
        <f t="shared" si="29"/>
        <v>1E-3</v>
      </c>
    </row>
    <row r="604" spans="1:24" x14ac:dyDescent="0.25">
      <c r="A604">
        <v>2020</v>
      </c>
      <c r="B604">
        <v>11</v>
      </c>
      <c r="C604" t="s">
        <v>35</v>
      </c>
      <c r="D604" t="str">
        <f>_xlfn.XLOOKUP(C604,'Carrier Name Rename'!A:A,'Carrier Name Rename'!B:B)</f>
        <v>JetBlue Airways</v>
      </c>
      <c r="E604" t="s">
        <v>23</v>
      </c>
      <c r="F604" t="s">
        <v>24</v>
      </c>
      <c r="G604">
        <v>42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 s="1">
        <f t="shared" si="27"/>
        <v>0</v>
      </c>
      <c r="W604" s="1">
        <f t="shared" si="28"/>
        <v>0</v>
      </c>
      <c r="X604" s="1">
        <f t="shared" si="29"/>
        <v>0</v>
      </c>
    </row>
    <row r="605" spans="1:24" x14ac:dyDescent="0.25">
      <c r="A605">
        <v>2020</v>
      </c>
      <c r="B605">
        <v>11</v>
      </c>
      <c r="C605" t="s">
        <v>37</v>
      </c>
      <c r="D605" t="str">
        <f>_xlfn.XLOOKUP(C605,'Carrier Name Rename'!A:A,'Carrier Name Rename'!B:B)</f>
        <v>Delta Air Lines Inc.</v>
      </c>
      <c r="E605" t="s">
        <v>23</v>
      </c>
      <c r="F605" t="s">
        <v>24</v>
      </c>
      <c r="G605">
        <v>1792</v>
      </c>
      <c r="H605">
        <v>122</v>
      </c>
      <c r="I605">
        <v>36.89</v>
      </c>
      <c r="J605">
        <v>2.6</v>
      </c>
      <c r="K605">
        <v>70.25</v>
      </c>
      <c r="L605">
        <v>0</v>
      </c>
      <c r="M605">
        <v>12.25</v>
      </c>
      <c r="N605">
        <v>35</v>
      </c>
      <c r="O605">
        <v>2</v>
      </c>
      <c r="P605">
        <v>5930</v>
      </c>
      <c r="Q605">
        <v>3169</v>
      </c>
      <c r="R605">
        <v>90</v>
      </c>
      <c r="S605">
        <v>2031</v>
      </c>
      <c r="T605">
        <v>0</v>
      </c>
      <c r="U605">
        <v>640</v>
      </c>
      <c r="V605" s="1">
        <f t="shared" si="27"/>
        <v>6.8099999999999994E-2</v>
      </c>
      <c r="W605" s="1">
        <f t="shared" si="28"/>
        <v>1.95E-2</v>
      </c>
      <c r="X605" s="1">
        <f t="shared" si="29"/>
        <v>1.1000000000000001E-3</v>
      </c>
    </row>
    <row r="606" spans="1:24" x14ac:dyDescent="0.25">
      <c r="A606">
        <v>2020</v>
      </c>
      <c r="B606">
        <v>11</v>
      </c>
      <c r="C606" t="s">
        <v>39</v>
      </c>
      <c r="D606" t="str">
        <f>_xlfn.XLOOKUP(C606,'Carrier Name Rename'!A:A,'Carrier Name Rename'!B:B)</f>
        <v>Frontier Airlines Inc.</v>
      </c>
      <c r="E606" t="s">
        <v>23</v>
      </c>
      <c r="F606" t="s">
        <v>24</v>
      </c>
      <c r="G606">
        <v>54</v>
      </c>
      <c r="H606">
        <v>2</v>
      </c>
      <c r="I606">
        <v>1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45</v>
      </c>
      <c r="Q606">
        <v>29</v>
      </c>
      <c r="R606">
        <v>0</v>
      </c>
      <c r="S606">
        <v>16</v>
      </c>
      <c r="T606">
        <v>0</v>
      </c>
      <c r="U606">
        <v>0</v>
      </c>
      <c r="V606" s="1">
        <f t="shared" si="27"/>
        <v>3.6999999999999998E-2</v>
      </c>
      <c r="W606" s="1">
        <f t="shared" si="28"/>
        <v>0</v>
      </c>
      <c r="X606" s="1">
        <f t="shared" si="29"/>
        <v>0</v>
      </c>
    </row>
    <row r="607" spans="1:24" x14ac:dyDescent="0.25">
      <c r="A607">
        <v>2020</v>
      </c>
      <c r="B607">
        <v>11</v>
      </c>
      <c r="C607" t="s">
        <v>21</v>
      </c>
      <c r="D607" t="str">
        <f>_xlfn.XLOOKUP(C607,'Carrier Name Rename'!A:A,'Carrier Name Rename'!B:B)</f>
        <v>Hawaiian Airlines Inc.</v>
      </c>
      <c r="E607" t="s">
        <v>23</v>
      </c>
      <c r="F607" t="s">
        <v>24</v>
      </c>
      <c r="G607">
        <v>37</v>
      </c>
      <c r="H607">
        <v>8</v>
      </c>
      <c r="I607">
        <v>8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439</v>
      </c>
      <c r="Q607">
        <v>439</v>
      </c>
      <c r="R607">
        <v>0</v>
      </c>
      <c r="S607">
        <v>0</v>
      </c>
      <c r="T607">
        <v>0</v>
      </c>
      <c r="U607">
        <v>0</v>
      </c>
      <c r="V607" s="1">
        <f t="shared" si="27"/>
        <v>0.2162</v>
      </c>
      <c r="W607" s="1">
        <f t="shared" si="28"/>
        <v>0</v>
      </c>
      <c r="X607" s="1">
        <f t="shared" si="29"/>
        <v>0</v>
      </c>
    </row>
    <row r="608" spans="1:24" x14ac:dyDescent="0.25">
      <c r="A608">
        <v>2020</v>
      </c>
      <c r="B608">
        <v>11</v>
      </c>
      <c r="C608" t="s">
        <v>25</v>
      </c>
      <c r="D608" t="str">
        <f>_xlfn.XLOOKUP(C608,'Carrier Name Rename'!A:A,'Carrier Name Rename'!B:B)</f>
        <v>Spirit Airlines</v>
      </c>
      <c r="E608" t="s">
        <v>23</v>
      </c>
      <c r="F608" t="s">
        <v>24</v>
      </c>
      <c r="G608">
        <v>47</v>
      </c>
      <c r="H608">
        <v>10</v>
      </c>
      <c r="I608">
        <v>0.23</v>
      </c>
      <c r="J608">
        <v>0</v>
      </c>
      <c r="K608">
        <v>8.17</v>
      </c>
      <c r="L608">
        <v>0</v>
      </c>
      <c r="M608">
        <v>1.61</v>
      </c>
      <c r="N608">
        <v>0</v>
      </c>
      <c r="O608">
        <v>0</v>
      </c>
      <c r="P608">
        <v>218</v>
      </c>
      <c r="Q608">
        <v>5</v>
      </c>
      <c r="R608">
        <v>0</v>
      </c>
      <c r="S608">
        <v>171</v>
      </c>
      <c r="T608">
        <v>0</v>
      </c>
      <c r="U608">
        <v>42</v>
      </c>
      <c r="V608" s="1">
        <f t="shared" si="27"/>
        <v>0.21279999999999999</v>
      </c>
      <c r="W608" s="1">
        <f t="shared" si="28"/>
        <v>0</v>
      </c>
      <c r="X608" s="1">
        <f t="shared" si="29"/>
        <v>0</v>
      </c>
    </row>
    <row r="609" spans="1:24" x14ac:dyDescent="0.25">
      <c r="A609">
        <v>2020</v>
      </c>
      <c r="B609">
        <v>11</v>
      </c>
      <c r="C609" t="s">
        <v>27</v>
      </c>
      <c r="D609" t="str">
        <f>_xlfn.XLOOKUP(C609,'Carrier Name Rename'!A:A,'Carrier Name Rename'!B:B)</f>
        <v>SkyWest Airlines Inc.</v>
      </c>
      <c r="E609" t="s">
        <v>23</v>
      </c>
      <c r="F609" t="s">
        <v>24</v>
      </c>
      <c r="G609">
        <v>1824</v>
      </c>
      <c r="H609">
        <v>114</v>
      </c>
      <c r="I609">
        <v>81</v>
      </c>
      <c r="J609">
        <v>16</v>
      </c>
      <c r="K609">
        <v>2</v>
      </c>
      <c r="L609">
        <v>0</v>
      </c>
      <c r="M609">
        <v>15</v>
      </c>
      <c r="N609">
        <v>4</v>
      </c>
      <c r="O609">
        <v>8</v>
      </c>
      <c r="P609">
        <v>4757</v>
      </c>
      <c r="Q609">
        <v>3124</v>
      </c>
      <c r="R609">
        <v>796</v>
      </c>
      <c r="S609">
        <v>85</v>
      </c>
      <c r="T609">
        <v>0</v>
      </c>
      <c r="U609">
        <v>752</v>
      </c>
      <c r="V609" s="1">
        <f t="shared" si="27"/>
        <v>6.25E-2</v>
      </c>
      <c r="W609" s="1">
        <f t="shared" si="28"/>
        <v>2.2000000000000001E-3</v>
      </c>
      <c r="X609" s="1">
        <f t="shared" si="29"/>
        <v>4.4000000000000003E-3</v>
      </c>
    </row>
    <row r="610" spans="1:24" x14ac:dyDescent="0.25">
      <c r="A610">
        <v>2020</v>
      </c>
      <c r="B610">
        <v>11</v>
      </c>
      <c r="C610" t="s">
        <v>29</v>
      </c>
      <c r="D610" t="str">
        <f>_xlfn.XLOOKUP(C610,'Carrier Name Rename'!A:A,'Carrier Name Rename'!B:B)</f>
        <v>Horizon Air</v>
      </c>
      <c r="E610" t="s">
        <v>23</v>
      </c>
      <c r="F610" t="s">
        <v>24</v>
      </c>
      <c r="G610">
        <v>2671</v>
      </c>
      <c r="H610">
        <v>272</v>
      </c>
      <c r="I610">
        <v>89.79</v>
      </c>
      <c r="J610">
        <v>10.58</v>
      </c>
      <c r="K610">
        <v>108.72</v>
      </c>
      <c r="L610">
        <v>0</v>
      </c>
      <c r="M610">
        <v>62.92</v>
      </c>
      <c r="N610">
        <v>31</v>
      </c>
      <c r="O610">
        <v>1</v>
      </c>
      <c r="P610">
        <v>13030</v>
      </c>
      <c r="Q610">
        <v>6379</v>
      </c>
      <c r="R610">
        <v>603</v>
      </c>
      <c r="S610">
        <v>2800</v>
      </c>
      <c r="T610">
        <v>0</v>
      </c>
      <c r="U610">
        <v>3248</v>
      </c>
      <c r="V610" s="1">
        <f t="shared" si="27"/>
        <v>0.1018</v>
      </c>
      <c r="W610" s="1">
        <f t="shared" si="28"/>
        <v>1.1599999999999999E-2</v>
      </c>
      <c r="X610" s="1">
        <f t="shared" si="29"/>
        <v>4.0000000000000002E-4</v>
      </c>
    </row>
    <row r="611" spans="1:24" x14ac:dyDescent="0.25">
      <c r="A611">
        <v>2020</v>
      </c>
      <c r="B611">
        <v>11</v>
      </c>
      <c r="C611" t="s">
        <v>41</v>
      </c>
      <c r="D611" t="str">
        <f>_xlfn.XLOOKUP(C611,'Carrier Name Rename'!A:A,'Carrier Name Rename'!B:B)</f>
        <v>United Air Lines Inc.</v>
      </c>
      <c r="E611" t="s">
        <v>23</v>
      </c>
      <c r="F611" t="s">
        <v>24</v>
      </c>
      <c r="G611">
        <v>382</v>
      </c>
      <c r="H611">
        <v>21</v>
      </c>
      <c r="I611">
        <v>7.37</v>
      </c>
      <c r="J611">
        <v>0.71</v>
      </c>
      <c r="K611">
        <v>7.92</v>
      </c>
      <c r="L611">
        <v>0</v>
      </c>
      <c r="M611">
        <v>5</v>
      </c>
      <c r="N611">
        <v>1</v>
      </c>
      <c r="O611">
        <v>1</v>
      </c>
      <c r="P611">
        <v>865</v>
      </c>
      <c r="Q611">
        <v>362</v>
      </c>
      <c r="R611">
        <v>25</v>
      </c>
      <c r="S611">
        <v>267</v>
      </c>
      <c r="T611">
        <v>0</v>
      </c>
      <c r="U611">
        <v>211</v>
      </c>
      <c r="V611" s="1">
        <f t="shared" si="27"/>
        <v>5.5E-2</v>
      </c>
      <c r="W611" s="1">
        <f t="shared" si="28"/>
        <v>2.5999999999999999E-3</v>
      </c>
      <c r="X611" s="1">
        <f t="shared" si="29"/>
        <v>2.5999999999999999E-3</v>
      </c>
    </row>
    <row r="612" spans="1:24" x14ac:dyDescent="0.25">
      <c r="A612">
        <v>2020</v>
      </c>
      <c r="B612">
        <v>11</v>
      </c>
      <c r="C612" t="s">
        <v>43</v>
      </c>
      <c r="D612" t="str">
        <f>_xlfn.XLOOKUP(C612,'Carrier Name Rename'!A:A,'Carrier Name Rename'!B:B)</f>
        <v>Southwest Airlines Co.</v>
      </c>
      <c r="E612" t="s">
        <v>23</v>
      </c>
      <c r="F612" t="s">
        <v>24</v>
      </c>
      <c r="G612">
        <v>405</v>
      </c>
      <c r="H612">
        <v>11</v>
      </c>
      <c r="I612">
        <v>6.22</v>
      </c>
      <c r="J612">
        <v>1</v>
      </c>
      <c r="K612">
        <v>0.92</v>
      </c>
      <c r="L612">
        <v>0</v>
      </c>
      <c r="M612">
        <v>2.86</v>
      </c>
      <c r="N612">
        <v>4</v>
      </c>
      <c r="O612">
        <v>0</v>
      </c>
      <c r="P612">
        <v>635</v>
      </c>
      <c r="Q612">
        <v>484</v>
      </c>
      <c r="R612">
        <v>20</v>
      </c>
      <c r="S612">
        <v>25</v>
      </c>
      <c r="T612">
        <v>0</v>
      </c>
      <c r="U612">
        <v>106</v>
      </c>
      <c r="V612" s="1">
        <f t="shared" si="27"/>
        <v>2.7199999999999998E-2</v>
      </c>
      <c r="W612" s="1">
        <f t="shared" si="28"/>
        <v>9.9000000000000008E-3</v>
      </c>
      <c r="X612" s="1">
        <f t="shared" si="29"/>
        <v>0</v>
      </c>
    </row>
    <row r="613" spans="1:24" x14ac:dyDescent="0.25">
      <c r="A613">
        <v>2020</v>
      </c>
      <c r="B613">
        <v>10</v>
      </c>
      <c r="C613" t="s">
        <v>31</v>
      </c>
      <c r="D613" t="str">
        <f>_xlfn.XLOOKUP(C613,'Carrier Name Rename'!A:A,'Carrier Name Rename'!B:B)</f>
        <v>American Airlines Inc.</v>
      </c>
      <c r="E613" t="s">
        <v>23</v>
      </c>
      <c r="F613" t="s">
        <v>24</v>
      </c>
      <c r="G613">
        <v>373</v>
      </c>
      <c r="H613">
        <v>92</v>
      </c>
      <c r="I613">
        <v>26.53</v>
      </c>
      <c r="J613">
        <v>1.1499999999999999</v>
      </c>
      <c r="K613">
        <v>58.73</v>
      </c>
      <c r="L613">
        <v>0</v>
      </c>
      <c r="M613">
        <v>5.59</v>
      </c>
      <c r="N613">
        <v>0</v>
      </c>
      <c r="O613">
        <v>1</v>
      </c>
      <c r="P613">
        <v>3691</v>
      </c>
      <c r="Q613">
        <v>1366</v>
      </c>
      <c r="R613">
        <v>22</v>
      </c>
      <c r="S613">
        <v>1821</v>
      </c>
      <c r="T613">
        <v>0</v>
      </c>
      <c r="U613">
        <v>482</v>
      </c>
      <c r="V613" s="1">
        <f t="shared" si="27"/>
        <v>0.24660000000000001</v>
      </c>
      <c r="W613" s="1">
        <f t="shared" si="28"/>
        <v>0</v>
      </c>
      <c r="X613" s="1">
        <f t="shared" si="29"/>
        <v>2.7000000000000001E-3</v>
      </c>
    </row>
    <row r="614" spans="1:24" x14ac:dyDescent="0.25">
      <c r="A614">
        <v>2020</v>
      </c>
      <c r="B614">
        <v>10</v>
      </c>
      <c r="C614" t="s">
        <v>33</v>
      </c>
      <c r="D614" t="str">
        <f>_xlfn.XLOOKUP(C614,'Carrier Name Rename'!A:A,'Carrier Name Rename'!B:B)</f>
        <v>Alaska Airlines Inc.</v>
      </c>
      <c r="E614" t="s">
        <v>23</v>
      </c>
      <c r="F614" t="s">
        <v>24</v>
      </c>
      <c r="G614">
        <v>3980</v>
      </c>
      <c r="H614">
        <v>325</v>
      </c>
      <c r="I614">
        <v>77.099999999999994</v>
      </c>
      <c r="J614">
        <v>4.88</v>
      </c>
      <c r="K614">
        <v>184.25</v>
      </c>
      <c r="L614">
        <v>1</v>
      </c>
      <c r="M614">
        <v>57.77</v>
      </c>
      <c r="N614">
        <v>10</v>
      </c>
      <c r="O614">
        <v>6</v>
      </c>
      <c r="P614">
        <v>14136</v>
      </c>
      <c r="Q614">
        <v>5422</v>
      </c>
      <c r="R614">
        <v>302</v>
      </c>
      <c r="S614">
        <v>4970</v>
      </c>
      <c r="T614">
        <v>39</v>
      </c>
      <c r="U614">
        <v>3403</v>
      </c>
      <c r="V614" s="1">
        <f t="shared" si="27"/>
        <v>8.1699999999999995E-2</v>
      </c>
      <c r="W614" s="1">
        <f t="shared" si="28"/>
        <v>2.5000000000000001E-3</v>
      </c>
      <c r="X614" s="1">
        <f t="shared" si="29"/>
        <v>1.5E-3</v>
      </c>
    </row>
    <row r="615" spans="1:24" x14ac:dyDescent="0.25">
      <c r="A615">
        <v>2020</v>
      </c>
      <c r="B615">
        <v>10</v>
      </c>
      <c r="C615" t="s">
        <v>35</v>
      </c>
      <c r="D615" t="str">
        <f>_xlfn.XLOOKUP(C615,'Carrier Name Rename'!A:A,'Carrier Name Rename'!B:B)</f>
        <v>JetBlue Airways</v>
      </c>
      <c r="E615" t="s">
        <v>23</v>
      </c>
      <c r="F615" t="s">
        <v>24</v>
      </c>
      <c r="G615">
        <v>30</v>
      </c>
      <c r="H615">
        <v>2</v>
      </c>
      <c r="I615">
        <v>1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39</v>
      </c>
      <c r="Q615">
        <v>15</v>
      </c>
      <c r="R615">
        <v>0</v>
      </c>
      <c r="S615">
        <v>24</v>
      </c>
      <c r="T615">
        <v>0</v>
      </c>
      <c r="U615">
        <v>0</v>
      </c>
      <c r="V615" s="1">
        <f t="shared" si="27"/>
        <v>6.6699999999999995E-2</v>
      </c>
      <c r="W615" s="1">
        <f t="shared" si="28"/>
        <v>0</v>
      </c>
      <c r="X615" s="1">
        <f t="shared" si="29"/>
        <v>0</v>
      </c>
    </row>
    <row r="616" spans="1:24" x14ac:dyDescent="0.25">
      <c r="A616">
        <v>2020</v>
      </c>
      <c r="B616">
        <v>10</v>
      </c>
      <c r="C616" t="s">
        <v>37</v>
      </c>
      <c r="D616" t="str">
        <f>_xlfn.XLOOKUP(C616,'Carrier Name Rename'!A:A,'Carrier Name Rename'!B:B)</f>
        <v>Delta Air Lines Inc.</v>
      </c>
      <c r="E616" t="s">
        <v>23</v>
      </c>
      <c r="F616" t="s">
        <v>24</v>
      </c>
      <c r="G616">
        <v>1765</v>
      </c>
      <c r="H616">
        <v>160</v>
      </c>
      <c r="I616">
        <v>38.35</v>
      </c>
      <c r="J616">
        <v>3.57</v>
      </c>
      <c r="K616">
        <v>102.39</v>
      </c>
      <c r="L616">
        <v>1</v>
      </c>
      <c r="M616">
        <v>14.7</v>
      </c>
      <c r="N616">
        <v>5</v>
      </c>
      <c r="O616">
        <v>3</v>
      </c>
      <c r="P616">
        <v>6836</v>
      </c>
      <c r="Q616">
        <v>2823</v>
      </c>
      <c r="R616">
        <v>446</v>
      </c>
      <c r="S616">
        <v>2559</v>
      </c>
      <c r="T616">
        <v>56</v>
      </c>
      <c r="U616">
        <v>952</v>
      </c>
      <c r="V616" s="1">
        <f t="shared" si="27"/>
        <v>9.0700000000000003E-2</v>
      </c>
      <c r="W616" s="1">
        <f t="shared" si="28"/>
        <v>2.8E-3</v>
      </c>
      <c r="X616" s="1">
        <f t="shared" si="29"/>
        <v>1.6999999999999999E-3</v>
      </c>
    </row>
    <row r="617" spans="1:24" x14ac:dyDescent="0.25">
      <c r="A617">
        <v>2020</v>
      </c>
      <c r="B617">
        <v>10</v>
      </c>
      <c r="C617" t="s">
        <v>39</v>
      </c>
      <c r="D617" t="str">
        <f>_xlfn.XLOOKUP(C617,'Carrier Name Rename'!A:A,'Carrier Name Rename'!B:B)</f>
        <v>Frontier Airlines Inc.</v>
      </c>
      <c r="E617" t="s">
        <v>23</v>
      </c>
      <c r="F617" t="s">
        <v>24</v>
      </c>
      <c r="G617">
        <v>59</v>
      </c>
      <c r="H617">
        <v>11</v>
      </c>
      <c r="I617">
        <v>3.22</v>
      </c>
      <c r="J617">
        <v>0</v>
      </c>
      <c r="K617">
        <v>5.18</v>
      </c>
      <c r="L617">
        <v>0</v>
      </c>
      <c r="M617">
        <v>2.6</v>
      </c>
      <c r="N617">
        <v>0</v>
      </c>
      <c r="O617">
        <v>0</v>
      </c>
      <c r="P617">
        <v>280</v>
      </c>
      <c r="Q617">
        <v>94</v>
      </c>
      <c r="R617">
        <v>0</v>
      </c>
      <c r="S617">
        <v>92</v>
      </c>
      <c r="T617">
        <v>0</v>
      </c>
      <c r="U617">
        <v>94</v>
      </c>
      <c r="V617" s="1">
        <f t="shared" si="27"/>
        <v>0.18640000000000001</v>
      </c>
      <c r="W617" s="1">
        <f t="shared" si="28"/>
        <v>0</v>
      </c>
      <c r="X617" s="1">
        <f t="shared" si="29"/>
        <v>0</v>
      </c>
    </row>
    <row r="618" spans="1:24" x14ac:dyDescent="0.25">
      <c r="A618">
        <v>2020</v>
      </c>
      <c r="B618">
        <v>10</v>
      </c>
      <c r="C618" t="s">
        <v>21</v>
      </c>
      <c r="D618" t="str">
        <f>_xlfn.XLOOKUP(C618,'Carrier Name Rename'!A:A,'Carrier Name Rename'!B:B)</f>
        <v>Hawaiian Airlines Inc.</v>
      </c>
      <c r="E618" t="s">
        <v>23</v>
      </c>
      <c r="F618" t="s">
        <v>24</v>
      </c>
      <c r="G618">
        <v>31</v>
      </c>
      <c r="H618">
        <v>1</v>
      </c>
      <c r="I618">
        <v>0.77</v>
      </c>
      <c r="J618">
        <v>0</v>
      </c>
      <c r="K618">
        <v>0</v>
      </c>
      <c r="L618">
        <v>0</v>
      </c>
      <c r="M618">
        <v>0.23</v>
      </c>
      <c r="N618">
        <v>0</v>
      </c>
      <c r="O618">
        <v>0</v>
      </c>
      <c r="P618">
        <v>22</v>
      </c>
      <c r="Q618">
        <v>17</v>
      </c>
      <c r="R618">
        <v>0</v>
      </c>
      <c r="S618">
        <v>0</v>
      </c>
      <c r="T618">
        <v>0</v>
      </c>
      <c r="U618">
        <v>5</v>
      </c>
      <c r="V618" s="1">
        <f t="shared" si="27"/>
        <v>3.2300000000000002E-2</v>
      </c>
      <c r="W618" s="1">
        <f t="shared" si="28"/>
        <v>0</v>
      </c>
      <c r="X618" s="1">
        <f t="shared" si="29"/>
        <v>0</v>
      </c>
    </row>
    <row r="619" spans="1:24" x14ac:dyDescent="0.25">
      <c r="A619">
        <v>2020</v>
      </c>
      <c r="B619">
        <v>10</v>
      </c>
      <c r="C619" t="s">
        <v>25</v>
      </c>
      <c r="D619" t="str">
        <f>_xlfn.XLOOKUP(C619,'Carrier Name Rename'!A:A,'Carrier Name Rename'!B:B)</f>
        <v>Spirit Airlines</v>
      </c>
      <c r="E619" t="s">
        <v>23</v>
      </c>
      <c r="F619" t="s">
        <v>24</v>
      </c>
      <c r="G619">
        <v>43</v>
      </c>
      <c r="H619">
        <v>2</v>
      </c>
      <c r="I619">
        <v>1</v>
      </c>
      <c r="J619">
        <v>0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74</v>
      </c>
      <c r="Q619">
        <v>23</v>
      </c>
      <c r="R619">
        <v>0</v>
      </c>
      <c r="S619">
        <v>51</v>
      </c>
      <c r="T619">
        <v>0</v>
      </c>
      <c r="U619">
        <v>0</v>
      </c>
      <c r="V619" s="1">
        <f t="shared" si="27"/>
        <v>4.65E-2</v>
      </c>
      <c r="W619" s="1">
        <f t="shared" si="28"/>
        <v>0</v>
      </c>
      <c r="X619" s="1">
        <f t="shared" si="29"/>
        <v>0</v>
      </c>
    </row>
    <row r="620" spans="1:24" x14ac:dyDescent="0.25">
      <c r="A620">
        <v>2020</v>
      </c>
      <c r="B620">
        <v>10</v>
      </c>
      <c r="C620" t="s">
        <v>27</v>
      </c>
      <c r="D620" t="str">
        <f>_xlfn.XLOOKUP(C620,'Carrier Name Rename'!A:A,'Carrier Name Rename'!B:B)</f>
        <v>SkyWest Airlines Inc.</v>
      </c>
      <c r="E620" t="s">
        <v>23</v>
      </c>
      <c r="F620" t="s">
        <v>24</v>
      </c>
      <c r="G620">
        <v>1863</v>
      </c>
      <c r="H620">
        <v>152</v>
      </c>
      <c r="I620">
        <v>92</v>
      </c>
      <c r="J620">
        <v>44</v>
      </c>
      <c r="K620">
        <v>2</v>
      </c>
      <c r="L620">
        <v>0</v>
      </c>
      <c r="M620">
        <v>14</v>
      </c>
      <c r="N620">
        <v>0</v>
      </c>
      <c r="O620">
        <v>24</v>
      </c>
      <c r="P620">
        <v>9199</v>
      </c>
      <c r="Q620">
        <v>3727</v>
      </c>
      <c r="R620">
        <v>4598</v>
      </c>
      <c r="S620">
        <v>64</v>
      </c>
      <c r="T620">
        <v>0</v>
      </c>
      <c r="U620">
        <v>810</v>
      </c>
      <c r="V620" s="1">
        <f t="shared" si="27"/>
        <v>8.1600000000000006E-2</v>
      </c>
      <c r="W620" s="1">
        <f t="shared" si="28"/>
        <v>0</v>
      </c>
      <c r="X620" s="1">
        <f t="shared" si="29"/>
        <v>1.29E-2</v>
      </c>
    </row>
    <row r="621" spans="1:24" x14ac:dyDescent="0.25">
      <c r="A621">
        <v>2020</v>
      </c>
      <c r="B621">
        <v>10</v>
      </c>
      <c r="C621" t="s">
        <v>29</v>
      </c>
      <c r="D621" t="str">
        <f>_xlfn.XLOOKUP(C621,'Carrier Name Rename'!A:A,'Carrier Name Rename'!B:B)</f>
        <v>Horizon Air</v>
      </c>
      <c r="E621" t="s">
        <v>23</v>
      </c>
      <c r="F621" t="s">
        <v>24</v>
      </c>
      <c r="G621">
        <v>2759</v>
      </c>
      <c r="H621">
        <v>242</v>
      </c>
      <c r="I621">
        <v>55.2</v>
      </c>
      <c r="J621">
        <v>12.83</v>
      </c>
      <c r="K621">
        <v>119.76</v>
      </c>
      <c r="L621">
        <v>0</v>
      </c>
      <c r="M621">
        <v>54.21</v>
      </c>
      <c r="N621">
        <v>21</v>
      </c>
      <c r="O621">
        <v>7</v>
      </c>
      <c r="P621">
        <v>10621</v>
      </c>
      <c r="Q621">
        <v>3876</v>
      </c>
      <c r="R621">
        <v>1338</v>
      </c>
      <c r="S621">
        <v>3390</v>
      </c>
      <c r="T621">
        <v>0</v>
      </c>
      <c r="U621">
        <v>2017</v>
      </c>
      <c r="V621" s="1">
        <f t="shared" si="27"/>
        <v>8.77E-2</v>
      </c>
      <c r="W621" s="1">
        <f t="shared" si="28"/>
        <v>7.6E-3</v>
      </c>
      <c r="X621" s="1">
        <f t="shared" si="29"/>
        <v>2.5000000000000001E-3</v>
      </c>
    </row>
    <row r="622" spans="1:24" x14ac:dyDescent="0.25">
      <c r="A622">
        <v>2020</v>
      </c>
      <c r="B622">
        <v>10</v>
      </c>
      <c r="C622" t="s">
        <v>41</v>
      </c>
      <c r="D622" t="str">
        <f>_xlfn.XLOOKUP(C622,'Carrier Name Rename'!A:A,'Carrier Name Rename'!B:B)</f>
        <v>United Air Lines Inc.</v>
      </c>
      <c r="E622" t="s">
        <v>23</v>
      </c>
      <c r="F622" t="s">
        <v>24</v>
      </c>
      <c r="G622">
        <v>464</v>
      </c>
      <c r="H622">
        <v>37</v>
      </c>
      <c r="I622">
        <v>8.77</v>
      </c>
      <c r="J622">
        <v>0</v>
      </c>
      <c r="K622">
        <v>22.84</v>
      </c>
      <c r="L622">
        <v>0</v>
      </c>
      <c r="M622">
        <v>5.39</v>
      </c>
      <c r="N622">
        <v>1</v>
      </c>
      <c r="O622">
        <v>1</v>
      </c>
      <c r="P622">
        <v>1437</v>
      </c>
      <c r="Q622">
        <v>559</v>
      </c>
      <c r="R622">
        <v>0</v>
      </c>
      <c r="S622">
        <v>588</v>
      </c>
      <c r="T622">
        <v>0</v>
      </c>
      <c r="U622">
        <v>290</v>
      </c>
      <c r="V622" s="1">
        <f t="shared" si="27"/>
        <v>7.9699999999999993E-2</v>
      </c>
      <c r="W622" s="1">
        <f t="shared" si="28"/>
        <v>2.2000000000000001E-3</v>
      </c>
      <c r="X622" s="1">
        <f t="shared" si="29"/>
        <v>2.2000000000000001E-3</v>
      </c>
    </row>
    <row r="623" spans="1:24" x14ac:dyDescent="0.25">
      <c r="A623">
        <v>2020</v>
      </c>
      <c r="B623">
        <v>10</v>
      </c>
      <c r="C623" t="s">
        <v>43</v>
      </c>
      <c r="D623" t="str">
        <f>_xlfn.XLOOKUP(C623,'Carrier Name Rename'!A:A,'Carrier Name Rename'!B:B)</f>
        <v>Southwest Airlines Co.</v>
      </c>
      <c r="E623" t="s">
        <v>23</v>
      </c>
      <c r="F623" t="s">
        <v>24</v>
      </c>
      <c r="G623">
        <v>394</v>
      </c>
      <c r="H623">
        <v>29</v>
      </c>
      <c r="I623">
        <v>6.37</v>
      </c>
      <c r="J623">
        <v>0</v>
      </c>
      <c r="K623">
        <v>14.47</v>
      </c>
      <c r="L623">
        <v>0</v>
      </c>
      <c r="M623">
        <v>8.16</v>
      </c>
      <c r="N623">
        <v>1</v>
      </c>
      <c r="O623">
        <v>0</v>
      </c>
      <c r="P623">
        <v>768</v>
      </c>
      <c r="Q623">
        <v>143</v>
      </c>
      <c r="R623">
        <v>0</v>
      </c>
      <c r="S623">
        <v>364</v>
      </c>
      <c r="T623">
        <v>0</v>
      </c>
      <c r="U623">
        <v>261</v>
      </c>
      <c r="V623" s="1">
        <f t="shared" si="27"/>
        <v>7.3599999999999999E-2</v>
      </c>
      <c r="W623" s="1">
        <f t="shared" si="28"/>
        <v>2.5000000000000001E-3</v>
      </c>
      <c r="X623" s="1">
        <f t="shared" si="29"/>
        <v>0</v>
      </c>
    </row>
    <row r="624" spans="1:24" x14ac:dyDescent="0.25">
      <c r="A624">
        <v>2020</v>
      </c>
      <c r="B624">
        <v>9</v>
      </c>
      <c r="C624" t="s">
        <v>31</v>
      </c>
      <c r="D624" t="str">
        <f>_xlfn.XLOOKUP(C624,'Carrier Name Rename'!A:A,'Carrier Name Rename'!B:B)</f>
        <v>American Airlines Inc.</v>
      </c>
      <c r="E624" t="s">
        <v>23</v>
      </c>
      <c r="F624" t="s">
        <v>24</v>
      </c>
      <c r="G624">
        <v>323</v>
      </c>
      <c r="H624">
        <v>33</v>
      </c>
      <c r="I624">
        <v>17.88</v>
      </c>
      <c r="J624">
        <v>3</v>
      </c>
      <c r="K624">
        <v>10.130000000000001</v>
      </c>
      <c r="L624">
        <v>0</v>
      </c>
      <c r="M624">
        <v>1.99</v>
      </c>
      <c r="N624">
        <v>1</v>
      </c>
      <c r="O624">
        <v>1</v>
      </c>
      <c r="P624">
        <v>1906</v>
      </c>
      <c r="Q624">
        <v>1280</v>
      </c>
      <c r="R624">
        <v>99</v>
      </c>
      <c r="S624">
        <v>359</v>
      </c>
      <c r="T624">
        <v>0</v>
      </c>
      <c r="U624">
        <v>168</v>
      </c>
      <c r="V624" s="1">
        <f t="shared" si="27"/>
        <v>0.1022</v>
      </c>
      <c r="W624" s="1">
        <f t="shared" si="28"/>
        <v>3.0999999999999999E-3</v>
      </c>
      <c r="X624" s="1">
        <f t="shared" si="29"/>
        <v>3.0999999999999999E-3</v>
      </c>
    </row>
    <row r="625" spans="1:24" x14ac:dyDescent="0.25">
      <c r="A625">
        <v>2020</v>
      </c>
      <c r="B625">
        <v>9</v>
      </c>
      <c r="C625" t="s">
        <v>33</v>
      </c>
      <c r="D625" t="str">
        <f>_xlfn.XLOOKUP(C625,'Carrier Name Rename'!A:A,'Carrier Name Rename'!B:B)</f>
        <v>Alaska Airlines Inc.</v>
      </c>
      <c r="E625" t="s">
        <v>23</v>
      </c>
      <c r="F625" t="s">
        <v>24</v>
      </c>
      <c r="G625">
        <v>3740</v>
      </c>
      <c r="H625">
        <v>216</v>
      </c>
      <c r="I625">
        <v>70.680000000000007</v>
      </c>
      <c r="J625">
        <v>10.51</v>
      </c>
      <c r="K625">
        <v>97.89</v>
      </c>
      <c r="L625">
        <v>2.14</v>
      </c>
      <c r="M625">
        <v>34.78</v>
      </c>
      <c r="N625">
        <v>17</v>
      </c>
      <c r="O625">
        <v>2</v>
      </c>
      <c r="P625">
        <v>8506</v>
      </c>
      <c r="Q625">
        <v>3125</v>
      </c>
      <c r="R625">
        <v>531</v>
      </c>
      <c r="S625">
        <v>2313</v>
      </c>
      <c r="T625">
        <v>65</v>
      </c>
      <c r="U625">
        <v>2472</v>
      </c>
      <c r="V625" s="1">
        <f t="shared" si="27"/>
        <v>5.7799999999999997E-2</v>
      </c>
      <c r="W625" s="1">
        <f t="shared" si="28"/>
        <v>4.4999999999999997E-3</v>
      </c>
      <c r="X625" s="1">
        <f t="shared" si="29"/>
        <v>5.0000000000000001E-4</v>
      </c>
    </row>
    <row r="626" spans="1:24" x14ac:dyDescent="0.25">
      <c r="A626">
        <v>2020</v>
      </c>
      <c r="B626">
        <v>9</v>
      </c>
      <c r="C626" t="s">
        <v>35</v>
      </c>
      <c r="D626" t="str">
        <f>_xlfn.XLOOKUP(C626,'Carrier Name Rename'!A:A,'Carrier Name Rename'!B:B)</f>
        <v>JetBlue Airways</v>
      </c>
      <c r="E626" t="s">
        <v>23</v>
      </c>
      <c r="F626" t="s">
        <v>24</v>
      </c>
      <c r="G626">
        <v>28</v>
      </c>
      <c r="H626">
        <v>1</v>
      </c>
      <c r="I626">
        <v>0.86</v>
      </c>
      <c r="J626">
        <v>0</v>
      </c>
      <c r="K626">
        <v>0.14000000000000001</v>
      </c>
      <c r="L626">
        <v>0</v>
      </c>
      <c r="M626">
        <v>0</v>
      </c>
      <c r="N626">
        <v>0</v>
      </c>
      <c r="O626">
        <v>0</v>
      </c>
      <c r="P626">
        <v>22</v>
      </c>
      <c r="Q626">
        <v>19</v>
      </c>
      <c r="R626">
        <v>0</v>
      </c>
      <c r="S626">
        <v>3</v>
      </c>
      <c r="T626">
        <v>0</v>
      </c>
      <c r="U626">
        <v>0</v>
      </c>
      <c r="V626" s="1">
        <f t="shared" si="27"/>
        <v>3.5700000000000003E-2</v>
      </c>
      <c r="W626" s="1">
        <f t="shared" si="28"/>
        <v>0</v>
      </c>
      <c r="X626" s="1">
        <f t="shared" si="29"/>
        <v>0</v>
      </c>
    </row>
    <row r="627" spans="1:24" x14ac:dyDescent="0.25">
      <c r="A627">
        <v>2020</v>
      </c>
      <c r="B627">
        <v>9</v>
      </c>
      <c r="C627" t="s">
        <v>37</v>
      </c>
      <c r="D627" t="str">
        <f>_xlfn.XLOOKUP(C627,'Carrier Name Rename'!A:A,'Carrier Name Rename'!B:B)</f>
        <v>Delta Air Lines Inc.</v>
      </c>
      <c r="E627" t="s">
        <v>23</v>
      </c>
      <c r="F627" t="s">
        <v>24</v>
      </c>
      <c r="G627">
        <v>1738</v>
      </c>
      <c r="H627">
        <v>88</v>
      </c>
      <c r="I627">
        <v>31.43</v>
      </c>
      <c r="J627">
        <v>1.69</v>
      </c>
      <c r="K627">
        <v>41.23</v>
      </c>
      <c r="L627">
        <v>0</v>
      </c>
      <c r="M627">
        <v>13.65</v>
      </c>
      <c r="N627">
        <v>1</v>
      </c>
      <c r="O627">
        <v>1</v>
      </c>
      <c r="P627">
        <v>3594</v>
      </c>
      <c r="Q627">
        <v>1523</v>
      </c>
      <c r="R627">
        <v>224</v>
      </c>
      <c r="S627">
        <v>1134</v>
      </c>
      <c r="T627">
        <v>0</v>
      </c>
      <c r="U627">
        <v>713</v>
      </c>
      <c r="V627" s="1">
        <f t="shared" si="27"/>
        <v>5.0599999999999999E-2</v>
      </c>
      <c r="W627" s="1">
        <f t="shared" si="28"/>
        <v>5.9999999999999995E-4</v>
      </c>
      <c r="X627" s="1">
        <f t="shared" si="29"/>
        <v>5.9999999999999995E-4</v>
      </c>
    </row>
    <row r="628" spans="1:24" x14ac:dyDescent="0.25">
      <c r="A628">
        <v>2020</v>
      </c>
      <c r="B628">
        <v>9</v>
      </c>
      <c r="C628" t="s">
        <v>39</v>
      </c>
      <c r="D628" t="str">
        <f>_xlfn.XLOOKUP(C628,'Carrier Name Rename'!A:A,'Carrier Name Rename'!B:B)</f>
        <v>Frontier Airlines Inc.</v>
      </c>
      <c r="E628" t="s">
        <v>23</v>
      </c>
      <c r="F628" t="s">
        <v>24</v>
      </c>
      <c r="G628">
        <v>55</v>
      </c>
      <c r="H628">
        <v>3</v>
      </c>
      <c r="I628">
        <v>2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104</v>
      </c>
      <c r="Q628">
        <v>86</v>
      </c>
      <c r="R628">
        <v>0</v>
      </c>
      <c r="S628">
        <v>18</v>
      </c>
      <c r="T628">
        <v>0</v>
      </c>
      <c r="U628">
        <v>0</v>
      </c>
      <c r="V628" s="1">
        <f t="shared" si="27"/>
        <v>5.45E-2</v>
      </c>
      <c r="W628" s="1">
        <f t="shared" si="28"/>
        <v>0</v>
      </c>
      <c r="X628" s="1">
        <f t="shared" si="29"/>
        <v>0</v>
      </c>
    </row>
    <row r="629" spans="1:24" x14ac:dyDescent="0.25">
      <c r="A629">
        <v>2020</v>
      </c>
      <c r="B629">
        <v>9</v>
      </c>
      <c r="C629" t="s">
        <v>21</v>
      </c>
      <c r="D629" t="str">
        <f>_xlfn.XLOOKUP(C629,'Carrier Name Rename'!A:A,'Carrier Name Rename'!B:B)</f>
        <v>Hawaiian Airlines Inc.</v>
      </c>
      <c r="E629" t="s">
        <v>23</v>
      </c>
      <c r="F629" t="s">
        <v>24</v>
      </c>
      <c r="G629">
        <v>30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45</v>
      </c>
      <c r="Q629">
        <v>45</v>
      </c>
      <c r="R629">
        <v>0</v>
      </c>
      <c r="S629">
        <v>0</v>
      </c>
      <c r="T629">
        <v>0</v>
      </c>
      <c r="U629">
        <v>0</v>
      </c>
      <c r="V629" s="1">
        <f t="shared" si="27"/>
        <v>3.3300000000000003E-2</v>
      </c>
      <c r="W629" s="1">
        <f t="shared" si="28"/>
        <v>0</v>
      </c>
      <c r="X629" s="1">
        <f t="shared" si="29"/>
        <v>0</v>
      </c>
    </row>
    <row r="630" spans="1:24" x14ac:dyDescent="0.25">
      <c r="A630">
        <v>2020</v>
      </c>
      <c r="B630">
        <v>9</v>
      </c>
      <c r="C630" t="s">
        <v>25</v>
      </c>
      <c r="D630" t="str">
        <f>_xlfn.XLOOKUP(C630,'Carrier Name Rename'!A:A,'Carrier Name Rename'!B:B)</f>
        <v>Spirit Airlines</v>
      </c>
      <c r="E630" t="s">
        <v>23</v>
      </c>
      <c r="F630" t="s">
        <v>24</v>
      </c>
      <c r="G630">
        <v>34</v>
      </c>
      <c r="H630">
        <v>3</v>
      </c>
      <c r="I630">
        <v>0</v>
      </c>
      <c r="J630">
        <v>0</v>
      </c>
      <c r="K630">
        <v>2</v>
      </c>
      <c r="L630">
        <v>0</v>
      </c>
      <c r="M630">
        <v>1</v>
      </c>
      <c r="N630">
        <v>0</v>
      </c>
      <c r="O630">
        <v>0</v>
      </c>
      <c r="P630">
        <v>84</v>
      </c>
      <c r="Q630">
        <v>0</v>
      </c>
      <c r="R630">
        <v>0</v>
      </c>
      <c r="S630">
        <v>67</v>
      </c>
      <c r="T630">
        <v>0</v>
      </c>
      <c r="U630">
        <v>17</v>
      </c>
      <c r="V630" s="1">
        <f t="shared" si="27"/>
        <v>8.8200000000000001E-2</v>
      </c>
      <c r="W630" s="1">
        <f t="shared" si="28"/>
        <v>0</v>
      </c>
      <c r="X630" s="1">
        <f t="shared" si="29"/>
        <v>0</v>
      </c>
    </row>
    <row r="631" spans="1:24" x14ac:dyDescent="0.25">
      <c r="A631">
        <v>2020</v>
      </c>
      <c r="B631">
        <v>9</v>
      </c>
      <c r="C631" t="s">
        <v>27</v>
      </c>
      <c r="D631" t="str">
        <f>_xlfn.XLOOKUP(C631,'Carrier Name Rename'!A:A,'Carrier Name Rename'!B:B)</f>
        <v>SkyWest Airlines Inc.</v>
      </c>
      <c r="E631" t="s">
        <v>23</v>
      </c>
      <c r="F631" t="s">
        <v>24</v>
      </c>
      <c r="G631">
        <v>1454</v>
      </c>
      <c r="H631">
        <v>74</v>
      </c>
      <c r="I631">
        <v>50</v>
      </c>
      <c r="J631">
        <v>15</v>
      </c>
      <c r="K631">
        <v>0</v>
      </c>
      <c r="L631">
        <v>2</v>
      </c>
      <c r="M631">
        <v>7</v>
      </c>
      <c r="N631">
        <v>26</v>
      </c>
      <c r="O631">
        <v>1</v>
      </c>
      <c r="P631">
        <v>6215</v>
      </c>
      <c r="Q631">
        <v>4448</v>
      </c>
      <c r="R631">
        <v>1421</v>
      </c>
      <c r="S631">
        <v>0</v>
      </c>
      <c r="T631">
        <v>115</v>
      </c>
      <c r="U631">
        <v>231</v>
      </c>
      <c r="V631" s="1">
        <f t="shared" si="27"/>
        <v>5.0900000000000001E-2</v>
      </c>
      <c r="W631" s="1">
        <f t="shared" si="28"/>
        <v>1.7899999999999999E-2</v>
      </c>
      <c r="X631" s="1">
        <f t="shared" si="29"/>
        <v>6.9999999999999999E-4</v>
      </c>
    </row>
    <row r="632" spans="1:24" x14ac:dyDescent="0.25">
      <c r="A632">
        <v>2020</v>
      </c>
      <c r="B632">
        <v>9</v>
      </c>
      <c r="C632" t="s">
        <v>29</v>
      </c>
      <c r="D632" t="str">
        <f>_xlfn.XLOOKUP(C632,'Carrier Name Rename'!A:A,'Carrier Name Rename'!B:B)</f>
        <v>Horizon Air</v>
      </c>
      <c r="E632" t="s">
        <v>23</v>
      </c>
      <c r="F632" t="s">
        <v>24</v>
      </c>
      <c r="G632">
        <v>3013</v>
      </c>
      <c r="H632">
        <v>199</v>
      </c>
      <c r="I632">
        <v>82.76</v>
      </c>
      <c r="J632">
        <v>1.97</v>
      </c>
      <c r="K632">
        <v>53.5</v>
      </c>
      <c r="L632">
        <v>0</v>
      </c>
      <c r="M632">
        <v>60.77</v>
      </c>
      <c r="N632">
        <v>171</v>
      </c>
      <c r="O632">
        <v>0</v>
      </c>
      <c r="P632">
        <v>11261</v>
      </c>
      <c r="Q632">
        <v>6864</v>
      </c>
      <c r="R632">
        <v>153</v>
      </c>
      <c r="S632">
        <v>1467</v>
      </c>
      <c r="T632">
        <v>0</v>
      </c>
      <c r="U632">
        <v>2777</v>
      </c>
      <c r="V632" s="1">
        <f t="shared" si="27"/>
        <v>6.6000000000000003E-2</v>
      </c>
      <c r="W632" s="1">
        <f t="shared" si="28"/>
        <v>5.6800000000000003E-2</v>
      </c>
      <c r="X632" s="1">
        <f t="shared" si="29"/>
        <v>0</v>
      </c>
    </row>
    <row r="633" spans="1:24" x14ac:dyDescent="0.25">
      <c r="A633">
        <v>2020</v>
      </c>
      <c r="B633">
        <v>9</v>
      </c>
      <c r="C633" t="s">
        <v>41</v>
      </c>
      <c r="D633" t="str">
        <f>_xlfn.XLOOKUP(C633,'Carrier Name Rename'!A:A,'Carrier Name Rename'!B:B)</f>
        <v>United Air Lines Inc.</v>
      </c>
      <c r="E633" t="s">
        <v>23</v>
      </c>
      <c r="F633" t="s">
        <v>24</v>
      </c>
      <c r="G633">
        <v>497</v>
      </c>
      <c r="H633">
        <v>9</v>
      </c>
      <c r="I633">
        <v>6.01</v>
      </c>
      <c r="J633">
        <v>0</v>
      </c>
      <c r="K633">
        <v>1.2</v>
      </c>
      <c r="L633">
        <v>0</v>
      </c>
      <c r="M633">
        <v>1.79</v>
      </c>
      <c r="N633">
        <v>15</v>
      </c>
      <c r="O633">
        <v>0</v>
      </c>
      <c r="P633">
        <v>317</v>
      </c>
      <c r="Q633">
        <v>189</v>
      </c>
      <c r="R633">
        <v>0</v>
      </c>
      <c r="S633">
        <v>20</v>
      </c>
      <c r="T633">
        <v>0</v>
      </c>
      <c r="U633">
        <v>108</v>
      </c>
      <c r="V633" s="1">
        <f t="shared" si="27"/>
        <v>1.8100000000000002E-2</v>
      </c>
      <c r="W633" s="1">
        <f t="shared" si="28"/>
        <v>3.0200000000000001E-2</v>
      </c>
      <c r="X633" s="1">
        <f t="shared" si="29"/>
        <v>0</v>
      </c>
    </row>
    <row r="634" spans="1:24" x14ac:dyDescent="0.25">
      <c r="A634">
        <v>2020</v>
      </c>
      <c r="B634">
        <v>9</v>
      </c>
      <c r="C634" t="s">
        <v>43</v>
      </c>
      <c r="D634" t="str">
        <f>_xlfn.XLOOKUP(C634,'Carrier Name Rename'!A:A,'Carrier Name Rename'!B:B)</f>
        <v>Southwest Airlines Co.</v>
      </c>
      <c r="E634" t="s">
        <v>23</v>
      </c>
      <c r="F634" t="s">
        <v>24</v>
      </c>
      <c r="G634">
        <v>436</v>
      </c>
      <c r="H634">
        <v>19</v>
      </c>
      <c r="I634">
        <v>7.77</v>
      </c>
      <c r="J634">
        <v>0</v>
      </c>
      <c r="K634">
        <v>2.42</v>
      </c>
      <c r="L634">
        <v>0</v>
      </c>
      <c r="M634">
        <v>8.81</v>
      </c>
      <c r="N634">
        <v>2</v>
      </c>
      <c r="O634">
        <v>0</v>
      </c>
      <c r="P634">
        <v>995</v>
      </c>
      <c r="Q634">
        <v>450</v>
      </c>
      <c r="R634">
        <v>0</v>
      </c>
      <c r="S634">
        <v>59</v>
      </c>
      <c r="T634">
        <v>0</v>
      </c>
      <c r="U634">
        <v>486</v>
      </c>
      <c r="V634" s="1">
        <f t="shared" si="27"/>
        <v>4.36E-2</v>
      </c>
      <c r="W634" s="1">
        <f t="shared" si="28"/>
        <v>4.5999999999999999E-3</v>
      </c>
      <c r="X634" s="1">
        <f t="shared" si="29"/>
        <v>0</v>
      </c>
    </row>
    <row r="635" spans="1:24" x14ac:dyDescent="0.25">
      <c r="A635">
        <v>2020</v>
      </c>
      <c r="B635">
        <v>8</v>
      </c>
      <c r="C635" t="s">
        <v>31</v>
      </c>
      <c r="D635" t="str">
        <f>_xlfn.XLOOKUP(C635,'Carrier Name Rename'!A:A,'Carrier Name Rename'!B:B)</f>
        <v>American Airlines Inc.</v>
      </c>
      <c r="E635" t="s">
        <v>23</v>
      </c>
      <c r="F635" t="s">
        <v>24</v>
      </c>
      <c r="G635">
        <v>382</v>
      </c>
      <c r="H635">
        <v>34</v>
      </c>
      <c r="I635">
        <v>15.82</v>
      </c>
      <c r="J635">
        <v>4.42</v>
      </c>
      <c r="K635">
        <v>9.66</v>
      </c>
      <c r="L635">
        <v>1.37</v>
      </c>
      <c r="M635">
        <v>2.72</v>
      </c>
      <c r="N635">
        <v>1</v>
      </c>
      <c r="O635">
        <v>1</v>
      </c>
      <c r="P635">
        <v>1529</v>
      </c>
      <c r="Q635">
        <v>893</v>
      </c>
      <c r="R635">
        <v>169</v>
      </c>
      <c r="S635">
        <v>312</v>
      </c>
      <c r="T635">
        <v>38</v>
      </c>
      <c r="U635">
        <v>117</v>
      </c>
      <c r="V635" s="1">
        <f t="shared" si="27"/>
        <v>8.8999999999999996E-2</v>
      </c>
      <c r="W635" s="1">
        <f t="shared" si="28"/>
        <v>2.5999999999999999E-3</v>
      </c>
      <c r="X635" s="1">
        <f t="shared" si="29"/>
        <v>2.5999999999999999E-3</v>
      </c>
    </row>
    <row r="636" spans="1:24" x14ac:dyDescent="0.25">
      <c r="A636">
        <v>2020</v>
      </c>
      <c r="B636">
        <v>8</v>
      </c>
      <c r="C636" t="s">
        <v>33</v>
      </c>
      <c r="D636" t="str">
        <f>_xlfn.XLOOKUP(C636,'Carrier Name Rename'!A:A,'Carrier Name Rename'!B:B)</f>
        <v>Alaska Airlines Inc.</v>
      </c>
      <c r="E636" t="s">
        <v>23</v>
      </c>
      <c r="F636" t="s">
        <v>24</v>
      </c>
      <c r="G636">
        <v>3515</v>
      </c>
      <c r="H636">
        <v>245</v>
      </c>
      <c r="I636">
        <v>68.489999999999995</v>
      </c>
      <c r="J636">
        <v>11.96</v>
      </c>
      <c r="K636">
        <v>101.97</v>
      </c>
      <c r="L636">
        <v>2.77</v>
      </c>
      <c r="M636">
        <v>59.81</v>
      </c>
      <c r="N636">
        <v>5</v>
      </c>
      <c r="O636">
        <v>4</v>
      </c>
      <c r="P636">
        <v>10199</v>
      </c>
      <c r="Q636">
        <v>3180</v>
      </c>
      <c r="R636">
        <v>733</v>
      </c>
      <c r="S636">
        <v>2818</v>
      </c>
      <c r="T636">
        <v>62</v>
      </c>
      <c r="U636">
        <v>3406</v>
      </c>
      <c r="V636" s="1">
        <f t="shared" si="27"/>
        <v>6.9699999999999998E-2</v>
      </c>
      <c r="W636" s="1">
        <f t="shared" si="28"/>
        <v>1.4E-3</v>
      </c>
      <c r="X636" s="1">
        <f t="shared" si="29"/>
        <v>1.1000000000000001E-3</v>
      </c>
    </row>
    <row r="637" spans="1:24" x14ac:dyDescent="0.25">
      <c r="A637">
        <v>2020</v>
      </c>
      <c r="B637">
        <v>8</v>
      </c>
      <c r="C637" t="s">
        <v>35</v>
      </c>
      <c r="D637" t="str">
        <f>_xlfn.XLOOKUP(C637,'Carrier Name Rename'!A:A,'Carrier Name Rename'!B:B)</f>
        <v>JetBlue Airways</v>
      </c>
      <c r="E637" t="s">
        <v>23</v>
      </c>
      <c r="F637" t="s">
        <v>24</v>
      </c>
      <c r="G637">
        <v>50</v>
      </c>
      <c r="H637">
        <v>3</v>
      </c>
      <c r="I637">
        <v>1</v>
      </c>
      <c r="J637">
        <v>0</v>
      </c>
      <c r="K637">
        <v>1</v>
      </c>
      <c r="L637">
        <v>1</v>
      </c>
      <c r="M637">
        <v>0</v>
      </c>
      <c r="N637">
        <v>1</v>
      </c>
      <c r="O637">
        <v>0</v>
      </c>
      <c r="P637">
        <v>69</v>
      </c>
      <c r="Q637">
        <v>19</v>
      </c>
      <c r="R637">
        <v>0</v>
      </c>
      <c r="S637">
        <v>16</v>
      </c>
      <c r="T637">
        <v>34</v>
      </c>
      <c r="U637">
        <v>0</v>
      </c>
      <c r="V637" s="1">
        <f t="shared" si="27"/>
        <v>0.06</v>
      </c>
      <c r="W637" s="1">
        <f t="shared" si="28"/>
        <v>0.02</v>
      </c>
      <c r="X637" s="1">
        <f t="shared" si="29"/>
        <v>0</v>
      </c>
    </row>
    <row r="638" spans="1:24" x14ac:dyDescent="0.25">
      <c r="A638">
        <v>2020</v>
      </c>
      <c r="B638">
        <v>8</v>
      </c>
      <c r="C638" t="s">
        <v>37</v>
      </c>
      <c r="D638" t="str">
        <f>_xlfn.XLOOKUP(C638,'Carrier Name Rename'!A:A,'Carrier Name Rename'!B:B)</f>
        <v>Delta Air Lines Inc.</v>
      </c>
      <c r="E638" t="s">
        <v>23</v>
      </c>
      <c r="F638" t="s">
        <v>24</v>
      </c>
      <c r="G638">
        <v>1842</v>
      </c>
      <c r="H638">
        <v>127</v>
      </c>
      <c r="I638">
        <v>52.19</v>
      </c>
      <c r="J638">
        <v>6.54</v>
      </c>
      <c r="K638">
        <v>37.79</v>
      </c>
      <c r="L638">
        <v>1</v>
      </c>
      <c r="M638">
        <v>28.48</v>
      </c>
      <c r="N638">
        <v>6</v>
      </c>
      <c r="O638">
        <v>1</v>
      </c>
      <c r="P638">
        <v>7690</v>
      </c>
      <c r="Q638">
        <v>4059</v>
      </c>
      <c r="R638">
        <v>269</v>
      </c>
      <c r="S638">
        <v>1203</v>
      </c>
      <c r="T638">
        <v>21</v>
      </c>
      <c r="U638">
        <v>1629</v>
      </c>
      <c r="V638" s="1">
        <f t="shared" si="27"/>
        <v>6.8900000000000003E-2</v>
      </c>
      <c r="W638" s="1">
        <f t="shared" si="28"/>
        <v>3.3E-3</v>
      </c>
      <c r="X638" s="1">
        <f t="shared" si="29"/>
        <v>5.0000000000000001E-4</v>
      </c>
    </row>
    <row r="639" spans="1:24" x14ac:dyDescent="0.25">
      <c r="A639">
        <v>2020</v>
      </c>
      <c r="B639">
        <v>8</v>
      </c>
      <c r="C639" t="s">
        <v>39</v>
      </c>
      <c r="D639" t="str">
        <f>_xlfn.XLOOKUP(C639,'Carrier Name Rename'!A:A,'Carrier Name Rename'!B:B)</f>
        <v>Frontier Airlines Inc.</v>
      </c>
      <c r="E639" t="s">
        <v>23</v>
      </c>
      <c r="F639" t="s">
        <v>24</v>
      </c>
      <c r="G639">
        <v>80</v>
      </c>
      <c r="H639">
        <v>7</v>
      </c>
      <c r="I639">
        <v>2.5299999999999998</v>
      </c>
      <c r="J639">
        <v>0.65</v>
      </c>
      <c r="K639">
        <v>1.98</v>
      </c>
      <c r="L639">
        <v>0</v>
      </c>
      <c r="M639">
        <v>1.84</v>
      </c>
      <c r="N639">
        <v>0</v>
      </c>
      <c r="O639">
        <v>0</v>
      </c>
      <c r="P639">
        <v>428</v>
      </c>
      <c r="Q639">
        <v>151</v>
      </c>
      <c r="R639">
        <v>13</v>
      </c>
      <c r="S639">
        <v>61</v>
      </c>
      <c r="T639">
        <v>0</v>
      </c>
      <c r="U639">
        <v>203</v>
      </c>
      <c r="V639" s="1">
        <f t="shared" si="27"/>
        <v>8.7499999999999994E-2</v>
      </c>
      <c r="W639" s="1">
        <f t="shared" si="28"/>
        <v>0</v>
      </c>
      <c r="X639" s="1">
        <f t="shared" si="29"/>
        <v>0</v>
      </c>
    </row>
    <row r="640" spans="1:24" x14ac:dyDescent="0.25">
      <c r="A640">
        <v>2020</v>
      </c>
      <c r="B640">
        <v>8</v>
      </c>
      <c r="C640" t="s">
        <v>21</v>
      </c>
      <c r="D640" t="str">
        <f>_xlfn.XLOOKUP(C640,'Carrier Name Rename'!A:A,'Carrier Name Rename'!B:B)</f>
        <v>Hawaiian Airlines Inc.</v>
      </c>
      <c r="E640" t="s">
        <v>23</v>
      </c>
      <c r="F640" t="s">
        <v>24</v>
      </c>
      <c r="G640">
        <v>31</v>
      </c>
      <c r="H640">
        <v>6</v>
      </c>
      <c r="I640">
        <v>6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231</v>
      </c>
      <c r="Q640">
        <v>231</v>
      </c>
      <c r="R640">
        <v>0</v>
      </c>
      <c r="S640">
        <v>0</v>
      </c>
      <c r="T640">
        <v>0</v>
      </c>
      <c r="U640">
        <v>0</v>
      </c>
      <c r="V640" s="1">
        <f t="shared" si="27"/>
        <v>0.19350000000000001</v>
      </c>
      <c r="W640" s="1">
        <f t="shared" si="28"/>
        <v>0</v>
      </c>
      <c r="X640" s="1">
        <f t="shared" si="29"/>
        <v>0</v>
      </c>
    </row>
    <row r="641" spans="1:24" x14ac:dyDescent="0.25">
      <c r="A641">
        <v>2020</v>
      </c>
      <c r="B641">
        <v>8</v>
      </c>
      <c r="C641" t="s">
        <v>25</v>
      </c>
      <c r="D641" t="str">
        <f>_xlfn.XLOOKUP(C641,'Carrier Name Rename'!A:A,'Carrier Name Rename'!B:B)</f>
        <v>Spirit Airlines</v>
      </c>
      <c r="E641" t="s">
        <v>23</v>
      </c>
      <c r="F641" t="s">
        <v>24</v>
      </c>
      <c r="G641">
        <v>50</v>
      </c>
      <c r="H641">
        <v>2</v>
      </c>
      <c r="I641">
        <v>1</v>
      </c>
      <c r="J641">
        <v>0</v>
      </c>
      <c r="K641">
        <v>1</v>
      </c>
      <c r="L641">
        <v>0</v>
      </c>
      <c r="M641">
        <v>0</v>
      </c>
      <c r="N641">
        <v>0</v>
      </c>
      <c r="O641">
        <v>0</v>
      </c>
      <c r="P641">
        <v>59</v>
      </c>
      <c r="Q641">
        <v>41</v>
      </c>
      <c r="R641">
        <v>0</v>
      </c>
      <c r="S641">
        <v>18</v>
      </c>
      <c r="T641">
        <v>0</v>
      </c>
      <c r="U641">
        <v>0</v>
      </c>
      <c r="V641" s="1">
        <f t="shared" si="27"/>
        <v>0.04</v>
      </c>
      <c r="W641" s="1">
        <f t="shared" si="28"/>
        <v>0</v>
      </c>
      <c r="X641" s="1">
        <f t="shared" si="29"/>
        <v>0</v>
      </c>
    </row>
    <row r="642" spans="1:24" x14ac:dyDescent="0.25">
      <c r="A642">
        <v>2020</v>
      </c>
      <c r="B642">
        <v>8</v>
      </c>
      <c r="C642" t="s">
        <v>27</v>
      </c>
      <c r="D642" t="str">
        <f>_xlfn.XLOOKUP(C642,'Carrier Name Rename'!A:A,'Carrier Name Rename'!B:B)</f>
        <v>SkyWest Airlines Inc.</v>
      </c>
      <c r="E642" t="s">
        <v>23</v>
      </c>
      <c r="F642" t="s">
        <v>24</v>
      </c>
      <c r="G642">
        <v>2072</v>
      </c>
      <c r="H642">
        <v>68</v>
      </c>
      <c r="I642">
        <v>50</v>
      </c>
      <c r="J642">
        <v>3</v>
      </c>
      <c r="K642">
        <v>2</v>
      </c>
      <c r="L642">
        <v>0</v>
      </c>
      <c r="M642">
        <v>13</v>
      </c>
      <c r="N642">
        <v>26</v>
      </c>
      <c r="O642">
        <v>0</v>
      </c>
      <c r="P642">
        <v>6120</v>
      </c>
      <c r="Q642">
        <v>4981</v>
      </c>
      <c r="R642">
        <v>358</v>
      </c>
      <c r="S642">
        <v>47</v>
      </c>
      <c r="T642">
        <v>0</v>
      </c>
      <c r="U642">
        <v>734</v>
      </c>
      <c r="V642" s="1">
        <f t="shared" si="27"/>
        <v>3.2800000000000003E-2</v>
      </c>
      <c r="W642" s="1">
        <f t="shared" si="28"/>
        <v>1.2500000000000001E-2</v>
      </c>
      <c r="X642" s="1">
        <f t="shared" si="29"/>
        <v>0</v>
      </c>
    </row>
    <row r="643" spans="1:24" x14ac:dyDescent="0.25">
      <c r="A643">
        <v>2020</v>
      </c>
      <c r="B643">
        <v>8</v>
      </c>
      <c r="C643" t="s">
        <v>29</v>
      </c>
      <c r="D643" t="str">
        <f>_xlfn.XLOOKUP(C643,'Carrier Name Rename'!A:A,'Carrier Name Rename'!B:B)</f>
        <v>Horizon Air</v>
      </c>
      <c r="E643" t="s">
        <v>23</v>
      </c>
      <c r="F643" t="s">
        <v>24</v>
      </c>
      <c r="G643">
        <v>3241</v>
      </c>
      <c r="H643">
        <v>235</v>
      </c>
      <c r="I643">
        <v>85.08</v>
      </c>
      <c r="J643">
        <v>7.36</v>
      </c>
      <c r="K643">
        <v>65.81</v>
      </c>
      <c r="L643">
        <v>0</v>
      </c>
      <c r="M643">
        <v>76.760000000000005</v>
      </c>
      <c r="N643">
        <v>44</v>
      </c>
      <c r="O643">
        <v>1</v>
      </c>
      <c r="P643">
        <v>11433</v>
      </c>
      <c r="Q643">
        <v>5754</v>
      </c>
      <c r="R643">
        <v>401</v>
      </c>
      <c r="S643">
        <v>1726</v>
      </c>
      <c r="T643">
        <v>0</v>
      </c>
      <c r="U643">
        <v>3552</v>
      </c>
      <c r="V643" s="1">
        <f t="shared" ref="V643:V706" si="30">ROUND(H643/G643,4)</f>
        <v>7.2499999999999995E-2</v>
      </c>
      <c r="W643" s="1">
        <f t="shared" ref="W643:W706" si="31">ROUND(N643/G643,4)</f>
        <v>1.3599999999999999E-2</v>
      </c>
      <c r="X643" s="1">
        <f t="shared" ref="X643:X706" si="32">ROUND(O643/G643,4)</f>
        <v>2.9999999999999997E-4</v>
      </c>
    </row>
    <row r="644" spans="1:24" x14ac:dyDescent="0.25">
      <c r="A644">
        <v>2020</v>
      </c>
      <c r="B644">
        <v>8</v>
      </c>
      <c r="C644" t="s">
        <v>41</v>
      </c>
      <c r="D644" t="str">
        <f>_xlfn.XLOOKUP(C644,'Carrier Name Rename'!A:A,'Carrier Name Rename'!B:B)</f>
        <v>United Air Lines Inc.</v>
      </c>
      <c r="E644" t="s">
        <v>23</v>
      </c>
      <c r="F644" t="s">
        <v>24</v>
      </c>
      <c r="G644">
        <v>398</v>
      </c>
      <c r="H644">
        <v>8</v>
      </c>
      <c r="I644">
        <v>1</v>
      </c>
      <c r="J644">
        <v>1.95</v>
      </c>
      <c r="K644">
        <v>1.31</v>
      </c>
      <c r="L644">
        <v>0</v>
      </c>
      <c r="M644">
        <v>3.75</v>
      </c>
      <c r="N644">
        <v>14</v>
      </c>
      <c r="O644">
        <v>0</v>
      </c>
      <c r="P644">
        <v>399</v>
      </c>
      <c r="Q644">
        <v>27</v>
      </c>
      <c r="R644">
        <v>112</v>
      </c>
      <c r="S644">
        <v>55</v>
      </c>
      <c r="T644">
        <v>0</v>
      </c>
      <c r="U644">
        <v>205</v>
      </c>
      <c r="V644" s="1">
        <f t="shared" si="30"/>
        <v>2.01E-2</v>
      </c>
      <c r="W644" s="1">
        <f t="shared" si="31"/>
        <v>3.5200000000000002E-2</v>
      </c>
      <c r="X644" s="1">
        <f t="shared" si="32"/>
        <v>0</v>
      </c>
    </row>
    <row r="645" spans="1:24" x14ac:dyDescent="0.25">
      <c r="A645">
        <v>2020</v>
      </c>
      <c r="B645">
        <v>8</v>
      </c>
      <c r="C645" t="s">
        <v>43</v>
      </c>
      <c r="D645" t="str">
        <f>_xlfn.XLOOKUP(C645,'Carrier Name Rename'!A:A,'Carrier Name Rename'!B:B)</f>
        <v>Southwest Airlines Co.</v>
      </c>
      <c r="E645" t="s">
        <v>23</v>
      </c>
      <c r="F645" t="s">
        <v>24</v>
      </c>
      <c r="G645">
        <v>684</v>
      </c>
      <c r="H645">
        <v>22</v>
      </c>
      <c r="I645">
        <v>11</v>
      </c>
      <c r="J645">
        <v>0</v>
      </c>
      <c r="K645">
        <v>4</v>
      </c>
      <c r="L645">
        <v>0</v>
      </c>
      <c r="M645">
        <v>7</v>
      </c>
      <c r="N645">
        <v>6</v>
      </c>
      <c r="O645">
        <v>0</v>
      </c>
      <c r="P645">
        <v>825</v>
      </c>
      <c r="Q645">
        <v>479</v>
      </c>
      <c r="R645">
        <v>0</v>
      </c>
      <c r="S645">
        <v>125</v>
      </c>
      <c r="T645">
        <v>0</v>
      </c>
      <c r="U645">
        <v>221</v>
      </c>
      <c r="V645" s="1">
        <f t="shared" si="30"/>
        <v>3.2199999999999999E-2</v>
      </c>
      <c r="W645" s="1">
        <f t="shared" si="31"/>
        <v>8.8000000000000005E-3</v>
      </c>
      <c r="X645" s="1">
        <f t="shared" si="32"/>
        <v>0</v>
      </c>
    </row>
    <row r="646" spans="1:24" x14ac:dyDescent="0.25">
      <c r="A646">
        <v>2020</v>
      </c>
      <c r="B646">
        <v>7</v>
      </c>
      <c r="C646" t="s">
        <v>31</v>
      </c>
      <c r="D646" t="str">
        <f>_xlfn.XLOOKUP(C646,'Carrier Name Rename'!A:A,'Carrier Name Rename'!B:B)</f>
        <v>American Airlines Inc.</v>
      </c>
      <c r="E646" t="s">
        <v>23</v>
      </c>
      <c r="F646" t="s">
        <v>24</v>
      </c>
      <c r="G646">
        <v>374</v>
      </c>
      <c r="H646">
        <v>58</v>
      </c>
      <c r="I646">
        <v>31.07</v>
      </c>
      <c r="J646">
        <v>4.63</v>
      </c>
      <c r="K646">
        <v>14.11</v>
      </c>
      <c r="L646">
        <v>1</v>
      </c>
      <c r="M646">
        <v>7.19</v>
      </c>
      <c r="N646">
        <v>0</v>
      </c>
      <c r="O646">
        <v>1</v>
      </c>
      <c r="P646">
        <v>3018</v>
      </c>
      <c r="Q646">
        <v>1508</v>
      </c>
      <c r="R646">
        <v>302</v>
      </c>
      <c r="S646">
        <v>386</v>
      </c>
      <c r="T646">
        <v>43</v>
      </c>
      <c r="U646">
        <v>779</v>
      </c>
      <c r="V646" s="1">
        <f t="shared" si="30"/>
        <v>0.15509999999999999</v>
      </c>
      <c r="W646" s="1">
        <f t="shared" si="31"/>
        <v>0</v>
      </c>
      <c r="X646" s="1">
        <f t="shared" si="32"/>
        <v>2.7000000000000001E-3</v>
      </c>
    </row>
    <row r="647" spans="1:24" x14ac:dyDescent="0.25">
      <c r="A647">
        <v>2020</v>
      </c>
      <c r="B647">
        <v>7</v>
      </c>
      <c r="C647" t="s">
        <v>33</v>
      </c>
      <c r="D647" t="str">
        <f>_xlfn.XLOOKUP(C647,'Carrier Name Rename'!A:A,'Carrier Name Rename'!B:B)</f>
        <v>Alaska Airlines Inc.</v>
      </c>
      <c r="E647" t="s">
        <v>23</v>
      </c>
      <c r="F647" t="s">
        <v>24</v>
      </c>
      <c r="G647">
        <v>2692</v>
      </c>
      <c r="H647">
        <v>132</v>
      </c>
      <c r="I647">
        <v>43.98</v>
      </c>
      <c r="J647">
        <v>7.26</v>
      </c>
      <c r="K647">
        <v>45.83</v>
      </c>
      <c r="L647">
        <v>0.95</v>
      </c>
      <c r="M647">
        <v>33.97</v>
      </c>
      <c r="N647">
        <v>26</v>
      </c>
      <c r="O647">
        <v>0</v>
      </c>
      <c r="P647">
        <v>6170</v>
      </c>
      <c r="Q647">
        <v>2804</v>
      </c>
      <c r="R647">
        <v>220</v>
      </c>
      <c r="S647">
        <v>1097</v>
      </c>
      <c r="T647">
        <v>20</v>
      </c>
      <c r="U647">
        <v>2029</v>
      </c>
      <c r="V647" s="1">
        <f t="shared" si="30"/>
        <v>4.9000000000000002E-2</v>
      </c>
      <c r="W647" s="1">
        <f t="shared" si="31"/>
        <v>9.7000000000000003E-3</v>
      </c>
      <c r="X647" s="1">
        <f t="shared" si="32"/>
        <v>0</v>
      </c>
    </row>
    <row r="648" spans="1:24" x14ac:dyDescent="0.25">
      <c r="A648">
        <v>2020</v>
      </c>
      <c r="B648">
        <v>7</v>
      </c>
      <c r="C648" t="s">
        <v>35</v>
      </c>
      <c r="D648" t="str">
        <f>_xlfn.XLOOKUP(C648,'Carrier Name Rename'!A:A,'Carrier Name Rename'!B:B)</f>
        <v>JetBlue Airways</v>
      </c>
      <c r="E648" t="s">
        <v>23</v>
      </c>
      <c r="F648" t="s">
        <v>24</v>
      </c>
      <c r="G648">
        <v>62</v>
      </c>
      <c r="H648">
        <v>2</v>
      </c>
      <c r="I648">
        <v>1</v>
      </c>
      <c r="J648">
        <v>0</v>
      </c>
      <c r="K648">
        <v>1</v>
      </c>
      <c r="L648">
        <v>0</v>
      </c>
      <c r="M648">
        <v>0</v>
      </c>
      <c r="N648">
        <v>0</v>
      </c>
      <c r="O648">
        <v>0</v>
      </c>
      <c r="P648">
        <v>35</v>
      </c>
      <c r="Q648">
        <v>17</v>
      </c>
      <c r="R648">
        <v>0</v>
      </c>
      <c r="S648">
        <v>18</v>
      </c>
      <c r="T648">
        <v>0</v>
      </c>
      <c r="U648">
        <v>0</v>
      </c>
      <c r="V648" s="1">
        <f t="shared" si="30"/>
        <v>3.2300000000000002E-2</v>
      </c>
      <c r="W648" s="1">
        <f t="shared" si="31"/>
        <v>0</v>
      </c>
      <c r="X648" s="1">
        <f t="shared" si="32"/>
        <v>0</v>
      </c>
    </row>
    <row r="649" spans="1:24" x14ac:dyDescent="0.25">
      <c r="A649">
        <v>2020</v>
      </c>
      <c r="B649">
        <v>7</v>
      </c>
      <c r="C649" t="s">
        <v>37</v>
      </c>
      <c r="D649" t="str">
        <f>_xlfn.XLOOKUP(C649,'Carrier Name Rename'!A:A,'Carrier Name Rename'!B:B)</f>
        <v>Delta Air Lines Inc.</v>
      </c>
      <c r="E649" t="s">
        <v>23</v>
      </c>
      <c r="F649" t="s">
        <v>24</v>
      </c>
      <c r="G649">
        <v>1537</v>
      </c>
      <c r="H649">
        <v>117</v>
      </c>
      <c r="I649">
        <v>59.73</v>
      </c>
      <c r="J649">
        <v>4.4000000000000004</v>
      </c>
      <c r="K649">
        <v>39.06</v>
      </c>
      <c r="L649">
        <v>0</v>
      </c>
      <c r="M649">
        <v>13.81</v>
      </c>
      <c r="N649">
        <v>18</v>
      </c>
      <c r="O649">
        <v>3</v>
      </c>
      <c r="P649">
        <v>7506</v>
      </c>
      <c r="Q649">
        <v>5538</v>
      </c>
      <c r="R649">
        <v>183</v>
      </c>
      <c r="S649">
        <v>1083</v>
      </c>
      <c r="T649">
        <v>0</v>
      </c>
      <c r="U649">
        <v>702</v>
      </c>
      <c r="V649" s="1">
        <f t="shared" si="30"/>
        <v>7.6100000000000001E-2</v>
      </c>
      <c r="W649" s="1">
        <f t="shared" si="31"/>
        <v>1.17E-2</v>
      </c>
      <c r="X649" s="1">
        <f t="shared" si="32"/>
        <v>2E-3</v>
      </c>
    </row>
    <row r="650" spans="1:24" x14ac:dyDescent="0.25">
      <c r="A650">
        <v>2020</v>
      </c>
      <c r="B650">
        <v>7</v>
      </c>
      <c r="C650" t="s">
        <v>39</v>
      </c>
      <c r="D650" t="str">
        <f>_xlfn.XLOOKUP(C650,'Carrier Name Rename'!A:A,'Carrier Name Rename'!B:B)</f>
        <v>Frontier Airlines Inc.</v>
      </c>
      <c r="E650" t="s">
        <v>23</v>
      </c>
      <c r="F650" t="s">
        <v>24</v>
      </c>
      <c r="G650">
        <v>70</v>
      </c>
      <c r="H650">
        <v>5</v>
      </c>
      <c r="I650">
        <v>1.8</v>
      </c>
      <c r="J650">
        <v>0</v>
      </c>
      <c r="K650">
        <v>2.4700000000000002</v>
      </c>
      <c r="L650">
        <v>0</v>
      </c>
      <c r="M650">
        <v>0.73</v>
      </c>
      <c r="N650">
        <v>2</v>
      </c>
      <c r="O650">
        <v>0</v>
      </c>
      <c r="P650">
        <v>184</v>
      </c>
      <c r="Q650">
        <v>96</v>
      </c>
      <c r="R650">
        <v>0</v>
      </c>
      <c r="S650">
        <v>60</v>
      </c>
      <c r="T650">
        <v>0</v>
      </c>
      <c r="U650">
        <v>28</v>
      </c>
      <c r="V650" s="1">
        <f t="shared" si="30"/>
        <v>7.1400000000000005E-2</v>
      </c>
      <c r="W650" s="1">
        <f t="shared" si="31"/>
        <v>2.86E-2</v>
      </c>
      <c r="X650" s="1">
        <f t="shared" si="32"/>
        <v>0</v>
      </c>
    </row>
    <row r="651" spans="1:24" x14ac:dyDescent="0.25">
      <c r="A651">
        <v>2020</v>
      </c>
      <c r="B651">
        <v>7</v>
      </c>
      <c r="C651" t="s">
        <v>21</v>
      </c>
      <c r="D651" t="str">
        <f>_xlfn.XLOOKUP(C651,'Carrier Name Rename'!A:A,'Carrier Name Rename'!B:B)</f>
        <v>Hawaiian Airlines Inc.</v>
      </c>
      <c r="E651" t="s">
        <v>23</v>
      </c>
      <c r="F651" t="s">
        <v>24</v>
      </c>
      <c r="G651">
        <v>31</v>
      </c>
      <c r="H651">
        <v>5</v>
      </c>
      <c r="I651">
        <v>5</v>
      </c>
      <c r="J651">
        <v>0</v>
      </c>
      <c r="K651">
        <v>0</v>
      </c>
      <c r="L651">
        <v>0</v>
      </c>
      <c r="M651">
        <v>0</v>
      </c>
      <c r="N651">
        <v>1</v>
      </c>
      <c r="O651">
        <v>0</v>
      </c>
      <c r="P651">
        <v>122</v>
      </c>
      <c r="Q651">
        <v>122</v>
      </c>
      <c r="R651">
        <v>0</v>
      </c>
      <c r="S651">
        <v>0</v>
      </c>
      <c r="T651">
        <v>0</v>
      </c>
      <c r="U651">
        <v>0</v>
      </c>
      <c r="V651" s="1">
        <f t="shared" si="30"/>
        <v>0.1613</v>
      </c>
      <c r="W651" s="1">
        <f t="shared" si="31"/>
        <v>3.2300000000000002E-2</v>
      </c>
      <c r="X651" s="1">
        <f t="shared" si="32"/>
        <v>0</v>
      </c>
    </row>
    <row r="652" spans="1:24" x14ac:dyDescent="0.25">
      <c r="A652">
        <v>2020</v>
      </c>
      <c r="B652">
        <v>7</v>
      </c>
      <c r="C652" t="s">
        <v>25</v>
      </c>
      <c r="D652" t="str">
        <f>_xlfn.XLOOKUP(C652,'Carrier Name Rename'!A:A,'Carrier Name Rename'!B:B)</f>
        <v>Spirit Airlines</v>
      </c>
      <c r="E652" t="s">
        <v>23</v>
      </c>
      <c r="F652" t="s">
        <v>24</v>
      </c>
      <c r="G652">
        <v>62</v>
      </c>
      <c r="H652">
        <v>2</v>
      </c>
      <c r="I652">
        <v>1</v>
      </c>
      <c r="J652">
        <v>0</v>
      </c>
      <c r="K652">
        <v>0</v>
      </c>
      <c r="L652">
        <v>0</v>
      </c>
      <c r="M652">
        <v>1</v>
      </c>
      <c r="N652">
        <v>0</v>
      </c>
      <c r="O652">
        <v>0</v>
      </c>
      <c r="P652">
        <v>186</v>
      </c>
      <c r="Q652">
        <v>116</v>
      </c>
      <c r="R652">
        <v>0</v>
      </c>
      <c r="S652">
        <v>0</v>
      </c>
      <c r="T652">
        <v>0</v>
      </c>
      <c r="U652">
        <v>70</v>
      </c>
      <c r="V652" s="1">
        <f t="shared" si="30"/>
        <v>3.2300000000000002E-2</v>
      </c>
      <c r="W652" s="1">
        <f t="shared" si="31"/>
        <v>0</v>
      </c>
      <c r="X652" s="1">
        <f t="shared" si="32"/>
        <v>0</v>
      </c>
    </row>
    <row r="653" spans="1:24" x14ac:dyDescent="0.25">
      <c r="A653">
        <v>2020</v>
      </c>
      <c r="B653">
        <v>7</v>
      </c>
      <c r="C653" t="s">
        <v>27</v>
      </c>
      <c r="D653" t="str">
        <f>_xlfn.XLOOKUP(C653,'Carrier Name Rename'!A:A,'Carrier Name Rename'!B:B)</f>
        <v>SkyWest Airlines Inc.</v>
      </c>
      <c r="E653" t="s">
        <v>23</v>
      </c>
      <c r="F653" t="s">
        <v>24</v>
      </c>
      <c r="G653">
        <v>1709</v>
      </c>
      <c r="H653">
        <v>70</v>
      </c>
      <c r="I653">
        <v>39</v>
      </c>
      <c r="J653">
        <v>3</v>
      </c>
      <c r="K653">
        <v>1</v>
      </c>
      <c r="L653">
        <v>0</v>
      </c>
      <c r="M653">
        <v>27</v>
      </c>
      <c r="N653">
        <v>13</v>
      </c>
      <c r="O653">
        <v>0</v>
      </c>
      <c r="P653">
        <v>4380</v>
      </c>
      <c r="Q653">
        <v>2432</v>
      </c>
      <c r="R653">
        <v>518</v>
      </c>
      <c r="S653">
        <v>58</v>
      </c>
      <c r="T653">
        <v>0</v>
      </c>
      <c r="U653">
        <v>1372</v>
      </c>
      <c r="V653" s="1">
        <f t="shared" si="30"/>
        <v>4.1000000000000002E-2</v>
      </c>
      <c r="W653" s="1">
        <f t="shared" si="31"/>
        <v>7.6E-3</v>
      </c>
      <c r="X653" s="1">
        <f t="shared" si="32"/>
        <v>0</v>
      </c>
    </row>
    <row r="654" spans="1:24" x14ac:dyDescent="0.25">
      <c r="A654">
        <v>2020</v>
      </c>
      <c r="B654">
        <v>7</v>
      </c>
      <c r="C654" t="s">
        <v>29</v>
      </c>
      <c r="D654" t="str">
        <f>_xlfn.XLOOKUP(C654,'Carrier Name Rename'!A:A,'Carrier Name Rename'!B:B)</f>
        <v>Horizon Air</v>
      </c>
      <c r="E654" t="s">
        <v>23</v>
      </c>
      <c r="F654" t="s">
        <v>24</v>
      </c>
      <c r="G654">
        <v>2741</v>
      </c>
      <c r="H654">
        <v>177</v>
      </c>
      <c r="I654">
        <v>70.58</v>
      </c>
      <c r="J654">
        <v>3.54</v>
      </c>
      <c r="K654">
        <v>68.02</v>
      </c>
      <c r="L654">
        <v>0</v>
      </c>
      <c r="M654">
        <v>34.85</v>
      </c>
      <c r="N654">
        <v>12</v>
      </c>
      <c r="O654">
        <v>2</v>
      </c>
      <c r="P654">
        <v>10040</v>
      </c>
      <c r="Q654">
        <v>6349</v>
      </c>
      <c r="R654">
        <v>272</v>
      </c>
      <c r="S654">
        <v>1699</v>
      </c>
      <c r="T654">
        <v>0</v>
      </c>
      <c r="U654">
        <v>1720</v>
      </c>
      <c r="V654" s="1">
        <f t="shared" si="30"/>
        <v>6.4600000000000005E-2</v>
      </c>
      <c r="W654" s="1">
        <f t="shared" si="31"/>
        <v>4.4000000000000003E-3</v>
      </c>
      <c r="X654" s="1">
        <f t="shared" si="32"/>
        <v>6.9999999999999999E-4</v>
      </c>
    </row>
    <row r="655" spans="1:24" x14ac:dyDescent="0.25">
      <c r="A655">
        <v>2020</v>
      </c>
      <c r="B655">
        <v>7</v>
      </c>
      <c r="C655" t="s">
        <v>41</v>
      </c>
      <c r="D655" t="str">
        <f>_xlfn.XLOOKUP(C655,'Carrier Name Rename'!A:A,'Carrier Name Rename'!B:B)</f>
        <v>United Air Lines Inc.</v>
      </c>
      <c r="E655" t="s">
        <v>23</v>
      </c>
      <c r="F655" t="s">
        <v>24</v>
      </c>
      <c r="G655">
        <v>304</v>
      </c>
      <c r="H655">
        <v>15</v>
      </c>
      <c r="I655">
        <v>8.8000000000000007</v>
      </c>
      <c r="J655">
        <v>1.5</v>
      </c>
      <c r="K655">
        <v>3.2</v>
      </c>
      <c r="L655">
        <v>0</v>
      </c>
      <c r="M655">
        <v>1.5</v>
      </c>
      <c r="N655">
        <v>0</v>
      </c>
      <c r="O655">
        <v>1</v>
      </c>
      <c r="P655">
        <v>670</v>
      </c>
      <c r="Q655">
        <v>470</v>
      </c>
      <c r="R655">
        <v>50</v>
      </c>
      <c r="S655">
        <v>64</v>
      </c>
      <c r="T655">
        <v>0</v>
      </c>
      <c r="U655">
        <v>86</v>
      </c>
      <c r="V655" s="1">
        <f t="shared" si="30"/>
        <v>4.9299999999999997E-2</v>
      </c>
      <c r="W655" s="1">
        <f t="shared" si="31"/>
        <v>0</v>
      </c>
      <c r="X655" s="1">
        <f t="shared" si="32"/>
        <v>3.3E-3</v>
      </c>
    </row>
    <row r="656" spans="1:24" x14ac:dyDescent="0.25">
      <c r="A656">
        <v>2020</v>
      </c>
      <c r="B656">
        <v>7</v>
      </c>
      <c r="C656" t="s">
        <v>43</v>
      </c>
      <c r="D656" t="str">
        <f>_xlfn.XLOOKUP(C656,'Carrier Name Rename'!A:A,'Carrier Name Rename'!B:B)</f>
        <v>Southwest Airlines Co.</v>
      </c>
      <c r="E656" t="s">
        <v>23</v>
      </c>
      <c r="F656" t="s">
        <v>24</v>
      </c>
      <c r="G656">
        <v>639</v>
      </c>
      <c r="H656">
        <v>28</v>
      </c>
      <c r="I656">
        <v>11.86</v>
      </c>
      <c r="J656">
        <v>4.5999999999999996</v>
      </c>
      <c r="K656">
        <v>5.07</v>
      </c>
      <c r="L656">
        <v>0</v>
      </c>
      <c r="M656">
        <v>6.47</v>
      </c>
      <c r="N656">
        <v>2</v>
      </c>
      <c r="O656">
        <v>1</v>
      </c>
      <c r="P656">
        <v>1092</v>
      </c>
      <c r="Q656">
        <v>384</v>
      </c>
      <c r="R656">
        <v>279</v>
      </c>
      <c r="S656">
        <v>159</v>
      </c>
      <c r="T656">
        <v>0</v>
      </c>
      <c r="U656">
        <v>270</v>
      </c>
      <c r="V656" s="1">
        <f t="shared" si="30"/>
        <v>4.3799999999999999E-2</v>
      </c>
      <c r="W656" s="1">
        <f t="shared" si="31"/>
        <v>3.0999999999999999E-3</v>
      </c>
      <c r="X656" s="1">
        <f t="shared" si="32"/>
        <v>1.6000000000000001E-3</v>
      </c>
    </row>
    <row r="657" spans="1:24" x14ac:dyDescent="0.25">
      <c r="A657">
        <v>2020</v>
      </c>
      <c r="B657">
        <v>6</v>
      </c>
      <c r="C657" t="s">
        <v>31</v>
      </c>
      <c r="D657" t="str">
        <f>_xlfn.XLOOKUP(C657,'Carrier Name Rename'!A:A,'Carrier Name Rename'!B:B)</f>
        <v>American Airlines Inc.</v>
      </c>
      <c r="E657" t="s">
        <v>23</v>
      </c>
      <c r="F657" t="s">
        <v>24</v>
      </c>
      <c r="G657">
        <v>226</v>
      </c>
      <c r="H657">
        <v>17</v>
      </c>
      <c r="I657">
        <v>9.6199999999999992</v>
      </c>
      <c r="J657">
        <v>0.88</v>
      </c>
      <c r="K657">
        <v>3.25</v>
      </c>
      <c r="L657">
        <v>0</v>
      </c>
      <c r="M657">
        <v>3.24</v>
      </c>
      <c r="N657">
        <v>0</v>
      </c>
      <c r="O657">
        <v>0</v>
      </c>
      <c r="P657">
        <v>892</v>
      </c>
      <c r="Q657">
        <v>523</v>
      </c>
      <c r="R657">
        <v>61</v>
      </c>
      <c r="S657">
        <v>114</v>
      </c>
      <c r="T657">
        <v>0</v>
      </c>
      <c r="U657">
        <v>194</v>
      </c>
      <c r="V657" s="1">
        <f t="shared" si="30"/>
        <v>7.5200000000000003E-2</v>
      </c>
      <c r="W657" s="1">
        <f t="shared" si="31"/>
        <v>0</v>
      </c>
      <c r="X657" s="1">
        <f t="shared" si="32"/>
        <v>0</v>
      </c>
    </row>
    <row r="658" spans="1:24" x14ac:dyDescent="0.25">
      <c r="A658">
        <v>2020</v>
      </c>
      <c r="B658">
        <v>6</v>
      </c>
      <c r="C658" t="s">
        <v>33</v>
      </c>
      <c r="D658" t="str">
        <f>_xlfn.XLOOKUP(C658,'Carrier Name Rename'!A:A,'Carrier Name Rename'!B:B)</f>
        <v>Alaska Airlines Inc.</v>
      </c>
      <c r="E658" t="s">
        <v>23</v>
      </c>
      <c r="F658" t="s">
        <v>24</v>
      </c>
      <c r="G658">
        <v>2317</v>
      </c>
      <c r="H658">
        <v>174</v>
      </c>
      <c r="I658">
        <v>61.6</v>
      </c>
      <c r="J658">
        <v>6.42</v>
      </c>
      <c r="K658">
        <v>86.95</v>
      </c>
      <c r="L658">
        <v>1.9</v>
      </c>
      <c r="M658">
        <v>17.13</v>
      </c>
      <c r="N658">
        <v>51</v>
      </c>
      <c r="O658">
        <v>2</v>
      </c>
      <c r="P658">
        <v>7713</v>
      </c>
      <c r="Q658">
        <v>4374</v>
      </c>
      <c r="R658">
        <v>333</v>
      </c>
      <c r="S658">
        <v>2099</v>
      </c>
      <c r="T658">
        <v>40</v>
      </c>
      <c r="U658">
        <v>867</v>
      </c>
      <c r="V658" s="1">
        <f t="shared" si="30"/>
        <v>7.51E-2</v>
      </c>
      <c r="W658" s="1">
        <f t="shared" si="31"/>
        <v>2.1999999999999999E-2</v>
      </c>
      <c r="X658" s="1">
        <f t="shared" si="32"/>
        <v>8.9999999999999998E-4</v>
      </c>
    </row>
    <row r="659" spans="1:24" x14ac:dyDescent="0.25">
      <c r="A659">
        <v>2020</v>
      </c>
      <c r="B659">
        <v>6</v>
      </c>
      <c r="C659" t="s">
        <v>35</v>
      </c>
      <c r="D659" t="str">
        <f>_xlfn.XLOOKUP(C659,'Carrier Name Rename'!A:A,'Carrier Name Rename'!B:B)</f>
        <v>JetBlue Airways</v>
      </c>
      <c r="E659" t="s">
        <v>23</v>
      </c>
      <c r="F659" t="s">
        <v>24</v>
      </c>
      <c r="G659">
        <v>12</v>
      </c>
      <c r="H659">
        <v>2</v>
      </c>
      <c r="I659">
        <v>0.19</v>
      </c>
      <c r="J659">
        <v>0</v>
      </c>
      <c r="K659">
        <v>1.81</v>
      </c>
      <c r="L659">
        <v>0</v>
      </c>
      <c r="M659">
        <v>0</v>
      </c>
      <c r="N659">
        <v>0</v>
      </c>
      <c r="O659">
        <v>0</v>
      </c>
      <c r="P659">
        <v>44</v>
      </c>
      <c r="Q659">
        <v>5</v>
      </c>
      <c r="R659">
        <v>0</v>
      </c>
      <c r="S659">
        <v>39</v>
      </c>
      <c r="T659">
        <v>0</v>
      </c>
      <c r="U659">
        <v>0</v>
      </c>
      <c r="V659" s="1">
        <f t="shared" si="30"/>
        <v>0.16669999999999999</v>
      </c>
      <c r="W659" s="1">
        <f t="shared" si="31"/>
        <v>0</v>
      </c>
      <c r="X659" s="1">
        <f t="shared" si="32"/>
        <v>0</v>
      </c>
    </row>
    <row r="660" spans="1:24" x14ac:dyDescent="0.25">
      <c r="A660">
        <v>2020</v>
      </c>
      <c r="B660">
        <v>6</v>
      </c>
      <c r="C660" t="s">
        <v>37</v>
      </c>
      <c r="D660" t="str">
        <f>_xlfn.XLOOKUP(C660,'Carrier Name Rename'!A:A,'Carrier Name Rename'!B:B)</f>
        <v>Delta Air Lines Inc.</v>
      </c>
      <c r="E660" t="s">
        <v>23</v>
      </c>
      <c r="F660" t="s">
        <v>24</v>
      </c>
      <c r="G660">
        <v>1009</v>
      </c>
      <c r="H660">
        <v>56</v>
      </c>
      <c r="I660">
        <v>26.27</v>
      </c>
      <c r="J660">
        <v>1</v>
      </c>
      <c r="K660">
        <v>23.04</v>
      </c>
      <c r="L660">
        <v>0</v>
      </c>
      <c r="M660">
        <v>5.69</v>
      </c>
      <c r="N660">
        <v>1</v>
      </c>
      <c r="O660">
        <v>1</v>
      </c>
      <c r="P660">
        <v>2933</v>
      </c>
      <c r="Q660">
        <v>1852</v>
      </c>
      <c r="R660">
        <v>23</v>
      </c>
      <c r="S660">
        <v>569</v>
      </c>
      <c r="T660">
        <v>0</v>
      </c>
      <c r="U660">
        <v>489</v>
      </c>
      <c r="V660" s="1">
        <f t="shared" si="30"/>
        <v>5.5500000000000001E-2</v>
      </c>
      <c r="W660" s="1">
        <f t="shared" si="31"/>
        <v>1E-3</v>
      </c>
      <c r="X660" s="1">
        <f t="shared" si="32"/>
        <v>1E-3</v>
      </c>
    </row>
    <row r="661" spans="1:24" x14ac:dyDescent="0.25">
      <c r="A661">
        <v>2020</v>
      </c>
      <c r="B661">
        <v>6</v>
      </c>
      <c r="C661" t="s">
        <v>39</v>
      </c>
      <c r="D661" t="str">
        <f>_xlfn.XLOOKUP(C661,'Carrier Name Rename'!A:A,'Carrier Name Rename'!B:B)</f>
        <v>Frontier Airlines Inc.</v>
      </c>
      <c r="E661" t="s">
        <v>23</v>
      </c>
      <c r="F661" t="s">
        <v>24</v>
      </c>
      <c r="G661">
        <v>41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 s="1">
        <f t="shared" si="30"/>
        <v>0</v>
      </c>
      <c r="W661" s="1">
        <f t="shared" si="31"/>
        <v>0</v>
      </c>
      <c r="X661" s="1">
        <f t="shared" si="32"/>
        <v>0</v>
      </c>
    </row>
    <row r="662" spans="1:24" x14ac:dyDescent="0.25">
      <c r="A662">
        <v>2020</v>
      </c>
      <c r="B662">
        <v>6</v>
      </c>
      <c r="C662" t="s">
        <v>21</v>
      </c>
      <c r="D662" t="str">
        <f>_xlfn.XLOOKUP(C662,'Carrier Name Rename'!A:A,'Carrier Name Rename'!B:B)</f>
        <v>Hawaiian Airlines Inc.</v>
      </c>
      <c r="E662" t="s">
        <v>23</v>
      </c>
      <c r="F662" t="s">
        <v>24</v>
      </c>
      <c r="G662">
        <v>30</v>
      </c>
      <c r="H662">
        <v>4</v>
      </c>
      <c r="I662">
        <v>4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158</v>
      </c>
      <c r="Q662">
        <v>158</v>
      </c>
      <c r="R662">
        <v>0</v>
      </c>
      <c r="S662">
        <v>0</v>
      </c>
      <c r="T662">
        <v>0</v>
      </c>
      <c r="U662">
        <v>0</v>
      </c>
      <c r="V662" s="1">
        <f t="shared" si="30"/>
        <v>0.1333</v>
      </c>
      <c r="W662" s="1">
        <f t="shared" si="31"/>
        <v>0</v>
      </c>
      <c r="X662" s="1">
        <f t="shared" si="32"/>
        <v>0</v>
      </c>
    </row>
    <row r="663" spans="1:24" x14ac:dyDescent="0.25">
      <c r="A663">
        <v>2020</v>
      </c>
      <c r="B663">
        <v>6</v>
      </c>
      <c r="C663" t="s">
        <v>25</v>
      </c>
      <c r="D663" t="str">
        <f>_xlfn.XLOOKUP(C663,'Carrier Name Rename'!A:A,'Carrier Name Rename'!B:B)</f>
        <v>Spirit Airlines</v>
      </c>
      <c r="E663" t="s">
        <v>23</v>
      </c>
      <c r="F663" t="s">
        <v>24</v>
      </c>
      <c r="G663">
        <v>27</v>
      </c>
      <c r="H663">
        <v>4</v>
      </c>
      <c r="I663">
        <v>2.61</v>
      </c>
      <c r="J663">
        <v>0</v>
      </c>
      <c r="K663">
        <v>0.47</v>
      </c>
      <c r="L663">
        <v>0</v>
      </c>
      <c r="M663">
        <v>0.92</v>
      </c>
      <c r="N663">
        <v>0</v>
      </c>
      <c r="O663">
        <v>0</v>
      </c>
      <c r="P663">
        <v>344</v>
      </c>
      <c r="Q663">
        <v>182</v>
      </c>
      <c r="R663">
        <v>0</v>
      </c>
      <c r="S663">
        <v>39</v>
      </c>
      <c r="T663">
        <v>0</v>
      </c>
      <c r="U663">
        <v>123</v>
      </c>
      <c r="V663" s="1">
        <f t="shared" si="30"/>
        <v>0.14810000000000001</v>
      </c>
      <c r="W663" s="1">
        <f t="shared" si="31"/>
        <v>0</v>
      </c>
      <c r="X663" s="1">
        <f t="shared" si="32"/>
        <v>0</v>
      </c>
    </row>
    <row r="664" spans="1:24" x14ac:dyDescent="0.25">
      <c r="A664">
        <v>2020</v>
      </c>
      <c r="B664">
        <v>6</v>
      </c>
      <c r="C664" t="s">
        <v>27</v>
      </c>
      <c r="D664" t="str">
        <f>_xlfn.XLOOKUP(C664,'Carrier Name Rename'!A:A,'Carrier Name Rename'!B:B)</f>
        <v>SkyWest Airlines Inc.</v>
      </c>
      <c r="E664" t="s">
        <v>23</v>
      </c>
      <c r="F664" t="s">
        <v>24</v>
      </c>
      <c r="G664">
        <v>1412</v>
      </c>
      <c r="H664">
        <v>66</v>
      </c>
      <c r="I664">
        <v>59</v>
      </c>
      <c r="J664">
        <v>0</v>
      </c>
      <c r="K664">
        <v>0</v>
      </c>
      <c r="L664">
        <v>0</v>
      </c>
      <c r="M664">
        <v>7</v>
      </c>
      <c r="N664">
        <v>34</v>
      </c>
      <c r="O664">
        <v>0</v>
      </c>
      <c r="P664">
        <v>2633</v>
      </c>
      <c r="Q664">
        <v>2211</v>
      </c>
      <c r="R664">
        <v>0</v>
      </c>
      <c r="S664">
        <v>0</v>
      </c>
      <c r="T664">
        <v>0</v>
      </c>
      <c r="U664">
        <v>422</v>
      </c>
      <c r="V664" s="1">
        <f t="shared" si="30"/>
        <v>4.6699999999999998E-2</v>
      </c>
      <c r="W664" s="1">
        <f t="shared" si="31"/>
        <v>2.41E-2</v>
      </c>
      <c r="X664" s="1">
        <f t="shared" si="32"/>
        <v>0</v>
      </c>
    </row>
    <row r="665" spans="1:24" x14ac:dyDescent="0.25">
      <c r="A665">
        <v>2020</v>
      </c>
      <c r="B665">
        <v>6</v>
      </c>
      <c r="C665" t="s">
        <v>29</v>
      </c>
      <c r="D665" t="str">
        <f>_xlfn.XLOOKUP(C665,'Carrier Name Rename'!A:A,'Carrier Name Rename'!B:B)</f>
        <v>Horizon Air</v>
      </c>
      <c r="E665" t="s">
        <v>23</v>
      </c>
      <c r="F665" t="s">
        <v>24</v>
      </c>
      <c r="G665">
        <v>2150</v>
      </c>
      <c r="H665">
        <v>148</v>
      </c>
      <c r="I665">
        <v>56.29</v>
      </c>
      <c r="J665">
        <v>3.5</v>
      </c>
      <c r="K665">
        <v>65.45</v>
      </c>
      <c r="L665">
        <v>0</v>
      </c>
      <c r="M665">
        <v>22.76</v>
      </c>
      <c r="N665">
        <v>60</v>
      </c>
      <c r="O665">
        <v>2</v>
      </c>
      <c r="P665">
        <v>6048</v>
      </c>
      <c r="Q665">
        <v>3177</v>
      </c>
      <c r="R665">
        <v>299</v>
      </c>
      <c r="S665">
        <v>1551</v>
      </c>
      <c r="T665">
        <v>0</v>
      </c>
      <c r="U665">
        <v>1021</v>
      </c>
      <c r="V665" s="1">
        <f t="shared" si="30"/>
        <v>6.88E-2</v>
      </c>
      <c r="W665" s="1">
        <f t="shared" si="31"/>
        <v>2.7900000000000001E-2</v>
      </c>
      <c r="X665" s="1">
        <f t="shared" si="32"/>
        <v>8.9999999999999998E-4</v>
      </c>
    </row>
    <row r="666" spans="1:24" x14ac:dyDescent="0.25">
      <c r="A666">
        <v>2020</v>
      </c>
      <c r="B666">
        <v>6</v>
      </c>
      <c r="C666" t="s">
        <v>41</v>
      </c>
      <c r="D666" t="str">
        <f>_xlfn.XLOOKUP(C666,'Carrier Name Rename'!A:A,'Carrier Name Rename'!B:B)</f>
        <v>United Air Lines Inc.</v>
      </c>
      <c r="E666" t="s">
        <v>23</v>
      </c>
      <c r="F666" t="s">
        <v>24</v>
      </c>
      <c r="G666">
        <v>86</v>
      </c>
      <c r="H666">
        <v>4</v>
      </c>
      <c r="I666">
        <v>2.21</v>
      </c>
      <c r="J666">
        <v>0.64</v>
      </c>
      <c r="K666">
        <v>0.36</v>
      </c>
      <c r="L666">
        <v>0</v>
      </c>
      <c r="M666">
        <v>0.79</v>
      </c>
      <c r="N666">
        <v>0</v>
      </c>
      <c r="O666">
        <v>0</v>
      </c>
      <c r="P666">
        <v>269</v>
      </c>
      <c r="Q666">
        <v>107</v>
      </c>
      <c r="R666">
        <v>63</v>
      </c>
      <c r="S666">
        <v>35</v>
      </c>
      <c r="T666">
        <v>0</v>
      </c>
      <c r="U666">
        <v>64</v>
      </c>
      <c r="V666" s="1">
        <f t="shared" si="30"/>
        <v>4.65E-2</v>
      </c>
      <c r="W666" s="1">
        <f t="shared" si="31"/>
        <v>0</v>
      </c>
      <c r="X666" s="1">
        <f t="shared" si="32"/>
        <v>0</v>
      </c>
    </row>
    <row r="667" spans="1:24" x14ac:dyDescent="0.25">
      <c r="A667">
        <v>2020</v>
      </c>
      <c r="B667">
        <v>6</v>
      </c>
      <c r="C667" t="s">
        <v>43</v>
      </c>
      <c r="D667" t="str">
        <f>_xlfn.XLOOKUP(C667,'Carrier Name Rename'!A:A,'Carrier Name Rename'!B:B)</f>
        <v>Southwest Airlines Co.</v>
      </c>
      <c r="E667" t="s">
        <v>23</v>
      </c>
      <c r="F667" t="s">
        <v>24</v>
      </c>
      <c r="G667">
        <v>515</v>
      </c>
      <c r="H667">
        <v>22</v>
      </c>
      <c r="I667">
        <v>6.58</v>
      </c>
      <c r="J667">
        <v>0</v>
      </c>
      <c r="K667">
        <v>5.93</v>
      </c>
      <c r="L667">
        <v>0</v>
      </c>
      <c r="M667">
        <v>9.49</v>
      </c>
      <c r="N667">
        <v>0</v>
      </c>
      <c r="O667">
        <v>0</v>
      </c>
      <c r="P667">
        <v>685</v>
      </c>
      <c r="Q667">
        <v>180</v>
      </c>
      <c r="R667">
        <v>0</v>
      </c>
      <c r="S667">
        <v>194</v>
      </c>
      <c r="T667">
        <v>0</v>
      </c>
      <c r="U667">
        <v>311</v>
      </c>
      <c r="V667" s="1">
        <f t="shared" si="30"/>
        <v>4.2700000000000002E-2</v>
      </c>
      <c r="W667" s="1">
        <f t="shared" si="31"/>
        <v>0</v>
      </c>
      <c r="X667" s="1">
        <f t="shared" si="32"/>
        <v>0</v>
      </c>
    </row>
    <row r="668" spans="1:24" x14ac:dyDescent="0.25">
      <c r="A668">
        <v>2020</v>
      </c>
      <c r="B668">
        <v>5</v>
      </c>
      <c r="C668" t="s">
        <v>31</v>
      </c>
      <c r="D668" t="str">
        <f>_xlfn.XLOOKUP(C668,'Carrier Name Rename'!A:A,'Carrier Name Rename'!B:B)</f>
        <v>American Airlines Inc.</v>
      </c>
      <c r="E668" t="s">
        <v>23</v>
      </c>
      <c r="F668" t="s">
        <v>24</v>
      </c>
      <c r="G668">
        <v>165</v>
      </c>
      <c r="H668">
        <v>6</v>
      </c>
      <c r="I668">
        <v>4.67</v>
      </c>
      <c r="J668">
        <v>0</v>
      </c>
      <c r="K668">
        <v>1.33</v>
      </c>
      <c r="L668">
        <v>0</v>
      </c>
      <c r="M668">
        <v>0</v>
      </c>
      <c r="N668">
        <v>0</v>
      </c>
      <c r="O668">
        <v>1</v>
      </c>
      <c r="P668">
        <v>182</v>
      </c>
      <c r="Q668">
        <v>158</v>
      </c>
      <c r="R668">
        <v>0</v>
      </c>
      <c r="S668">
        <v>24</v>
      </c>
      <c r="T668">
        <v>0</v>
      </c>
      <c r="U668">
        <v>0</v>
      </c>
      <c r="V668" s="1">
        <f t="shared" si="30"/>
        <v>3.6400000000000002E-2</v>
      </c>
      <c r="W668" s="1">
        <f t="shared" si="31"/>
        <v>0</v>
      </c>
      <c r="X668" s="1">
        <f t="shared" si="32"/>
        <v>6.1000000000000004E-3</v>
      </c>
    </row>
    <row r="669" spans="1:24" x14ac:dyDescent="0.25">
      <c r="A669">
        <v>2020</v>
      </c>
      <c r="B669">
        <v>5</v>
      </c>
      <c r="C669" t="s">
        <v>33</v>
      </c>
      <c r="D669" t="str">
        <f>_xlfn.XLOOKUP(C669,'Carrier Name Rename'!A:A,'Carrier Name Rename'!B:B)</f>
        <v>Alaska Airlines Inc.</v>
      </c>
      <c r="E669" t="s">
        <v>23</v>
      </c>
      <c r="F669" t="s">
        <v>24</v>
      </c>
      <c r="G669">
        <v>1433</v>
      </c>
      <c r="H669">
        <v>31</v>
      </c>
      <c r="I669">
        <v>17.100000000000001</v>
      </c>
      <c r="J669">
        <v>1</v>
      </c>
      <c r="K669">
        <v>8.26</v>
      </c>
      <c r="L669">
        <v>2.64</v>
      </c>
      <c r="M669">
        <v>2</v>
      </c>
      <c r="N669">
        <v>13</v>
      </c>
      <c r="O669">
        <v>1</v>
      </c>
      <c r="P669">
        <v>1808</v>
      </c>
      <c r="Q669">
        <v>1248</v>
      </c>
      <c r="R669">
        <v>117</v>
      </c>
      <c r="S669">
        <v>253</v>
      </c>
      <c r="T669">
        <v>107</v>
      </c>
      <c r="U669">
        <v>83</v>
      </c>
      <c r="V669" s="1">
        <f t="shared" si="30"/>
        <v>2.1600000000000001E-2</v>
      </c>
      <c r="W669" s="1">
        <f t="shared" si="31"/>
        <v>9.1000000000000004E-3</v>
      </c>
      <c r="X669" s="1">
        <f t="shared" si="32"/>
        <v>6.9999999999999999E-4</v>
      </c>
    </row>
    <row r="670" spans="1:24" x14ac:dyDescent="0.25">
      <c r="A670">
        <v>2020</v>
      </c>
      <c r="B670">
        <v>5</v>
      </c>
      <c r="C670" t="s">
        <v>35</v>
      </c>
      <c r="D670" t="str">
        <f>_xlfn.XLOOKUP(C670,'Carrier Name Rename'!A:A,'Carrier Name Rename'!B:B)</f>
        <v>JetBlue Airways</v>
      </c>
      <c r="E670" t="s">
        <v>23</v>
      </c>
      <c r="F670" t="s">
        <v>24</v>
      </c>
      <c r="G670">
        <v>23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4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 s="1">
        <f t="shared" si="30"/>
        <v>0</v>
      </c>
      <c r="W670" s="1">
        <f t="shared" si="31"/>
        <v>0.1739</v>
      </c>
      <c r="X670" s="1">
        <f t="shared" si="32"/>
        <v>0</v>
      </c>
    </row>
    <row r="671" spans="1:24" x14ac:dyDescent="0.25">
      <c r="A671">
        <v>2020</v>
      </c>
      <c r="B671">
        <v>5</v>
      </c>
      <c r="C671" t="s">
        <v>37</v>
      </c>
      <c r="D671" t="str">
        <f>_xlfn.XLOOKUP(C671,'Carrier Name Rename'!A:A,'Carrier Name Rename'!B:B)</f>
        <v>Delta Air Lines Inc.</v>
      </c>
      <c r="E671" t="s">
        <v>23</v>
      </c>
      <c r="F671" t="s">
        <v>24</v>
      </c>
      <c r="G671">
        <v>806</v>
      </c>
      <c r="H671">
        <v>43</v>
      </c>
      <c r="I671">
        <v>20.68</v>
      </c>
      <c r="J671">
        <v>0.77</v>
      </c>
      <c r="K671">
        <v>19.09</v>
      </c>
      <c r="L671">
        <v>0</v>
      </c>
      <c r="M671">
        <v>2.46</v>
      </c>
      <c r="N671">
        <v>2</v>
      </c>
      <c r="O671">
        <v>1</v>
      </c>
      <c r="P671">
        <v>2795</v>
      </c>
      <c r="Q671">
        <v>1700</v>
      </c>
      <c r="R671">
        <v>17</v>
      </c>
      <c r="S671">
        <v>1000</v>
      </c>
      <c r="T671">
        <v>0</v>
      </c>
      <c r="U671">
        <v>78</v>
      </c>
      <c r="V671" s="1">
        <f t="shared" si="30"/>
        <v>5.33E-2</v>
      </c>
      <c r="W671" s="1">
        <f t="shared" si="31"/>
        <v>2.5000000000000001E-3</v>
      </c>
      <c r="X671" s="1">
        <f t="shared" si="32"/>
        <v>1.1999999999999999E-3</v>
      </c>
    </row>
    <row r="672" spans="1:24" x14ac:dyDescent="0.25">
      <c r="A672">
        <v>2020</v>
      </c>
      <c r="B672">
        <v>5</v>
      </c>
      <c r="C672" t="s">
        <v>39</v>
      </c>
      <c r="D672" t="str">
        <f>_xlfn.XLOOKUP(C672,'Carrier Name Rename'!A:A,'Carrier Name Rename'!B:B)</f>
        <v>Frontier Airlines Inc.</v>
      </c>
      <c r="E672" t="s">
        <v>23</v>
      </c>
      <c r="F672" t="s">
        <v>24</v>
      </c>
      <c r="G672">
        <v>26</v>
      </c>
      <c r="H672">
        <v>1</v>
      </c>
      <c r="I672">
        <v>0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29</v>
      </c>
      <c r="Q672">
        <v>0</v>
      </c>
      <c r="R672">
        <v>0</v>
      </c>
      <c r="S672">
        <v>29</v>
      </c>
      <c r="T672">
        <v>0</v>
      </c>
      <c r="U672">
        <v>0</v>
      </c>
      <c r="V672" s="1">
        <f t="shared" si="30"/>
        <v>3.85E-2</v>
      </c>
      <c r="W672" s="1">
        <f t="shared" si="31"/>
        <v>0</v>
      </c>
      <c r="X672" s="1">
        <f t="shared" si="32"/>
        <v>0</v>
      </c>
    </row>
    <row r="673" spans="1:24" x14ac:dyDescent="0.25">
      <c r="A673">
        <v>2020</v>
      </c>
      <c r="B673">
        <v>5</v>
      </c>
      <c r="C673" t="s">
        <v>21</v>
      </c>
      <c r="D673" t="str">
        <f>_xlfn.XLOOKUP(C673,'Carrier Name Rename'!A:A,'Carrier Name Rename'!B:B)</f>
        <v>Hawaiian Airlines Inc.</v>
      </c>
      <c r="E673" t="s">
        <v>23</v>
      </c>
      <c r="F673" t="s">
        <v>24</v>
      </c>
      <c r="G673">
        <v>31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33</v>
      </c>
      <c r="Q673">
        <v>33</v>
      </c>
      <c r="R673">
        <v>0</v>
      </c>
      <c r="S673">
        <v>0</v>
      </c>
      <c r="T673">
        <v>0</v>
      </c>
      <c r="U673">
        <v>0</v>
      </c>
      <c r="V673" s="1">
        <f t="shared" si="30"/>
        <v>3.2300000000000002E-2</v>
      </c>
      <c r="W673" s="1">
        <f t="shared" si="31"/>
        <v>0</v>
      </c>
      <c r="X673" s="1">
        <f t="shared" si="32"/>
        <v>0</v>
      </c>
    </row>
    <row r="674" spans="1:24" x14ac:dyDescent="0.25">
      <c r="A674">
        <v>2020</v>
      </c>
      <c r="B674">
        <v>5</v>
      </c>
      <c r="C674" t="s">
        <v>25</v>
      </c>
      <c r="D674" t="str">
        <f>_xlfn.XLOOKUP(C674,'Carrier Name Rename'!A:A,'Carrier Name Rename'!B:B)</f>
        <v>Spirit Airlines</v>
      </c>
      <c r="E674" t="s">
        <v>23</v>
      </c>
      <c r="F674" t="s">
        <v>24</v>
      </c>
      <c r="G674">
        <v>13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 s="1">
        <f t="shared" si="30"/>
        <v>0</v>
      </c>
      <c r="W674" s="1">
        <f t="shared" si="31"/>
        <v>0</v>
      </c>
      <c r="X674" s="1">
        <f t="shared" si="32"/>
        <v>0</v>
      </c>
    </row>
    <row r="675" spans="1:24" x14ac:dyDescent="0.25">
      <c r="A675">
        <v>2020</v>
      </c>
      <c r="B675">
        <v>5</v>
      </c>
      <c r="C675" t="s">
        <v>27</v>
      </c>
      <c r="D675" t="str">
        <f>_xlfn.XLOOKUP(C675,'Carrier Name Rename'!A:A,'Carrier Name Rename'!B:B)</f>
        <v>SkyWest Airlines Inc.</v>
      </c>
      <c r="E675" t="s">
        <v>23</v>
      </c>
      <c r="F675" t="s">
        <v>24</v>
      </c>
      <c r="G675">
        <v>1058</v>
      </c>
      <c r="H675">
        <v>20</v>
      </c>
      <c r="I675">
        <v>11.81</v>
      </c>
      <c r="J675">
        <v>0.37</v>
      </c>
      <c r="K675">
        <v>4.8099999999999996</v>
      </c>
      <c r="L675">
        <v>0</v>
      </c>
      <c r="M675">
        <v>3</v>
      </c>
      <c r="N675">
        <v>66</v>
      </c>
      <c r="O675">
        <v>0</v>
      </c>
      <c r="P675">
        <v>1283</v>
      </c>
      <c r="Q675">
        <v>834</v>
      </c>
      <c r="R675">
        <v>28</v>
      </c>
      <c r="S675">
        <v>138</v>
      </c>
      <c r="T675">
        <v>0</v>
      </c>
      <c r="U675">
        <v>283</v>
      </c>
      <c r="V675" s="1">
        <f t="shared" si="30"/>
        <v>1.89E-2</v>
      </c>
      <c r="W675" s="1">
        <f t="shared" si="31"/>
        <v>6.2399999999999997E-2</v>
      </c>
      <c r="X675" s="1">
        <f t="shared" si="32"/>
        <v>0</v>
      </c>
    </row>
    <row r="676" spans="1:24" x14ac:dyDescent="0.25">
      <c r="A676">
        <v>2020</v>
      </c>
      <c r="B676">
        <v>5</v>
      </c>
      <c r="C676" t="s">
        <v>29</v>
      </c>
      <c r="D676" t="str">
        <f>_xlfn.XLOOKUP(C676,'Carrier Name Rename'!A:A,'Carrier Name Rename'!B:B)</f>
        <v>Horizon Air</v>
      </c>
      <c r="E676" t="s">
        <v>23</v>
      </c>
      <c r="F676" t="s">
        <v>24</v>
      </c>
      <c r="G676">
        <v>1363</v>
      </c>
      <c r="H676">
        <v>59</v>
      </c>
      <c r="I676">
        <v>21.58</v>
      </c>
      <c r="J676">
        <v>5.04</v>
      </c>
      <c r="K676">
        <v>10.32</v>
      </c>
      <c r="L676">
        <v>0</v>
      </c>
      <c r="M676">
        <v>22.07</v>
      </c>
      <c r="N676">
        <v>119</v>
      </c>
      <c r="O676">
        <v>0</v>
      </c>
      <c r="P676">
        <v>3076</v>
      </c>
      <c r="Q676">
        <v>1581</v>
      </c>
      <c r="R676">
        <v>134</v>
      </c>
      <c r="S676">
        <v>296</v>
      </c>
      <c r="T676">
        <v>0</v>
      </c>
      <c r="U676">
        <v>1065</v>
      </c>
      <c r="V676" s="1">
        <f t="shared" si="30"/>
        <v>4.3299999999999998E-2</v>
      </c>
      <c r="W676" s="1">
        <f t="shared" si="31"/>
        <v>8.7300000000000003E-2</v>
      </c>
      <c r="X676" s="1">
        <f t="shared" si="32"/>
        <v>0</v>
      </c>
    </row>
    <row r="677" spans="1:24" x14ac:dyDescent="0.25">
      <c r="A677">
        <v>2020</v>
      </c>
      <c r="B677">
        <v>5</v>
      </c>
      <c r="C677" t="s">
        <v>41</v>
      </c>
      <c r="D677" t="str">
        <f>_xlfn.XLOOKUP(C677,'Carrier Name Rename'!A:A,'Carrier Name Rename'!B:B)</f>
        <v>United Air Lines Inc.</v>
      </c>
      <c r="E677" t="s">
        <v>23</v>
      </c>
      <c r="F677" t="s">
        <v>24</v>
      </c>
      <c r="G677">
        <v>65</v>
      </c>
      <c r="H677">
        <v>5</v>
      </c>
      <c r="I677">
        <v>3.4</v>
      </c>
      <c r="J677">
        <v>0</v>
      </c>
      <c r="K677">
        <v>1.6</v>
      </c>
      <c r="L677">
        <v>0</v>
      </c>
      <c r="M677">
        <v>0</v>
      </c>
      <c r="N677">
        <v>0</v>
      </c>
      <c r="O677">
        <v>0</v>
      </c>
      <c r="P677">
        <v>180</v>
      </c>
      <c r="Q677">
        <v>150</v>
      </c>
      <c r="R677">
        <v>0</v>
      </c>
      <c r="S677">
        <v>30</v>
      </c>
      <c r="T677">
        <v>0</v>
      </c>
      <c r="U677">
        <v>0</v>
      </c>
      <c r="V677" s="1">
        <f t="shared" si="30"/>
        <v>7.6899999999999996E-2</v>
      </c>
      <c r="W677" s="1">
        <f t="shared" si="31"/>
        <v>0</v>
      </c>
      <c r="X677" s="1">
        <f t="shared" si="32"/>
        <v>0</v>
      </c>
    </row>
    <row r="678" spans="1:24" x14ac:dyDescent="0.25">
      <c r="A678">
        <v>2020</v>
      </c>
      <c r="B678">
        <v>5</v>
      </c>
      <c r="C678" t="s">
        <v>43</v>
      </c>
      <c r="D678" t="str">
        <f>_xlfn.XLOOKUP(C678,'Carrier Name Rename'!A:A,'Carrier Name Rename'!B:B)</f>
        <v>Southwest Airlines Co.</v>
      </c>
      <c r="E678" t="s">
        <v>23</v>
      </c>
      <c r="F678" t="s">
        <v>24</v>
      </c>
      <c r="G678">
        <v>388</v>
      </c>
      <c r="H678">
        <v>8</v>
      </c>
      <c r="I678">
        <v>3.64</v>
      </c>
      <c r="J678">
        <v>0</v>
      </c>
      <c r="K678">
        <v>2.1800000000000002</v>
      </c>
      <c r="L678">
        <v>0</v>
      </c>
      <c r="M678">
        <v>2.1800000000000002</v>
      </c>
      <c r="N678">
        <v>15</v>
      </c>
      <c r="O678">
        <v>0</v>
      </c>
      <c r="P678">
        <v>210</v>
      </c>
      <c r="Q678">
        <v>112</v>
      </c>
      <c r="R678">
        <v>0</v>
      </c>
      <c r="S678">
        <v>46</v>
      </c>
      <c r="T678">
        <v>0</v>
      </c>
      <c r="U678">
        <v>52</v>
      </c>
      <c r="V678" s="1">
        <f t="shared" si="30"/>
        <v>2.06E-2</v>
      </c>
      <c r="W678" s="1">
        <f t="shared" si="31"/>
        <v>3.8699999999999998E-2</v>
      </c>
      <c r="X678" s="1">
        <f t="shared" si="32"/>
        <v>0</v>
      </c>
    </row>
    <row r="679" spans="1:24" x14ac:dyDescent="0.25">
      <c r="A679">
        <v>2020</v>
      </c>
      <c r="B679">
        <v>4</v>
      </c>
      <c r="C679" t="s">
        <v>27</v>
      </c>
      <c r="D679" t="str">
        <f>_xlfn.XLOOKUP(C679,'Carrier Name Rename'!A:A,'Carrier Name Rename'!B:B)</f>
        <v>SkyWest Airlines Inc.</v>
      </c>
      <c r="E679" t="s">
        <v>23</v>
      </c>
      <c r="F679" t="s">
        <v>24</v>
      </c>
      <c r="G679">
        <v>1169</v>
      </c>
      <c r="H679">
        <v>40</v>
      </c>
      <c r="I679">
        <v>24.4</v>
      </c>
      <c r="J679">
        <v>0</v>
      </c>
      <c r="K679">
        <v>13.6</v>
      </c>
      <c r="L679">
        <v>0</v>
      </c>
      <c r="M679">
        <v>2</v>
      </c>
      <c r="N679">
        <v>190</v>
      </c>
      <c r="O679">
        <v>0</v>
      </c>
      <c r="P679">
        <v>3496</v>
      </c>
      <c r="Q679">
        <v>3058</v>
      </c>
      <c r="R679">
        <v>0</v>
      </c>
      <c r="S679">
        <v>344</v>
      </c>
      <c r="T679">
        <v>0</v>
      </c>
      <c r="U679">
        <v>94</v>
      </c>
      <c r="V679" s="1">
        <f t="shared" si="30"/>
        <v>3.4200000000000001E-2</v>
      </c>
      <c r="W679" s="1">
        <f t="shared" si="31"/>
        <v>0.16250000000000001</v>
      </c>
      <c r="X679" s="1">
        <f t="shared" si="32"/>
        <v>0</v>
      </c>
    </row>
    <row r="680" spans="1:24" x14ac:dyDescent="0.25">
      <c r="A680">
        <v>2020</v>
      </c>
      <c r="B680">
        <v>4</v>
      </c>
      <c r="C680" t="s">
        <v>29</v>
      </c>
      <c r="D680" t="str">
        <f>_xlfn.XLOOKUP(C680,'Carrier Name Rename'!A:A,'Carrier Name Rename'!B:B)</f>
        <v>Horizon Air</v>
      </c>
      <c r="E680" t="s">
        <v>23</v>
      </c>
      <c r="F680" t="s">
        <v>24</v>
      </c>
      <c r="G680">
        <v>1211</v>
      </c>
      <c r="H680">
        <v>28</v>
      </c>
      <c r="I680">
        <v>14.94</v>
      </c>
      <c r="J680">
        <v>1.32</v>
      </c>
      <c r="K680">
        <v>10.75</v>
      </c>
      <c r="L680">
        <v>0</v>
      </c>
      <c r="M680">
        <v>1</v>
      </c>
      <c r="N680">
        <v>210</v>
      </c>
      <c r="O680">
        <v>2</v>
      </c>
      <c r="P680">
        <v>1134</v>
      </c>
      <c r="Q680">
        <v>750</v>
      </c>
      <c r="R680">
        <v>38</v>
      </c>
      <c r="S680">
        <v>295</v>
      </c>
      <c r="T680">
        <v>0</v>
      </c>
      <c r="U680">
        <v>51</v>
      </c>
      <c r="V680" s="1">
        <f t="shared" si="30"/>
        <v>2.3099999999999999E-2</v>
      </c>
      <c r="W680" s="1">
        <f t="shared" si="31"/>
        <v>0.1734</v>
      </c>
      <c r="X680" s="1">
        <f t="shared" si="32"/>
        <v>1.6999999999999999E-3</v>
      </c>
    </row>
    <row r="681" spans="1:24" x14ac:dyDescent="0.25">
      <c r="A681">
        <v>2020</v>
      </c>
      <c r="B681">
        <v>4</v>
      </c>
      <c r="C681" t="s">
        <v>41</v>
      </c>
      <c r="D681" t="str">
        <f>_xlfn.XLOOKUP(C681,'Carrier Name Rename'!A:A,'Carrier Name Rename'!B:B)</f>
        <v>United Air Lines Inc.</v>
      </c>
      <c r="E681" t="s">
        <v>23</v>
      </c>
      <c r="F681" t="s">
        <v>24</v>
      </c>
      <c r="G681">
        <v>194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89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 s="1">
        <f t="shared" si="30"/>
        <v>0</v>
      </c>
      <c r="W681" s="1">
        <f t="shared" si="31"/>
        <v>0.45879999999999999</v>
      </c>
      <c r="X681" s="1">
        <f t="shared" si="32"/>
        <v>0</v>
      </c>
    </row>
    <row r="682" spans="1:24" x14ac:dyDescent="0.25">
      <c r="A682">
        <v>2020</v>
      </c>
      <c r="B682">
        <v>4</v>
      </c>
      <c r="C682" t="s">
        <v>43</v>
      </c>
      <c r="D682" t="str">
        <f>_xlfn.XLOOKUP(C682,'Carrier Name Rename'!A:A,'Carrier Name Rename'!B:B)</f>
        <v>Southwest Airlines Co.</v>
      </c>
      <c r="E682" t="s">
        <v>23</v>
      </c>
      <c r="F682" t="s">
        <v>24</v>
      </c>
      <c r="G682">
        <v>664</v>
      </c>
      <c r="H682">
        <v>9</v>
      </c>
      <c r="I682">
        <v>6.03</v>
      </c>
      <c r="J682">
        <v>0</v>
      </c>
      <c r="K682">
        <v>1.85</v>
      </c>
      <c r="L682">
        <v>0</v>
      </c>
      <c r="M682">
        <v>1.1200000000000001</v>
      </c>
      <c r="N682">
        <v>318</v>
      </c>
      <c r="O682">
        <v>0</v>
      </c>
      <c r="P682">
        <v>304</v>
      </c>
      <c r="Q682">
        <v>170</v>
      </c>
      <c r="R682">
        <v>0</v>
      </c>
      <c r="S682">
        <v>54</v>
      </c>
      <c r="T682">
        <v>0</v>
      </c>
      <c r="U682">
        <v>80</v>
      </c>
      <c r="V682" s="1">
        <f t="shared" si="30"/>
        <v>1.3599999999999999E-2</v>
      </c>
      <c r="W682" s="1">
        <f t="shared" si="31"/>
        <v>0.47889999999999999</v>
      </c>
      <c r="X682" s="1">
        <f t="shared" si="32"/>
        <v>0</v>
      </c>
    </row>
    <row r="683" spans="1:24" x14ac:dyDescent="0.25">
      <c r="A683">
        <v>2020</v>
      </c>
      <c r="B683">
        <v>4</v>
      </c>
      <c r="C683" t="s">
        <v>31</v>
      </c>
      <c r="D683" t="str">
        <f>_xlfn.XLOOKUP(C683,'Carrier Name Rename'!A:A,'Carrier Name Rename'!B:B)</f>
        <v>American Airlines Inc.</v>
      </c>
      <c r="E683" t="s">
        <v>23</v>
      </c>
      <c r="F683" t="s">
        <v>24</v>
      </c>
      <c r="G683">
        <v>289</v>
      </c>
      <c r="H683">
        <v>13</v>
      </c>
      <c r="I683">
        <v>6.61</v>
      </c>
      <c r="J683">
        <v>1.52</v>
      </c>
      <c r="K683">
        <v>3.42</v>
      </c>
      <c r="L683">
        <v>0</v>
      </c>
      <c r="M683">
        <v>1.45</v>
      </c>
      <c r="N683">
        <v>62</v>
      </c>
      <c r="O683">
        <v>0</v>
      </c>
      <c r="P683">
        <v>557</v>
      </c>
      <c r="Q683">
        <v>270</v>
      </c>
      <c r="R683">
        <v>115</v>
      </c>
      <c r="S683">
        <v>91</v>
      </c>
      <c r="T683">
        <v>0</v>
      </c>
      <c r="U683">
        <v>81</v>
      </c>
      <c r="V683" s="1">
        <f t="shared" si="30"/>
        <v>4.4999999999999998E-2</v>
      </c>
      <c r="W683" s="1">
        <f t="shared" si="31"/>
        <v>0.2145</v>
      </c>
      <c r="X683" s="1">
        <f t="shared" si="32"/>
        <v>0</v>
      </c>
    </row>
    <row r="684" spans="1:24" x14ac:dyDescent="0.25">
      <c r="A684">
        <v>2020</v>
      </c>
      <c r="B684">
        <v>4</v>
      </c>
      <c r="C684" t="s">
        <v>33</v>
      </c>
      <c r="D684" t="str">
        <f>_xlfn.XLOOKUP(C684,'Carrier Name Rename'!A:A,'Carrier Name Rename'!B:B)</f>
        <v>Alaska Airlines Inc.</v>
      </c>
      <c r="E684" t="s">
        <v>23</v>
      </c>
      <c r="F684" t="s">
        <v>24</v>
      </c>
      <c r="G684">
        <v>1793</v>
      </c>
      <c r="H684">
        <v>36</v>
      </c>
      <c r="I684">
        <v>18.940000000000001</v>
      </c>
      <c r="J684">
        <v>0.74</v>
      </c>
      <c r="K684">
        <v>9.5399999999999991</v>
      </c>
      <c r="L684">
        <v>1</v>
      </c>
      <c r="M684">
        <v>5.79</v>
      </c>
      <c r="N684">
        <v>434</v>
      </c>
      <c r="O684">
        <v>0</v>
      </c>
      <c r="P684">
        <v>1966</v>
      </c>
      <c r="Q684">
        <v>1211</v>
      </c>
      <c r="R684">
        <v>31</v>
      </c>
      <c r="S684">
        <v>311</v>
      </c>
      <c r="T684">
        <v>25</v>
      </c>
      <c r="U684">
        <v>388</v>
      </c>
      <c r="V684" s="1">
        <f t="shared" si="30"/>
        <v>2.01E-2</v>
      </c>
      <c r="W684" s="1">
        <f t="shared" si="31"/>
        <v>0.24210000000000001</v>
      </c>
      <c r="X684" s="1">
        <f t="shared" si="32"/>
        <v>0</v>
      </c>
    </row>
    <row r="685" spans="1:24" x14ac:dyDescent="0.25">
      <c r="A685">
        <v>2020</v>
      </c>
      <c r="B685">
        <v>4</v>
      </c>
      <c r="C685" t="s">
        <v>35</v>
      </c>
      <c r="D685" t="str">
        <f>_xlfn.XLOOKUP(C685,'Carrier Name Rename'!A:A,'Carrier Name Rename'!B:B)</f>
        <v>JetBlue Airways</v>
      </c>
      <c r="E685" t="s">
        <v>23</v>
      </c>
      <c r="F685" t="s">
        <v>24</v>
      </c>
      <c r="G685">
        <v>38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13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 s="1">
        <f t="shared" si="30"/>
        <v>0</v>
      </c>
      <c r="W685" s="1">
        <f t="shared" si="31"/>
        <v>0.34210000000000002</v>
      </c>
      <c r="X685" s="1">
        <f t="shared" si="32"/>
        <v>0</v>
      </c>
    </row>
    <row r="686" spans="1:24" x14ac:dyDescent="0.25">
      <c r="A686">
        <v>2020</v>
      </c>
      <c r="B686">
        <v>4</v>
      </c>
      <c r="C686" t="s">
        <v>47</v>
      </c>
      <c r="D686" t="str">
        <f>_xlfn.XLOOKUP(C686,'Carrier Name Rename'!A:A,'Carrier Name Rename'!B:B)</f>
        <v>Compass Airlines</v>
      </c>
      <c r="E686" t="s">
        <v>23</v>
      </c>
      <c r="F686" t="s">
        <v>24</v>
      </c>
      <c r="G686">
        <v>24</v>
      </c>
      <c r="H686">
        <v>2</v>
      </c>
      <c r="I686">
        <v>0</v>
      </c>
      <c r="J686">
        <v>0</v>
      </c>
      <c r="K686">
        <v>0.2</v>
      </c>
      <c r="L686">
        <v>0</v>
      </c>
      <c r="M686">
        <v>1.8</v>
      </c>
      <c r="N686">
        <v>14</v>
      </c>
      <c r="O686">
        <v>0</v>
      </c>
      <c r="P686">
        <v>165</v>
      </c>
      <c r="Q686">
        <v>0</v>
      </c>
      <c r="R686">
        <v>0</v>
      </c>
      <c r="S686">
        <v>22</v>
      </c>
      <c r="T686">
        <v>0</v>
      </c>
      <c r="U686">
        <v>143</v>
      </c>
      <c r="V686" s="1">
        <f t="shared" si="30"/>
        <v>8.3299999999999999E-2</v>
      </c>
      <c r="W686" s="1">
        <f t="shared" si="31"/>
        <v>0.58330000000000004</v>
      </c>
      <c r="X686" s="1">
        <f t="shared" si="32"/>
        <v>0</v>
      </c>
    </row>
    <row r="687" spans="1:24" x14ac:dyDescent="0.25">
      <c r="A687">
        <v>2020</v>
      </c>
      <c r="B687">
        <v>4</v>
      </c>
      <c r="C687" t="s">
        <v>37</v>
      </c>
      <c r="D687" t="str">
        <f>_xlfn.XLOOKUP(C687,'Carrier Name Rename'!A:A,'Carrier Name Rename'!B:B)</f>
        <v>Delta Air Lines Inc.</v>
      </c>
      <c r="E687" t="s">
        <v>23</v>
      </c>
      <c r="F687" t="s">
        <v>24</v>
      </c>
      <c r="G687">
        <v>945</v>
      </c>
      <c r="H687">
        <v>72</v>
      </c>
      <c r="I687">
        <v>37.44</v>
      </c>
      <c r="J687">
        <v>0.56000000000000005</v>
      </c>
      <c r="K687">
        <v>30.66</v>
      </c>
      <c r="L687">
        <v>0</v>
      </c>
      <c r="M687">
        <v>3.33</v>
      </c>
      <c r="N687">
        <v>151</v>
      </c>
      <c r="O687">
        <v>1</v>
      </c>
      <c r="P687">
        <v>6824</v>
      </c>
      <c r="Q687">
        <v>5819</v>
      </c>
      <c r="R687">
        <v>35</v>
      </c>
      <c r="S687">
        <v>868</v>
      </c>
      <c r="T687">
        <v>0</v>
      </c>
      <c r="U687">
        <v>102</v>
      </c>
      <c r="V687" s="1">
        <f t="shared" si="30"/>
        <v>7.6200000000000004E-2</v>
      </c>
      <c r="W687" s="1">
        <f t="shared" si="31"/>
        <v>0.1598</v>
      </c>
      <c r="X687" s="1">
        <f t="shared" si="32"/>
        <v>1.1000000000000001E-3</v>
      </c>
    </row>
    <row r="688" spans="1:24" x14ac:dyDescent="0.25">
      <c r="A688">
        <v>2020</v>
      </c>
      <c r="B688">
        <v>4</v>
      </c>
      <c r="C688" t="s">
        <v>39</v>
      </c>
      <c r="D688" t="str">
        <f>_xlfn.XLOOKUP(C688,'Carrier Name Rename'!A:A,'Carrier Name Rename'!B:B)</f>
        <v>Frontier Airlines Inc.</v>
      </c>
      <c r="E688" t="s">
        <v>23</v>
      </c>
      <c r="F688" t="s">
        <v>24</v>
      </c>
      <c r="G688">
        <v>20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5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 s="1">
        <f t="shared" si="30"/>
        <v>0</v>
      </c>
      <c r="W688" s="1">
        <f t="shared" si="31"/>
        <v>0.25</v>
      </c>
      <c r="X688" s="1">
        <f t="shared" si="32"/>
        <v>0</v>
      </c>
    </row>
    <row r="689" spans="1:24" x14ac:dyDescent="0.25">
      <c r="A689">
        <v>2020</v>
      </c>
      <c r="B689">
        <v>4</v>
      </c>
      <c r="C689" t="s">
        <v>25</v>
      </c>
      <c r="D689" t="str">
        <f>_xlfn.XLOOKUP(C689,'Carrier Name Rename'!A:A,'Carrier Name Rename'!B:B)</f>
        <v>Spirit Airlines</v>
      </c>
      <c r="E689" t="s">
        <v>23</v>
      </c>
      <c r="F689" t="s">
        <v>24</v>
      </c>
      <c r="G689">
        <v>44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7</v>
      </c>
      <c r="O689">
        <v>0</v>
      </c>
      <c r="P689">
        <v>44</v>
      </c>
      <c r="Q689">
        <v>44</v>
      </c>
      <c r="R689">
        <v>0</v>
      </c>
      <c r="S689">
        <v>0</v>
      </c>
      <c r="T689">
        <v>0</v>
      </c>
      <c r="U689">
        <v>0</v>
      </c>
      <c r="V689" s="1">
        <f t="shared" si="30"/>
        <v>2.2700000000000001E-2</v>
      </c>
      <c r="W689" s="1">
        <f t="shared" si="31"/>
        <v>0.15909999999999999</v>
      </c>
      <c r="X689" s="1">
        <f t="shared" si="32"/>
        <v>0</v>
      </c>
    </row>
    <row r="690" spans="1:24" x14ac:dyDescent="0.25">
      <c r="A690">
        <v>2020</v>
      </c>
      <c r="B690">
        <v>3</v>
      </c>
      <c r="C690" t="s">
        <v>31</v>
      </c>
      <c r="D690" t="str">
        <f>_xlfn.XLOOKUP(C690,'Carrier Name Rename'!A:A,'Carrier Name Rename'!B:B)</f>
        <v>American Airlines Inc.</v>
      </c>
      <c r="E690" t="s">
        <v>23</v>
      </c>
      <c r="F690" t="s">
        <v>24</v>
      </c>
      <c r="G690">
        <v>535</v>
      </c>
      <c r="H690">
        <v>82</v>
      </c>
      <c r="I690">
        <v>32.75</v>
      </c>
      <c r="J690">
        <v>1.29</v>
      </c>
      <c r="K690">
        <v>34.64</v>
      </c>
      <c r="L690">
        <v>0</v>
      </c>
      <c r="M690">
        <v>13.31</v>
      </c>
      <c r="N690">
        <v>70</v>
      </c>
      <c r="O690">
        <v>0</v>
      </c>
      <c r="P690">
        <v>3992</v>
      </c>
      <c r="Q690">
        <v>1553</v>
      </c>
      <c r="R690">
        <v>151</v>
      </c>
      <c r="S690">
        <v>1380</v>
      </c>
      <c r="T690">
        <v>0</v>
      </c>
      <c r="U690">
        <v>908</v>
      </c>
      <c r="V690" s="1">
        <f t="shared" si="30"/>
        <v>0.15329999999999999</v>
      </c>
      <c r="W690" s="1">
        <f t="shared" si="31"/>
        <v>0.1308</v>
      </c>
      <c r="X690" s="1">
        <f t="shared" si="32"/>
        <v>0</v>
      </c>
    </row>
    <row r="691" spans="1:24" x14ac:dyDescent="0.25">
      <c r="A691">
        <v>2020</v>
      </c>
      <c r="B691">
        <v>3</v>
      </c>
      <c r="C691" t="s">
        <v>33</v>
      </c>
      <c r="D691" t="str">
        <f>_xlfn.XLOOKUP(C691,'Carrier Name Rename'!A:A,'Carrier Name Rename'!B:B)</f>
        <v>Alaska Airlines Inc.</v>
      </c>
      <c r="E691" t="s">
        <v>23</v>
      </c>
      <c r="F691" t="s">
        <v>24</v>
      </c>
      <c r="G691">
        <v>5704</v>
      </c>
      <c r="H691">
        <v>634</v>
      </c>
      <c r="I691">
        <v>130.97</v>
      </c>
      <c r="J691">
        <v>4.8099999999999996</v>
      </c>
      <c r="K691">
        <v>320</v>
      </c>
      <c r="L691">
        <v>3</v>
      </c>
      <c r="M691">
        <v>175.23</v>
      </c>
      <c r="N691">
        <v>840</v>
      </c>
      <c r="O691">
        <v>1</v>
      </c>
      <c r="P691">
        <v>33134</v>
      </c>
      <c r="Q691">
        <v>9295</v>
      </c>
      <c r="R691">
        <v>350</v>
      </c>
      <c r="S691">
        <v>11846</v>
      </c>
      <c r="T691">
        <v>68</v>
      </c>
      <c r="U691">
        <v>11575</v>
      </c>
      <c r="V691" s="1">
        <f t="shared" si="30"/>
        <v>0.11119999999999999</v>
      </c>
      <c r="W691" s="1">
        <f t="shared" si="31"/>
        <v>0.14729999999999999</v>
      </c>
      <c r="X691" s="1">
        <f t="shared" si="32"/>
        <v>2.0000000000000001E-4</v>
      </c>
    </row>
    <row r="692" spans="1:24" x14ac:dyDescent="0.25">
      <c r="A692">
        <v>2020</v>
      </c>
      <c r="B692">
        <v>3</v>
      </c>
      <c r="C692" t="s">
        <v>35</v>
      </c>
      <c r="D692" t="str">
        <f>_xlfn.XLOOKUP(C692,'Carrier Name Rename'!A:A,'Carrier Name Rename'!B:B)</f>
        <v>JetBlue Airways</v>
      </c>
      <c r="E692" t="s">
        <v>23</v>
      </c>
      <c r="F692" t="s">
        <v>24</v>
      </c>
      <c r="G692">
        <v>177</v>
      </c>
      <c r="H692">
        <v>17</v>
      </c>
      <c r="I692">
        <v>3.85</v>
      </c>
      <c r="J692">
        <v>0</v>
      </c>
      <c r="K692">
        <v>11.23</v>
      </c>
      <c r="L692">
        <v>0</v>
      </c>
      <c r="M692">
        <v>1.92</v>
      </c>
      <c r="N692">
        <v>34</v>
      </c>
      <c r="O692">
        <v>0</v>
      </c>
      <c r="P692">
        <v>851</v>
      </c>
      <c r="Q692">
        <v>162</v>
      </c>
      <c r="R692">
        <v>0</v>
      </c>
      <c r="S692">
        <v>569</v>
      </c>
      <c r="T692">
        <v>0</v>
      </c>
      <c r="U692">
        <v>120</v>
      </c>
      <c r="V692" s="1">
        <f t="shared" si="30"/>
        <v>9.6000000000000002E-2</v>
      </c>
      <c r="W692" s="1">
        <f t="shared" si="31"/>
        <v>0.19209999999999999</v>
      </c>
      <c r="X692" s="1">
        <f t="shared" si="32"/>
        <v>0</v>
      </c>
    </row>
    <row r="693" spans="1:24" x14ac:dyDescent="0.25">
      <c r="A693">
        <v>2020</v>
      </c>
      <c r="B693">
        <v>3</v>
      </c>
      <c r="C693" t="s">
        <v>47</v>
      </c>
      <c r="D693" t="str">
        <f>_xlfn.XLOOKUP(C693,'Carrier Name Rename'!A:A,'Carrier Name Rename'!B:B)</f>
        <v>Compass Airlines</v>
      </c>
      <c r="E693" t="s">
        <v>23</v>
      </c>
      <c r="F693" t="s">
        <v>24</v>
      </c>
      <c r="G693">
        <v>413</v>
      </c>
      <c r="H693">
        <v>32</v>
      </c>
      <c r="I693">
        <v>14.81</v>
      </c>
      <c r="J693">
        <v>0</v>
      </c>
      <c r="K693">
        <v>11.21</v>
      </c>
      <c r="L693">
        <v>0</v>
      </c>
      <c r="M693">
        <v>5.98</v>
      </c>
      <c r="N693">
        <v>62</v>
      </c>
      <c r="O693">
        <v>0</v>
      </c>
      <c r="P693">
        <v>3470</v>
      </c>
      <c r="Q693">
        <v>2032</v>
      </c>
      <c r="R693">
        <v>0</v>
      </c>
      <c r="S693">
        <v>742</v>
      </c>
      <c r="T693">
        <v>0</v>
      </c>
      <c r="U693">
        <v>696</v>
      </c>
      <c r="V693" s="1">
        <f t="shared" si="30"/>
        <v>7.7499999999999999E-2</v>
      </c>
      <c r="W693" s="1">
        <f t="shared" si="31"/>
        <v>0.15010000000000001</v>
      </c>
      <c r="X693" s="1">
        <f t="shared" si="32"/>
        <v>0</v>
      </c>
    </row>
    <row r="694" spans="1:24" x14ac:dyDescent="0.25">
      <c r="A694">
        <v>2020</v>
      </c>
      <c r="B694">
        <v>3</v>
      </c>
      <c r="C694" t="s">
        <v>37</v>
      </c>
      <c r="D694" t="str">
        <f>_xlfn.XLOOKUP(C694,'Carrier Name Rename'!A:A,'Carrier Name Rename'!B:B)</f>
        <v>Delta Air Lines Inc.</v>
      </c>
      <c r="E694" t="s">
        <v>23</v>
      </c>
      <c r="F694" t="s">
        <v>24</v>
      </c>
      <c r="G694">
        <v>2646</v>
      </c>
      <c r="H694">
        <v>242</v>
      </c>
      <c r="I694">
        <v>62.35</v>
      </c>
      <c r="J694">
        <v>3.19</v>
      </c>
      <c r="K694">
        <v>123.34</v>
      </c>
      <c r="L694">
        <v>0.42</v>
      </c>
      <c r="M694">
        <v>52.69</v>
      </c>
      <c r="N694">
        <v>482</v>
      </c>
      <c r="O694">
        <v>0</v>
      </c>
      <c r="P694">
        <v>17608</v>
      </c>
      <c r="Q694">
        <v>8891</v>
      </c>
      <c r="R694">
        <v>347</v>
      </c>
      <c r="S694">
        <v>4642</v>
      </c>
      <c r="T694">
        <v>39</v>
      </c>
      <c r="U694">
        <v>3689</v>
      </c>
      <c r="V694" s="1">
        <f t="shared" si="30"/>
        <v>9.1499999999999998E-2</v>
      </c>
      <c r="W694" s="1">
        <f t="shared" si="31"/>
        <v>0.1822</v>
      </c>
      <c r="X694" s="1">
        <f t="shared" si="32"/>
        <v>0</v>
      </c>
    </row>
    <row r="695" spans="1:24" x14ac:dyDescent="0.25">
      <c r="A695">
        <v>2020</v>
      </c>
      <c r="B695">
        <v>3</v>
      </c>
      <c r="C695" t="s">
        <v>39</v>
      </c>
      <c r="D695" t="str">
        <f>_xlfn.XLOOKUP(C695,'Carrier Name Rename'!A:A,'Carrier Name Rename'!B:B)</f>
        <v>Frontier Airlines Inc.</v>
      </c>
      <c r="E695" t="s">
        <v>23</v>
      </c>
      <c r="F695" t="s">
        <v>24</v>
      </c>
      <c r="G695">
        <v>34</v>
      </c>
      <c r="H695">
        <v>3</v>
      </c>
      <c r="I695">
        <v>0</v>
      </c>
      <c r="J695">
        <v>0</v>
      </c>
      <c r="K695">
        <v>2</v>
      </c>
      <c r="L695">
        <v>0</v>
      </c>
      <c r="M695">
        <v>1</v>
      </c>
      <c r="N695">
        <v>13</v>
      </c>
      <c r="O695">
        <v>0</v>
      </c>
      <c r="P695">
        <v>90</v>
      </c>
      <c r="Q695">
        <v>0</v>
      </c>
      <c r="R695">
        <v>0</v>
      </c>
      <c r="S695">
        <v>70</v>
      </c>
      <c r="T695">
        <v>0</v>
      </c>
      <c r="U695">
        <v>20</v>
      </c>
      <c r="V695" s="1">
        <f t="shared" si="30"/>
        <v>8.8200000000000001E-2</v>
      </c>
      <c r="W695" s="1">
        <f t="shared" si="31"/>
        <v>0.38240000000000002</v>
      </c>
      <c r="X695" s="1">
        <f t="shared" si="32"/>
        <v>0</v>
      </c>
    </row>
    <row r="696" spans="1:24" x14ac:dyDescent="0.25">
      <c r="A696">
        <v>2020</v>
      </c>
      <c r="B696">
        <v>3</v>
      </c>
      <c r="C696" t="s">
        <v>21</v>
      </c>
      <c r="D696" t="str">
        <f>_xlfn.XLOOKUP(C696,'Carrier Name Rename'!A:A,'Carrier Name Rename'!B:B)</f>
        <v>Hawaiian Airlines Inc.</v>
      </c>
      <c r="E696" t="s">
        <v>23</v>
      </c>
      <c r="F696" t="s">
        <v>24</v>
      </c>
      <c r="G696">
        <v>70</v>
      </c>
      <c r="H696">
        <v>35</v>
      </c>
      <c r="I696">
        <v>32.619999999999997</v>
      </c>
      <c r="J696">
        <v>0</v>
      </c>
      <c r="K696">
        <v>0</v>
      </c>
      <c r="L696">
        <v>0.17</v>
      </c>
      <c r="M696">
        <v>2.21</v>
      </c>
      <c r="N696">
        <v>8</v>
      </c>
      <c r="O696">
        <v>0</v>
      </c>
      <c r="P696">
        <v>1258</v>
      </c>
      <c r="Q696">
        <v>1196</v>
      </c>
      <c r="R696">
        <v>0</v>
      </c>
      <c r="S696">
        <v>0</v>
      </c>
      <c r="T696">
        <v>4</v>
      </c>
      <c r="U696">
        <v>58</v>
      </c>
      <c r="V696" s="1">
        <f t="shared" si="30"/>
        <v>0.5</v>
      </c>
      <c r="W696" s="1">
        <f t="shared" si="31"/>
        <v>0.1143</v>
      </c>
      <c r="X696" s="1">
        <f t="shared" si="32"/>
        <v>0</v>
      </c>
    </row>
    <row r="697" spans="1:24" x14ac:dyDescent="0.25">
      <c r="A697">
        <v>2020</v>
      </c>
      <c r="B697">
        <v>3</v>
      </c>
      <c r="C697" t="s">
        <v>25</v>
      </c>
      <c r="D697" t="str">
        <f>_xlfn.XLOOKUP(C697,'Carrier Name Rename'!A:A,'Carrier Name Rename'!B:B)</f>
        <v>Spirit Airlines</v>
      </c>
      <c r="E697" t="s">
        <v>23</v>
      </c>
      <c r="F697" t="s">
        <v>24</v>
      </c>
      <c r="G697">
        <v>93</v>
      </c>
      <c r="H697">
        <v>8</v>
      </c>
      <c r="I697">
        <v>1.2</v>
      </c>
      <c r="J697">
        <v>0</v>
      </c>
      <c r="K697">
        <v>5.24</v>
      </c>
      <c r="L697">
        <v>0</v>
      </c>
      <c r="M697">
        <v>1.56</v>
      </c>
      <c r="N697">
        <v>20</v>
      </c>
      <c r="O697">
        <v>0</v>
      </c>
      <c r="P697">
        <v>788</v>
      </c>
      <c r="Q697">
        <v>51</v>
      </c>
      <c r="R697">
        <v>0</v>
      </c>
      <c r="S697">
        <v>566</v>
      </c>
      <c r="T697">
        <v>0</v>
      </c>
      <c r="U697">
        <v>171</v>
      </c>
      <c r="V697" s="1">
        <f t="shared" si="30"/>
        <v>8.5999999999999993E-2</v>
      </c>
      <c r="W697" s="1">
        <f t="shared" si="31"/>
        <v>0.21510000000000001</v>
      </c>
      <c r="X697" s="1">
        <f t="shared" si="32"/>
        <v>0</v>
      </c>
    </row>
    <row r="698" spans="1:24" x14ac:dyDescent="0.25">
      <c r="A698">
        <v>2020</v>
      </c>
      <c r="B698">
        <v>3</v>
      </c>
      <c r="C698" t="s">
        <v>27</v>
      </c>
      <c r="D698" t="str">
        <f>_xlfn.XLOOKUP(C698,'Carrier Name Rename'!A:A,'Carrier Name Rename'!B:B)</f>
        <v>SkyWest Airlines Inc.</v>
      </c>
      <c r="E698" t="s">
        <v>23</v>
      </c>
      <c r="F698" t="s">
        <v>24</v>
      </c>
      <c r="G698">
        <v>1540</v>
      </c>
      <c r="H698">
        <v>146</v>
      </c>
      <c r="I698">
        <v>33.43</v>
      </c>
      <c r="J698">
        <v>7.6</v>
      </c>
      <c r="K698">
        <v>72.790000000000006</v>
      </c>
      <c r="L698">
        <v>0</v>
      </c>
      <c r="M698">
        <v>32.17</v>
      </c>
      <c r="N698">
        <v>79</v>
      </c>
      <c r="O698">
        <v>0</v>
      </c>
      <c r="P698">
        <v>7570</v>
      </c>
      <c r="Q698">
        <v>1770</v>
      </c>
      <c r="R698">
        <v>934</v>
      </c>
      <c r="S698">
        <v>2699</v>
      </c>
      <c r="T698">
        <v>0</v>
      </c>
      <c r="U698">
        <v>2167</v>
      </c>
      <c r="V698" s="1">
        <f t="shared" si="30"/>
        <v>9.4799999999999995E-2</v>
      </c>
      <c r="W698" s="1">
        <f t="shared" si="31"/>
        <v>5.1299999999999998E-2</v>
      </c>
      <c r="X698" s="1">
        <f t="shared" si="32"/>
        <v>0</v>
      </c>
    </row>
    <row r="699" spans="1:24" x14ac:dyDescent="0.25">
      <c r="A699">
        <v>2020</v>
      </c>
      <c r="B699">
        <v>3</v>
      </c>
      <c r="C699" t="s">
        <v>29</v>
      </c>
      <c r="D699" t="str">
        <f>_xlfn.XLOOKUP(C699,'Carrier Name Rename'!A:A,'Carrier Name Rename'!B:B)</f>
        <v>Horizon Air</v>
      </c>
      <c r="E699" t="s">
        <v>23</v>
      </c>
      <c r="F699" t="s">
        <v>24</v>
      </c>
      <c r="G699">
        <v>2816</v>
      </c>
      <c r="H699">
        <v>226</v>
      </c>
      <c r="I699">
        <v>39.5</v>
      </c>
      <c r="J699">
        <v>9.5299999999999994</v>
      </c>
      <c r="K699">
        <v>119.94</v>
      </c>
      <c r="L699">
        <v>0</v>
      </c>
      <c r="M699">
        <v>57.03</v>
      </c>
      <c r="N699">
        <v>348</v>
      </c>
      <c r="O699">
        <v>1</v>
      </c>
      <c r="P699">
        <v>10697</v>
      </c>
      <c r="Q699">
        <v>2517</v>
      </c>
      <c r="R699">
        <v>620</v>
      </c>
      <c r="S699">
        <v>4926</v>
      </c>
      <c r="T699">
        <v>0</v>
      </c>
      <c r="U699">
        <v>2634</v>
      </c>
      <c r="V699" s="1">
        <f t="shared" si="30"/>
        <v>8.0299999999999996E-2</v>
      </c>
      <c r="W699" s="1">
        <f t="shared" si="31"/>
        <v>0.1236</v>
      </c>
      <c r="X699" s="1">
        <f t="shared" si="32"/>
        <v>4.0000000000000002E-4</v>
      </c>
    </row>
    <row r="700" spans="1:24" x14ac:dyDescent="0.25">
      <c r="A700">
        <v>2020</v>
      </c>
      <c r="B700">
        <v>3</v>
      </c>
      <c r="C700" t="s">
        <v>41</v>
      </c>
      <c r="D700" t="str">
        <f>_xlfn.XLOOKUP(C700,'Carrier Name Rename'!A:A,'Carrier Name Rename'!B:B)</f>
        <v>United Air Lines Inc.</v>
      </c>
      <c r="E700" t="s">
        <v>23</v>
      </c>
      <c r="F700" t="s">
        <v>24</v>
      </c>
      <c r="G700">
        <v>714</v>
      </c>
      <c r="H700">
        <v>69</v>
      </c>
      <c r="I700">
        <v>14.6</v>
      </c>
      <c r="J700">
        <v>0.59</v>
      </c>
      <c r="K700">
        <v>34.869999999999997</v>
      </c>
      <c r="L700">
        <v>0</v>
      </c>
      <c r="M700">
        <v>18.940000000000001</v>
      </c>
      <c r="N700">
        <v>151</v>
      </c>
      <c r="O700">
        <v>1</v>
      </c>
      <c r="P700">
        <v>4828</v>
      </c>
      <c r="Q700">
        <v>1350</v>
      </c>
      <c r="R700">
        <v>23</v>
      </c>
      <c r="S700">
        <v>1837</v>
      </c>
      <c r="T700">
        <v>0</v>
      </c>
      <c r="U700">
        <v>1618</v>
      </c>
      <c r="V700" s="1">
        <f t="shared" si="30"/>
        <v>9.6600000000000005E-2</v>
      </c>
      <c r="W700" s="1">
        <f t="shared" si="31"/>
        <v>0.21149999999999999</v>
      </c>
      <c r="X700" s="1">
        <f t="shared" si="32"/>
        <v>1.4E-3</v>
      </c>
    </row>
    <row r="701" spans="1:24" x14ac:dyDescent="0.25">
      <c r="A701">
        <v>2020</v>
      </c>
      <c r="B701">
        <v>3</v>
      </c>
      <c r="C701" t="s">
        <v>43</v>
      </c>
      <c r="D701" t="str">
        <f>_xlfn.XLOOKUP(C701,'Carrier Name Rename'!A:A,'Carrier Name Rename'!B:B)</f>
        <v>Southwest Airlines Co.</v>
      </c>
      <c r="E701" t="s">
        <v>23</v>
      </c>
      <c r="F701" t="s">
        <v>24</v>
      </c>
      <c r="G701">
        <v>787</v>
      </c>
      <c r="H701">
        <v>59</v>
      </c>
      <c r="I701">
        <v>15.32</v>
      </c>
      <c r="J701">
        <v>0.94</v>
      </c>
      <c r="K701">
        <v>25.99</v>
      </c>
      <c r="L701">
        <v>0.41</v>
      </c>
      <c r="M701">
        <v>16.34</v>
      </c>
      <c r="N701">
        <v>126</v>
      </c>
      <c r="O701">
        <v>1</v>
      </c>
      <c r="P701">
        <v>2294</v>
      </c>
      <c r="Q701">
        <v>553</v>
      </c>
      <c r="R701">
        <v>17</v>
      </c>
      <c r="S701">
        <v>1099</v>
      </c>
      <c r="T701">
        <v>9</v>
      </c>
      <c r="U701">
        <v>616</v>
      </c>
      <c r="V701" s="1">
        <f t="shared" si="30"/>
        <v>7.4999999999999997E-2</v>
      </c>
      <c r="W701" s="1">
        <f t="shared" si="31"/>
        <v>0.16009999999999999</v>
      </c>
      <c r="X701" s="1">
        <f t="shared" si="32"/>
        <v>1.2999999999999999E-3</v>
      </c>
    </row>
    <row r="702" spans="1:24" x14ac:dyDescent="0.25">
      <c r="A702">
        <v>2020</v>
      </c>
      <c r="B702">
        <v>2</v>
      </c>
      <c r="C702" t="s">
        <v>31</v>
      </c>
      <c r="D702" t="str">
        <f>_xlfn.XLOOKUP(C702,'Carrier Name Rename'!A:A,'Carrier Name Rename'!B:B)</f>
        <v>American Airlines Inc.</v>
      </c>
      <c r="E702" t="s">
        <v>23</v>
      </c>
      <c r="F702" t="s">
        <v>24</v>
      </c>
      <c r="G702">
        <v>463</v>
      </c>
      <c r="H702">
        <v>86</v>
      </c>
      <c r="I702">
        <v>34.08</v>
      </c>
      <c r="J702">
        <v>0.53</v>
      </c>
      <c r="K702">
        <v>26.05</v>
      </c>
      <c r="L702">
        <v>0.3</v>
      </c>
      <c r="M702">
        <v>25.04</v>
      </c>
      <c r="N702">
        <v>4</v>
      </c>
      <c r="O702">
        <v>1</v>
      </c>
      <c r="P702">
        <v>5151</v>
      </c>
      <c r="Q702">
        <v>2577</v>
      </c>
      <c r="R702">
        <v>16</v>
      </c>
      <c r="S702">
        <v>834</v>
      </c>
      <c r="T702">
        <v>6</v>
      </c>
      <c r="U702">
        <v>1718</v>
      </c>
      <c r="V702" s="1">
        <f t="shared" si="30"/>
        <v>0.1857</v>
      </c>
      <c r="W702" s="1">
        <f t="shared" si="31"/>
        <v>8.6E-3</v>
      </c>
      <c r="X702" s="1">
        <f t="shared" si="32"/>
        <v>2.2000000000000001E-3</v>
      </c>
    </row>
    <row r="703" spans="1:24" x14ac:dyDescent="0.25">
      <c r="A703">
        <v>2020</v>
      </c>
      <c r="B703">
        <v>2</v>
      </c>
      <c r="C703" t="s">
        <v>33</v>
      </c>
      <c r="D703" t="str">
        <f>_xlfn.XLOOKUP(C703,'Carrier Name Rename'!A:A,'Carrier Name Rename'!B:B)</f>
        <v>Alaska Airlines Inc.</v>
      </c>
      <c r="E703" t="s">
        <v>23</v>
      </c>
      <c r="F703" t="s">
        <v>24</v>
      </c>
      <c r="G703">
        <v>5183</v>
      </c>
      <c r="H703">
        <v>828</v>
      </c>
      <c r="I703">
        <v>165.82</v>
      </c>
      <c r="J703">
        <v>11.34</v>
      </c>
      <c r="K703">
        <v>429.76</v>
      </c>
      <c r="L703">
        <v>2.14</v>
      </c>
      <c r="M703">
        <v>218.94</v>
      </c>
      <c r="N703">
        <v>47</v>
      </c>
      <c r="O703">
        <v>5</v>
      </c>
      <c r="P703">
        <v>43679</v>
      </c>
      <c r="Q703">
        <v>12628</v>
      </c>
      <c r="R703">
        <v>610</v>
      </c>
      <c r="S703">
        <v>14017</v>
      </c>
      <c r="T703">
        <v>67</v>
      </c>
      <c r="U703">
        <v>16357</v>
      </c>
      <c r="V703" s="1">
        <f t="shared" si="30"/>
        <v>0.1598</v>
      </c>
      <c r="W703" s="1">
        <f t="shared" si="31"/>
        <v>9.1000000000000004E-3</v>
      </c>
      <c r="X703" s="1">
        <f t="shared" si="32"/>
        <v>1E-3</v>
      </c>
    </row>
    <row r="704" spans="1:24" x14ac:dyDescent="0.25">
      <c r="A704">
        <v>2020</v>
      </c>
      <c r="B704">
        <v>2</v>
      </c>
      <c r="C704" t="s">
        <v>35</v>
      </c>
      <c r="D704" t="str">
        <f>_xlfn.XLOOKUP(C704,'Carrier Name Rename'!A:A,'Carrier Name Rename'!B:B)</f>
        <v>JetBlue Airways</v>
      </c>
      <c r="E704" t="s">
        <v>23</v>
      </c>
      <c r="F704" t="s">
        <v>24</v>
      </c>
      <c r="G704">
        <v>163</v>
      </c>
      <c r="H704">
        <v>23</v>
      </c>
      <c r="I704">
        <v>11.03</v>
      </c>
      <c r="J704">
        <v>0</v>
      </c>
      <c r="K704">
        <v>7.3</v>
      </c>
      <c r="L704">
        <v>0</v>
      </c>
      <c r="M704">
        <v>4.67</v>
      </c>
      <c r="N704">
        <v>0</v>
      </c>
      <c r="O704">
        <v>0</v>
      </c>
      <c r="P704">
        <v>1464</v>
      </c>
      <c r="Q704">
        <v>878</v>
      </c>
      <c r="R704">
        <v>0</v>
      </c>
      <c r="S704">
        <v>231</v>
      </c>
      <c r="T704">
        <v>0</v>
      </c>
      <c r="U704">
        <v>355</v>
      </c>
      <c r="V704" s="1">
        <f t="shared" si="30"/>
        <v>0.1411</v>
      </c>
      <c r="W704" s="1">
        <f t="shared" si="31"/>
        <v>0</v>
      </c>
      <c r="X704" s="1">
        <f t="shared" si="32"/>
        <v>0</v>
      </c>
    </row>
    <row r="705" spans="1:24" x14ac:dyDescent="0.25">
      <c r="A705">
        <v>2020</v>
      </c>
      <c r="B705">
        <v>2</v>
      </c>
      <c r="C705" t="s">
        <v>47</v>
      </c>
      <c r="D705" t="str">
        <f>_xlfn.XLOOKUP(C705,'Carrier Name Rename'!A:A,'Carrier Name Rename'!B:B)</f>
        <v>Compass Airlines</v>
      </c>
      <c r="E705" t="s">
        <v>23</v>
      </c>
      <c r="F705" t="s">
        <v>24</v>
      </c>
      <c r="G705">
        <v>351</v>
      </c>
      <c r="H705">
        <v>51</v>
      </c>
      <c r="I705">
        <v>12.38</v>
      </c>
      <c r="J705">
        <v>1.25</v>
      </c>
      <c r="K705">
        <v>23.66</v>
      </c>
      <c r="L705">
        <v>0</v>
      </c>
      <c r="M705">
        <v>13.71</v>
      </c>
      <c r="N705">
        <v>0</v>
      </c>
      <c r="O705">
        <v>2</v>
      </c>
      <c r="P705">
        <v>3486</v>
      </c>
      <c r="Q705">
        <v>1981</v>
      </c>
      <c r="R705">
        <v>90</v>
      </c>
      <c r="S705">
        <v>726</v>
      </c>
      <c r="T705">
        <v>0</v>
      </c>
      <c r="U705">
        <v>689</v>
      </c>
      <c r="V705" s="1">
        <f t="shared" si="30"/>
        <v>0.14530000000000001</v>
      </c>
      <c r="W705" s="1">
        <f t="shared" si="31"/>
        <v>0</v>
      </c>
      <c r="X705" s="1">
        <f t="shared" si="32"/>
        <v>5.7000000000000002E-3</v>
      </c>
    </row>
    <row r="706" spans="1:24" x14ac:dyDescent="0.25">
      <c r="A706">
        <v>2020</v>
      </c>
      <c r="B706">
        <v>2</v>
      </c>
      <c r="C706" t="s">
        <v>37</v>
      </c>
      <c r="D706" t="str">
        <f>_xlfn.XLOOKUP(C706,'Carrier Name Rename'!A:A,'Carrier Name Rename'!B:B)</f>
        <v>Delta Air Lines Inc.</v>
      </c>
      <c r="E706" t="s">
        <v>23</v>
      </c>
      <c r="F706" t="s">
        <v>24</v>
      </c>
      <c r="G706">
        <v>2349</v>
      </c>
      <c r="H706">
        <v>278</v>
      </c>
      <c r="I706">
        <v>78.52</v>
      </c>
      <c r="J706">
        <v>6.65</v>
      </c>
      <c r="K706">
        <v>111.13</v>
      </c>
      <c r="L706">
        <v>1</v>
      </c>
      <c r="M706">
        <v>80.7</v>
      </c>
      <c r="N706">
        <v>0</v>
      </c>
      <c r="O706">
        <v>0</v>
      </c>
      <c r="P706">
        <v>15524</v>
      </c>
      <c r="Q706">
        <v>5140</v>
      </c>
      <c r="R706">
        <v>843</v>
      </c>
      <c r="S706">
        <v>3379</v>
      </c>
      <c r="T706">
        <v>85</v>
      </c>
      <c r="U706">
        <v>6077</v>
      </c>
      <c r="V706" s="1">
        <f t="shared" si="30"/>
        <v>0.1183</v>
      </c>
      <c r="W706" s="1">
        <f t="shared" si="31"/>
        <v>0</v>
      </c>
      <c r="X706" s="1">
        <f t="shared" si="32"/>
        <v>0</v>
      </c>
    </row>
    <row r="707" spans="1:24" x14ac:dyDescent="0.25">
      <c r="A707">
        <v>2020</v>
      </c>
      <c r="B707">
        <v>2</v>
      </c>
      <c r="C707" t="s">
        <v>39</v>
      </c>
      <c r="D707" t="str">
        <f>_xlfn.XLOOKUP(C707,'Carrier Name Rename'!A:A,'Carrier Name Rename'!B:B)</f>
        <v>Frontier Airlines Inc.</v>
      </c>
      <c r="E707" t="s">
        <v>23</v>
      </c>
      <c r="F707" t="s">
        <v>24</v>
      </c>
      <c r="G707">
        <v>29</v>
      </c>
      <c r="H707">
        <v>7</v>
      </c>
      <c r="I707">
        <v>2.3199999999999998</v>
      </c>
      <c r="J707">
        <v>0</v>
      </c>
      <c r="K707">
        <v>1.68</v>
      </c>
      <c r="L707">
        <v>0</v>
      </c>
      <c r="M707">
        <v>3</v>
      </c>
      <c r="N707">
        <v>0</v>
      </c>
      <c r="O707">
        <v>0</v>
      </c>
      <c r="P707">
        <v>322</v>
      </c>
      <c r="Q707">
        <v>85</v>
      </c>
      <c r="R707">
        <v>0</v>
      </c>
      <c r="S707">
        <v>36</v>
      </c>
      <c r="T707">
        <v>0</v>
      </c>
      <c r="U707">
        <v>201</v>
      </c>
      <c r="V707" s="1">
        <f t="shared" ref="V707:V770" si="33">ROUND(H707/G707,4)</f>
        <v>0.2414</v>
      </c>
      <c r="W707" s="1">
        <f t="shared" ref="W707:W770" si="34">ROUND(N707/G707,4)</f>
        <v>0</v>
      </c>
      <c r="X707" s="1">
        <f t="shared" ref="X707:X770" si="35">ROUND(O707/G707,4)</f>
        <v>0</v>
      </c>
    </row>
    <row r="708" spans="1:24" x14ac:dyDescent="0.25">
      <c r="A708">
        <v>2020</v>
      </c>
      <c r="B708">
        <v>2</v>
      </c>
      <c r="C708" t="s">
        <v>21</v>
      </c>
      <c r="D708" t="str">
        <f>_xlfn.XLOOKUP(C708,'Carrier Name Rename'!A:A,'Carrier Name Rename'!B:B)</f>
        <v>Hawaiian Airlines Inc.</v>
      </c>
      <c r="E708" t="s">
        <v>23</v>
      </c>
      <c r="F708" t="s">
        <v>24</v>
      </c>
      <c r="G708">
        <v>71</v>
      </c>
      <c r="H708">
        <v>29</v>
      </c>
      <c r="I708">
        <v>25.78</v>
      </c>
      <c r="J708">
        <v>0</v>
      </c>
      <c r="K708">
        <v>0</v>
      </c>
      <c r="L708">
        <v>0.28000000000000003</v>
      </c>
      <c r="M708">
        <v>2.94</v>
      </c>
      <c r="N708">
        <v>1</v>
      </c>
      <c r="O708">
        <v>0</v>
      </c>
      <c r="P708">
        <v>1286</v>
      </c>
      <c r="Q708">
        <v>996</v>
      </c>
      <c r="R708">
        <v>0</v>
      </c>
      <c r="S708">
        <v>0</v>
      </c>
      <c r="T708">
        <v>20</v>
      </c>
      <c r="U708">
        <v>270</v>
      </c>
      <c r="V708" s="1">
        <f t="shared" si="33"/>
        <v>0.40849999999999997</v>
      </c>
      <c r="W708" s="1">
        <f t="shared" si="34"/>
        <v>1.41E-2</v>
      </c>
      <c r="X708" s="1">
        <f t="shared" si="35"/>
        <v>0</v>
      </c>
    </row>
    <row r="709" spans="1:24" x14ac:dyDescent="0.25">
      <c r="A709">
        <v>2020</v>
      </c>
      <c r="B709">
        <v>2</v>
      </c>
      <c r="C709" t="s">
        <v>25</v>
      </c>
      <c r="D709" t="str">
        <f>_xlfn.XLOOKUP(C709,'Carrier Name Rename'!A:A,'Carrier Name Rename'!B:B)</f>
        <v>Spirit Airlines</v>
      </c>
      <c r="E709" t="s">
        <v>23</v>
      </c>
      <c r="F709" t="s">
        <v>24</v>
      </c>
      <c r="G709">
        <v>83</v>
      </c>
      <c r="H709">
        <v>6</v>
      </c>
      <c r="I709">
        <v>1.48</v>
      </c>
      <c r="J709">
        <v>0</v>
      </c>
      <c r="K709">
        <v>2.5499999999999998</v>
      </c>
      <c r="L709">
        <v>0</v>
      </c>
      <c r="M709">
        <v>1.97</v>
      </c>
      <c r="N709">
        <v>0</v>
      </c>
      <c r="O709">
        <v>0</v>
      </c>
      <c r="P709">
        <v>972</v>
      </c>
      <c r="Q709">
        <v>228</v>
      </c>
      <c r="R709">
        <v>0</v>
      </c>
      <c r="S709">
        <v>277</v>
      </c>
      <c r="T709">
        <v>0</v>
      </c>
      <c r="U709">
        <v>467</v>
      </c>
      <c r="V709" s="1">
        <f t="shared" si="33"/>
        <v>7.2300000000000003E-2</v>
      </c>
      <c r="W709" s="1">
        <f t="shared" si="34"/>
        <v>0</v>
      </c>
      <c r="X709" s="1">
        <f t="shared" si="35"/>
        <v>0</v>
      </c>
    </row>
    <row r="710" spans="1:24" x14ac:dyDescent="0.25">
      <c r="A710">
        <v>2020</v>
      </c>
      <c r="B710">
        <v>2</v>
      </c>
      <c r="C710" t="s">
        <v>27</v>
      </c>
      <c r="D710" t="str">
        <f>_xlfn.XLOOKUP(C710,'Carrier Name Rename'!A:A,'Carrier Name Rename'!B:B)</f>
        <v>SkyWest Airlines Inc.</v>
      </c>
      <c r="E710" t="s">
        <v>23</v>
      </c>
      <c r="F710" t="s">
        <v>24</v>
      </c>
      <c r="G710">
        <v>1490</v>
      </c>
      <c r="H710">
        <v>234</v>
      </c>
      <c r="I710">
        <v>66.81</v>
      </c>
      <c r="J710">
        <v>40.619999999999997</v>
      </c>
      <c r="K710">
        <v>126.57</v>
      </c>
      <c r="L710">
        <v>0</v>
      </c>
      <c r="M710">
        <v>0</v>
      </c>
      <c r="N710">
        <v>4</v>
      </c>
      <c r="O710">
        <v>11</v>
      </c>
      <c r="P710">
        <v>13546</v>
      </c>
      <c r="Q710">
        <v>4580</v>
      </c>
      <c r="R710">
        <v>4745</v>
      </c>
      <c r="S710">
        <v>4221</v>
      </c>
      <c r="T710">
        <v>0</v>
      </c>
      <c r="U710">
        <v>0</v>
      </c>
      <c r="V710" s="1">
        <f t="shared" si="33"/>
        <v>0.157</v>
      </c>
      <c r="W710" s="1">
        <f t="shared" si="34"/>
        <v>2.7000000000000001E-3</v>
      </c>
      <c r="X710" s="1">
        <f t="shared" si="35"/>
        <v>7.4000000000000003E-3</v>
      </c>
    </row>
    <row r="711" spans="1:24" x14ac:dyDescent="0.25">
      <c r="A711">
        <v>2020</v>
      </c>
      <c r="B711">
        <v>2</v>
      </c>
      <c r="C711" t="s">
        <v>29</v>
      </c>
      <c r="D711" t="str">
        <f>_xlfn.XLOOKUP(C711,'Carrier Name Rename'!A:A,'Carrier Name Rename'!B:B)</f>
        <v>Horizon Air</v>
      </c>
      <c r="E711" t="s">
        <v>23</v>
      </c>
      <c r="F711" t="s">
        <v>24</v>
      </c>
      <c r="G711">
        <v>2827</v>
      </c>
      <c r="H711">
        <v>470</v>
      </c>
      <c r="I711">
        <v>65.17</v>
      </c>
      <c r="J711">
        <v>5.52</v>
      </c>
      <c r="K711">
        <v>250.13</v>
      </c>
      <c r="L711">
        <v>0</v>
      </c>
      <c r="M711">
        <v>149.18</v>
      </c>
      <c r="N711">
        <v>35</v>
      </c>
      <c r="O711">
        <v>8</v>
      </c>
      <c r="P711">
        <v>19689</v>
      </c>
      <c r="Q711">
        <v>4406</v>
      </c>
      <c r="R711">
        <v>410</v>
      </c>
      <c r="S711">
        <v>8221</v>
      </c>
      <c r="T711">
        <v>0</v>
      </c>
      <c r="U711">
        <v>6652</v>
      </c>
      <c r="V711" s="1">
        <f t="shared" si="33"/>
        <v>0.1663</v>
      </c>
      <c r="W711" s="1">
        <f t="shared" si="34"/>
        <v>1.24E-2</v>
      </c>
      <c r="X711" s="1">
        <f t="shared" si="35"/>
        <v>2.8E-3</v>
      </c>
    </row>
    <row r="712" spans="1:24" x14ac:dyDescent="0.25">
      <c r="A712">
        <v>2020</v>
      </c>
      <c r="B712">
        <v>2</v>
      </c>
      <c r="C712" t="s">
        <v>41</v>
      </c>
      <c r="D712" t="str">
        <f>_xlfn.XLOOKUP(C712,'Carrier Name Rename'!A:A,'Carrier Name Rename'!B:B)</f>
        <v>United Air Lines Inc.</v>
      </c>
      <c r="E712" t="s">
        <v>23</v>
      </c>
      <c r="F712" t="s">
        <v>24</v>
      </c>
      <c r="G712">
        <v>571</v>
      </c>
      <c r="H712">
        <v>70</v>
      </c>
      <c r="I712">
        <v>19.18</v>
      </c>
      <c r="J712">
        <v>1.86</v>
      </c>
      <c r="K712">
        <v>32.369999999999997</v>
      </c>
      <c r="L712">
        <v>0</v>
      </c>
      <c r="M712">
        <v>16.59</v>
      </c>
      <c r="N712">
        <v>0</v>
      </c>
      <c r="O712">
        <v>0</v>
      </c>
      <c r="P712">
        <v>3571</v>
      </c>
      <c r="Q712">
        <v>1010</v>
      </c>
      <c r="R712">
        <v>158</v>
      </c>
      <c r="S712">
        <v>1168</v>
      </c>
      <c r="T712">
        <v>0</v>
      </c>
      <c r="U712">
        <v>1235</v>
      </c>
      <c r="V712" s="1">
        <f t="shared" si="33"/>
        <v>0.1226</v>
      </c>
      <c r="W712" s="1">
        <f t="shared" si="34"/>
        <v>0</v>
      </c>
      <c r="X712" s="1">
        <f t="shared" si="35"/>
        <v>0</v>
      </c>
    </row>
    <row r="713" spans="1:24" x14ac:dyDescent="0.25">
      <c r="A713">
        <v>2020</v>
      </c>
      <c r="B713">
        <v>2</v>
      </c>
      <c r="C713" t="s">
        <v>43</v>
      </c>
      <c r="D713" t="str">
        <f>_xlfn.XLOOKUP(C713,'Carrier Name Rename'!A:A,'Carrier Name Rename'!B:B)</f>
        <v>Southwest Airlines Co.</v>
      </c>
      <c r="E713" t="s">
        <v>23</v>
      </c>
      <c r="F713" t="s">
        <v>24</v>
      </c>
      <c r="G713">
        <v>696</v>
      </c>
      <c r="H713">
        <v>83</v>
      </c>
      <c r="I713">
        <v>28.55</v>
      </c>
      <c r="J713">
        <v>0</v>
      </c>
      <c r="K713">
        <v>30.14</v>
      </c>
      <c r="L713">
        <v>0</v>
      </c>
      <c r="M713">
        <v>24.31</v>
      </c>
      <c r="N713">
        <v>3</v>
      </c>
      <c r="O713">
        <v>0</v>
      </c>
      <c r="P713">
        <v>3430</v>
      </c>
      <c r="Q713">
        <v>1170</v>
      </c>
      <c r="R713">
        <v>0</v>
      </c>
      <c r="S713">
        <v>829</v>
      </c>
      <c r="T713">
        <v>0</v>
      </c>
      <c r="U713">
        <v>1431</v>
      </c>
      <c r="V713" s="1">
        <f t="shared" si="33"/>
        <v>0.1193</v>
      </c>
      <c r="W713" s="1">
        <f t="shared" si="34"/>
        <v>4.3E-3</v>
      </c>
      <c r="X713" s="1">
        <f t="shared" si="35"/>
        <v>0</v>
      </c>
    </row>
    <row r="714" spans="1:24" x14ac:dyDescent="0.25">
      <c r="A714">
        <v>2020</v>
      </c>
      <c r="B714">
        <v>1</v>
      </c>
      <c r="C714" t="s">
        <v>31</v>
      </c>
      <c r="D714" t="str">
        <f>_xlfn.XLOOKUP(C714,'Carrier Name Rename'!A:A,'Carrier Name Rename'!B:B)</f>
        <v>American Airlines Inc.</v>
      </c>
      <c r="E714" t="s">
        <v>23</v>
      </c>
      <c r="F714" t="s">
        <v>24</v>
      </c>
      <c r="G714">
        <v>481</v>
      </c>
      <c r="H714">
        <v>98</v>
      </c>
      <c r="I714">
        <v>35.85</v>
      </c>
      <c r="J714">
        <v>1.74</v>
      </c>
      <c r="K714">
        <v>39.93</v>
      </c>
      <c r="L714">
        <v>0</v>
      </c>
      <c r="M714">
        <v>20.47</v>
      </c>
      <c r="N714">
        <v>2</v>
      </c>
      <c r="O714">
        <v>0</v>
      </c>
      <c r="P714">
        <v>4836</v>
      </c>
      <c r="Q714">
        <v>1552</v>
      </c>
      <c r="R714">
        <v>340</v>
      </c>
      <c r="S714">
        <v>1301</v>
      </c>
      <c r="T714">
        <v>0</v>
      </c>
      <c r="U714">
        <v>1643</v>
      </c>
      <c r="V714" s="1">
        <f t="shared" si="33"/>
        <v>0.20369999999999999</v>
      </c>
      <c r="W714" s="1">
        <f t="shared" si="34"/>
        <v>4.1999999999999997E-3</v>
      </c>
      <c r="X714" s="1">
        <f t="shared" si="35"/>
        <v>0</v>
      </c>
    </row>
    <row r="715" spans="1:24" x14ac:dyDescent="0.25">
      <c r="A715">
        <v>2020</v>
      </c>
      <c r="B715">
        <v>1</v>
      </c>
      <c r="C715" t="s">
        <v>33</v>
      </c>
      <c r="D715" t="str">
        <f>_xlfn.XLOOKUP(C715,'Carrier Name Rename'!A:A,'Carrier Name Rename'!B:B)</f>
        <v>Alaska Airlines Inc.</v>
      </c>
      <c r="E715" t="s">
        <v>23</v>
      </c>
      <c r="F715" t="s">
        <v>24</v>
      </c>
      <c r="G715">
        <v>5562</v>
      </c>
      <c r="H715">
        <v>1325</v>
      </c>
      <c r="I715">
        <v>212.41</v>
      </c>
      <c r="J715">
        <v>23.47</v>
      </c>
      <c r="K715">
        <v>745.38</v>
      </c>
      <c r="L715">
        <v>2.72</v>
      </c>
      <c r="M715">
        <v>341.02</v>
      </c>
      <c r="N715">
        <v>95</v>
      </c>
      <c r="O715">
        <v>7</v>
      </c>
      <c r="P715">
        <v>60204</v>
      </c>
      <c r="Q715">
        <v>12663</v>
      </c>
      <c r="R715">
        <v>1773</v>
      </c>
      <c r="S715">
        <v>25354</v>
      </c>
      <c r="T715">
        <v>84</v>
      </c>
      <c r="U715">
        <v>20330</v>
      </c>
      <c r="V715" s="1">
        <f t="shared" si="33"/>
        <v>0.2382</v>
      </c>
      <c r="W715" s="1">
        <f t="shared" si="34"/>
        <v>1.7100000000000001E-2</v>
      </c>
      <c r="X715" s="1">
        <f t="shared" si="35"/>
        <v>1.2999999999999999E-3</v>
      </c>
    </row>
    <row r="716" spans="1:24" x14ac:dyDescent="0.25">
      <c r="A716">
        <v>2020</v>
      </c>
      <c r="B716">
        <v>1</v>
      </c>
      <c r="C716" t="s">
        <v>35</v>
      </c>
      <c r="D716" t="str">
        <f>_xlfn.XLOOKUP(C716,'Carrier Name Rename'!A:A,'Carrier Name Rename'!B:B)</f>
        <v>JetBlue Airways</v>
      </c>
      <c r="E716" t="s">
        <v>23</v>
      </c>
      <c r="F716" t="s">
        <v>24</v>
      </c>
      <c r="G716">
        <v>145</v>
      </c>
      <c r="H716">
        <v>21</v>
      </c>
      <c r="I716">
        <v>7.49</v>
      </c>
      <c r="J716">
        <v>0.96</v>
      </c>
      <c r="K716">
        <v>9.86</v>
      </c>
      <c r="L716">
        <v>0</v>
      </c>
      <c r="M716">
        <v>2.68</v>
      </c>
      <c r="N716">
        <v>0</v>
      </c>
      <c r="O716">
        <v>0</v>
      </c>
      <c r="P716">
        <v>798</v>
      </c>
      <c r="Q716">
        <v>437</v>
      </c>
      <c r="R716">
        <v>25</v>
      </c>
      <c r="S716">
        <v>254</v>
      </c>
      <c r="T716">
        <v>0</v>
      </c>
      <c r="U716">
        <v>82</v>
      </c>
      <c r="V716" s="1">
        <f t="shared" si="33"/>
        <v>0.14480000000000001</v>
      </c>
      <c r="W716" s="1">
        <f t="shared" si="34"/>
        <v>0</v>
      </c>
      <c r="X716" s="1">
        <f t="shared" si="35"/>
        <v>0</v>
      </c>
    </row>
    <row r="717" spans="1:24" x14ac:dyDescent="0.25">
      <c r="A717">
        <v>2020</v>
      </c>
      <c r="B717">
        <v>1</v>
      </c>
      <c r="C717" t="s">
        <v>47</v>
      </c>
      <c r="D717" t="str">
        <f>_xlfn.XLOOKUP(C717,'Carrier Name Rename'!A:A,'Carrier Name Rename'!B:B)</f>
        <v>Compass Airlines</v>
      </c>
      <c r="E717" t="s">
        <v>23</v>
      </c>
      <c r="F717" t="s">
        <v>24</v>
      </c>
      <c r="G717">
        <v>676</v>
      </c>
      <c r="H717">
        <v>154</v>
      </c>
      <c r="I717">
        <v>26.58</v>
      </c>
      <c r="J717">
        <v>2.08</v>
      </c>
      <c r="K717">
        <v>61.33</v>
      </c>
      <c r="L717">
        <v>0</v>
      </c>
      <c r="M717">
        <v>64.010000000000005</v>
      </c>
      <c r="N717">
        <v>0</v>
      </c>
      <c r="O717">
        <v>1</v>
      </c>
      <c r="P717">
        <v>10171</v>
      </c>
      <c r="Q717">
        <v>3604</v>
      </c>
      <c r="R717">
        <v>103</v>
      </c>
      <c r="S717">
        <v>1969</v>
      </c>
      <c r="T717">
        <v>0</v>
      </c>
      <c r="U717">
        <v>4495</v>
      </c>
      <c r="V717" s="1">
        <f t="shared" si="33"/>
        <v>0.2278</v>
      </c>
      <c r="W717" s="1">
        <f t="shared" si="34"/>
        <v>0</v>
      </c>
      <c r="X717" s="1">
        <f t="shared" si="35"/>
        <v>1.5E-3</v>
      </c>
    </row>
    <row r="718" spans="1:24" x14ac:dyDescent="0.25">
      <c r="A718">
        <v>2020</v>
      </c>
      <c r="B718">
        <v>1</v>
      </c>
      <c r="C718" t="s">
        <v>37</v>
      </c>
      <c r="D718" t="str">
        <f>_xlfn.XLOOKUP(C718,'Carrier Name Rename'!A:A,'Carrier Name Rename'!B:B)</f>
        <v>Delta Air Lines Inc.</v>
      </c>
      <c r="E718" t="s">
        <v>23</v>
      </c>
      <c r="F718" t="s">
        <v>24</v>
      </c>
      <c r="G718">
        <v>2509</v>
      </c>
      <c r="H718">
        <v>374</v>
      </c>
      <c r="I718">
        <v>87.77</v>
      </c>
      <c r="J718">
        <v>5.35</v>
      </c>
      <c r="K718">
        <v>190.5</v>
      </c>
      <c r="L718">
        <v>0</v>
      </c>
      <c r="M718">
        <v>90.37</v>
      </c>
      <c r="N718">
        <v>1</v>
      </c>
      <c r="O718">
        <v>3</v>
      </c>
      <c r="P718">
        <v>19093</v>
      </c>
      <c r="Q718">
        <v>6799</v>
      </c>
      <c r="R718">
        <v>278</v>
      </c>
      <c r="S718">
        <v>5625</v>
      </c>
      <c r="T718">
        <v>0</v>
      </c>
      <c r="U718">
        <v>6391</v>
      </c>
      <c r="V718" s="1">
        <f t="shared" si="33"/>
        <v>0.14910000000000001</v>
      </c>
      <c r="W718" s="1">
        <f t="shared" si="34"/>
        <v>4.0000000000000002E-4</v>
      </c>
      <c r="X718" s="1">
        <f t="shared" si="35"/>
        <v>1.1999999999999999E-3</v>
      </c>
    </row>
    <row r="719" spans="1:24" x14ac:dyDescent="0.25">
      <c r="A719">
        <v>2020</v>
      </c>
      <c r="B719">
        <v>1</v>
      </c>
      <c r="C719" t="s">
        <v>39</v>
      </c>
      <c r="D719" t="str">
        <f>_xlfn.XLOOKUP(C719,'Carrier Name Rename'!A:A,'Carrier Name Rename'!B:B)</f>
        <v>Frontier Airlines Inc.</v>
      </c>
      <c r="E719" t="s">
        <v>23</v>
      </c>
      <c r="F719" t="s">
        <v>24</v>
      </c>
      <c r="G719">
        <v>33</v>
      </c>
      <c r="H719">
        <v>12</v>
      </c>
      <c r="I719">
        <v>5.79</v>
      </c>
      <c r="J719">
        <v>0</v>
      </c>
      <c r="K719">
        <v>4.6900000000000004</v>
      </c>
      <c r="L719">
        <v>0</v>
      </c>
      <c r="M719">
        <v>1.52</v>
      </c>
      <c r="N719">
        <v>0</v>
      </c>
      <c r="O719">
        <v>0</v>
      </c>
      <c r="P719">
        <v>757</v>
      </c>
      <c r="Q719">
        <v>299</v>
      </c>
      <c r="R719">
        <v>0</v>
      </c>
      <c r="S719">
        <v>206</v>
      </c>
      <c r="T719">
        <v>0</v>
      </c>
      <c r="U719">
        <v>252</v>
      </c>
      <c r="V719" s="1">
        <f t="shared" si="33"/>
        <v>0.36359999999999998</v>
      </c>
      <c r="W719" s="1">
        <f t="shared" si="34"/>
        <v>0</v>
      </c>
      <c r="X719" s="1">
        <f t="shared" si="35"/>
        <v>0</v>
      </c>
    </row>
    <row r="720" spans="1:24" x14ac:dyDescent="0.25">
      <c r="A720">
        <v>2020</v>
      </c>
      <c r="B720">
        <v>1</v>
      </c>
      <c r="C720" t="s">
        <v>21</v>
      </c>
      <c r="D720" t="str">
        <f>_xlfn.XLOOKUP(C720,'Carrier Name Rename'!A:A,'Carrier Name Rename'!B:B)</f>
        <v>Hawaiian Airlines Inc.</v>
      </c>
      <c r="E720" t="s">
        <v>23</v>
      </c>
      <c r="F720" t="s">
        <v>24</v>
      </c>
      <c r="G720">
        <v>78</v>
      </c>
      <c r="H720">
        <v>22</v>
      </c>
      <c r="I720">
        <v>19.29</v>
      </c>
      <c r="J720">
        <v>0</v>
      </c>
      <c r="K720">
        <v>0.5</v>
      </c>
      <c r="L720">
        <v>0</v>
      </c>
      <c r="M720">
        <v>2.21</v>
      </c>
      <c r="N720">
        <v>0</v>
      </c>
      <c r="O720">
        <v>0</v>
      </c>
      <c r="P720">
        <v>753</v>
      </c>
      <c r="Q720">
        <v>630</v>
      </c>
      <c r="R720">
        <v>0</v>
      </c>
      <c r="S720">
        <v>12</v>
      </c>
      <c r="T720">
        <v>0</v>
      </c>
      <c r="U720">
        <v>111</v>
      </c>
      <c r="V720" s="1">
        <f t="shared" si="33"/>
        <v>0.28210000000000002</v>
      </c>
      <c r="W720" s="1">
        <f t="shared" si="34"/>
        <v>0</v>
      </c>
      <c r="X720" s="1">
        <f t="shared" si="35"/>
        <v>0</v>
      </c>
    </row>
    <row r="721" spans="1:24" x14ac:dyDescent="0.25">
      <c r="A721">
        <v>2020</v>
      </c>
      <c r="B721">
        <v>1</v>
      </c>
      <c r="C721" t="s">
        <v>25</v>
      </c>
      <c r="D721" t="str">
        <f>_xlfn.XLOOKUP(C721,'Carrier Name Rename'!A:A,'Carrier Name Rename'!B:B)</f>
        <v>Spirit Airlines</v>
      </c>
      <c r="E721" t="s">
        <v>23</v>
      </c>
      <c r="F721" t="s">
        <v>24</v>
      </c>
      <c r="G721">
        <v>91</v>
      </c>
      <c r="H721">
        <v>13</v>
      </c>
      <c r="I721">
        <v>2.9</v>
      </c>
      <c r="J721">
        <v>0</v>
      </c>
      <c r="K721">
        <v>9.7200000000000006</v>
      </c>
      <c r="L721">
        <v>0</v>
      </c>
      <c r="M721">
        <v>0.39</v>
      </c>
      <c r="N721">
        <v>2</v>
      </c>
      <c r="O721">
        <v>0</v>
      </c>
      <c r="P721">
        <v>453</v>
      </c>
      <c r="Q721">
        <v>165</v>
      </c>
      <c r="R721">
        <v>0</v>
      </c>
      <c r="S721">
        <v>271</v>
      </c>
      <c r="T721">
        <v>0</v>
      </c>
      <c r="U721">
        <v>17</v>
      </c>
      <c r="V721" s="1">
        <f t="shared" si="33"/>
        <v>0.1429</v>
      </c>
      <c r="W721" s="1">
        <f t="shared" si="34"/>
        <v>2.1999999999999999E-2</v>
      </c>
      <c r="X721" s="1">
        <f t="shared" si="35"/>
        <v>0</v>
      </c>
    </row>
    <row r="722" spans="1:24" x14ac:dyDescent="0.25">
      <c r="A722">
        <v>2020</v>
      </c>
      <c r="B722">
        <v>1</v>
      </c>
      <c r="C722" t="s">
        <v>27</v>
      </c>
      <c r="D722" t="str">
        <f>_xlfn.XLOOKUP(C722,'Carrier Name Rename'!A:A,'Carrier Name Rename'!B:B)</f>
        <v>SkyWest Airlines Inc.</v>
      </c>
      <c r="E722" t="s">
        <v>23</v>
      </c>
      <c r="F722" t="s">
        <v>24</v>
      </c>
      <c r="G722">
        <v>1279</v>
      </c>
      <c r="H722">
        <v>255</v>
      </c>
      <c r="I722">
        <v>77.319999999999993</v>
      </c>
      <c r="J722">
        <v>27.34</v>
      </c>
      <c r="K722">
        <v>148.93</v>
      </c>
      <c r="L722">
        <v>0</v>
      </c>
      <c r="M722">
        <v>1.4</v>
      </c>
      <c r="N722">
        <v>6</v>
      </c>
      <c r="O722">
        <v>1</v>
      </c>
      <c r="P722">
        <v>14575</v>
      </c>
      <c r="Q722">
        <v>6443</v>
      </c>
      <c r="R722">
        <v>2590</v>
      </c>
      <c r="S722">
        <v>5449</v>
      </c>
      <c r="T722">
        <v>0</v>
      </c>
      <c r="U722">
        <v>93</v>
      </c>
      <c r="V722" s="1">
        <f t="shared" si="33"/>
        <v>0.19939999999999999</v>
      </c>
      <c r="W722" s="1">
        <f t="shared" si="34"/>
        <v>4.7000000000000002E-3</v>
      </c>
      <c r="X722" s="1">
        <f t="shared" si="35"/>
        <v>8.0000000000000004E-4</v>
      </c>
    </row>
    <row r="723" spans="1:24" x14ac:dyDescent="0.25">
      <c r="A723">
        <v>2020</v>
      </c>
      <c r="B723">
        <v>1</v>
      </c>
      <c r="C723" t="s">
        <v>29</v>
      </c>
      <c r="D723" t="str">
        <f>_xlfn.XLOOKUP(C723,'Carrier Name Rename'!A:A,'Carrier Name Rename'!B:B)</f>
        <v>Horizon Air</v>
      </c>
      <c r="E723" t="s">
        <v>23</v>
      </c>
      <c r="F723" t="s">
        <v>24</v>
      </c>
      <c r="G723">
        <v>3042</v>
      </c>
      <c r="H723">
        <v>734</v>
      </c>
      <c r="I723">
        <v>102.22</v>
      </c>
      <c r="J723">
        <v>24.88</v>
      </c>
      <c r="K723">
        <v>355.16</v>
      </c>
      <c r="L723">
        <v>1.1000000000000001</v>
      </c>
      <c r="M723">
        <v>250.64</v>
      </c>
      <c r="N723">
        <v>143</v>
      </c>
      <c r="O723">
        <v>3</v>
      </c>
      <c r="P723">
        <v>34065</v>
      </c>
      <c r="Q723">
        <v>7002</v>
      </c>
      <c r="R723">
        <v>1418</v>
      </c>
      <c r="S723">
        <v>13345</v>
      </c>
      <c r="T723">
        <v>31</v>
      </c>
      <c r="U723">
        <v>12269</v>
      </c>
      <c r="V723" s="1">
        <f t="shared" si="33"/>
        <v>0.24129999999999999</v>
      </c>
      <c r="W723" s="1">
        <f t="shared" si="34"/>
        <v>4.7E-2</v>
      </c>
      <c r="X723" s="1">
        <f t="shared" si="35"/>
        <v>1E-3</v>
      </c>
    </row>
    <row r="724" spans="1:24" x14ac:dyDescent="0.25">
      <c r="A724">
        <v>2020</v>
      </c>
      <c r="B724">
        <v>1</v>
      </c>
      <c r="C724" t="s">
        <v>41</v>
      </c>
      <c r="D724" t="str">
        <f>_xlfn.XLOOKUP(C724,'Carrier Name Rename'!A:A,'Carrier Name Rename'!B:B)</f>
        <v>United Air Lines Inc.</v>
      </c>
      <c r="E724" t="s">
        <v>23</v>
      </c>
      <c r="F724" t="s">
        <v>24</v>
      </c>
      <c r="G724">
        <v>629</v>
      </c>
      <c r="H724">
        <v>106</v>
      </c>
      <c r="I724">
        <v>21.65</v>
      </c>
      <c r="J724">
        <v>0</v>
      </c>
      <c r="K724">
        <v>53.42</v>
      </c>
      <c r="L724">
        <v>0</v>
      </c>
      <c r="M724">
        <v>30.93</v>
      </c>
      <c r="N724">
        <v>3</v>
      </c>
      <c r="O724">
        <v>1</v>
      </c>
      <c r="P724">
        <v>5109</v>
      </c>
      <c r="Q724">
        <v>901</v>
      </c>
      <c r="R724">
        <v>0</v>
      </c>
      <c r="S724">
        <v>1788</v>
      </c>
      <c r="T724">
        <v>0</v>
      </c>
      <c r="U724">
        <v>2420</v>
      </c>
      <c r="V724" s="1">
        <f t="shared" si="33"/>
        <v>0.16850000000000001</v>
      </c>
      <c r="W724" s="1">
        <f t="shared" si="34"/>
        <v>4.7999999999999996E-3</v>
      </c>
      <c r="X724" s="1">
        <f t="shared" si="35"/>
        <v>1.6000000000000001E-3</v>
      </c>
    </row>
    <row r="725" spans="1:24" x14ac:dyDescent="0.25">
      <c r="A725">
        <v>2020</v>
      </c>
      <c r="B725">
        <v>1</v>
      </c>
      <c r="C725" t="s">
        <v>43</v>
      </c>
      <c r="D725" t="str">
        <f>_xlfn.XLOOKUP(C725,'Carrier Name Rename'!A:A,'Carrier Name Rename'!B:B)</f>
        <v>Southwest Airlines Co.</v>
      </c>
      <c r="E725" t="s">
        <v>23</v>
      </c>
      <c r="F725" t="s">
        <v>24</v>
      </c>
      <c r="G725">
        <v>775</v>
      </c>
      <c r="H725">
        <v>161</v>
      </c>
      <c r="I725">
        <v>48.22</v>
      </c>
      <c r="J725">
        <v>2.12</v>
      </c>
      <c r="K725">
        <v>66.959999999999994</v>
      </c>
      <c r="L725">
        <v>0</v>
      </c>
      <c r="M725">
        <v>43.7</v>
      </c>
      <c r="N725">
        <v>4</v>
      </c>
      <c r="O725">
        <v>0</v>
      </c>
      <c r="P725">
        <v>5891</v>
      </c>
      <c r="Q725">
        <v>1798</v>
      </c>
      <c r="R725">
        <v>126</v>
      </c>
      <c r="S725">
        <v>2019</v>
      </c>
      <c r="T725">
        <v>0</v>
      </c>
      <c r="U725">
        <v>1948</v>
      </c>
      <c r="V725" s="1">
        <f t="shared" si="33"/>
        <v>0.2077</v>
      </c>
      <c r="W725" s="1">
        <f t="shared" si="34"/>
        <v>5.1999999999999998E-3</v>
      </c>
      <c r="X725" s="1">
        <f t="shared" si="35"/>
        <v>0</v>
      </c>
    </row>
    <row r="726" spans="1:24" x14ac:dyDescent="0.25">
      <c r="A726">
        <v>2020</v>
      </c>
      <c r="B726">
        <v>1</v>
      </c>
      <c r="C726" t="s">
        <v>49</v>
      </c>
      <c r="D726" t="str">
        <f>_xlfn.XLOOKUP(C726,'Carrier Name Rename'!A:A,'Carrier Name Rename'!B:B)</f>
        <v>Republic Airline</v>
      </c>
      <c r="E726" t="s">
        <v>23</v>
      </c>
      <c r="F726" t="s">
        <v>24</v>
      </c>
      <c r="G726">
        <v>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 s="1">
        <f t="shared" si="33"/>
        <v>0</v>
      </c>
      <c r="W726" s="1">
        <f t="shared" si="34"/>
        <v>0</v>
      </c>
      <c r="X726" s="1">
        <f t="shared" si="35"/>
        <v>0</v>
      </c>
    </row>
    <row r="727" spans="1:24" x14ac:dyDescent="0.25">
      <c r="A727">
        <v>2019</v>
      </c>
      <c r="B727">
        <v>12</v>
      </c>
      <c r="C727" t="s">
        <v>31</v>
      </c>
      <c r="D727" t="str">
        <f>_xlfn.XLOOKUP(C727,'Carrier Name Rename'!A:A,'Carrier Name Rename'!B:B)</f>
        <v>American Airlines Inc.</v>
      </c>
      <c r="E727" t="s">
        <v>23</v>
      </c>
      <c r="F727" t="s">
        <v>24</v>
      </c>
      <c r="G727">
        <v>574</v>
      </c>
      <c r="H727">
        <v>108</v>
      </c>
      <c r="I727">
        <v>43.93</v>
      </c>
      <c r="J727">
        <v>1.52</v>
      </c>
      <c r="K727">
        <v>28.07</v>
      </c>
      <c r="L727">
        <v>0.62</v>
      </c>
      <c r="M727">
        <v>33.86</v>
      </c>
      <c r="N727">
        <v>0</v>
      </c>
      <c r="O727">
        <v>1</v>
      </c>
      <c r="P727">
        <v>5313</v>
      </c>
      <c r="Q727">
        <v>2390</v>
      </c>
      <c r="R727">
        <v>38</v>
      </c>
      <c r="S727">
        <v>792</v>
      </c>
      <c r="T727">
        <v>48</v>
      </c>
      <c r="U727">
        <v>2045</v>
      </c>
      <c r="V727" s="1">
        <f t="shared" si="33"/>
        <v>0.18820000000000001</v>
      </c>
      <c r="W727" s="1">
        <f t="shared" si="34"/>
        <v>0</v>
      </c>
      <c r="X727" s="1">
        <f t="shared" si="35"/>
        <v>1.6999999999999999E-3</v>
      </c>
    </row>
    <row r="728" spans="1:24" x14ac:dyDescent="0.25">
      <c r="A728">
        <v>2019</v>
      </c>
      <c r="B728">
        <v>12</v>
      </c>
      <c r="C728" t="s">
        <v>33</v>
      </c>
      <c r="D728" t="str">
        <f>_xlfn.XLOOKUP(C728,'Carrier Name Rename'!A:A,'Carrier Name Rename'!B:B)</f>
        <v>Alaska Airlines Inc.</v>
      </c>
      <c r="E728" t="s">
        <v>23</v>
      </c>
      <c r="F728" t="s">
        <v>24</v>
      </c>
      <c r="G728">
        <v>5754</v>
      </c>
      <c r="H728">
        <v>1451</v>
      </c>
      <c r="I728">
        <v>272.69</v>
      </c>
      <c r="J728">
        <v>17.239999999999998</v>
      </c>
      <c r="K728">
        <v>637.24</v>
      </c>
      <c r="L728">
        <v>4.32</v>
      </c>
      <c r="M728">
        <v>519.51</v>
      </c>
      <c r="N728">
        <v>53</v>
      </c>
      <c r="O728">
        <v>4</v>
      </c>
      <c r="P728">
        <v>79347</v>
      </c>
      <c r="Q728">
        <v>16760</v>
      </c>
      <c r="R728">
        <v>1290</v>
      </c>
      <c r="S728">
        <v>24126</v>
      </c>
      <c r="T728">
        <v>105</v>
      </c>
      <c r="U728">
        <v>37066</v>
      </c>
      <c r="V728" s="1">
        <f t="shared" si="33"/>
        <v>0.25219999999999998</v>
      </c>
      <c r="W728" s="1">
        <f t="shared" si="34"/>
        <v>9.1999999999999998E-3</v>
      </c>
      <c r="X728" s="1">
        <f t="shared" si="35"/>
        <v>6.9999999999999999E-4</v>
      </c>
    </row>
    <row r="729" spans="1:24" x14ac:dyDescent="0.25">
      <c r="A729">
        <v>2019</v>
      </c>
      <c r="B729">
        <v>12</v>
      </c>
      <c r="C729" t="s">
        <v>35</v>
      </c>
      <c r="D729" t="str">
        <f>_xlfn.XLOOKUP(C729,'Carrier Name Rename'!A:A,'Carrier Name Rename'!B:B)</f>
        <v>JetBlue Airways</v>
      </c>
      <c r="E729" t="s">
        <v>23</v>
      </c>
      <c r="F729" t="s">
        <v>24</v>
      </c>
      <c r="G729">
        <v>166</v>
      </c>
      <c r="H729">
        <v>51</v>
      </c>
      <c r="I729">
        <v>19.420000000000002</v>
      </c>
      <c r="J729">
        <v>0.19</v>
      </c>
      <c r="K729">
        <v>19.79</v>
      </c>
      <c r="L729">
        <v>0</v>
      </c>
      <c r="M729">
        <v>11.6</v>
      </c>
      <c r="N729">
        <v>0</v>
      </c>
      <c r="O729">
        <v>0</v>
      </c>
      <c r="P729">
        <v>4077</v>
      </c>
      <c r="Q729">
        <v>1538</v>
      </c>
      <c r="R729">
        <v>40</v>
      </c>
      <c r="S729">
        <v>732</v>
      </c>
      <c r="T729">
        <v>0</v>
      </c>
      <c r="U729">
        <v>1767</v>
      </c>
      <c r="V729" s="1">
        <f t="shared" si="33"/>
        <v>0.30719999999999997</v>
      </c>
      <c r="W729" s="1">
        <f t="shared" si="34"/>
        <v>0</v>
      </c>
      <c r="X729" s="1">
        <f t="shared" si="35"/>
        <v>0</v>
      </c>
    </row>
    <row r="730" spans="1:24" x14ac:dyDescent="0.25">
      <c r="A730">
        <v>2019</v>
      </c>
      <c r="B730">
        <v>12</v>
      </c>
      <c r="C730" t="s">
        <v>47</v>
      </c>
      <c r="D730" t="str">
        <f>_xlfn.XLOOKUP(C730,'Carrier Name Rename'!A:A,'Carrier Name Rename'!B:B)</f>
        <v>Compass Airlines</v>
      </c>
      <c r="E730" t="s">
        <v>23</v>
      </c>
      <c r="F730" t="s">
        <v>24</v>
      </c>
      <c r="G730">
        <v>550</v>
      </c>
      <c r="H730">
        <v>92</v>
      </c>
      <c r="I730">
        <v>16.12</v>
      </c>
      <c r="J730">
        <v>1.68</v>
      </c>
      <c r="K730">
        <v>39.69</v>
      </c>
      <c r="L730">
        <v>0.03</v>
      </c>
      <c r="M730">
        <v>34.479999999999997</v>
      </c>
      <c r="N730">
        <v>2</v>
      </c>
      <c r="O730">
        <v>0</v>
      </c>
      <c r="P730">
        <v>5599</v>
      </c>
      <c r="Q730">
        <v>1718</v>
      </c>
      <c r="R730">
        <v>66</v>
      </c>
      <c r="S730">
        <v>1396</v>
      </c>
      <c r="T730">
        <v>3</v>
      </c>
      <c r="U730">
        <v>2416</v>
      </c>
      <c r="V730" s="1">
        <f t="shared" si="33"/>
        <v>0.1673</v>
      </c>
      <c r="W730" s="1">
        <f t="shared" si="34"/>
        <v>3.5999999999999999E-3</v>
      </c>
      <c r="X730" s="1">
        <f t="shared" si="35"/>
        <v>0</v>
      </c>
    </row>
    <row r="731" spans="1:24" x14ac:dyDescent="0.25">
      <c r="A731">
        <v>2019</v>
      </c>
      <c r="B731">
        <v>12</v>
      </c>
      <c r="C731" t="s">
        <v>37</v>
      </c>
      <c r="D731" t="str">
        <f>_xlfn.XLOOKUP(C731,'Carrier Name Rename'!A:A,'Carrier Name Rename'!B:B)</f>
        <v>Delta Air Lines Inc.</v>
      </c>
      <c r="E731" t="s">
        <v>23</v>
      </c>
      <c r="F731" t="s">
        <v>24</v>
      </c>
      <c r="G731">
        <v>2513</v>
      </c>
      <c r="H731">
        <v>381</v>
      </c>
      <c r="I731">
        <v>105.4</v>
      </c>
      <c r="J731">
        <v>9.32</v>
      </c>
      <c r="K731">
        <v>131.47</v>
      </c>
      <c r="L731">
        <v>0</v>
      </c>
      <c r="M731">
        <v>134.81</v>
      </c>
      <c r="N731">
        <v>0</v>
      </c>
      <c r="O731">
        <v>5</v>
      </c>
      <c r="P731">
        <v>23181</v>
      </c>
      <c r="Q731">
        <v>6984</v>
      </c>
      <c r="R731">
        <v>443</v>
      </c>
      <c r="S731">
        <v>5872</v>
      </c>
      <c r="T731">
        <v>0</v>
      </c>
      <c r="U731">
        <v>9882</v>
      </c>
      <c r="V731" s="1">
        <f t="shared" si="33"/>
        <v>0.15160000000000001</v>
      </c>
      <c r="W731" s="1">
        <f t="shared" si="34"/>
        <v>0</v>
      </c>
      <c r="X731" s="1">
        <f t="shared" si="35"/>
        <v>2E-3</v>
      </c>
    </row>
    <row r="732" spans="1:24" x14ac:dyDescent="0.25">
      <c r="A732">
        <v>2019</v>
      </c>
      <c r="B732">
        <v>12</v>
      </c>
      <c r="C732" t="s">
        <v>39</v>
      </c>
      <c r="D732" t="str">
        <f>_xlfn.XLOOKUP(C732,'Carrier Name Rename'!A:A,'Carrier Name Rename'!B:B)</f>
        <v>Frontier Airlines Inc.</v>
      </c>
      <c r="E732" t="s">
        <v>23</v>
      </c>
      <c r="F732" t="s">
        <v>24</v>
      </c>
      <c r="G732">
        <v>33</v>
      </c>
      <c r="H732">
        <v>6</v>
      </c>
      <c r="I732">
        <v>0.78</v>
      </c>
      <c r="J732">
        <v>0.08</v>
      </c>
      <c r="K732">
        <v>3.38</v>
      </c>
      <c r="L732">
        <v>0</v>
      </c>
      <c r="M732">
        <v>1.76</v>
      </c>
      <c r="N732">
        <v>0</v>
      </c>
      <c r="O732">
        <v>0</v>
      </c>
      <c r="P732">
        <v>401</v>
      </c>
      <c r="Q732">
        <v>35</v>
      </c>
      <c r="R732">
        <v>19</v>
      </c>
      <c r="S732">
        <v>114</v>
      </c>
      <c r="T732">
        <v>0</v>
      </c>
      <c r="U732">
        <v>233</v>
      </c>
      <c r="V732" s="1">
        <f t="shared" si="33"/>
        <v>0.18179999999999999</v>
      </c>
      <c r="W732" s="1">
        <f t="shared" si="34"/>
        <v>0</v>
      </c>
      <c r="X732" s="1">
        <f t="shared" si="35"/>
        <v>0</v>
      </c>
    </row>
    <row r="733" spans="1:24" x14ac:dyDescent="0.25">
      <c r="A733">
        <v>2019</v>
      </c>
      <c r="B733">
        <v>12</v>
      </c>
      <c r="C733" t="s">
        <v>21</v>
      </c>
      <c r="D733" t="str">
        <f>_xlfn.XLOOKUP(C733,'Carrier Name Rename'!A:A,'Carrier Name Rename'!B:B)</f>
        <v>Hawaiian Airlines Inc.</v>
      </c>
      <c r="E733" t="s">
        <v>23</v>
      </c>
      <c r="F733" t="s">
        <v>24</v>
      </c>
      <c r="G733">
        <v>79</v>
      </c>
      <c r="H733">
        <v>27</v>
      </c>
      <c r="I733">
        <v>20.67</v>
      </c>
      <c r="J733">
        <v>0</v>
      </c>
      <c r="K733">
        <v>0</v>
      </c>
      <c r="L733">
        <v>1.33</v>
      </c>
      <c r="M733">
        <v>5</v>
      </c>
      <c r="N733">
        <v>0</v>
      </c>
      <c r="O733">
        <v>0</v>
      </c>
      <c r="P733">
        <v>1035</v>
      </c>
      <c r="Q733">
        <v>713</v>
      </c>
      <c r="R733">
        <v>0</v>
      </c>
      <c r="S733">
        <v>0</v>
      </c>
      <c r="T733">
        <v>31</v>
      </c>
      <c r="U733">
        <v>291</v>
      </c>
      <c r="V733" s="1">
        <f t="shared" si="33"/>
        <v>0.34179999999999999</v>
      </c>
      <c r="W733" s="1">
        <f t="shared" si="34"/>
        <v>0</v>
      </c>
      <c r="X733" s="1">
        <f t="shared" si="35"/>
        <v>0</v>
      </c>
    </row>
    <row r="734" spans="1:24" x14ac:dyDescent="0.25">
      <c r="A734">
        <v>2019</v>
      </c>
      <c r="B734">
        <v>12</v>
      </c>
      <c r="C734" t="s">
        <v>25</v>
      </c>
      <c r="D734" t="str">
        <f>_xlfn.XLOOKUP(C734,'Carrier Name Rename'!A:A,'Carrier Name Rename'!B:B)</f>
        <v>Spirit Airlines</v>
      </c>
      <c r="E734" t="s">
        <v>23</v>
      </c>
      <c r="F734" t="s">
        <v>24</v>
      </c>
      <c r="G734">
        <v>117</v>
      </c>
      <c r="H734">
        <v>14</v>
      </c>
      <c r="I734">
        <v>4.3600000000000003</v>
      </c>
      <c r="J734">
        <v>0</v>
      </c>
      <c r="K734">
        <v>8.15</v>
      </c>
      <c r="L734">
        <v>0</v>
      </c>
      <c r="M734">
        <v>1.5</v>
      </c>
      <c r="N734">
        <v>0</v>
      </c>
      <c r="O734">
        <v>0</v>
      </c>
      <c r="P734">
        <v>703</v>
      </c>
      <c r="Q734">
        <v>115</v>
      </c>
      <c r="R734">
        <v>0</v>
      </c>
      <c r="S734">
        <v>497</v>
      </c>
      <c r="T734">
        <v>0</v>
      </c>
      <c r="U734">
        <v>91</v>
      </c>
      <c r="V734" s="1">
        <f t="shared" si="33"/>
        <v>0.1197</v>
      </c>
      <c r="W734" s="1">
        <f t="shared" si="34"/>
        <v>0</v>
      </c>
      <c r="X734" s="1">
        <f t="shared" si="35"/>
        <v>0</v>
      </c>
    </row>
    <row r="735" spans="1:24" x14ac:dyDescent="0.25">
      <c r="A735">
        <v>2019</v>
      </c>
      <c r="B735">
        <v>12</v>
      </c>
      <c r="C735" t="s">
        <v>27</v>
      </c>
      <c r="D735" t="str">
        <f>_xlfn.XLOOKUP(C735,'Carrier Name Rename'!A:A,'Carrier Name Rename'!B:B)</f>
        <v>SkyWest Airlines Inc.</v>
      </c>
      <c r="E735" t="s">
        <v>23</v>
      </c>
      <c r="F735" t="s">
        <v>24</v>
      </c>
      <c r="G735">
        <v>1410</v>
      </c>
      <c r="H735">
        <v>203</v>
      </c>
      <c r="I735">
        <v>40.97</v>
      </c>
      <c r="J735">
        <v>10.07</v>
      </c>
      <c r="K735">
        <v>79.819999999999993</v>
      </c>
      <c r="L735">
        <v>2.41</v>
      </c>
      <c r="M735">
        <v>69.73</v>
      </c>
      <c r="N735">
        <v>8</v>
      </c>
      <c r="O735">
        <v>1</v>
      </c>
      <c r="P735">
        <v>12661</v>
      </c>
      <c r="Q735">
        <v>3389</v>
      </c>
      <c r="R735">
        <v>1833</v>
      </c>
      <c r="S735">
        <v>3204</v>
      </c>
      <c r="T735">
        <v>54</v>
      </c>
      <c r="U735">
        <v>4181</v>
      </c>
      <c r="V735" s="1">
        <f t="shared" si="33"/>
        <v>0.14399999999999999</v>
      </c>
      <c r="W735" s="1">
        <f t="shared" si="34"/>
        <v>5.7000000000000002E-3</v>
      </c>
      <c r="X735" s="1">
        <f t="shared" si="35"/>
        <v>6.9999999999999999E-4</v>
      </c>
    </row>
    <row r="736" spans="1:24" x14ac:dyDescent="0.25">
      <c r="A736">
        <v>2019</v>
      </c>
      <c r="B736">
        <v>12</v>
      </c>
      <c r="C736" t="s">
        <v>29</v>
      </c>
      <c r="D736" t="str">
        <f>_xlfn.XLOOKUP(C736,'Carrier Name Rename'!A:A,'Carrier Name Rename'!B:B)</f>
        <v>Horizon Air</v>
      </c>
      <c r="E736" t="s">
        <v>23</v>
      </c>
      <c r="F736" t="s">
        <v>24</v>
      </c>
      <c r="G736">
        <v>3176</v>
      </c>
      <c r="H736">
        <v>902</v>
      </c>
      <c r="I736">
        <v>128.56</v>
      </c>
      <c r="J736">
        <v>21.91</v>
      </c>
      <c r="K736">
        <v>384.43</v>
      </c>
      <c r="L736">
        <v>0.98</v>
      </c>
      <c r="M736">
        <v>366.12</v>
      </c>
      <c r="N736">
        <v>115</v>
      </c>
      <c r="O736">
        <v>4</v>
      </c>
      <c r="P736">
        <v>42944</v>
      </c>
      <c r="Q736">
        <v>8580</v>
      </c>
      <c r="R736">
        <v>885</v>
      </c>
      <c r="S736">
        <v>13705</v>
      </c>
      <c r="T736">
        <v>35</v>
      </c>
      <c r="U736">
        <v>19739</v>
      </c>
      <c r="V736" s="1">
        <f t="shared" si="33"/>
        <v>0.28399999999999997</v>
      </c>
      <c r="W736" s="1">
        <f t="shared" si="34"/>
        <v>3.6200000000000003E-2</v>
      </c>
      <c r="X736" s="1">
        <f t="shared" si="35"/>
        <v>1.2999999999999999E-3</v>
      </c>
    </row>
    <row r="737" spans="1:24" x14ac:dyDescent="0.25">
      <c r="A737">
        <v>2019</v>
      </c>
      <c r="B737">
        <v>12</v>
      </c>
      <c r="C737" t="s">
        <v>41</v>
      </c>
      <c r="D737" t="str">
        <f>_xlfn.XLOOKUP(C737,'Carrier Name Rename'!A:A,'Carrier Name Rename'!B:B)</f>
        <v>United Air Lines Inc.</v>
      </c>
      <c r="E737" t="s">
        <v>23</v>
      </c>
      <c r="F737" t="s">
        <v>24</v>
      </c>
      <c r="G737">
        <v>730</v>
      </c>
      <c r="H737">
        <v>146</v>
      </c>
      <c r="I737">
        <v>27.27</v>
      </c>
      <c r="J737">
        <v>1.26</v>
      </c>
      <c r="K737">
        <v>52.73</v>
      </c>
      <c r="L737">
        <v>0</v>
      </c>
      <c r="M737">
        <v>64.739999999999995</v>
      </c>
      <c r="N737">
        <v>1</v>
      </c>
      <c r="O737">
        <v>1</v>
      </c>
      <c r="P737">
        <v>8279</v>
      </c>
      <c r="Q737">
        <v>1301</v>
      </c>
      <c r="R737">
        <v>90</v>
      </c>
      <c r="S737">
        <v>1901</v>
      </c>
      <c r="T737">
        <v>0</v>
      </c>
      <c r="U737">
        <v>4987</v>
      </c>
      <c r="V737" s="1">
        <f t="shared" si="33"/>
        <v>0.2</v>
      </c>
      <c r="W737" s="1">
        <f t="shared" si="34"/>
        <v>1.4E-3</v>
      </c>
      <c r="X737" s="1">
        <f t="shared" si="35"/>
        <v>1.4E-3</v>
      </c>
    </row>
    <row r="738" spans="1:24" x14ac:dyDescent="0.25">
      <c r="A738">
        <v>2019</v>
      </c>
      <c r="B738">
        <v>12</v>
      </c>
      <c r="C738" t="s">
        <v>43</v>
      </c>
      <c r="D738" t="str">
        <f>_xlfn.XLOOKUP(C738,'Carrier Name Rename'!A:A,'Carrier Name Rename'!B:B)</f>
        <v>Southwest Airlines Co.</v>
      </c>
      <c r="E738" t="s">
        <v>23</v>
      </c>
      <c r="F738" t="s">
        <v>24</v>
      </c>
      <c r="G738">
        <v>932</v>
      </c>
      <c r="H738">
        <v>281</v>
      </c>
      <c r="I738">
        <v>119.05</v>
      </c>
      <c r="J738">
        <v>0.97</v>
      </c>
      <c r="K738">
        <v>60.45</v>
      </c>
      <c r="L738">
        <v>0</v>
      </c>
      <c r="M738">
        <v>100.53</v>
      </c>
      <c r="N738">
        <v>2</v>
      </c>
      <c r="O738">
        <v>0</v>
      </c>
      <c r="P738">
        <v>11801</v>
      </c>
      <c r="Q738">
        <v>4779</v>
      </c>
      <c r="R738">
        <v>62</v>
      </c>
      <c r="S738">
        <v>2141</v>
      </c>
      <c r="T738">
        <v>0</v>
      </c>
      <c r="U738">
        <v>4819</v>
      </c>
      <c r="V738" s="1">
        <f t="shared" si="33"/>
        <v>0.30149999999999999</v>
      </c>
      <c r="W738" s="1">
        <f t="shared" si="34"/>
        <v>2.0999999999999999E-3</v>
      </c>
      <c r="X738" s="1">
        <f t="shared" si="35"/>
        <v>0</v>
      </c>
    </row>
    <row r="739" spans="1:24" x14ac:dyDescent="0.25">
      <c r="A739">
        <v>2019</v>
      </c>
      <c r="B739">
        <v>12</v>
      </c>
      <c r="C739" t="s">
        <v>49</v>
      </c>
      <c r="D739" t="str">
        <f>_xlfn.XLOOKUP(C739,'Carrier Name Rename'!A:A,'Carrier Name Rename'!B:B)</f>
        <v>Republic Airline</v>
      </c>
      <c r="E739" t="s">
        <v>23</v>
      </c>
      <c r="F739" t="s">
        <v>24</v>
      </c>
      <c r="G739">
        <v>9</v>
      </c>
      <c r="H739">
        <v>2</v>
      </c>
      <c r="I739">
        <v>0.5</v>
      </c>
      <c r="J739">
        <v>0</v>
      </c>
      <c r="K739">
        <v>1.5</v>
      </c>
      <c r="L739">
        <v>0</v>
      </c>
      <c r="M739">
        <v>0</v>
      </c>
      <c r="N739">
        <v>0</v>
      </c>
      <c r="O739">
        <v>0</v>
      </c>
      <c r="P739">
        <v>141</v>
      </c>
      <c r="Q739">
        <v>33</v>
      </c>
      <c r="R739">
        <v>0</v>
      </c>
      <c r="S739">
        <v>108</v>
      </c>
      <c r="T739">
        <v>0</v>
      </c>
      <c r="U739">
        <v>0</v>
      </c>
      <c r="V739" s="1">
        <f t="shared" si="33"/>
        <v>0.22220000000000001</v>
      </c>
      <c r="W739" s="1">
        <f t="shared" si="34"/>
        <v>0</v>
      </c>
      <c r="X739" s="1">
        <f t="shared" si="35"/>
        <v>0</v>
      </c>
    </row>
    <row r="740" spans="1:24" x14ac:dyDescent="0.25">
      <c r="A740">
        <v>2019</v>
      </c>
      <c r="B740">
        <v>11</v>
      </c>
      <c r="C740" t="s">
        <v>31</v>
      </c>
      <c r="D740" t="str">
        <f>_xlfn.XLOOKUP(C740,'Carrier Name Rename'!A:A,'Carrier Name Rename'!B:B)</f>
        <v>American Airlines Inc.</v>
      </c>
      <c r="E740" t="s">
        <v>23</v>
      </c>
      <c r="F740" t="s">
        <v>24</v>
      </c>
      <c r="G740">
        <v>596</v>
      </c>
      <c r="H740">
        <v>97</v>
      </c>
      <c r="I740">
        <v>33.75</v>
      </c>
      <c r="J740">
        <v>1.1100000000000001</v>
      </c>
      <c r="K740">
        <v>29.04</v>
      </c>
      <c r="L740">
        <v>0.04</v>
      </c>
      <c r="M740">
        <v>33.049999999999997</v>
      </c>
      <c r="N740">
        <v>3</v>
      </c>
      <c r="O740">
        <v>2</v>
      </c>
      <c r="P740">
        <v>5249</v>
      </c>
      <c r="Q740">
        <v>1685</v>
      </c>
      <c r="R740">
        <v>58</v>
      </c>
      <c r="S740">
        <v>840</v>
      </c>
      <c r="T740">
        <v>8</v>
      </c>
      <c r="U740">
        <v>2658</v>
      </c>
      <c r="V740" s="1">
        <f t="shared" si="33"/>
        <v>0.1628</v>
      </c>
      <c r="W740" s="1">
        <f t="shared" si="34"/>
        <v>5.0000000000000001E-3</v>
      </c>
      <c r="X740" s="1">
        <f t="shared" si="35"/>
        <v>3.3999999999999998E-3</v>
      </c>
    </row>
    <row r="741" spans="1:24" x14ac:dyDescent="0.25">
      <c r="A741">
        <v>2019</v>
      </c>
      <c r="B741">
        <v>11</v>
      </c>
      <c r="C741" t="s">
        <v>33</v>
      </c>
      <c r="D741" t="str">
        <f>_xlfn.XLOOKUP(C741,'Carrier Name Rename'!A:A,'Carrier Name Rename'!B:B)</f>
        <v>Alaska Airlines Inc.</v>
      </c>
      <c r="E741" t="s">
        <v>23</v>
      </c>
      <c r="F741" t="s">
        <v>24</v>
      </c>
      <c r="G741">
        <v>5507</v>
      </c>
      <c r="H741">
        <v>938</v>
      </c>
      <c r="I741">
        <v>174.98</v>
      </c>
      <c r="J741">
        <v>10.99</v>
      </c>
      <c r="K741">
        <v>487.39</v>
      </c>
      <c r="L741">
        <v>1.27</v>
      </c>
      <c r="M741">
        <v>263.36</v>
      </c>
      <c r="N741">
        <v>41</v>
      </c>
      <c r="O741">
        <v>10</v>
      </c>
      <c r="P741">
        <v>43798</v>
      </c>
      <c r="Q741">
        <v>11828</v>
      </c>
      <c r="R741">
        <v>779</v>
      </c>
      <c r="S741">
        <v>16182</v>
      </c>
      <c r="T741">
        <v>35</v>
      </c>
      <c r="U741">
        <v>14974</v>
      </c>
      <c r="V741" s="1">
        <f t="shared" si="33"/>
        <v>0.17030000000000001</v>
      </c>
      <c r="W741" s="1">
        <f t="shared" si="34"/>
        <v>7.4000000000000003E-3</v>
      </c>
      <c r="X741" s="1">
        <f t="shared" si="35"/>
        <v>1.8E-3</v>
      </c>
    </row>
    <row r="742" spans="1:24" x14ac:dyDescent="0.25">
      <c r="A742">
        <v>2019</v>
      </c>
      <c r="B742">
        <v>11</v>
      </c>
      <c r="C742" t="s">
        <v>35</v>
      </c>
      <c r="D742" t="str">
        <f>_xlfn.XLOOKUP(C742,'Carrier Name Rename'!A:A,'Carrier Name Rename'!B:B)</f>
        <v>JetBlue Airways</v>
      </c>
      <c r="E742" t="s">
        <v>23</v>
      </c>
      <c r="F742" t="s">
        <v>24</v>
      </c>
      <c r="G742">
        <v>164</v>
      </c>
      <c r="H742">
        <v>26</v>
      </c>
      <c r="I742">
        <v>9.27</v>
      </c>
      <c r="J742">
        <v>0</v>
      </c>
      <c r="K742">
        <v>12.6</v>
      </c>
      <c r="L742">
        <v>0</v>
      </c>
      <c r="M742">
        <v>4.13</v>
      </c>
      <c r="N742">
        <v>0</v>
      </c>
      <c r="O742">
        <v>0</v>
      </c>
      <c r="P742">
        <v>1807</v>
      </c>
      <c r="Q742">
        <v>891</v>
      </c>
      <c r="R742">
        <v>0</v>
      </c>
      <c r="S742">
        <v>347</v>
      </c>
      <c r="T742">
        <v>0</v>
      </c>
      <c r="U742">
        <v>569</v>
      </c>
      <c r="V742" s="1">
        <f t="shared" si="33"/>
        <v>0.1585</v>
      </c>
      <c r="W742" s="1">
        <f t="shared" si="34"/>
        <v>0</v>
      </c>
      <c r="X742" s="1">
        <f t="shared" si="35"/>
        <v>0</v>
      </c>
    </row>
    <row r="743" spans="1:24" x14ac:dyDescent="0.25">
      <c r="A743">
        <v>2019</v>
      </c>
      <c r="B743">
        <v>11</v>
      </c>
      <c r="C743" t="s">
        <v>47</v>
      </c>
      <c r="D743" t="str">
        <f>_xlfn.XLOOKUP(C743,'Carrier Name Rename'!A:A,'Carrier Name Rename'!B:B)</f>
        <v>Compass Airlines</v>
      </c>
      <c r="E743" t="s">
        <v>23</v>
      </c>
      <c r="F743" t="s">
        <v>24</v>
      </c>
      <c r="G743">
        <v>834</v>
      </c>
      <c r="H743">
        <v>174</v>
      </c>
      <c r="I743">
        <v>34.229999999999997</v>
      </c>
      <c r="J743">
        <v>11.98</v>
      </c>
      <c r="K743">
        <v>50.4</v>
      </c>
      <c r="L743">
        <v>0</v>
      </c>
      <c r="M743">
        <v>77.39</v>
      </c>
      <c r="N743">
        <v>0</v>
      </c>
      <c r="O743">
        <v>8</v>
      </c>
      <c r="P743">
        <v>14093</v>
      </c>
      <c r="Q743">
        <v>3535</v>
      </c>
      <c r="R743">
        <v>1902</v>
      </c>
      <c r="S743">
        <v>2252</v>
      </c>
      <c r="T743">
        <v>0</v>
      </c>
      <c r="U743">
        <v>6404</v>
      </c>
      <c r="V743" s="1">
        <f t="shared" si="33"/>
        <v>0.20860000000000001</v>
      </c>
      <c r="W743" s="1">
        <f t="shared" si="34"/>
        <v>0</v>
      </c>
      <c r="X743" s="1">
        <f t="shared" si="35"/>
        <v>9.5999999999999992E-3</v>
      </c>
    </row>
    <row r="744" spans="1:24" x14ac:dyDescent="0.25">
      <c r="A744">
        <v>2019</v>
      </c>
      <c r="B744">
        <v>11</v>
      </c>
      <c r="C744" t="s">
        <v>37</v>
      </c>
      <c r="D744" t="str">
        <f>_xlfn.XLOOKUP(C744,'Carrier Name Rename'!A:A,'Carrier Name Rename'!B:B)</f>
        <v>Delta Air Lines Inc.</v>
      </c>
      <c r="E744" t="s">
        <v>23</v>
      </c>
      <c r="F744" t="s">
        <v>24</v>
      </c>
      <c r="G744">
        <v>2329</v>
      </c>
      <c r="H744">
        <v>295</v>
      </c>
      <c r="I744">
        <v>76.11</v>
      </c>
      <c r="J744">
        <v>6.44</v>
      </c>
      <c r="K744">
        <v>119.23</v>
      </c>
      <c r="L744">
        <v>1</v>
      </c>
      <c r="M744">
        <v>92.21</v>
      </c>
      <c r="N744">
        <v>0</v>
      </c>
      <c r="O744">
        <v>7</v>
      </c>
      <c r="P744">
        <v>18157</v>
      </c>
      <c r="Q744">
        <v>6877</v>
      </c>
      <c r="R744">
        <v>872</v>
      </c>
      <c r="S744">
        <v>3920</v>
      </c>
      <c r="T744">
        <v>41</v>
      </c>
      <c r="U744">
        <v>6447</v>
      </c>
      <c r="V744" s="1">
        <f t="shared" si="33"/>
        <v>0.12670000000000001</v>
      </c>
      <c r="W744" s="1">
        <f t="shared" si="34"/>
        <v>0</v>
      </c>
      <c r="X744" s="1">
        <f t="shared" si="35"/>
        <v>3.0000000000000001E-3</v>
      </c>
    </row>
    <row r="745" spans="1:24" x14ac:dyDescent="0.25">
      <c r="A745">
        <v>2019</v>
      </c>
      <c r="B745">
        <v>11</v>
      </c>
      <c r="C745" t="s">
        <v>39</v>
      </c>
      <c r="D745" t="str">
        <f>_xlfn.XLOOKUP(C745,'Carrier Name Rename'!A:A,'Carrier Name Rename'!B:B)</f>
        <v>Frontier Airlines Inc.</v>
      </c>
      <c r="E745" t="s">
        <v>23</v>
      </c>
      <c r="F745" t="s">
        <v>24</v>
      </c>
      <c r="G745">
        <v>49</v>
      </c>
      <c r="H745">
        <v>15</v>
      </c>
      <c r="I745">
        <v>7.8</v>
      </c>
      <c r="J745">
        <v>0</v>
      </c>
      <c r="K745">
        <v>4.45</v>
      </c>
      <c r="L745">
        <v>0</v>
      </c>
      <c r="M745">
        <v>2.76</v>
      </c>
      <c r="N745">
        <v>0</v>
      </c>
      <c r="O745">
        <v>0</v>
      </c>
      <c r="P745">
        <v>682</v>
      </c>
      <c r="Q745">
        <v>301</v>
      </c>
      <c r="R745">
        <v>0</v>
      </c>
      <c r="S745">
        <v>193</v>
      </c>
      <c r="T745">
        <v>0</v>
      </c>
      <c r="U745">
        <v>188</v>
      </c>
      <c r="V745" s="1">
        <f t="shared" si="33"/>
        <v>0.30609999999999998</v>
      </c>
      <c r="W745" s="1">
        <f t="shared" si="34"/>
        <v>0</v>
      </c>
      <c r="X745" s="1">
        <f t="shared" si="35"/>
        <v>0</v>
      </c>
    </row>
    <row r="746" spans="1:24" x14ac:dyDescent="0.25">
      <c r="A746">
        <v>2019</v>
      </c>
      <c r="B746">
        <v>11</v>
      </c>
      <c r="C746" t="s">
        <v>21</v>
      </c>
      <c r="D746" t="str">
        <f>_xlfn.XLOOKUP(C746,'Carrier Name Rename'!A:A,'Carrier Name Rename'!B:B)</f>
        <v>Hawaiian Airlines Inc.</v>
      </c>
      <c r="E746" t="s">
        <v>23</v>
      </c>
      <c r="F746" t="s">
        <v>24</v>
      </c>
      <c r="G746">
        <v>60</v>
      </c>
      <c r="H746">
        <v>20</v>
      </c>
      <c r="I746">
        <v>17.02</v>
      </c>
      <c r="J746">
        <v>0.28000000000000003</v>
      </c>
      <c r="K746">
        <v>0</v>
      </c>
      <c r="L746">
        <v>0.98</v>
      </c>
      <c r="M746">
        <v>1.72</v>
      </c>
      <c r="N746">
        <v>0</v>
      </c>
      <c r="O746">
        <v>0</v>
      </c>
      <c r="P746">
        <v>698</v>
      </c>
      <c r="Q746">
        <v>521</v>
      </c>
      <c r="R746">
        <v>9</v>
      </c>
      <c r="S746">
        <v>0</v>
      </c>
      <c r="T746">
        <v>58</v>
      </c>
      <c r="U746">
        <v>110</v>
      </c>
      <c r="V746" s="1">
        <f t="shared" si="33"/>
        <v>0.33329999999999999</v>
      </c>
      <c r="W746" s="1">
        <f t="shared" si="34"/>
        <v>0</v>
      </c>
      <c r="X746" s="1">
        <f t="shared" si="35"/>
        <v>0</v>
      </c>
    </row>
    <row r="747" spans="1:24" x14ac:dyDescent="0.25">
      <c r="A747">
        <v>2019</v>
      </c>
      <c r="B747">
        <v>11</v>
      </c>
      <c r="C747" t="s">
        <v>25</v>
      </c>
      <c r="D747" t="str">
        <f>_xlfn.XLOOKUP(C747,'Carrier Name Rename'!A:A,'Carrier Name Rename'!B:B)</f>
        <v>Spirit Airlines</v>
      </c>
      <c r="E747" t="s">
        <v>23</v>
      </c>
      <c r="F747" t="s">
        <v>24</v>
      </c>
      <c r="G747">
        <v>124</v>
      </c>
      <c r="H747">
        <v>11</v>
      </c>
      <c r="I747">
        <v>3.48</v>
      </c>
      <c r="J747">
        <v>0</v>
      </c>
      <c r="K747">
        <v>6.41</v>
      </c>
      <c r="L747">
        <v>0</v>
      </c>
      <c r="M747">
        <v>1.1100000000000001</v>
      </c>
      <c r="N747">
        <v>0</v>
      </c>
      <c r="O747">
        <v>0</v>
      </c>
      <c r="P747">
        <v>669</v>
      </c>
      <c r="Q747">
        <v>180</v>
      </c>
      <c r="R747">
        <v>0</v>
      </c>
      <c r="S747">
        <v>441</v>
      </c>
      <c r="T747">
        <v>0</v>
      </c>
      <c r="U747">
        <v>48</v>
      </c>
      <c r="V747" s="1">
        <f t="shared" si="33"/>
        <v>8.8700000000000001E-2</v>
      </c>
      <c r="W747" s="1">
        <f t="shared" si="34"/>
        <v>0</v>
      </c>
      <c r="X747" s="1">
        <f t="shared" si="35"/>
        <v>0</v>
      </c>
    </row>
    <row r="748" spans="1:24" x14ac:dyDescent="0.25">
      <c r="A748">
        <v>2019</v>
      </c>
      <c r="B748">
        <v>11</v>
      </c>
      <c r="C748" t="s">
        <v>27</v>
      </c>
      <c r="D748" t="str">
        <f>_xlfn.XLOOKUP(C748,'Carrier Name Rename'!A:A,'Carrier Name Rename'!B:B)</f>
        <v>SkyWest Airlines Inc.</v>
      </c>
      <c r="E748" t="s">
        <v>23</v>
      </c>
      <c r="F748" t="s">
        <v>24</v>
      </c>
      <c r="G748">
        <v>993</v>
      </c>
      <c r="H748">
        <v>167</v>
      </c>
      <c r="I748">
        <v>15.6</v>
      </c>
      <c r="J748">
        <v>10.19</v>
      </c>
      <c r="K748">
        <v>76.680000000000007</v>
      </c>
      <c r="L748">
        <v>0</v>
      </c>
      <c r="M748">
        <v>64.53</v>
      </c>
      <c r="N748">
        <v>5</v>
      </c>
      <c r="O748">
        <v>13</v>
      </c>
      <c r="P748">
        <v>17379</v>
      </c>
      <c r="Q748">
        <v>2242</v>
      </c>
      <c r="R748">
        <v>2762</v>
      </c>
      <c r="S748">
        <v>2877</v>
      </c>
      <c r="T748">
        <v>0</v>
      </c>
      <c r="U748">
        <v>9498</v>
      </c>
      <c r="V748" s="1">
        <f t="shared" si="33"/>
        <v>0.16819999999999999</v>
      </c>
      <c r="W748" s="1">
        <f t="shared" si="34"/>
        <v>5.0000000000000001E-3</v>
      </c>
      <c r="X748" s="1">
        <f t="shared" si="35"/>
        <v>1.3100000000000001E-2</v>
      </c>
    </row>
    <row r="749" spans="1:24" x14ac:dyDescent="0.25">
      <c r="A749">
        <v>2019</v>
      </c>
      <c r="B749">
        <v>11</v>
      </c>
      <c r="C749" t="s">
        <v>29</v>
      </c>
      <c r="D749" t="str">
        <f>_xlfn.XLOOKUP(C749,'Carrier Name Rename'!A:A,'Carrier Name Rename'!B:B)</f>
        <v>Horizon Air</v>
      </c>
      <c r="E749" t="s">
        <v>23</v>
      </c>
      <c r="F749" t="s">
        <v>24</v>
      </c>
      <c r="G749">
        <v>2987</v>
      </c>
      <c r="H749">
        <v>596</v>
      </c>
      <c r="I749">
        <v>74.510000000000005</v>
      </c>
      <c r="J749">
        <v>14.05</v>
      </c>
      <c r="K749">
        <v>333.05</v>
      </c>
      <c r="L749">
        <v>1</v>
      </c>
      <c r="M749">
        <v>173.39</v>
      </c>
      <c r="N749">
        <v>61</v>
      </c>
      <c r="O749">
        <v>7</v>
      </c>
      <c r="P749">
        <v>24073</v>
      </c>
      <c r="Q749">
        <v>3848</v>
      </c>
      <c r="R749">
        <v>820</v>
      </c>
      <c r="S749">
        <v>11190</v>
      </c>
      <c r="T749">
        <v>37</v>
      </c>
      <c r="U749">
        <v>8178</v>
      </c>
      <c r="V749" s="1">
        <f t="shared" si="33"/>
        <v>0.19950000000000001</v>
      </c>
      <c r="W749" s="1">
        <f t="shared" si="34"/>
        <v>2.0400000000000001E-2</v>
      </c>
      <c r="X749" s="1">
        <f t="shared" si="35"/>
        <v>2.3E-3</v>
      </c>
    </row>
    <row r="750" spans="1:24" x14ac:dyDescent="0.25">
      <c r="A750">
        <v>2019</v>
      </c>
      <c r="B750">
        <v>11</v>
      </c>
      <c r="C750" t="s">
        <v>41</v>
      </c>
      <c r="D750" t="str">
        <f>_xlfn.XLOOKUP(C750,'Carrier Name Rename'!A:A,'Carrier Name Rename'!B:B)</f>
        <v>United Air Lines Inc.</v>
      </c>
      <c r="E750" t="s">
        <v>23</v>
      </c>
      <c r="F750" t="s">
        <v>24</v>
      </c>
      <c r="G750">
        <v>747</v>
      </c>
      <c r="H750">
        <v>136</v>
      </c>
      <c r="I750">
        <v>25.18</v>
      </c>
      <c r="J750">
        <v>2.25</v>
      </c>
      <c r="K750">
        <v>68.17</v>
      </c>
      <c r="L750">
        <v>0</v>
      </c>
      <c r="M750">
        <v>40.4</v>
      </c>
      <c r="N750">
        <v>2</v>
      </c>
      <c r="O750">
        <v>1</v>
      </c>
      <c r="P750">
        <v>7221</v>
      </c>
      <c r="Q750">
        <v>1185</v>
      </c>
      <c r="R750">
        <v>124</v>
      </c>
      <c r="S750">
        <v>1980</v>
      </c>
      <c r="T750">
        <v>0</v>
      </c>
      <c r="U750">
        <v>3932</v>
      </c>
      <c r="V750" s="1">
        <f t="shared" si="33"/>
        <v>0.18210000000000001</v>
      </c>
      <c r="W750" s="1">
        <f t="shared" si="34"/>
        <v>2.7000000000000001E-3</v>
      </c>
      <c r="X750" s="1">
        <f t="shared" si="35"/>
        <v>1.2999999999999999E-3</v>
      </c>
    </row>
    <row r="751" spans="1:24" x14ac:dyDescent="0.25">
      <c r="A751">
        <v>2019</v>
      </c>
      <c r="B751">
        <v>11</v>
      </c>
      <c r="C751" t="s">
        <v>43</v>
      </c>
      <c r="D751" t="str">
        <f>_xlfn.XLOOKUP(C751,'Carrier Name Rename'!A:A,'Carrier Name Rename'!B:B)</f>
        <v>Southwest Airlines Co.</v>
      </c>
      <c r="E751" t="s">
        <v>23</v>
      </c>
      <c r="F751" t="s">
        <v>24</v>
      </c>
      <c r="G751">
        <v>879</v>
      </c>
      <c r="H751">
        <v>161</v>
      </c>
      <c r="I751">
        <v>56.12</v>
      </c>
      <c r="J751">
        <v>1.53</v>
      </c>
      <c r="K751">
        <v>54.89</v>
      </c>
      <c r="L751">
        <v>0</v>
      </c>
      <c r="M751">
        <v>48.46</v>
      </c>
      <c r="N751">
        <v>7</v>
      </c>
      <c r="O751">
        <v>2</v>
      </c>
      <c r="P751">
        <v>7035</v>
      </c>
      <c r="Q751">
        <v>2770</v>
      </c>
      <c r="R751">
        <v>68</v>
      </c>
      <c r="S751">
        <v>1580</v>
      </c>
      <c r="T751">
        <v>0</v>
      </c>
      <c r="U751">
        <v>2617</v>
      </c>
      <c r="V751" s="1">
        <f t="shared" si="33"/>
        <v>0.1832</v>
      </c>
      <c r="W751" s="1">
        <f t="shared" si="34"/>
        <v>8.0000000000000002E-3</v>
      </c>
      <c r="X751" s="1">
        <f t="shared" si="35"/>
        <v>2.3E-3</v>
      </c>
    </row>
    <row r="752" spans="1:24" x14ac:dyDescent="0.25">
      <c r="A752">
        <v>2019</v>
      </c>
      <c r="B752">
        <v>10</v>
      </c>
      <c r="C752" t="s">
        <v>31</v>
      </c>
      <c r="D752" t="str">
        <f>_xlfn.XLOOKUP(C752,'Carrier Name Rename'!A:A,'Carrier Name Rename'!B:B)</f>
        <v>American Airlines Inc.</v>
      </c>
      <c r="E752" t="s">
        <v>23</v>
      </c>
      <c r="F752" t="s">
        <v>24</v>
      </c>
      <c r="G752">
        <v>635</v>
      </c>
      <c r="H752">
        <v>153</v>
      </c>
      <c r="I752">
        <v>44.17</v>
      </c>
      <c r="J752">
        <v>5.42</v>
      </c>
      <c r="K752">
        <v>53.92</v>
      </c>
      <c r="L752">
        <v>0</v>
      </c>
      <c r="M752">
        <v>49.49</v>
      </c>
      <c r="N752">
        <v>2</v>
      </c>
      <c r="O752">
        <v>2</v>
      </c>
      <c r="P752">
        <v>8487</v>
      </c>
      <c r="Q752">
        <v>2588</v>
      </c>
      <c r="R752">
        <v>329</v>
      </c>
      <c r="S752">
        <v>2061</v>
      </c>
      <c r="T752">
        <v>0</v>
      </c>
      <c r="U752">
        <v>3509</v>
      </c>
      <c r="V752" s="1">
        <f t="shared" si="33"/>
        <v>0.2409</v>
      </c>
      <c r="W752" s="1">
        <f t="shared" si="34"/>
        <v>3.0999999999999999E-3</v>
      </c>
      <c r="X752" s="1">
        <f t="shared" si="35"/>
        <v>3.0999999999999999E-3</v>
      </c>
    </row>
    <row r="753" spans="1:24" x14ac:dyDescent="0.25">
      <c r="A753">
        <v>2019</v>
      </c>
      <c r="B753">
        <v>10</v>
      </c>
      <c r="C753" t="s">
        <v>33</v>
      </c>
      <c r="D753" t="str">
        <f>_xlfn.XLOOKUP(C753,'Carrier Name Rename'!A:A,'Carrier Name Rename'!B:B)</f>
        <v>Alaska Airlines Inc.</v>
      </c>
      <c r="E753" t="s">
        <v>23</v>
      </c>
      <c r="F753" t="s">
        <v>24</v>
      </c>
      <c r="G753">
        <v>5789</v>
      </c>
      <c r="H753">
        <v>1104</v>
      </c>
      <c r="I753">
        <v>169.88</v>
      </c>
      <c r="J753">
        <v>7.17</v>
      </c>
      <c r="K753">
        <v>677.48</v>
      </c>
      <c r="L753">
        <v>1.37</v>
      </c>
      <c r="M753">
        <v>248.11</v>
      </c>
      <c r="N753">
        <v>25</v>
      </c>
      <c r="O753">
        <v>13</v>
      </c>
      <c r="P753">
        <v>51872</v>
      </c>
      <c r="Q753">
        <v>13182</v>
      </c>
      <c r="R753">
        <v>574</v>
      </c>
      <c r="S753">
        <v>21864</v>
      </c>
      <c r="T753">
        <v>59</v>
      </c>
      <c r="U753">
        <v>16193</v>
      </c>
      <c r="V753" s="1">
        <f t="shared" si="33"/>
        <v>0.19070000000000001</v>
      </c>
      <c r="W753" s="1">
        <f t="shared" si="34"/>
        <v>4.3E-3</v>
      </c>
      <c r="X753" s="1">
        <f t="shared" si="35"/>
        <v>2.2000000000000001E-3</v>
      </c>
    </row>
    <row r="754" spans="1:24" x14ac:dyDescent="0.25">
      <c r="A754">
        <v>2019</v>
      </c>
      <c r="B754">
        <v>10</v>
      </c>
      <c r="C754" t="s">
        <v>35</v>
      </c>
      <c r="D754" t="str">
        <f>_xlfn.XLOOKUP(C754,'Carrier Name Rename'!A:A,'Carrier Name Rename'!B:B)</f>
        <v>JetBlue Airways</v>
      </c>
      <c r="E754" t="s">
        <v>23</v>
      </c>
      <c r="F754" t="s">
        <v>24</v>
      </c>
      <c r="G754">
        <v>176</v>
      </c>
      <c r="H754">
        <v>33</v>
      </c>
      <c r="I754">
        <v>11.63</v>
      </c>
      <c r="J754">
        <v>0</v>
      </c>
      <c r="K754">
        <v>15.34</v>
      </c>
      <c r="L754">
        <v>0.74</v>
      </c>
      <c r="M754">
        <v>5.29</v>
      </c>
      <c r="N754">
        <v>0</v>
      </c>
      <c r="O754">
        <v>0</v>
      </c>
      <c r="P754">
        <v>1754</v>
      </c>
      <c r="Q754">
        <v>793</v>
      </c>
      <c r="R754">
        <v>0</v>
      </c>
      <c r="S754">
        <v>526</v>
      </c>
      <c r="T754">
        <v>37</v>
      </c>
      <c r="U754">
        <v>398</v>
      </c>
      <c r="V754" s="1">
        <f t="shared" si="33"/>
        <v>0.1875</v>
      </c>
      <c r="W754" s="1">
        <f t="shared" si="34"/>
        <v>0</v>
      </c>
      <c r="X754" s="1">
        <f t="shared" si="35"/>
        <v>0</v>
      </c>
    </row>
    <row r="755" spans="1:24" x14ac:dyDescent="0.25">
      <c r="A755">
        <v>2019</v>
      </c>
      <c r="B755">
        <v>10</v>
      </c>
      <c r="C755" t="s">
        <v>47</v>
      </c>
      <c r="D755" t="str">
        <f>_xlfn.XLOOKUP(C755,'Carrier Name Rename'!A:A,'Carrier Name Rename'!B:B)</f>
        <v>Compass Airlines</v>
      </c>
      <c r="E755" t="s">
        <v>23</v>
      </c>
      <c r="F755" t="s">
        <v>24</v>
      </c>
      <c r="G755">
        <v>1168</v>
      </c>
      <c r="H755">
        <v>251</v>
      </c>
      <c r="I755">
        <v>62.5</v>
      </c>
      <c r="J755">
        <v>4.12</v>
      </c>
      <c r="K755">
        <v>70.13</v>
      </c>
      <c r="L755">
        <v>0</v>
      </c>
      <c r="M755">
        <v>114.25</v>
      </c>
      <c r="N755">
        <v>11</v>
      </c>
      <c r="O755">
        <v>2</v>
      </c>
      <c r="P755">
        <v>23645</v>
      </c>
      <c r="Q755">
        <v>10934</v>
      </c>
      <c r="R755">
        <v>611</v>
      </c>
      <c r="S755">
        <v>2508</v>
      </c>
      <c r="T755">
        <v>0</v>
      </c>
      <c r="U755">
        <v>9592</v>
      </c>
      <c r="V755" s="1">
        <f t="shared" si="33"/>
        <v>0.21490000000000001</v>
      </c>
      <c r="W755" s="1">
        <f t="shared" si="34"/>
        <v>9.4000000000000004E-3</v>
      </c>
      <c r="X755" s="1">
        <f t="shared" si="35"/>
        <v>1.6999999999999999E-3</v>
      </c>
    </row>
    <row r="756" spans="1:24" x14ac:dyDescent="0.25">
      <c r="A756">
        <v>2019</v>
      </c>
      <c r="B756">
        <v>10</v>
      </c>
      <c r="C756" t="s">
        <v>37</v>
      </c>
      <c r="D756" t="str">
        <f>_xlfn.XLOOKUP(C756,'Carrier Name Rename'!A:A,'Carrier Name Rename'!B:B)</f>
        <v>Delta Air Lines Inc.</v>
      </c>
      <c r="E756" t="s">
        <v>23</v>
      </c>
      <c r="F756" t="s">
        <v>24</v>
      </c>
      <c r="G756">
        <v>2600</v>
      </c>
      <c r="H756">
        <v>298</v>
      </c>
      <c r="I756">
        <v>87.87</v>
      </c>
      <c r="J756">
        <v>6.62</v>
      </c>
      <c r="K756">
        <v>138.34</v>
      </c>
      <c r="L756">
        <v>0</v>
      </c>
      <c r="M756">
        <v>65.180000000000007</v>
      </c>
      <c r="N756">
        <v>0</v>
      </c>
      <c r="O756">
        <v>5</v>
      </c>
      <c r="P756">
        <v>15865</v>
      </c>
      <c r="Q756">
        <v>5799</v>
      </c>
      <c r="R756">
        <v>611</v>
      </c>
      <c r="S756">
        <v>4187</v>
      </c>
      <c r="T756">
        <v>0</v>
      </c>
      <c r="U756">
        <v>5268</v>
      </c>
      <c r="V756" s="1">
        <f t="shared" si="33"/>
        <v>0.11459999999999999</v>
      </c>
      <c r="W756" s="1">
        <f t="shared" si="34"/>
        <v>0</v>
      </c>
      <c r="X756" s="1">
        <f t="shared" si="35"/>
        <v>1.9E-3</v>
      </c>
    </row>
    <row r="757" spans="1:24" x14ac:dyDescent="0.25">
      <c r="A757">
        <v>2019</v>
      </c>
      <c r="B757">
        <v>10</v>
      </c>
      <c r="C757" t="s">
        <v>39</v>
      </c>
      <c r="D757" t="str">
        <f>_xlfn.XLOOKUP(C757,'Carrier Name Rename'!A:A,'Carrier Name Rename'!B:B)</f>
        <v>Frontier Airlines Inc.</v>
      </c>
      <c r="E757" t="s">
        <v>23</v>
      </c>
      <c r="F757" t="s">
        <v>24</v>
      </c>
      <c r="G757">
        <v>76</v>
      </c>
      <c r="H757">
        <v>29</v>
      </c>
      <c r="I757">
        <v>7.08</v>
      </c>
      <c r="J757">
        <v>0.9</v>
      </c>
      <c r="K757">
        <v>11.76</v>
      </c>
      <c r="L757">
        <v>0</v>
      </c>
      <c r="M757">
        <v>9.26</v>
      </c>
      <c r="N757">
        <v>0</v>
      </c>
      <c r="O757">
        <v>0</v>
      </c>
      <c r="P757">
        <v>1830</v>
      </c>
      <c r="Q757">
        <v>330</v>
      </c>
      <c r="R757">
        <v>58</v>
      </c>
      <c r="S757">
        <v>743</v>
      </c>
      <c r="T757">
        <v>0</v>
      </c>
      <c r="U757">
        <v>699</v>
      </c>
      <c r="V757" s="1">
        <f t="shared" si="33"/>
        <v>0.38159999999999999</v>
      </c>
      <c r="W757" s="1">
        <f t="shared" si="34"/>
        <v>0</v>
      </c>
      <c r="X757" s="1">
        <f t="shared" si="35"/>
        <v>0</v>
      </c>
    </row>
    <row r="758" spans="1:24" x14ac:dyDescent="0.25">
      <c r="A758">
        <v>2019</v>
      </c>
      <c r="B758">
        <v>10</v>
      </c>
      <c r="C758" t="s">
        <v>21</v>
      </c>
      <c r="D758" t="str">
        <f>_xlfn.XLOOKUP(C758,'Carrier Name Rename'!A:A,'Carrier Name Rename'!B:B)</f>
        <v>Hawaiian Airlines Inc.</v>
      </c>
      <c r="E758" t="s">
        <v>23</v>
      </c>
      <c r="F758" t="s">
        <v>24</v>
      </c>
      <c r="G758">
        <v>62</v>
      </c>
      <c r="H758">
        <v>25</v>
      </c>
      <c r="I758">
        <v>21.57</v>
      </c>
      <c r="J758">
        <v>0</v>
      </c>
      <c r="K758">
        <v>0</v>
      </c>
      <c r="L758">
        <v>1.9</v>
      </c>
      <c r="M758">
        <v>1.53</v>
      </c>
      <c r="N758">
        <v>0</v>
      </c>
      <c r="O758">
        <v>0</v>
      </c>
      <c r="P758">
        <v>940</v>
      </c>
      <c r="Q758">
        <v>835</v>
      </c>
      <c r="R758">
        <v>0</v>
      </c>
      <c r="S758">
        <v>0</v>
      </c>
      <c r="T758">
        <v>54</v>
      </c>
      <c r="U758">
        <v>51</v>
      </c>
      <c r="V758" s="1">
        <f t="shared" si="33"/>
        <v>0.4032</v>
      </c>
      <c r="W758" s="1">
        <f t="shared" si="34"/>
        <v>0</v>
      </c>
      <c r="X758" s="1">
        <f t="shared" si="35"/>
        <v>0</v>
      </c>
    </row>
    <row r="759" spans="1:24" x14ac:dyDescent="0.25">
      <c r="A759">
        <v>2019</v>
      </c>
      <c r="B759">
        <v>10</v>
      </c>
      <c r="C759" t="s">
        <v>25</v>
      </c>
      <c r="D759" t="str">
        <f>_xlfn.XLOOKUP(C759,'Carrier Name Rename'!A:A,'Carrier Name Rename'!B:B)</f>
        <v>Spirit Airlines</v>
      </c>
      <c r="E759" t="s">
        <v>23</v>
      </c>
      <c r="F759" t="s">
        <v>24</v>
      </c>
      <c r="G759">
        <v>135</v>
      </c>
      <c r="H759">
        <v>39</v>
      </c>
      <c r="I759">
        <v>8.7799999999999994</v>
      </c>
      <c r="J759">
        <v>0.16</v>
      </c>
      <c r="K759">
        <v>17.899999999999999</v>
      </c>
      <c r="L759">
        <v>0</v>
      </c>
      <c r="M759">
        <v>12.16</v>
      </c>
      <c r="N759">
        <v>2</v>
      </c>
      <c r="O759">
        <v>0</v>
      </c>
      <c r="P759">
        <v>2250</v>
      </c>
      <c r="Q759">
        <v>534</v>
      </c>
      <c r="R759">
        <v>16</v>
      </c>
      <c r="S759">
        <v>961</v>
      </c>
      <c r="T759">
        <v>0</v>
      </c>
      <c r="U759">
        <v>739</v>
      </c>
      <c r="V759" s="1">
        <f t="shared" si="33"/>
        <v>0.28889999999999999</v>
      </c>
      <c r="W759" s="1">
        <f t="shared" si="34"/>
        <v>1.4800000000000001E-2</v>
      </c>
      <c r="X759" s="1">
        <f t="shared" si="35"/>
        <v>0</v>
      </c>
    </row>
    <row r="760" spans="1:24" x14ac:dyDescent="0.25">
      <c r="A760">
        <v>2019</v>
      </c>
      <c r="B760">
        <v>10</v>
      </c>
      <c r="C760" t="s">
        <v>27</v>
      </c>
      <c r="D760" t="str">
        <f>_xlfn.XLOOKUP(C760,'Carrier Name Rename'!A:A,'Carrier Name Rename'!B:B)</f>
        <v>SkyWest Airlines Inc.</v>
      </c>
      <c r="E760" t="s">
        <v>23</v>
      </c>
      <c r="F760" t="s">
        <v>24</v>
      </c>
      <c r="G760">
        <v>807</v>
      </c>
      <c r="H760">
        <v>113</v>
      </c>
      <c r="I760">
        <v>24.26</v>
      </c>
      <c r="J760">
        <v>3.5</v>
      </c>
      <c r="K760">
        <v>61.44</v>
      </c>
      <c r="L760">
        <v>0</v>
      </c>
      <c r="M760">
        <v>23.8</v>
      </c>
      <c r="N760">
        <v>5</v>
      </c>
      <c r="O760">
        <v>2</v>
      </c>
      <c r="P760">
        <v>5711</v>
      </c>
      <c r="Q760">
        <v>2135</v>
      </c>
      <c r="R760">
        <v>245</v>
      </c>
      <c r="S760">
        <v>1911</v>
      </c>
      <c r="T760">
        <v>0</v>
      </c>
      <c r="U760">
        <v>1420</v>
      </c>
      <c r="V760" s="1">
        <f t="shared" si="33"/>
        <v>0.14000000000000001</v>
      </c>
      <c r="W760" s="1">
        <f t="shared" si="34"/>
        <v>6.1999999999999998E-3</v>
      </c>
      <c r="X760" s="1">
        <f t="shared" si="35"/>
        <v>2.5000000000000001E-3</v>
      </c>
    </row>
    <row r="761" spans="1:24" x14ac:dyDescent="0.25">
      <c r="A761">
        <v>2019</v>
      </c>
      <c r="B761">
        <v>10</v>
      </c>
      <c r="C761" t="s">
        <v>29</v>
      </c>
      <c r="D761" t="str">
        <f>_xlfn.XLOOKUP(C761,'Carrier Name Rename'!A:A,'Carrier Name Rename'!B:B)</f>
        <v>Horizon Air</v>
      </c>
      <c r="E761" t="s">
        <v>23</v>
      </c>
      <c r="F761" t="s">
        <v>24</v>
      </c>
      <c r="G761">
        <v>3120</v>
      </c>
      <c r="H761">
        <v>579</v>
      </c>
      <c r="I761">
        <v>69.099999999999994</v>
      </c>
      <c r="J761">
        <v>2.44</v>
      </c>
      <c r="K761">
        <v>358.83</v>
      </c>
      <c r="L761">
        <v>0</v>
      </c>
      <c r="M761">
        <v>148.63</v>
      </c>
      <c r="N761">
        <v>29</v>
      </c>
      <c r="O761">
        <v>3</v>
      </c>
      <c r="P761">
        <v>25223</v>
      </c>
      <c r="Q761">
        <v>4376</v>
      </c>
      <c r="R761">
        <v>200</v>
      </c>
      <c r="S761">
        <v>12039</v>
      </c>
      <c r="T761">
        <v>0</v>
      </c>
      <c r="U761">
        <v>8608</v>
      </c>
      <c r="V761" s="1">
        <f t="shared" si="33"/>
        <v>0.18559999999999999</v>
      </c>
      <c r="W761" s="1">
        <f t="shared" si="34"/>
        <v>9.2999999999999992E-3</v>
      </c>
      <c r="X761" s="1">
        <f t="shared" si="35"/>
        <v>1E-3</v>
      </c>
    </row>
    <row r="762" spans="1:24" x14ac:dyDescent="0.25">
      <c r="A762">
        <v>2019</v>
      </c>
      <c r="B762">
        <v>10</v>
      </c>
      <c r="C762" t="s">
        <v>41</v>
      </c>
      <c r="D762" t="str">
        <f>_xlfn.XLOOKUP(C762,'Carrier Name Rename'!A:A,'Carrier Name Rename'!B:B)</f>
        <v>United Air Lines Inc.</v>
      </c>
      <c r="E762" t="s">
        <v>23</v>
      </c>
      <c r="F762" t="s">
        <v>24</v>
      </c>
      <c r="G762">
        <v>846</v>
      </c>
      <c r="H762">
        <v>162</v>
      </c>
      <c r="I762">
        <v>28.08</v>
      </c>
      <c r="J762">
        <v>2.8</v>
      </c>
      <c r="K762">
        <v>72.69</v>
      </c>
      <c r="L762">
        <v>0</v>
      </c>
      <c r="M762">
        <v>58.42</v>
      </c>
      <c r="N762">
        <v>1</v>
      </c>
      <c r="O762">
        <v>1</v>
      </c>
      <c r="P762">
        <v>8354</v>
      </c>
      <c r="Q762">
        <v>1499</v>
      </c>
      <c r="R762">
        <v>216</v>
      </c>
      <c r="S762">
        <v>2648</v>
      </c>
      <c r="T762">
        <v>0</v>
      </c>
      <c r="U762">
        <v>3991</v>
      </c>
      <c r="V762" s="1">
        <f t="shared" si="33"/>
        <v>0.1915</v>
      </c>
      <c r="W762" s="1">
        <f t="shared" si="34"/>
        <v>1.1999999999999999E-3</v>
      </c>
      <c r="X762" s="1">
        <f t="shared" si="35"/>
        <v>1.1999999999999999E-3</v>
      </c>
    </row>
    <row r="763" spans="1:24" x14ac:dyDescent="0.25">
      <c r="A763">
        <v>2019</v>
      </c>
      <c r="B763">
        <v>10</v>
      </c>
      <c r="C763" t="s">
        <v>43</v>
      </c>
      <c r="D763" t="str">
        <f>_xlfn.XLOOKUP(C763,'Carrier Name Rename'!A:A,'Carrier Name Rename'!B:B)</f>
        <v>Southwest Airlines Co.</v>
      </c>
      <c r="E763" t="s">
        <v>23</v>
      </c>
      <c r="F763" t="s">
        <v>24</v>
      </c>
      <c r="G763">
        <v>904</v>
      </c>
      <c r="H763">
        <v>169</v>
      </c>
      <c r="I763">
        <v>61.08</v>
      </c>
      <c r="J763">
        <v>1.1599999999999999</v>
      </c>
      <c r="K763">
        <v>58.88</v>
      </c>
      <c r="L763">
        <v>0.9</v>
      </c>
      <c r="M763">
        <v>46.99</v>
      </c>
      <c r="N763">
        <v>9</v>
      </c>
      <c r="O763">
        <v>1</v>
      </c>
      <c r="P763">
        <v>7262</v>
      </c>
      <c r="Q763">
        <v>3234</v>
      </c>
      <c r="R763">
        <v>36</v>
      </c>
      <c r="S763">
        <v>1969</v>
      </c>
      <c r="T763">
        <v>113</v>
      </c>
      <c r="U763">
        <v>1910</v>
      </c>
      <c r="V763" s="1">
        <f t="shared" si="33"/>
        <v>0.18690000000000001</v>
      </c>
      <c r="W763" s="1">
        <f t="shared" si="34"/>
        <v>0.01</v>
      </c>
      <c r="X763" s="1">
        <f t="shared" si="35"/>
        <v>1.1000000000000001E-3</v>
      </c>
    </row>
    <row r="764" spans="1:24" x14ac:dyDescent="0.25">
      <c r="A764">
        <v>2019</v>
      </c>
      <c r="B764">
        <v>9</v>
      </c>
      <c r="C764" t="s">
        <v>31</v>
      </c>
      <c r="D764" t="str">
        <f>_xlfn.XLOOKUP(C764,'Carrier Name Rename'!A:A,'Carrier Name Rename'!B:B)</f>
        <v>American Airlines Inc.</v>
      </c>
      <c r="E764" t="s">
        <v>23</v>
      </c>
      <c r="F764" t="s">
        <v>24</v>
      </c>
      <c r="G764">
        <v>616</v>
      </c>
      <c r="H764">
        <v>115</v>
      </c>
      <c r="I764">
        <v>32.65</v>
      </c>
      <c r="J764">
        <v>4.84</v>
      </c>
      <c r="K764">
        <v>35.770000000000003</v>
      </c>
      <c r="L764">
        <v>0</v>
      </c>
      <c r="M764">
        <v>41.73</v>
      </c>
      <c r="N764">
        <v>1</v>
      </c>
      <c r="O764">
        <v>4</v>
      </c>
      <c r="P764">
        <v>5795</v>
      </c>
      <c r="Q764">
        <v>1559</v>
      </c>
      <c r="R764">
        <v>291</v>
      </c>
      <c r="S764">
        <v>1355</v>
      </c>
      <c r="T764">
        <v>0</v>
      </c>
      <c r="U764">
        <v>2590</v>
      </c>
      <c r="V764" s="1">
        <f t="shared" si="33"/>
        <v>0.1867</v>
      </c>
      <c r="W764" s="1">
        <f t="shared" si="34"/>
        <v>1.6000000000000001E-3</v>
      </c>
      <c r="X764" s="1">
        <f t="shared" si="35"/>
        <v>6.4999999999999997E-3</v>
      </c>
    </row>
    <row r="765" spans="1:24" x14ac:dyDescent="0.25">
      <c r="A765">
        <v>2019</v>
      </c>
      <c r="B765">
        <v>9</v>
      </c>
      <c r="C765" t="s">
        <v>33</v>
      </c>
      <c r="D765" t="str">
        <f>_xlfn.XLOOKUP(C765,'Carrier Name Rename'!A:A,'Carrier Name Rename'!B:B)</f>
        <v>Alaska Airlines Inc.</v>
      </c>
      <c r="E765" t="s">
        <v>23</v>
      </c>
      <c r="F765" t="s">
        <v>24</v>
      </c>
      <c r="G765">
        <v>5852</v>
      </c>
      <c r="H765">
        <v>1234</v>
      </c>
      <c r="I765">
        <v>186.56</v>
      </c>
      <c r="J765">
        <v>13.63</v>
      </c>
      <c r="K765">
        <v>711.54</v>
      </c>
      <c r="L765">
        <v>4.58</v>
      </c>
      <c r="M765">
        <v>317.69</v>
      </c>
      <c r="N765">
        <v>32</v>
      </c>
      <c r="O765">
        <v>17</v>
      </c>
      <c r="P765">
        <v>53163</v>
      </c>
      <c r="Q765">
        <v>12775</v>
      </c>
      <c r="R765">
        <v>950</v>
      </c>
      <c r="S765">
        <v>23563</v>
      </c>
      <c r="T765">
        <v>193</v>
      </c>
      <c r="U765">
        <v>15682</v>
      </c>
      <c r="V765" s="1">
        <f t="shared" si="33"/>
        <v>0.2109</v>
      </c>
      <c r="W765" s="1">
        <f t="shared" si="34"/>
        <v>5.4999999999999997E-3</v>
      </c>
      <c r="X765" s="1">
        <f t="shared" si="35"/>
        <v>2.8999999999999998E-3</v>
      </c>
    </row>
    <row r="766" spans="1:24" x14ac:dyDescent="0.25">
      <c r="A766">
        <v>2019</v>
      </c>
      <c r="B766">
        <v>9</v>
      </c>
      <c r="C766" t="s">
        <v>35</v>
      </c>
      <c r="D766" t="str">
        <f>_xlfn.XLOOKUP(C766,'Carrier Name Rename'!A:A,'Carrier Name Rename'!B:B)</f>
        <v>JetBlue Airways</v>
      </c>
      <c r="E766" t="s">
        <v>23</v>
      </c>
      <c r="F766" t="s">
        <v>24</v>
      </c>
      <c r="G766">
        <v>187</v>
      </c>
      <c r="H766">
        <v>41</v>
      </c>
      <c r="I766">
        <v>9.49</v>
      </c>
      <c r="J766">
        <v>0.72</v>
      </c>
      <c r="K766">
        <v>21.56</v>
      </c>
      <c r="L766">
        <v>0</v>
      </c>
      <c r="M766">
        <v>9.24</v>
      </c>
      <c r="N766">
        <v>0</v>
      </c>
      <c r="O766">
        <v>1</v>
      </c>
      <c r="P766">
        <v>2607</v>
      </c>
      <c r="Q766">
        <v>804</v>
      </c>
      <c r="R766">
        <v>23</v>
      </c>
      <c r="S766">
        <v>673</v>
      </c>
      <c r="T766">
        <v>0</v>
      </c>
      <c r="U766">
        <v>1107</v>
      </c>
      <c r="V766" s="1">
        <f t="shared" si="33"/>
        <v>0.21929999999999999</v>
      </c>
      <c r="W766" s="1">
        <f t="shared" si="34"/>
        <v>0</v>
      </c>
      <c r="X766" s="1">
        <f t="shared" si="35"/>
        <v>5.3E-3</v>
      </c>
    </row>
    <row r="767" spans="1:24" x14ac:dyDescent="0.25">
      <c r="A767">
        <v>2019</v>
      </c>
      <c r="B767">
        <v>9</v>
      </c>
      <c r="C767" t="s">
        <v>47</v>
      </c>
      <c r="D767" t="str">
        <f>_xlfn.XLOOKUP(C767,'Carrier Name Rename'!A:A,'Carrier Name Rename'!B:B)</f>
        <v>Compass Airlines</v>
      </c>
      <c r="E767" t="s">
        <v>23</v>
      </c>
      <c r="F767" t="s">
        <v>24</v>
      </c>
      <c r="G767">
        <v>1175</v>
      </c>
      <c r="H767">
        <v>231</v>
      </c>
      <c r="I767">
        <v>39.630000000000003</v>
      </c>
      <c r="J767">
        <v>3</v>
      </c>
      <c r="K767">
        <v>91.91</v>
      </c>
      <c r="L767">
        <v>0</v>
      </c>
      <c r="M767">
        <v>96.45</v>
      </c>
      <c r="N767">
        <v>1</v>
      </c>
      <c r="O767">
        <v>1</v>
      </c>
      <c r="P767">
        <v>16150</v>
      </c>
      <c r="Q767">
        <v>6366</v>
      </c>
      <c r="R767">
        <v>89</v>
      </c>
      <c r="S767">
        <v>3138</v>
      </c>
      <c r="T767">
        <v>0</v>
      </c>
      <c r="U767">
        <v>6557</v>
      </c>
      <c r="V767" s="1">
        <f t="shared" si="33"/>
        <v>0.1966</v>
      </c>
      <c r="W767" s="1">
        <f t="shared" si="34"/>
        <v>8.9999999999999998E-4</v>
      </c>
      <c r="X767" s="1">
        <f t="shared" si="35"/>
        <v>8.9999999999999998E-4</v>
      </c>
    </row>
    <row r="768" spans="1:24" x14ac:dyDescent="0.25">
      <c r="A768">
        <v>2019</v>
      </c>
      <c r="B768">
        <v>9</v>
      </c>
      <c r="C768" t="s">
        <v>37</v>
      </c>
      <c r="D768" t="str">
        <f>_xlfn.XLOOKUP(C768,'Carrier Name Rename'!A:A,'Carrier Name Rename'!B:B)</f>
        <v>Delta Air Lines Inc.</v>
      </c>
      <c r="E768" t="s">
        <v>23</v>
      </c>
      <c r="F768" t="s">
        <v>24</v>
      </c>
      <c r="G768">
        <v>2617</v>
      </c>
      <c r="H768">
        <v>369</v>
      </c>
      <c r="I768">
        <v>95.29</v>
      </c>
      <c r="J768">
        <v>8.41</v>
      </c>
      <c r="K768">
        <v>143.77000000000001</v>
      </c>
      <c r="L768">
        <v>1</v>
      </c>
      <c r="M768">
        <v>120.53</v>
      </c>
      <c r="N768">
        <v>0</v>
      </c>
      <c r="O768">
        <v>4</v>
      </c>
      <c r="P768">
        <v>26380</v>
      </c>
      <c r="Q768">
        <v>9736</v>
      </c>
      <c r="R768">
        <v>687</v>
      </c>
      <c r="S768">
        <v>5106</v>
      </c>
      <c r="T768">
        <v>62</v>
      </c>
      <c r="U768">
        <v>10789</v>
      </c>
      <c r="V768" s="1">
        <f t="shared" si="33"/>
        <v>0.14099999999999999</v>
      </c>
      <c r="W768" s="1">
        <f t="shared" si="34"/>
        <v>0</v>
      </c>
      <c r="X768" s="1">
        <f t="shared" si="35"/>
        <v>1.5E-3</v>
      </c>
    </row>
    <row r="769" spans="1:24" x14ac:dyDescent="0.25">
      <c r="A769">
        <v>2019</v>
      </c>
      <c r="B769">
        <v>9</v>
      </c>
      <c r="C769" t="s">
        <v>39</v>
      </c>
      <c r="D769" t="str">
        <f>_xlfn.XLOOKUP(C769,'Carrier Name Rename'!A:A,'Carrier Name Rename'!B:B)</f>
        <v>Frontier Airlines Inc.</v>
      </c>
      <c r="E769" t="s">
        <v>23</v>
      </c>
      <c r="F769" t="s">
        <v>24</v>
      </c>
      <c r="G769">
        <v>72</v>
      </c>
      <c r="H769">
        <v>10</v>
      </c>
      <c r="I769">
        <v>3.33</v>
      </c>
      <c r="J769">
        <v>0.83</v>
      </c>
      <c r="K769">
        <v>3.4</v>
      </c>
      <c r="L769">
        <v>0</v>
      </c>
      <c r="M769">
        <v>2.4500000000000002</v>
      </c>
      <c r="N769">
        <v>0</v>
      </c>
      <c r="O769">
        <v>0</v>
      </c>
      <c r="P769">
        <v>422</v>
      </c>
      <c r="Q769">
        <v>182</v>
      </c>
      <c r="R769">
        <v>19</v>
      </c>
      <c r="S769">
        <v>128</v>
      </c>
      <c r="T769">
        <v>0</v>
      </c>
      <c r="U769">
        <v>93</v>
      </c>
      <c r="V769" s="1">
        <f t="shared" si="33"/>
        <v>0.1389</v>
      </c>
      <c r="W769" s="1">
        <f t="shared" si="34"/>
        <v>0</v>
      </c>
      <c r="X769" s="1">
        <f t="shared" si="35"/>
        <v>0</v>
      </c>
    </row>
    <row r="770" spans="1:24" x14ac:dyDescent="0.25">
      <c r="A770">
        <v>2019</v>
      </c>
      <c r="B770">
        <v>9</v>
      </c>
      <c r="C770" t="s">
        <v>21</v>
      </c>
      <c r="D770" t="str">
        <f>_xlfn.XLOOKUP(C770,'Carrier Name Rename'!A:A,'Carrier Name Rename'!B:B)</f>
        <v>Hawaiian Airlines Inc.</v>
      </c>
      <c r="E770" t="s">
        <v>23</v>
      </c>
      <c r="F770" t="s">
        <v>24</v>
      </c>
      <c r="G770">
        <v>60</v>
      </c>
      <c r="H770">
        <v>28</v>
      </c>
      <c r="I770">
        <v>22.63</v>
      </c>
      <c r="J770">
        <v>0.45</v>
      </c>
      <c r="K770">
        <v>2.02</v>
      </c>
      <c r="L770">
        <v>0</v>
      </c>
      <c r="M770">
        <v>2.9</v>
      </c>
      <c r="N770">
        <v>0</v>
      </c>
      <c r="O770">
        <v>0</v>
      </c>
      <c r="P770">
        <v>963</v>
      </c>
      <c r="Q770">
        <v>655</v>
      </c>
      <c r="R770">
        <v>30</v>
      </c>
      <c r="S770">
        <v>75</v>
      </c>
      <c r="T770">
        <v>0</v>
      </c>
      <c r="U770">
        <v>203</v>
      </c>
      <c r="V770" s="1">
        <f t="shared" si="33"/>
        <v>0.4667</v>
      </c>
      <c r="W770" s="1">
        <f t="shared" si="34"/>
        <v>0</v>
      </c>
      <c r="X770" s="1">
        <f t="shared" si="35"/>
        <v>0</v>
      </c>
    </row>
    <row r="771" spans="1:24" x14ac:dyDescent="0.25">
      <c r="A771">
        <v>2019</v>
      </c>
      <c r="B771">
        <v>9</v>
      </c>
      <c r="C771" t="s">
        <v>25</v>
      </c>
      <c r="D771" t="str">
        <f>_xlfn.XLOOKUP(C771,'Carrier Name Rename'!A:A,'Carrier Name Rename'!B:B)</f>
        <v>Spirit Airlines</v>
      </c>
      <c r="E771" t="s">
        <v>23</v>
      </c>
      <c r="F771" t="s">
        <v>24</v>
      </c>
      <c r="G771">
        <v>153</v>
      </c>
      <c r="H771">
        <v>25</v>
      </c>
      <c r="I771">
        <v>5.62</v>
      </c>
      <c r="J771">
        <v>0</v>
      </c>
      <c r="K771">
        <v>13.82</v>
      </c>
      <c r="L771">
        <v>0</v>
      </c>
      <c r="M771">
        <v>5.56</v>
      </c>
      <c r="N771">
        <v>0</v>
      </c>
      <c r="O771">
        <v>0</v>
      </c>
      <c r="P771">
        <v>1118</v>
      </c>
      <c r="Q771">
        <v>248</v>
      </c>
      <c r="R771">
        <v>0</v>
      </c>
      <c r="S771">
        <v>619</v>
      </c>
      <c r="T771">
        <v>0</v>
      </c>
      <c r="U771">
        <v>251</v>
      </c>
      <c r="V771" s="1">
        <f t="shared" ref="V771:V834" si="36">ROUND(H771/G771,4)</f>
        <v>0.16339999999999999</v>
      </c>
      <c r="W771" s="1">
        <f t="shared" ref="W771:W834" si="37">ROUND(N771/G771,4)</f>
        <v>0</v>
      </c>
      <c r="X771" s="1">
        <f t="shared" ref="X771:X834" si="38">ROUND(O771/G771,4)</f>
        <v>0</v>
      </c>
    </row>
    <row r="772" spans="1:24" x14ac:dyDescent="0.25">
      <c r="A772">
        <v>2019</v>
      </c>
      <c r="B772">
        <v>9</v>
      </c>
      <c r="C772" t="s">
        <v>27</v>
      </c>
      <c r="D772" t="str">
        <f>_xlfn.XLOOKUP(C772,'Carrier Name Rename'!A:A,'Carrier Name Rename'!B:B)</f>
        <v>SkyWest Airlines Inc.</v>
      </c>
      <c r="E772" t="s">
        <v>23</v>
      </c>
      <c r="F772" t="s">
        <v>24</v>
      </c>
      <c r="G772">
        <v>784</v>
      </c>
      <c r="H772">
        <v>86</v>
      </c>
      <c r="I772">
        <v>18.38</v>
      </c>
      <c r="J772">
        <v>3.21</v>
      </c>
      <c r="K772">
        <v>41.73</v>
      </c>
      <c r="L772">
        <v>0</v>
      </c>
      <c r="M772">
        <v>22.68</v>
      </c>
      <c r="N772">
        <v>0</v>
      </c>
      <c r="O772">
        <v>1</v>
      </c>
      <c r="P772">
        <v>3641</v>
      </c>
      <c r="Q772">
        <v>1085</v>
      </c>
      <c r="R772">
        <v>224</v>
      </c>
      <c r="S772">
        <v>1182</v>
      </c>
      <c r="T772">
        <v>0</v>
      </c>
      <c r="U772">
        <v>1150</v>
      </c>
      <c r="V772" s="1">
        <f t="shared" si="36"/>
        <v>0.10970000000000001</v>
      </c>
      <c r="W772" s="1">
        <f t="shared" si="37"/>
        <v>0</v>
      </c>
      <c r="X772" s="1">
        <f t="shared" si="38"/>
        <v>1.2999999999999999E-3</v>
      </c>
    </row>
    <row r="773" spans="1:24" x14ac:dyDescent="0.25">
      <c r="A773">
        <v>2019</v>
      </c>
      <c r="B773">
        <v>9</v>
      </c>
      <c r="C773" t="s">
        <v>29</v>
      </c>
      <c r="D773" t="str">
        <f>_xlfn.XLOOKUP(C773,'Carrier Name Rename'!A:A,'Carrier Name Rename'!B:B)</f>
        <v>Horizon Air</v>
      </c>
      <c r="E773" t="s">
        <v>23</v>
      </c>
      <c r="F773" t="s">
        <v>24</v>
      </c>
      <c r="G773">
        <v>2854</v>
      </c>
      <c r="H773">
        <v>415</v>
      </c>
      <c r="I773">
        <v>54</v>
      </c>
      <c r="J773">
        <v>3.34</v>
      </c>
      <c r="K773">
        <v>248.06</v>
      </c>
      <c r="L773">
        <v>0</v>
      </c>
      <c r="M773">
        <v>109.61</v>
      </c>
      <c r="N773">
        <v>33</v>
      </c>
      <c r="O773">
        <v>8</v>
      </c>
      <c r="P773">
        <v>16494</v>
      </c>
      <c r="Q773">
        <v>3611</v>
      </c>
      <c r="R773">
        <v>137</v>
      </c>
      <c r="S773">
        <v>8187</v>
      </c>
      <c r="T773">
        <v>0</v>
      </c>
      <c r="U773">
        <v>4559</v>
      </c>
      <c r="V773" s="1">
        <f t="shared" si="36"/>
        <v>0.1454</v>
      </c>
      <c r="W773" s="1">
        <f t="shared" si="37"/>
        <v>1.1599999999999999E-2</v>
      </c>
      <c r="X773" s="1">
        <f t="shared" si="38"/>
        <v>2.8E-3</v>
      </c>
    </row>
    <row r="774" spans="1:24" x14ac:dyDescent="0.25">
      <c r="A774">
        <v>2019</v>
      </c>
      <c r="B774">
        <v>9</v>
      </c>
      <c r="C774" t="s">
        <v>41</v>
      </c>
      <c r="D774" t="str">
        <f>_xlfn.XLOOKUP(C774,'Carrier Name Rename'!A:A,'Carrier Name Rename'!B:B)</f>
        <v>United Air Lines Inc.</v>
      </c>
      <c r="E774" t="s">
        <v>23</v>
      </c>
      <c r="F774" t="s">
        <v>24</v>
      </c>
      <c r="G774">
        <v>876</v>
      </c>
      <c r="H774">
        <v>173</v>
      </c>
      <c r="I774">
        <v>37.08</v>
      </c>
      <c r="J774">
        <v>6.48</v>
      </c>
      <c r="K774">
        <v>71.16</v>
      </c>
      <c r="L774">
        <v>0</v>
      </c>
      <c r="M774">
        <v>58.28</v>
      </c>
      <c r="N774">
        <v>8</v>
      </c>
      <c r="O774">
        <v>2</v>
      </c>
      <c r="P774">
        <v>9556</v>
      </c>
      <c r="Q774">
        <v>2251</v>
      </c>
      <c r="R774">
        <v>418</v>
      </c>
      <c r="S774">
        <v>2283</v>
      </c>
      <c r="T774">
        <v>0</v>
      </c>
      <c r="U774">
        <v>4604</v>
      </c>
      <c r="V774" s="1">
        <f t="shared" si="36"/>
        <v>0.19750000000000001</v>
      </c>
      <c r="W774" s="1">
        <f t="shared" si="37"/>
        <v>9.1000000000000004E-3</v>
      </c>
      <c r="X774" s="1">
        <f t="shared" si="38"/>
        <v>2.3E-3</v>
      </c>
    </row>
    <row r="775" spans="1:24" x14ac:dyDescent="0.25">
      <c r="A775">
        <v>2019</v>
      </c>
      <c r="B775">
        <v>9</v>
      </c>
      <c r="C775" t="s">
        <v>43</v>
      </c>
      <c r="D775" t="str">
        <f>_xlfn.XLOOKUP(C775,'Carrier Name Rename'!A:A,'Carrier Name Rename'!B:B)</f>
        <v>Southwest Airlines Co.</v>
      </c>
      <c r="E775" t="s">
        <v>23</v>
      </c>
      <c r="F775" t="s">
        <v>24</v>
      </c>
      <c r="G775">
        <v>1019</v>
      </c>
      <c r="H775">
        <v>140</v>
      </c>
      <c r="I775">
        <v>41.81</v>
      </c>
      <c r="J775">
        <v>0.16</v>
      </c>
      <c r="K775">
        <v>56.25</v>
      </c>
      <c r="L775">
        <v>0</v>
      </c>
      <c r="M775">
        <v>41.78</v>
      </c>
      <c r="N775">
        <v>4</v>
      </c>
      <c r="O775">
        <v>2</v>
      </c>
      <c r="P775">
        <v>5917</v>
      </c>
      <c r="Q775">
        <v>2042</v>
      </c>
      <c r="R775">
        <v>7</v>
      </c>
      <c r="S775">
        <v>1737</v>
      </c>
      <c r="T775">
        <v>0</v>
      </c>
      <c r="U775">
        <v>2131</v>
      </c>
      <c r="V775" s="1">
        <f t="shared" si="36"/>
        <v>0.13739999999999999</v>
      </c>
      <c r="W775" s="1">
        <f t="shared" si="37"/>
        <v>3.8999999999999998E-3</v>
      </c>
      <c r="X775" s="1">
        <f t="shared" si="38"/>
        <v>2E-3</v>
      </c>
    </row>
    <row r="776" spans="1:24" x14ac:dyDescent="0.25">
      <c r="A776">
        <v>2019</v>
      </c>
      <c r="B776">
        <v>8</v>
      </c>
      <c r="C776" t="s">
        <v>37</v>
      </c>
      <c r="D776" t="str">
        <f>_xlfn.XLOOKUP(C776,'Carrier Name Rename'!A:A,'Carrier Name Rename'!B:B)</f>
        <v>Delta Air Lines Inc.</v>
      </c>
      <c r="E776" t="s">
        <v>23</v>
      </c>
      <c r="F776" t="s">
        <v>24</v>
      </c>
      <c r="G776">
        <v>3190</v>
      </c>
      <c r="H776">
        <v>563</v>
      </c>
      <c r="I776">
        <v>172.56</v>
      </c>
      <c r="J776">
        <v>5.63</v>
      </c>
      <c r="K776">
        <v>209.71</v>
      </c>
      <c r="L776">
        <v>0</v>
      </c>
      <c r="M776">
        <v>175.09</v>
      </c>
      <c r="N776">
        <v>2</v>
      </c>
      <c r="O776">
        <v>3</v>
      </c>
      <c r="P776">
        <v>38123</v>
      </c>
      <c r="Q776">
        <v>17665</v>
      </c>
      <c r="R776">
        <v>462</v>
      </c>
      <c r="S776">
        <v>8351</v>
      </c>
      <c r="T776">
        <v>0</v>
      </c>
      <c r="U776">
        <v>11645</v>
      </c>
      <c r="V776" s="1">
        <f t="shared" si="36"/>
        <v>0.17649999999999999</v>
      </c>
      <c r="W776" s="1">
        <f t="shared" si="37"/>
        <v>5.9999999999999995E-4</v>
      </c>
      <c r="X776" s="1">
        <f t="shared" si="38"/>
        <v>8.9999999999999998E-4</v>
      </c>
    </row>
    <row r="777" spans="1:24" x14ac:dyDescent="0.25">
      <c r="A777">
        <v>2019</v>
      </c>
      <c r="B777">
        <v>8</v>
      </c>
      <c r="C777" t="s">
        <v>39</v>
      </c>
      <c r="D777" t="str">
        <f>_xlfn.XLOOKUP(C777,'Carrier Name Rename'!A:A,'Carrier Name Rename'!B:B)</f>
        <v>Frontier Airlines Inc.</v>
      </c>
      <c r="E777" t="s">
        <v>23</v>
      </c>
      <c r="F777" t="s">
        <v>24</v>
      </c>
      <c r="G777">
        <v>93</v>
      </c>
      <c r="H777">
        <v>33</v>
      </c>
      <c r="I777">
        <v>9.91</v>
      </c>
      <c r="J777">
        <v>0</v>
      </c>
      <c r="K777">
        <v>15.61</v>
      </c>
      <c r="L777">
        <v>0</v>
      </c>
      <c r="M777">
        <v>7.48</v>
      </c>
      <c r="N777">
        <v>1</v>
      </c>
      <c r="O777">
        <v>0</v>
      </c>
      <c r="P777">
        <v>1374</v>
      </c>
      <c r="Q777">
        <v>367</v>
      </c>
      <c r="R777">
        <v>0</v>
      </c>
      <c r="S777">
        <v>498</v>
      </c>
      <c r="T777">
        <v>0</v>
      </c>
      <c r="U777">
        <v>509</v>
      </c>
      <c r="V777" s="1">
        <f t="shared" si="36"/>
        <v>0.3548</v>
      </c>
      <c r="W777" s="1">
        <f t="shared" si="37"/>
        <v>1.0800000000000001E-2</v>
      </c>
      <c r="X777" s="1">
        <f t="shared" si="38"/>
        <v>0</v>
      </c>
    </row>
    <row r="778" spans="1:24" x14ac:dyDescent="0.25">
      <c r="A778">
        <v>2019</v>
      </c>
      <c r="B778">
        <v>8</v>
      </c>
      <c r="C778" t="s">
        <v>21</v>
      </c>
      <c r="D778" t="str">
        <f>_xlfn.XLOOKUP(C778,'Carrier Name Rename'!A:A,'Carrier Name Rename'!B:B)</f>
        <v>Hawaiian Airlines Inc.</v>
      </c>
      <c r="E778" t="s">
        <v>23</v>
      </c>
      <c r="F778" t="s">
        <v>24</v>
      </c>
      <c r="G778">
        <v>63</v>
      </c>
      <c r="H778">
        <v>22</v>
      </c>
      <c r="I778">
        <v>14.64</v>
      </c>
      <c r="J778">
        <v>0</v>
      </c>
      <c r="K778">
        <v>0</v>
      </c>
      <c r="L778">
        <v>0</v>
      </c>
      <c r="M778">
        <v>7.36</v>
      </c>
      <c r="N778">
        <v>0</v>
      </c>
      <c r="O778">
        <v>0</v>
      </c>
      <c r="P778">
        <v>908</v>
      </c>
      <c r="Q778">
        <v>701</v>
      </c>
      <c r="R778">
        <v>0</v>
      </c>
      <c r="S778">
        <v>0</v>
      </c>
      <c r="T778">
        <v>0</v>
      </c>
      <c r="U778">
        <v>207</v>
      </c>
      <c r="V778" s="1">
        <f t="shared" si="36"/>
        <v>0.34920000000000001</v>
      </c>
      <c r="W778" s="1">
        <f t="shared" si="37"/>
        <v>0</v>
      </c>
      <c r="X778" s="1">
        <f t="shared" si="38"/>
        <v>0</v>
      </c>
    </row>
    <row r="779" spans="1:24" x14ac:dyDescent="0.25">
      <c r="A779">
        <v>2019</v>
      </c>
      <c r="B779">
        <v>8</v>
      </c>
      <c r="C779" t="s">
        <v>25</v>
      </c>
      <c r="D779" t="str">
        <f>_xlfn.XLOOKUP(C779,'Carrier Name Rename'!A:A,'Carrier Name Rename'!B:B)</f>
        <v>Spirit Airlines</v>
      </c>
      <c r="E779" t="s">
        <v>23</v>
      </c>
      <c r="F779" t="s">
        <v>24</v>
      </c>
      <c r="G779">
        <v>279</v>
      </c>
      <c r="H779">
        <v>102</v>
      </c>
      <c r="I779">
        <v>22.19</v>
      </c>
      <c r="J779">
        <v>0.54</v>
      </c>
      <c r="K779">
        <v>56.79</v>
      </c>
      <c r="L779">
        <v>0</v>
      </c>
      <c r="M779">
        <v>22.47</v>
      </c>
      <c r="N779">
        <v>10</v>
      </c>
      <c r="O779">
        <v>0</v>
      </c>
      <c r="P779">
        <v>5452</v>
      </c>
      <c r="Q779">
        <v>1451</v>
      </c>
      <c r="R779">
        <v>27</v>
      </c>
      <c r="S779">
        <v>2789</v>
      </c>
      <c r="T779">
        <v>0</v>
      </c>
      <c r="U779">
        <v>1185</v>
      </c>
      <c r="V779" s="1">
        <f t="shared" si="36"/>
        <v>0.36559999999999998</v>
      </c>
      <c r="W779" s="1">
        <f t="shared" si="37"/>
        <v>3.5799999999999998E-2</v>
      </c>
      <c r="X779" s="1">
        <f t="shared" si="38"/>
        <v>0</v>
      </c>
    </row>
    <row r="780" spans="1:24" x14ac:dyDescent="0.25">
      <c r="A780">
        <v>2019</v>
      </c>
      <c r="B780">
        <v>8</v>
      </c>
      <c r="C780" t="s">
        <v>27</v>
      </c>
      <c r="D780" t="str">
        <f>_xlfn.XLOOKUP(C780,'Carrier Name Rename'!A:A,'Carrier Name Rename'!B:B)</f>
        <v>SkyWest Airlines Inc.</v>
      </c>
      <c r="E780" t="s">
        <v>23</v>
      </c>
      <c r="F780" t="s">
        <v>24</v>
      </c>
      <c r="G780">
        <v>651</v>
      </c>
      <c r="H780">
        <v>131</v>
      </c>
      <c r="I780">
        <v>18.3</v>
      </c>
      <c r="J780">
        <v>2.59</v>
      </c>
      <c r="K780">
        <v>84.76</v>
      </c>
      <c r="L780">
        <v>0.63</v>
      </c>
      <c r="M780">
        <v>24.73</v>
      </c>
      <c r="N780">
        <v>6</v>
      </c>
      <c r="O780">
        <v>0</v>
      </c>
      <c r="P780">
        <v>7773</v>
      </c>
      <c r="Q780">
        <v>3144</v>
      </c>
      <c r="R780">
        <v>392</v>
      </c>
      <c r="S780">
        <v>3117</v>
      </c>
      <c r="T780">
        <v>15</v>
      </c>
      <c r="U780">
        <v>1105</v>
      </c>
      <c r="V780" s="1">
        <f t="shared" si="36"/>
        <v>0.20119999999999999</v>
      </c>
      <c r="W780" s="1">
        <f t="shared" si="37"/>
        <v>9.1999999999999998E-3</v>
      </c>
      <c r="X780" s="1">
        <f t="shared" si="38"/>
        <v>0</v>
      </c>
    </row>
    <row r="781" spans="1:24" x14ac:dyDescent="0.25">
      <c r="A781">
        <v>2019</v>
      </c>
      <c r="B781">
        <v>8</v>
      </c>
      <c r="C781" t="s">
        <v>29</v>
      </c>
      <c r="D781" t="str">
        <f>_xlfn.XLOOKUP(C781,'Carrier Name Rename'!A:A,'Carrier Name Rename'!B:B)</f>
        <v>Horizon Air</v>
      </c>
      <c r="E781" t="s">
        <v>23</v>
      </c>
      <c r="F781" t="s">
        <v>24</v>
      </c>
      <c r="G781">
        <v>2970</v>
      </c>
      <c r="H781">
        <v>661</v>
      </c>
      <c r="I781">
        <v>63.54</v>
      </c>
      <c r="J781">
        <v>3.85</v>
      </c>
      <c r="K781">
        <v>447.54</v>
      </c>
      <c r="L781">
        <v>0</v>
      </c>
      <c r="M781">
        <v>146.07</v>
      </c>
      <c r="N781">
        <v>43</v>
      </c>
      <c r="O781">
        <v>3</v>
      </c>
      <c r="P781">
        <v>27424</v>
      </c>
      <c r="Q781">
        <v>4542</v>
      </c>
      <c r="R781">
        <v>201</v>
      </c>
      <c r="S781">
        <v>16367</v>
      </c>
      <c r="T781">
        <v>0</v>
      </c>
      <c r="U781">
        <v>6314</v>
      </c>
      <c r="V781" s="1">
        <f t="shared" si="36"/>
        <v>0.22259999999999999</v>
      </c>
      <c r="W781" s="1">
        <f t="shared" si="37"/>
        <v>1.4500000000000001E-2</v>
      </c>
      <c r="X781" s="1">
        <f t="shared" si="38"/>
        <v>1E-3</v>
      </c>
    </row>
    <row r="782" spans="1:24" x14ac:dyDescent="0.25">
      <c r="A782">
        <v>2019</v>
      </c>
      <c r="B782">
        <v>8</v>
      </c>
      <c r="C782" t="s">
        <v>41</v>
      </c>
      <c r="D782" t="str">
        <f>_xlfn.XLOOKUP(C782,'Carrier Name Rename'!A:A,'Carrier Name Rename'!B:B)</f>
        <v>United Air Lines Inc.</v>
      </c>
      <c r="E782" t="s">
        <v>23</v>
      </c>
      <c r="F782" t="s">
        <v>24</v>
      </c>
      <c r="G782">
        <v>1157</v>
      </c>
      <c r="H782">
        <v>332</v>
      </c>
      <c r="I782">
        <v>62.36</v>
      </c>
      <c r="J782">
        <v>8.1300000000000008</v>
      </c>
      <c r="K782">
        <v>136.58000000000001</v>
      </c>
      <c r="L782">
        <v>0</v>
      </c>
      <c r="M782">
        <v>124.93</v>
      </c>
      <c r="N782">
        <v>4</v>
      </c>
      <c r="O782">
        <v>0</v>
      </c>
      <c r="P782">
        <v>20781</v>
      </c>
      <c r="Q782">
        <v>4049</v>
      </c>
      <c r="R782">
        <v>1040</v>
      </c>
      <c r="S782">
        <v>5863</v>
      </c>
      <c r="T782">
        <v>0</v>
      </c>
      <c r="U782">
        <v>9829</v>
      </c>
      <c r="V782" s="1">
        <f t="shared" si="36"/>
        <v>0.28689999999999999</v>
      </c>
      <c r="W782" s="1">
        <f t="shared" si="37"/>
        <v>3.5000000000000001E-3</v>
      </c>
      <c r="X782" s="1">
        <f t="shared" si="38"/>
        <v>0</v>
      </c>
    </row>
    <row r="783" spans="1:24" x14ac:dyDescent="0.25">
      <c r="A783">
        <v>2019</v>
      </c>
      <c r="B783">
        <v>8</v>
      </c>
      <c r="C783" t="s">
        <v>43</v>
      </c>
      <c r="D783" t="str">
        <f>_xlfn.XLOOKUP(C783,'Carrier Name Rename'!A:A,'Carrier Name Rename'!B:B)</f>
        <v>Southwest Airlines Co.</v>
      </c>
      <c r="E783" t="s">
        <v>23</v>
      </c>
      <c r="F783" t="s">
        <v>24</v>
      </c>
      <c r="G783">
        <v>1106</v>
      </c>
      <c r="H783">
        <v>306</v>
      </c>
      <c r="I783">
        <v>77.81</v>
      </c>
      <c r="J783">
        <v>2.23</v>
      </c>
      <c r="K783">
        <v>134.88</v>
      </c>
      <c r="L783">
        <v>1</v>
      </c>
      <c r="M783">
        <v>90.09</v>
      </c>
      <c r="N783">
        <v>0</v>
      </c>
      <c r="O783">
        <v>1</v>
      </c>
      <c r="P783">
        <v>14236</v>
      </c>
      <c r="Q783">
        <v>3629</v>
      </c>
      <c r="R783">
        <v>343</v>
      </c>
      <c r="S783">
        <v>5149</v>
      </c>
      <c r="T783">
        <v>15</v>
      </c>
      <c r="U783">
        <v>5100</v>
      </c>
      <c r="V783" s="1">
        <f t="shared" si="36"/>
        <v>0.2767</v>
      </c>
      <c r="W783" s="1">
        <f t="shared" si="37"/>
        <v>0</v>
      </c>
      <c r="X783" s="1">
        <f t="shared" si="38"/>
        <v>8.9999999999999998E-4</v>
      </c>
    </row>
    <row r="784" spans="1:24" x14ac:dyDescent="0.25">
      <c r="A784">
        <v>2019</v>
      </c>
      <c r="B784">
        <v>8</v>
      </c>
      <c r="C784" t="s">
        <v>31</v>
      </c>
      <c r="D784" t="str">
        <f>_xlfn.XLOOKUP(C784,'Carrier Name Rename'!A:A,'Carrier Name Rename'!B:B)</f>
        <v>American Airlines Inc.</v>
      </c>
      <c r="E784" t="s">
        <v>23</v>
      </c>
      <c r="F784" t="s">
        <v>24</v>
      </c>
      <c r="G784">
        <v>813</v>
      </c>
      <c r="H784">
        <v>274</v>
      </c>
      <c r="I784">
        <v>94.28</v>
      </c>
      <c r="J784">
        <v>11.73</v>
      </c>
      <c r="K784">
        <v>85.27</v>
      </c>
      <c r="L784">
        <v>1.9</v>
      </c>
      <c r="M784">
        <v>80.81</v>
      </c>
      <c r="N784">
        <v>13</v>
      </c>
      <c r="O784">
        <v>1</v>
      </c>
      <c r="P784">
        <v>17807</v>
      </c>
      <c r="Q784">
        <v>6145</v>
      </c>
      <c r="R784">
        <v>978</v>
      </c>
      <c r="S784">
        <v>3660</v>
      </c>
      <c r="T784">
        <v>158</v>
      </c>
      <c r="U784">
        <v>6866</v>
      </c>
      <c r="V784" s="1">
        <f t="shared" si="36"/>
        <v>0.33700000000000002</v>
      </c>
      <c r="W784" s="1">
        <f t="shared" si="37"/>
        <v>1.6E-2</v>
      </c>
      <c r="X784" s="1">
        <f t="shared" si="38"/>
        <v>1.1999999999999999E-3</v>
      </c>
    </row>
    <row r="785" spans="1:24" x14ac:dyDescent="0.25">
      <c r="A785">
        <v>2019</v>
      </c>
      <c r="B785">
        <v>8</v>
      </c>
      <c r="C785" t="s">
        <v>33</v>
      </c>
      <c r="D785" t="str">
        <f>_xlfn.XLOOKUP(C785,'Carrier Name Rename'!A:A,'Carrier Name Rename'!B:B)</f>
        <v>Alaska Airlines Inc.</v>
      </c>
      <c r="E785" t="s">
        <v>23</v>
      </c>
      <c r="F785" t="s">
        <v>24</v>
      </c>
      <c r="G785">
        <v>6572</v>
      </c>
      <c r="H785">
        <v>1572</v>
      </c>
      <c r="I785">
        <v>222.64</v>
      </c>
      <c r="J785">
        <v>15.96</v>
      </c>
      <c r="K785">
        <v>848.76</v>
      </c>
      <c r="L785">
        <v>6.46</v>
      </c>
      <c r="M785">
        <v>478.18</v>
      </c>
      <c r="N785">
        <v>54</v>
      </c>
      <c r="O785">
        <v>7</v>
      </c>
      <c r="P785">
        <v>72289</v>
      </c>
      <c r="Q785">
        <v>13698</v>
      </c>
      <c r="R785">
        <v>1169</v>
      </c>
      <c r="S785">
        <v>28556</v>
      </c>
      <c r="T785">
        <v>190</v>
      </c>
      <c r="U785">
        <v>28676</v>
      </c>
      <c r="V785" s="1">
        <f t="shared" si="36"/>
        <v>0.2392</v>
      </c>
      <c r="W785" s="1">
        <f t="shared" si="37"/>
        <v>8.2000000000000007E-3</v>
      </c>
      <c r="X785" s="1">
        <f t="shared" si="38"/>
        <v>1.1000000000000001E-3</v>
      </c>
    </row>
    <row r="786" spans="1:24" x14ac:dyDescent="0.25">
      <c r="A786">
        <v>2019</v>
      </c>
      <c r="B786">
        <v>8</v>
      </c>
      <c r="C786" t="s">
        <v>35</v>
      </c>
      <c r="D786" t="str">
        <f>_xlfn.XLOOKUP(C786,'Carrier Name Rename'!A:A,'Carrier Name Rename'!B:B)</f>
        <v>JetBlue Airways</v>
      </c>
      <c r="E786" t="s">
        <v>23</v>
      </c>
      <c r="F786" t="s">
        <v>24</v>
      </c>
      <c r="G786">
        <v>217</v>
      </c>
      <c r="H786">
        <v>42</v>
      </c>
      <c r="I786">
        <v>13.64</v>
      </c>
      <c r="J786">
        <v>0.19</v>
      </c>
      <c r="K786">
        <v>24.4</v>
      </c>
      <c r="L786">
        <v>0</v>
      </c>
      <c r="M786">
        <v>3.77</v>
      </c>
      <c r="N786">
        <v>0</v>
      </c>
      <c r="O786">
        <v>0</v>
      </c>
      <c r="P786">
        <v>1777</v>
      </c>
      <c r="Q786">
        <v>660</v>
      </c>
      <c r="R786">
        <v>9</v>
      </c>
      <c r="S786">
        <v>920</v>
      </c>
      <c r="T786">
        <v>0</v>
      </c>
      <c r="U786">
        <v>188</v>
      </c>
      <c r="V786" s="1">
        <f t="shared" si="36"/>
        <v>0.19350000000000001</v>
      </c>
      <c r="W786" s="1">
        <f t="shared" si="37"/>
        <v>0</v>
      </c>
      <c r="X786" s="1">
        <f t="shared" si="38"/>
        <v>0</v>
      </c>
    </row>
    <row r="787" spans="1:24" x14ac:dyDescent="0.25">
      <c r="A787">
        <v>2019</v>
      </c>
      <c r="B787">
        <v>8</v>
      </c>
      <c r="C787" t="s">
        <v>47</v>
      </c>
      <c r="D787" t="str">
        <f>_xlfn.XLOOKUP(C787,'Carrier Name Rename'!A:A,'Carrier Name Rename'!B:B)</f>
        <v>Compass Airlines</v>
      </c>
      <c r="E787" t="s">
        <v>23</v>
      </c>
      <c r="F787" t="s">
        <v>24</v>
      </c>
      <c r="G787">
        <v>1406</v>
      </c>
      <c r="H787">
        <v>360</v>
      </c>
      <c r="I787">
        <v>51.27</v>
      </c>
      <c r="J787">
        <v>5.32</v>
      </c>
      <c r="K787">
        <v>126.39</v>
      </c>
      <c r="L787">
        <v>0</v>
      </c>
      <c r="M787">
        <v>177.02</v>
      </c>
      <c r="N787">
        <v>4</v>
      </c>
      <c r="O787">
        <v>1</v>
      </c>
      <c r="P787">
        <v>26020</v>
      </c>
      <c r="Q787">
        <v>6045</v>
      </c>
      <c r="R787">
        <v>470</v>
      </c>
      <c r="S787">
        <v>4517</v>
      </c>
      <c r="T787">
        <v>0</v>
      </c>
      <c r="U787">
        <v>14988</v>
      </c>
      <c r="V787" s="1">
        <f t="shared" si="36"/>
        <v>0.25600000000000001</v>
      </c>
      <c r="W787" s="1">
        <f t="shared" si="37"/>
        <v>2.8E-3</v>
      </c>
      <c r="X787" s="1">
        <f t="shared" si="38"/>
        <v>6.9999999999999999E-4</v>
      </c>
    </row>
    <row r="788" spans="1:24" x14ac:dyDescent="0.25">
      <c r="A788">
        <v>2019</v>
      </c>
      <c r="B788">
        <v>7</v>
      </c>
      <c r="C788" t="s">
        <v>31</v>
      </c>
      <c r="D788" t="str">
        <f>_xlfn.XLOOKUP(C788,'Carrier Name Rename'!A:A,'Carrier Name Rename'!B:B)</f>
        <v>American Airlines Inc.</v>
      </c>
      <c r="E788" t="s">
        <v>23</v>
      </c>
      <c r="F788" t="s">
        <v>24</v>
      </c>
      <c r="G788">
        <v>791</v>
      </c>
      <c r="H788">
        <v>242</v>
      </c>
      <c r="I788">
        <v>96.85</v>
      </c>
      <c r="J788">
        <v>12.88</v>
      </c>
      <c r="K788">
        <v>51.82</v>
      </c>
      <c r="L788">
        <v>0.7</v>
      </c>
      <c r="M788">
        <v>79.760000000000005</v>
      </c>
      <c r="N788">
        <v>23</v>
      </c>
      <c r="O788">
        <v>2</v>
      </c>
      <c r="P788">
        <v>16673</v>
      </c>
      <c r="Q788">
        <v>6265</v>
      </c>
      <c r="R788">
        <v>1272</v>
      </c>
      <c r="S788">
        <v>1868</v>
      </c>
      <c r="T788">
        <v>26</v>
      </c>
      <c r="U788">
        <v>7242</v>
      </c>
      <c r="V788" s="1">
        <f t="shared" si="36"/>
        <v>0.30590000000000001</v>
      </c>
      <c r="W788" s="1">
        <f t="shared" si="37"/>
        <v>2.9100000000000001E-2</v>
      </c>
      <c r="X788" s="1">
        <f t="shared" si="38"/>
        <v>2.5000000000000001E-3</v>
      </c>
    </row>
    <row r="789" spans="1:24" x14ac:dyDescent="0.25">
      <c r="A789">
        <v>2019</v>
      </c>
      <c r="B789">
        <v>7</v>
      </c>
      <c r="C789" t="s">
        <v>33</v>
      </c>
      <c r="D789" t="str">
        <f>_xlfn.XLOOKUP(C789,'Carrier Name Rename'!A:A,'Carrier Name Rename'!B:B)</f>
        <v>Alaska Airlines Inc.</v>
      </c>
      <c r="E789" t="s">
        <v>23</v>
      </c>
      <c r="F789" t="s">
        <v>24</v>
      </c>
      <c r="G789">
        <v>6489</v>
      </c>
      <c r="H789">
        <v>1065</v>
      </c>
      <c r="I789">
        <v>232.33</v>
      </c>
      <c r="J789">
        <v>22.92</v>
      </c>
      <c r="K789">
        <v>472.53</v>
      </c>
      <c r="L789">
        <v>4.16</v>
      </c>
      <c r="M789">
        <v>333.06</v>
      </c>
      <c r="N789">
        <v>43</v>
      </c>
      <c r="O789">
        <v>3</v>
      </c>
      <c r="P789">
        <v>54081</v>
      </c>
      <c r="Q789">
        <v>17260</v>
      </c>
      <c r="R789">
        <v>1882</v>
      </c>
      <c r="S789">
        <v>15919</v>
      </c>
      <c r="T789">
        <v>134</v>
      </c>
      <c r="U789">
        <v>18886</v>
      </c>
      <c r="V789" s="1">
        <f t="shared" si="36"/>
        <v>0.1641</v>
      </c>
      <c r="W789" s="1">
        <f t="shared" si="37"/>
        <v>6.6E-3</v>
      </c>
      <c r="X789" s="1">
        <f t="shared" si="38"/>
        <v>5.0000000000000001E-4</v>
      </c>
    </row>
    <row r="790" spans="1:24" x14ac:dyDescent="0.25">
      <c r="A790">
        <v>2019</v>
      </c>
      <c r="B790">
        <v>7</v>
      </c>
      <c r="C790" t="s">
        <v>35</v>
      </c>
      <c r="D790" t="str">
        <f>_xlfn.XLOOKUP(C790,'Carrier Name Rename'!A:A,'Carrier Name Rename'!B:B)</f>
        <v>JetBlue Airways</v>
      </c>
      <c r="E790" t="s">
        <v>23</v>
      </c>
      <c r="F790" t="s">
        <v>24</v>
      </c>
      <c r="G790">
        <v>217</v>
      </c>
      <c r="H790">
        <v>39</v>
      </c>
      <c r="I790">
        <v>14.96</v>
      </c>
      <c r="J790">
        <v>1</v>
      </c>
      <c r="K790">
        <v>10.7</v>
      </c>
      <c r="L790">
        <v>0</v>
      </c>
      <c r="M790">
        <v>12.34</v>
      </c>
      <c r="N790">
        <v>0</v>
      </c>
      <c r="O790">
        <v>0</v>
      </c>
      <c r="P790">
        <v>3882</v>
      </c>
      <c r="Q790">
        <v>1451</v>
      </c>
      <c r="R790">
        <v>264</v>
      </c>
      <c r="S790">
        <v>962</v>
      </c>
      <c r="T790">
        <v>0</v>
      </c>
      <c r="U790">
        <v>1205</v>
      </c>
      <c r="V790" s="1">
        <f t="shared" si="36"/>
        <v>0.1797</v>
      </c>
      <c r="W790" s="1">
        <f t="shared" si="37"/>
        <v>0</v>
      </c>
      <c r="X790" s="1">
        <f t="shared" si="38"/>
        <v>0</v>
      </c>
    </row>
    <row r="791" spans="1:24" x14ac:dyDescent="0.25">
      <c r="A791">
        <v>2019</v>
      </c>
      <c r="B791">
        <v>7</v>
      </c>
      <c r="C791" t="s">
        <v>47</v>
      </c>
      <c r="D791" t="str">
        <f>_xlfn.XLOOKUP(C791,'Carrier Name Rename'!A:A,'Carrier Name Rename'!B:B)</f>
        <v>Compass Airlines</v>
      </c>
      <c r="E791" t="s">
        <v>23</v>
      </c>
      <c r="F791" t="s">
        <v>24</v>
      </c>
      <c r="G791">
        <v>1392</v>
      </c>
      <c r="H791">
        <v>303</v>
      </c>
      <c r="I791">
        <v>65.599999999999994</v>
      </c>
      <c r="J791">
        <v>1.28</v>
      </c>
      <c r="K791">
        <v>82.72</v>
      </c>
      <c r="L791">
        <v>0</v>
      </c>
      <c r="M791">
        <v>153.4</v>
      </c>
      <c r="N791">
        <v>0</v>
      </c>
      <c r="O791">
        <v>1</v>
      </c>
      <c r="P791">
        <v>23002</v>
      </c>
      <c r="Q791">
        <v>8306</v>
      </c>
      <c r="R791">
        <v>63</v>
      </c>
      <c r="S791">
        <v>2926</v>
      </c>
      <c r="T791">
        <v>0</v>
      </c>
      <c r="U791">
        <v>11707</v>
      </c>
      <c r="V791" s="1">
        <f t="shared" si="36"/>
        <v>0.2177</v>
      </c>
      <c r="W791" s="1">
        <f t="shared" si="37"/>
        <v>0</v>
      </c>
      <c r="X791" s="1">
        <f t="shared" si="38"/>
        <v>6.9999999999999999E-4</v>
      </c>
    </row>
    <row r="792" spans="1:24" x14ac:dyDescent="0.25">
      <c r="A792">
        <v>2019</v>
      </c>
      <c r="B792">
        <v>7</v>
      </c>
      <c r="C792" t="s">
        <v>37</v>
      </c>
      <c r="D792" t="str">
        <f>_xlfn.XLOOKUP(C792,'Carrier Name Rename'!A:A,'Carrier Name Rename'!B:B)</f>
        <v>Delta Air Lines Inc.</v>
      </c>
      <c r="E792" t="s">
        <v>23</v>
      </c>
      <c r="F792" t="s">
        <v>24</v>
      </c>
      <c r="G792">
        <v>3179</v>
      </c>
      <c r="H792">
        <v>486</v>
      </c>
      <c r="I792">
        <v>164.2</v>
      </c>
      <c r="J792">
        <v>12.74</v>
      </c>
      <c r="K792">
        <v>144.85</v>
      </c>
      <c r="L792">
        <v>1</v>
      </c>
      <c r="M792">
        <v>163.21</v>
      </c>
      <c r="N792">
        <v>2</v>
      </c>
      <c r="O792">
        <v>2</v>
      </c>
      <c r="P792">
        <v>32376</v>
      </c>
      <c r="Q792">
        <v>12676</v>
      </c>
      <c r="R792">
        <v>1070</v>
      </c>
      <c r="S792">
        <v>7309</v>
      </c>
      <c r="T792">
        <v>15</v>
      </c>
      <c r="U792">
        <v>11306</v>
      </c>
      <c r="V792" s="1">
        <f t="shared" si="36"/>
        <v>0.15290000000000001</v>
      </c>
      <c r="W792" s="1">
        <f t="shared" si="37"/>
        <v>5.9999999999999995E-4</v>
      </c>
      <c r="X792" s="1">
        <f t="shared" si="38"/>
        <v>5.9999999999999995E-4</v>
      </c>
    </row>
    <row r="793" spans="1:24" x14ac:dyDescent="0.25">
      <c r="A793">
        <v>2019</v>
      </c>
      <c r="B793">
        <v>7</v>
      </c>
      <c r="C793" t="s">
        <v>39</v>
      </c>
      <c r="D793" t="str">
        <f>_xlfn.XLOOKUP(C793,'Carrier Name Rename'!A:A,'Carrier Name Rename'!B:B)</f>
        <v>Frontier Airlines Inc.</v>
      </c>
      <c r="E793" t="s">
        <v>23</v>
      </c>
      <c r="F793" t="s">
        <v>24</v>
      </c>
      <c r="G793">
        <v>93</v>
      </c>
      <c r="H793">
        <v>44</v>
      </c>
      <c r="I793">
        <v>19.86</v>
      </c>
      <c r="J793">
        <v>3.21</v>
      </c>
      <c r="K793">
        <v>13.05</v>
      </c>
      <c r="L793">
        <v>0</v>
      </c>
      <c r="M793">
        <v>7.88</v>
      </c>
      <c r="N793">
        <v>5</v>
      </c>
      <c r="O793">
        <v>0</v>
      </c>
      <c r="P793">
        <v>2691</v>
      </c>
      <c r="Q793">
        <v>1119</v>
      </c>
      <c r="R793">
        <v>98</v>
      </c>
      <c r="S793">
        <v>616</v>
      </c>
      <c r="T793">
        <v>0</v>
      </c>
      <c r="U793">
        <v>858</v>
      </c>
      <c r="V793" s="1">
        <f t="shared" si="36"/>
        <v>0.47310000000000002</v>
      </c>
      <c r="W793" s="1">
        <f t="shared" si="37"/>
        <v>5.3800000000000001E-2</v>
      </c>
      <c r="X793" s="1">
        <f t="shared" si="38"/>
        <v>0</v>
      </c>
    </row>
    <row r="794" spans="1:24" x14ac:dyDescent="0.25">
      <c r="A794">
        <v>2019</v>
      </c>
      <c r="B794">
        <v>7</v>
      </c>
      <c r="C794" t="s">
        <v>21</v>
      </c>
      <c r="D794" t="str">
        <f>_xlfn.XLOOKUP(C794,'Carrier Name Rename'!A:A,'Carrier Name Rename'!B:B)</f>
        <v>Hawaiian Airlines Inc.</v>
      </c>
      <c r="E794" t="s">
        <v>23</v>
      </c>
      <c r="F794" t="s">
        <v>24</v>
      </c>
      <c r="G794">
        <v>62</v>
      </c>
      <c r="H794">
        <v>28</v>
      </c>
      <c r="I794">
        <v>21.35</v>
      </c>
      <c r="J794">
        <v>0</v>
      </c>
      <c r="K794">
        <v>0.5</v>
      </c>
      <c r="L794">
        <v>0</v>
      </c>
      <c r="M794">
        <v>6.15</v>
      </c>
      <c r="N794">
        <v>0</v>
      </c>
      <c r="O794">
        <v>0</v>
      </c>
      <c r="P794">
        <v>709</v>
      </c>
      <c r="Q794">
        <v>542</v>
      </c>
      <c r="R794">
        <v>0</v>
      </c>
      <c r="S794">
        <v>10</v>
      </c>
      <c r="T794">
        <v>0</v>
      </c>
      <c r="U794">
        <v>157</v>
      </c>
      <c r="V794" s="1">
        <f t="shared" si="36"/>
        <v>0.4516</v>
      </c>
      <c r="W794" s="1">
        <f t="shared" si="37"/>
        <v>0</v>
      </c>
      <c r="X794" s="1">
        <f t="shared" si="38"/>
        <v>0</v>
      </c>
    </row>
    <row r="795" spans="1:24" x14ac:dyDescent="0.25">
      <c r="A795">
        <v>2019</v>
      </c>
      <c r="B795">
        <v>7</v>
      </c>
      <c r="C795" t="s">
        <v>25</v>
      </c>
      <c r="D795" t="str">
        <f>_xlfn.XLOOKUP(C795,'Carrier Name Rename'!A:A,'Carrier Name Rename'!B:B)</f>
        <v>Spirit Airlines</v>
      </c>
      <c r="E795" t="s">
        <v>23</v>
      </c>
      <c r="F795" t="s">
        <v>24</v>
      </c>
      <c r="G795">
        <v>279</v>
      </c>
      <c r="H795">
        <v>79</v>
      </c>
      <c r="I795">
        <v>15.18</v>
      </c>
      <c r="J795">
        <v>1.02</v>
      </c>
      <c r="K795">
        <v>36.020000000000003</v>
      </c>
      <c r="L795">
        <v>0</v>
      </c>
      <c r="M795">
        <v>26.78</v>
      </c>
      <c r="N795">
        <v>3</v>
      </c>
      <c r="O795">
        <v>0</v>
      </c>
      <c r="P795">
        <v>4719</v>
      </c>
      <c r="Q795">
        <v>862</v>
      </c>
      <c r="R795">
        <v>70</v>
      </c>
      <c r="S795">
        <v>1842</v>
      </c>
      <c r="T795">
        <v>0</v>
      </c>
      <c r="U795">
        <v>1945</v>
      </c>
      <c r="V795" s="1">
        <f t="shared" si="36"/>
        <v>0.28320000000000001</v>
      </c>
      <c r="W795" s="1">
        <f t="shared" si="37"/>
        <v>1.0800000000000001E-2</v>
      </c>
      <c r="X795" s="1">
        <f t="shared" si="38"/>
        <v>0</v>
      </c>
    </row>
    <row r="796" spans="1:24" x14ac:dyDescent="0.25">
      <c r="A796">
        <v>2019</v>
      </c>
      <c r="B796">
        <v>7</v>
      </c>
      <c r="C796" t="s">
        <v>27</v>
      </c>
      <c r="D796" t="str">
        <f>_xlfn.XLOOKUP(C796,'Carrier Name Rename'!A:A,'Carrier Name Rename'!B:B)</f>
        <v>SkyWest Airlines Inc.</v>
      </c>
      <c r="E796" t="s">
        <v>23</v>
      </c>
      <c r="F796" t="s">
        <v>24</v>
      </c>
      <c r="G796">
        <v>540</v>
      </c>
      <c r="H796">
        <v>66</v>
      </c>
      <c r="I796">
        <v>10.64</v>
      </c>
      <c r="J796">
        <v>0.03</v>
      </c>
      <c r="K796">
        <v>31.25</v>
      </c>
      <c r="L796">
        <v>0</v>
      </c>
      <c r="M796">
        <v>24.09</v>
      </c>
      <c r="N796">
        <v>1</v>
      </c>
      <c r="O796">
        <v>1</v>
      </c>
      <c r="P796">
        <v>3130</v>
      </c>
      <c r="Q796">
        <v>651</v>
      </c>
      <c r="R796">
        <v>2</v>
      </c>
      <c r="S796">
        <v>989</v>
      </c>
      <c r="T796">
        <v>0</v>
      </c>
      <c r="U796">
        <v>1488</v>
      </c>
      <c r="V796" s="1">
        <f t="shared" si="36"/>
        <v>0.1222</v>
      </c>
      <c r="W796" s="1">
        <f t="shared" si="37"/>
        <v>1.9E-3</v>
      </c>
      <c r="X796" s="1">
        <f t="shared" si="38"/>
        <v>1.9E-3</v>
      </c>
    </row>
    <row r="797" spans="1:24" x14ac:dyDescent="0.25">
      <c r="A797">
        <v>2019</v>
      </c>
      <c r="B797">
        <v>7</v>
      </c>
      <c r="C797" t="s">
        <v>29</v>
      </c>
      <c r="D797" t="str">
        <f>_xlfn.XLOOKUP(C797,'Carrier Name Rename'!A:A,'Carrier Name Rename'!B:B)</f>
        <v>Horizon Air</v>
      </c>
      <c r="E797" t="s">
        <v>23</v>
      </c>
      <c r="F797" t="s">
        <v>24</v>
      </c>
      <c r="G797">
        <v>2929</v>
      </c>
      <c r="H797">
        <v>488</v>
      </c>
      <c r="I797">
        <v>58.53</v>
      </c>
      <c r="J797">
        <v>8.77</v>
      </c>
      <c r="K797">
        <v>291.77999999999997</v>
      </c>
      <c r="L797">
        <v>1.47</v>
      </c>
      <c r="M797">
        <v>127.46</v>
      </c>
      <c r="N797">
        <v>24</v>
      </c>
      <c r="O797">
        <v>0</v>
      </c>
      <c r="P797">
        <v>17802</v>
      </c>
      <c r="Q797">
        <v>3011</v>
      </c>
      <c r="R797">
        <v>412</v>
      </c>
      <c r="S797">
        <v>8805</v>
      </c>
      <c r="T797">
        <v>30</v>
      </c>
      <c r="U797">
        <v>5544</v>
      </c>
      <c r="V797" s="1">
        <f t="shared" si="36"/>
        <v>0.1666</v>
      </c>
      <c r="W797" s="1">
        <f t="shared" si="37"/>
        <v>8.2000000000000007E-3</v>
      </c>
      <c r="X797" s="1">
        <f t="shared" si="38"/>
        <v>0</v>
      </c>
    </row>
    <row r="798" spans="1:24" x14ac:dyDescent="0.25">
      <c r="A798">
        <v>2019</v>
      </c>
      <c r="B798">
        <v>7</v>
      </c>
      <c r="C798" t="s">
        <v>41</v>
      </c>
      <c r="D798" t="str">
        <f>_xlfn.XLOOKUP(C798,'Carrier Name Rename'!A:A,'Carrier Name Rename'!B:B)</f>
        <v>United Air Lines Inc.</v>
      </c>
      <c r="E798" t="s">
        <v>23</v>
      </c>
      <c r="F798" t="s">
        <v>24</v>
      </c>
      <c r="G798">
        <v>1036</v>
      </c>
      <c r="H798">
        <v>262</v>
      </c>
      <c r="I798">
        <v>66.83</v>
      </c>
      <c r="J798">
        <v>20.57</v>
      </c>
      <c r="K798">
        <v>67.38</v>
      </c>
      <c r="L798">
        <v>0</v>
      </c>
      <c r="M798">
        <v>107.22</v>
      </c>
      <c r="N798">
        <v>9</v>
      </c>
      <c r="O798">
        <v>2</v>
      </c>
      <c r="P798">
        <v>17981</v>
      </c>
      <c r="Q798">
        <v>3510</v>
      </c>
      <c r="R798">
        <v>2577</v>
      </c>
      <c r="S798">
        <v>2652</v>
      </c>
      <c r="T798">
        <v>0</v>
      </c>
      <c r="U798">
        <v>9242</v>
      </c>
      <c r="V798" s="1">
        <f t="shared" si="36"/>
        <v>0.25290000000000001</v>
      </c>
      <c r="W798" s="1">
        <f t="shared" si="37"/>
        <v>8.6999999999999994E-3</v>
      </c>
      <c r="X798" s="1">
        <f t="shared" si="38"/>
        <v>1.9E-3</v>
      </c>
    </row>
    <row r="799" spans="1:24" x14ac:dyDescent="0.25">
      <c r="A799">
        <v>2019</v>
      </c>
      <c r="B799">
        <v>7</v>
      </c>
      <c r="C799" t="s">
        <v>43</v>
      </c>
      <c r="D799" t="str">
        <f>_xlfn.XLOOKUP(C799,'Carrier Name Rename'!A:A,'Carrier Name Rename'!B:B)</f>
        <v>Southwest Airlines Co.</v>
      </c>
      <c r="E799" t="s">
        <v>23</v>
      </c>
      <c r="F799" t="s">
        <v>24</v>
      </c>
      <c r="G799">
        <v>1166</v>
      </c>
      <c r="H799">
        <v>252</v>
      </c>
      <c r="I799">
        <v>80.849999999999994</v>
      </c>
      <c r="J799">
        <v>4.46</v>
      </c>
      <c r="K799">
        <v>72.91</v>
      </c>
      <c r="L799">
        <v>0</v>
      </c>
      <c r="M799">
        <v>93.77</v>
      </c>
      <c r="N799">
        <v>2</v>
      </c>
      <c r="O799">
        <v>1</v>
      </c>
      <c r="P799">
        <v>10847</v>
      </c>
      <c r="Q799">
        <v>3312</v>
      </c>
      <c r="R799">
        <v>394</v>
      </c>
      <c r="S799">
        <v>2476</v>
      </c>
      <c r="T799">
        <v>0</v>
      </c>
      <c r="U799">
        <v>4665</v>
      </c>
      <c r="V799" s="1">
        <f t="shared" si="36"/>
        <v>0.21609999999999999</v>
      </c>
      <c r="W799" s="1">
        <f t="shared" si="37"/>
        <v>1.6999999999999999E-3</v>
      </c>
      <c r="X799" s="1">
        <f t="shared" si="38"/>
        <v>8.9999999999999998E-4</v>
      </c>
    </row>
    <row r="800" spans="1:24" x14ac:dyDescent="0.25">
      <c r="A800">
        <v>2019</v>
      </c>
      <c r="B800">
        <v>6</v>
      </c>
      <c r="C800" t="s">
        <v>31</v>
      </c>
      <c r="D800" t="str">
        <f>_xlfn.XLOOKUP(C800,'Carrier Name Rename'!A:A,'Carrier Name Rename'!B:B)</f>
        <v>American Airlines Inc.</v>
      </c>
      <c r="E800" t="s">
        <v>23</v>
      </c>
      <c r="F800" t="s">
        <v>24</v>
      </c>
      <c r="G800">
        <v>764</v>
      </c>
      <c r="H800">
        <v>304</v>
      </c>
      <c r="I800">
        <v>124.31</v>
      </c>
      <c r="J800">
        <v>16.28</v>
      </c>
      <c r="K800">
        <v>61.7</v>
      </c>
      <c r="L800">
        <v>0</v>
      </c>
      <c r="M800">
        <v>101.71</v>
      </c>
      <c r="N800">
        <v>43</v>
      </c>
      <c r="O800">
        <v>0</v>
      </c>
      <c r="P800">
        <v>19080</v>
      </c>
      <c r="Q800">
        <v>7672</v>
      </c>
      <c r="R800">
        <v>1430</v>
      </c>
      <c r="S800">
        <v>2449</v>
      </c>
      <c r="T800">
        <v>0</v>
      </c>
      <c r="U800">
        <v>7529</v>
      </c>
      <c r="V800" s="1">
        <f t="shared" si="36"/>
        <v>0.39789999999999998</v>
      </c>
      <c r="W800" s="1">
        <f t="shared" si="37"/>
        <v>5.6300000000000003E-2</v>
      </c>
      <c r="X800" s="1">
        <f t="shared" si="38"/>
        <v>0</v>
      </c>
    </row>
    <row r="801" spans="1:24" x14ac:dyDescent="0.25">
      <c r="A801">
        <v>2019</v>
      </c>
      <c r="B801">
        <v>6</v>
      </c>
      <c r="C801" t="s">
        <v>33</v>
      </c>
      <c r="D801" t="str">
        <f>_xlfn.XLOOKUP(C801,'Carrier Name Rename'!A:A,'Carrier Name Rename'!B:B)</f>
        <v>Alaska Airlines Inc.</v>
      </c>
      <c r="E801" t="s">
        <v>23</v>
      </c>
      <c r="F801" t="s">
        <v>24</v>
      </c>
      <c r="G801">
        <v>6109</v>
      </c>
      <c r="H801">
        <v>1114</v>
      </c>
      <c r="I801">
        <v>245.22</v>
      </c>
      <c r="J801">
        <v>34.270000000000003</v>
      </c>
      <c r="K801">
        <v>519.32000000000005</v>
      </c>
      <c r="L801">
        <v>6.44</v>
      </c>
      <c r="M801">
        <v>308.76</v>
      </c>
      <c r="N801">
        <v>49</v>
      </c>
      <c r="O801">
        <v>6</v>
      </c>
      <c r="P801">
        <v>56275</v>
      </c>
      <c r="Q801">
        <v>17621</v>
      </c>
      <c r="R801">
        <v>1922</v>
      </c>
      <c r="S801">
        <v>16720</v>
      </c>
      <c r="T801">
        <v>166</v>
      </c>
      <c r="U801">
        <v>19846</v>
      </c>
      <c r="V801" s="1">
        <f t="shared" si="36"/>
        <v>0.18240000000000001</v>
      </c>
      <c r="W801" s="1">
        <f t="shared" si="37"/>
        <v>8.0000000000000002E-3</v>
      </c>
      <c r="X801" s="1">
        <f t="shared" si="38"/>
        <v>1E-3</v>
      </c>
    </row>
    <row r="802" spans="1:24" x14ac:dyDescent="0.25">
      <c r="A802">
        <v>2019</v>
      </c>
      <c r="B802">
        <v>6</v>
      </c>
      <c r="C802" t="s">
        <v>35</v>
      </c>
      <c r="D802" t="str">
        <f>_xlfn.XLOOKUP(C802,'Carrier Name Rename'!A:A,'Carrier Name Rename'!B:B)</f>
        <v>JetBlue Airways</v>
      </c>
      <c r="E802" t="s">
        <v>23</v>
      </c>
      <c r="F802" t="s">
        <v>24</v>
      </c>
      <c r="G802">
        <v>206</v>
      </c>
      <c r="H802">
        <v>37</v>
      </c>
      <c r="I802">
        <v>11.37</v>
      </c>
      <c r="J802">
        <v>0.78</v>
      </c>
      <c r="K802">
        <v>13.12</v>
      </c>
      <c r="L802">
        <v>0</v>
      </c>
      <c r="M802">
        <v>11.73</v>
      </c>
      <c r="N802">
        <v>1</v>
      </c>
      <c r="O802">
        <v>0</v>
      </c>
      <c r="P802">
        <v>1960</v>
      </c>
      <c r="Q802">
        <v>848</v>
      </c>
      <c r="R802">
        <v>42</v>
      </c>
      <c r="S802">
        <v>429</v>
      </c>
      <c r="T802">
        <v>0</v>
      </c>
      <c r="U802">
        <v>641</v>
      </c>
      <c r="V802" s="1">
        <f t="shared" si="36"/>
        <v>0.17960000000000001</v>
      </c>
      <c r="W802" s="1">
        <f t="shared" si="37"/>
        <v>4.8999999999999998E-3</v>
      </c>
      <c r="X802" s="1">
        <f t="shared" si="38"/>
        <v>0</v>
      </c>
    </row>
    <row r="803" spans="1:24" x14ac:dyDescent="0.25">
      <c r="A803">
        <v>2019</v>
      </c>
      <c r="B803">
        <v>6</v>
      </c>
      <c r="C803" t="s">
        <v>47</v>
      </c>
      <c r="D803" t="str">
        <f>_xlfn.XLOOKUP(C803,'Carrier Name Rename'!A:A,'Carrier Name Rename'!B:B)</f>
        <v>Compass Airlines</v>
      </c>
      <c r="E803" t="s">
        <v>23</v>
      </c>
      <c r="F803" t="s">
        <v>24</v>
      </c>
      <c r="G803">
        <v>1373</v>
      </c>
      <c r="H803">
        <v>264</v>
      </c>
      <c r="I803">
        <v>56.83</v>
      </c>
      <c r="J803">
        <v>4.42</v>
      </c>
      <c r="K803">
        <v>74.03</v>
      </c>
      <c r="L803">
        <v>0.95</v>
      </c>
      <c r="M803">
        <v>127.77</v>
      </c>
      <c r="N803">
        <v>0</v>
      </c>
      <c r="O803">
        <v>1</v>
      </c>
      <c r="P803">
        <v>16381</v>
      </c>
      <c r="Q803">
        <v>4325</v>
      </c>
      <c r="R803">
        <v>514</v>
      </c>
      <c r="S803">
        <v>2751</v>
      </c>
      <c r="T803">
        <v>40</v>
      </c>
      <c r="U803">
        <v>8751</v>
      </c>
      <c r="V803" s="1">
        <f t="shared" si="36"/>
        <v>0.1923</v>
      </c>
      <c r="W803" s="1">
        <f t="shared" si="37"/>
        <v>0</v>
      </c>
      <c r="X803" s="1">
        <f t="shared" si="38"/>
        <v>6.9999999999999999E-4</v>
      </c>
    </row>
    <row r="804" spans="1:24" x14ac:dyDescent="0.25">
      <c r="A804">
        <v>2019</v>
      </c>
      <c r="B804">
        <v>6</v>
      </c>
      <c r="C804" t="s">
        <v>37</v>
      </c>
      <c r="D804" t="str">
        <f>_xlfn.XLOOKUP(C804,'Carrier Name Rename'!A:A,'Carrier Name Rename'!B:B)</f>
        <v>Delta Air Lines Inc.</v>
      </c>
      <c r="E804" t="s">
        <v>23</v>
      </c>
      <c r="F804" t="s">
        <v>24</v>
      </c>
      <c r="G804">
        <v>2910</v>
      </c>
      <c r="H804">
        <v>482</v>
      </c>
      <c r="I804">
        <v>168.01</v>
      </c>
      <c r="J804">
        <v>11.66</v>
      </c>
      <c r="K804">
        <v>149.9</v>
      </c>
      <c r="L804">
        <v>0</v>
      </c>
      <c r="M804">
        <v>152.44</v>
      </c>
      <c r="N804">
        <v>2</v>
      </c>
      <c r="O804">
        <v>1</v>
      </c>
      <c r="P804">
        <v>27015</v>
      </c>
      <c r="Q804">
        <v>12414</v>
      </c>
      <c r="R804">
        <v>623</v>
      </c>
      <c r="S804">
        <v>4770</v>
      </c>
      <c r="T804">
        <v>0</v>
      </c>
      <c r="U804">
        <v>9208</v>
      </c>
      <c r="V804" s="1">
        <f t="shared" si="36"/>
        <v>0.1656</v>
      </c>
      <c r="W804" s="1">
        <f t="shared" si="37"/>
        <v>6.9999999999999999E-4</v>
      </c>
      <c r="X804" s="1">
        <f t="shared" si="38"/>
        <v>2.9999999999999997E-4</v>
      </c>
    </row>
    <row r="805" spans="1:24" x14ac:dyDescent="0.25">
      <c r="A805">
        <v>2019</v>
      </c>
      <c r="B805">
        <v>6</v>
      </c>
      <c r="C805" t="s">
        <v>39</v>
      </c>
      <c r="D805" t="str">
        <f>_xlfn.XLOOKUP(C805,'Carrier Name Rename'!A:A,'Carrier Name Rename'!B:B)</f>
        <v>Frontier Airlines Inc.</v>
      </c>
      <c r="E805" t="s">
        <v>23</v>
      </c>
      <c r="F805" t="s">
        <v>24</v>
      </c>
      <c r="G805">
        <v>89</v>
      </c>
      <c r="H805">
        <v>47</v>
      </c>
      <c r="I805">
        <v>17.63</v>
      </c>
      <c r="J805">
        <v>1.1299999999999999</v>
      </c>
      <c r="K805">
        <v>15.54</v>
      </c>
      <c r="L805">
        <v>0</v>
      </c>
      <c r="M805">
        <v>12.7</v>
      </c>
      <c r="N805">
        <v>2</v>
      </c>
      <c r="O805">
        <v>0</v>
      </c>
      <c r="P805">
        <v>2389</v>
      </c>
      <c r="Q805">
        <v>789</v>
      </c>
      <c r="R805">
        <v>22</v>
      </c>
      <c r="S805">
        <v>581</v>
      </c>
      <c r="T805">
        <v>0</v>
      </c>
      <c r="U805">
        <v>997</v>
      </c>
      <c r="V805" s="1">
        <f t="shared" si="36"/>
        <v>0.52810000000000001</v>
      </c>
      <c r="W805" s="1">
        <f t="shared" si="37"/>
        <v>2.2499999999999999E-2</v>
      </c>
      <c r="X805" s="1">
        <f t="shared" si="38"/>
        <v>0</v>
      </c>
    </row>
    <row r="806" spans="1:24" x14ac:dyDescent="0.25">
      <c r="A806">
        <v>2019</v>
      </c>
      <c r="B806">
        <v>6</v>
      </c>
      <c r="C806" t="s">
        <v>21</v>
      </c>
      <c r="D806" t="str">
        <f>_xlfn.XLOOKUP(C806,'Carrier Name Rename'!A:A,'Carrier Name Rename'!B:B)</f>
        <v>Hawaiian Airlines Inc.</v>
      </c>
      <c r="E806" t="s">
        <v>23</v>
      </c>
      <c r="F806" t="s">
        <v>24</v>
      </c>
      <c r="G806">
        <v>60</v>
      </c>
      <c r="H806">
        <v>27</v>
      </c>
      <c r="I806">
        <v>21.46</v>
      </c>
      <c r="J806">
        <v>0</v>
      </c>
      <c r="K806">
        <v>0.37</v>
      </c>
      <c r="L806">
        <v>1</v>
      </c>
      <c r="M806">
        <v>4.17</v>
      </c>
      <c r="N806">
        <v>0</v>
      </c>
      <c r="O806">
        <v>0</v>
      </c>
      <c r="P806">
        <v>852</v>
      </c>
      <c r="Q806">
        <v>516</v>
      </c>
      <c r="R806">
        <v>0</v>
      </c>
      <c r="S806">
        <v>7</v>
      </c>
      <c r="T806">
        <v>161</v>
      </c>
      <c r="U806">
        <v>168</v>
      </c>
      <c r="V806" s="1">
        <f t="shared" si="36"/>
        <v>0.45</v>
      </c>
      <c r="W806" s="1">
        <f t="shared" si="37"/>
        <v>0</v>
      </c>
      <c r="X806" s="1">
        <f t="shared" si="38"/>
        <v>0</v>
      </c>
    </row>
    <row r="807" spans="1:24" x14ac:dyDescent="0.25">
      <c r="A807">
        <v>2019</v>
      </c>
      <c r="B807">
        <v>6</v>
      </c>
      <c r="C807" t="s">
        <v>25</v>
      </c>
      <c r="D807" t="str">
        <f>_xlfn.XLOOKUP(C807,'Carrier Name Rename'!A:A,'Carrier Name Rename'!B:B)</f>
        <v>Spirit Airlines</v>
      </c>
      <c r="E807" t="s">
        <v>23</v>
      </c>
      <c r="F807" t="s">
        <v>24</v>
      </c>
      <c r="G807">
        <v>270</v>
      </c>
      <c r="H807">
        <v>84</v>
      </c>
      <c r="I807">
        <v>19.25</v>
      </c>
      <c r="J807">
        <v>0.61</v>
      </c>
      <c r="K807">
        <v>43.17</v>
      </c>
      <c r="L807">
        <v>0.44</v>
      </c>
      <c r="M807">
        <v>20.53</v>
      </c>
      <c r="N807">
        <v>8</v>
      </c>
      <c r="O807">
        <v>0</v>
      </c>
      <c r="P807">
        <v>4204</v>
      </c>
      <c r="Q807">
        <v>936</v>
      </c>
      <c r="R807">
        <v>27</v>
      </c>
      <c r="S807">
        <v>1982</v>
      </c>
      <c r="T807">
        <v>8</v>
      </c>
      <c r="U807">
        <v>1251</v>
      </c>
      <c r="V807" s="1">
        <f t="shared" si="36"/>
        <v>0.31109999999999999</v>
      </c>
      <c r="W807" s="1">
        <f t="shared" si="37"/>
        <v>2.9600000000000001E-2</v>
      </c>
      <c r="X807" s="1">
        <f t="shared" si="38"/>
        <v>0</v>
      </c>
    </row>
    <row r="808" spans="1:24" x14ac:dyDescent="0.25">
      <c r="A808">
        <v>2019</v>
      </c>
      <c r="B808">
        <v>6</v>
      </c>
      <c r="C808" t="s">
        <v>27</v>
      </c>
      <c r="D808" t="str">
        <f>_xlfn.XLOOKUP(C808,'Carrier Name Rename'!A:A,'Carrier Name Rename'!B:B)</f>
        <v>SkyWest Airlines Inc.</v>
      </c>
      <c r="E808" t="s">
        <v>23</v>
      </c>
      <c r="F808" t="s">
        <v>24</v>
      </c>
      <c r="G808">
        <v>557</v>
      </c>
      <c r="H808">
        <v>74</v>
      </c>
      <c r="I808">
        <v>13.36</v>
      </c>
      <c r="J808">
        <v>2.44</v>
      </c>
      <c r="K808">
        <v>42.07</v>
      </c>
      <c r="L808">
        <v>0</v>
      </c>
      <c r="M808">
        <v>16.12</v>
      </c>
      <c r="N808">
        <v>0</v>
      </c>
      <c r="O808">
        <v>0</v>
      </c>
      <c r="P808">
        <v>3630</v>
      </c>
      <c r="Q808">
        <v>922</v>
      </c>
      <c r="R808">
        <v>752</v>
      </c>
      <c r="S808">
        <v>1266</v>
      </c>
      <c r="T808">
        <v>0</v>
      </c>
      <c r="U808">
        <v>690</v>
      </c>
      <c r="V808" s="1">
        <f t="shared" si="36"/>
        <v>0.13289999999999999</v>
      </c>
      <c r="W808" s="1">
        <f t="shared" si="37"/>
        <v>0</v>
      </c>
      <c r="X808" s="1">
        <f t="shared" si="38"/>
        <v>0</v>
      </c>
    </row>
    <row r="809" spans="1:24" x14ac:dyDescent="0.25">
      <c r="A809">
        <v>2019</v>
      </c>
      <c r="B809">
        <v>6</v>
      </c>
      <c r="C809" t="s">
        <v>29</v>
      </c>
      <c r="D809" t="str">
        <f>_xlfn.XLOOKUP(C809,'Carrier Name Rename'!A:A,'Carrier Name Rename'!B:B)</f>
        <v>Horizon Air</v>
      </c>
      <c r="E809" t="s">
        <v>23</v>
      </c>
      <c r="F809" t="s">
        <v>24</v>
      </c>
      <c r="G809">
        <v>2808</v>
      </c>
      <c r="H809">
        <v>498</v>
      </c>
      <c r="I809">
        <v>61.91</v>
      </c>
      <c r="J809">
        <v>4.76</v>
      </c>
      <c r="K809">
        <v>310.13</v>
      </c>
      <c r="L809">
        <v>1.18</v>
      </c>
      <c r="M809">
        <v>120.02</v>
      </c>
      <c r="N809">
        <v>8</v>
      </c>
      <c r="O809">
        <v>1</v>
      </c>
      <c r="P809">
        <v>20024</v>
      </c>
      <c r="Q809">
        <v>3537</v>
      </c>
      <c r="R809">
        <v>250</v>
      </c>
      <c r="S809">
        <v>10420</v>
      </c>
      <c r="T809">
        <v>39</v>
      </c>
      <c r="U809">
        <v>5778</v>
      </c>
      <c r="V809" s="1">
        <f t="shared" si="36"/>
        <v>0.1774</v>
      </c>
      <c r="W809" s="1">
        <f t="shared" si="37"/>
        <v>2.8E-3</v>
      </c>
      <c r="X809" s="1">
        <f t="shared" si="38"/>
        <v>4.0000000000000002E-4</v>
      </c>
    </row>
    <row r="810" spans="1:24" x14ac:dyDescent="0.25">
      <c r="A810">
        <v>2019</v>
      </c>
      <c r="B810">
        <v>6</v>
      </c>
      <c r="C810" t="s">
        <v>41</v>
      </c>
      <c r="D810" t="str">
        <f>_xlfn.XLOOKUP(C810,'Carrier Name Rename'!A:A,'Carrier Name Rename'!B:B)</f>
        <v>United Air Lines Inc.</v>
      </c>
      <c r="E810" t="s">
        <v>23</v>
      </c>
      <c r="F810" t="s">
        <v>24</v>
      </c>
      <c r="G810">
        <v>971</v>
      </c>
      <c r="H810">
        <v>294</v>
      </c>
      <c r="I810">
        <v>66.06</v>
      </c>
      <c r="J810">
        <v>19.82</v>
      </c>
      <c r="K810">
        <v>96.54</v>
      </c>
      <c r="L810">
        <v>0.93</v>
      </c>
      <c r="M810">
        <v>110.65</v>
      </c>
      <c r="N810">
        <v>7</v>
      </c>
      <c r="O810">
        <v>1</v>
      </c>
      <c r="P810">
        <v>21247</v>
      </c>
      <c r="Q810">
        <v>4568</v>
      </c>
      <c r="R810">
        <v>1929</v>
      </c>
      <c r="S810">
        <v>3845</v>
      </c>
      <c r="T810">
        <v>14</v>
      </c>
      <c r="U810">
        <v>10891</v>
      </c>
      <c r="V810" s="1">
        <f t="shared" si="36"/>
        <v>0.30280000000000001</v>
      </c>
      <c r="W810" s="1">
        <f t="shared" si="37"/>
        <v>7.1999999999999998E-3</v>
      </c>
      <c r="X810" s="1">
        <f t="shared" si="38"/>
        <v>1E-3</v>
      </c>
    </row>
    <row r="811" spans="1:24" x14ac:dyDescent="0.25">
      <c r="A811">
        <v>2019</v>
      </c>
      <c r="B811">
        <v>6</v>
      </c>
      <c r="C811" t="s">
        <v>43</v>
      </c>
      <c r="D811" t="str">
        <f>_xlfn.XLOOKUP(C811,'Carrier Name Rename'!A:A,'Carrier Name Rename'!B:B)</f>
        <v>Southwest Airlines Co.</v>
      </c>
      <c r="E811" t="s">
        <v>23</v>
      </c>
      <c r="F811" t="s">
        <v>24</v>
      </c>
      <c r="G811">
        <v>1063</v>
      </c>
      <c r="H811">
        <v>333</v>
      </c>
      <c r="I811">
        <v>117.7</v>
      </c>
      <c r="J811">
        <v>1.93</v>
      </c>
      <c r="K811">
        <v>85.42</v>
      </c>
      <c r="L811">
        <v>0.78</v>
      </c>
      <c r="M811">
        <v>127.16</v>
      </c>
      <c r="N811">
        <v>4</v>
      </c>
      <c r="O811">
        <v>0</v>
      </c>
      <c r="P811">
        <v>15505</v>
      </c>
      <c r="Q811">
        <v>5488</v>
      </c>
      <c r="R811">
        <v>79</v>
      </c>
      <c r="S811">
        <v>2863</v>
      </c>
      <c r="T811">
        <v>67</v>
      </c>
      <c r="U811">
        <v>7008</v>
      </c>
      <c r="V811" s="1">
        <f t="shared" si="36"/>
        <v>0.31330000000000002</v>
      </c>
      <c r="W811" s="1">
        <f t="shared" si="37"/>
        <v>3.8E-3</v>
      </c>
      <c r="X811" s="1">
        <f t="shared" si="38"/>
        <v>0</v>
      </c>
    </row>
    <row r="812" spans="1:24" x14ac:dyDescent="0.25">
      <c r="A812">
        <v>2019</v>
      </c>
      <c r="B812">
        <v>5</v>
      </c>
      <c r="C812" t="s">
        <v>31</v>
      </c>
      <c r="D812" t="str">
        <f>_xlfn.XLOOKUP(C812,'Carrier Name Rename'!A:A,'Carrier Name Rename'!B:B)</f>
        <v>American Airlines Inc.</v>
      </c>
      <c r="E812" t="s">
        <v>23</v>
      </c>
      <c r="F812" t="s">
        <v>24</v>
      </c>
      <c r="G812">
        <v>690</v>
      </c>
      <c r="H812">
        <v>239</v>
      </c>
      <c r="I812">
        <v>76.8</v>
      </c>
      <c r="J812">
        <v>15.37</v>
      </c>
      <c r="K812">
        <v>57.82</v>
      </c>
      <c r="L812">
        <v>0.18</v>
      </c>
      <c r="M812">
        <v>88.82</v>
      </c>
      <c r="N812">
        <v>18</v>
      </c>
      <c r="O812">
        <v>2</v>
      </c>
      <c r="P812">
        <v>14606</v>
      </c>
      <c r="Q812">
        <v>4822</v>
      </c>
      <c r="R812">
        <v>1454</v>
      </c>
      <c r="S812">
        <v>2585</v>
      </c>
      <c r="T812">
        <v>15</v>
      </c>
      <c r="U812">
        <v>5730</v>
      </c>
      <c r="V812" s="1">
        <f t="shared" si="36"/>
        <v>0.34639999999999999</v>
      </c>
      <c r="W812" s="1">
        <f t="shared" si="37"/>
        <v>2.6100000000000002E-2</v>
      </c>
      <c r="X812" s="1">
        <f t="shared" si="38"/>
        <v>2.8999999999999998E-3</v>
      </c>
    </row>
    <row r="813" spans="1:24" x14ac:dyDescent="0.25">
      <c r="A813">
        <v>2019</v>
      </c>
      <c r="B813">
        <v>5</v>
      </c>
      <c r="C813" t="s">
        <v>33</v>
      </c>
      <c r="D813" t="str">
        <f>_xlfn.XLOOKUP(C813,'Carrier Name Rename'!A:A,'Carrier Name Rename'!B:B)</f>
        <v>Alaska Airlines Inc.</v>
      </c>
      <c r="E813" t="s">
        <v>23</v>
      </c>
      <c r="F813" t="s">
        <v>24</v>
      </c>
      <c r="G813">
        <v>5961</v>
      </c>
      <c r="H813">
        <v>942</v>
      </c>
      <c r="I813">
        <v>196.2</v>
      </c>
      <c r="J813">
        <v>16.420000000000002</v>
      </c>
      <c r="K813">
        <v>444.89</v>
      </c>
      <c r="L813">
        <v>2.79</v>
      </c>
      <c r="M813">
        <v>281.7</v>
      </c>
      <c r="N813">
        <v>22</v>
      </c>
      <c r="O813">
        <v>6</v>
      </c>
      <c r="P813">
        <v>40936</v>
      </c>
      <c r="Q813">
        <v>10518</v>
      </c>
      <c r="R813">
        <v>1372</v>
      </c>
      <c r="S813">
        <v>13006</v>
      </c>
      <c r="T813">
        <v>55</v>
      </c>
      <c r="U813">
        <v>15985</v>
      </c>
      <c r="V813" s="1">
        <f t="shared" si="36"/>
        <v>0.158</v>
      </c>
      <c r="W813" s="1">
        <f t="shared" si="37"/>
        <v>3.7000000000000002E-3</v>
      </c>
      <c r="X813" s="1">
        <f t="shared" si="38"/>
        <v>1E-3</v>
      </c>
    </row>
    <row r="814" spans="1:24" x14ac:dyDescent="0.25">
      <c r="A814">
        <v>2019</v>
      </c>
      <c r="B814">
        <v>5</v>
      </c>
      <c r="C814" t="s">
        <v>35</v>
      </c>
      <c r="D814" t="str">
        <f>_xlfn.XLOOKUP(C814,'Carrier Name Rename'!A:A,'Carrier Name Rename'!B:B)</f>
        <v>JetBlue Airways</v>
      </c>
      <c r="E814" t="s">
        <v>23</v>
      </c>
      <c r="F814" t="s">
        <v>24</v>
      </c>
      <c r="G814">
        <v>187</v>
      </c>
      <c r="H814">
        <v>30</v>
      </c>
      <c r="I814">
        <v>6.32</v>
      </c>
      <c r="J814">
        <v>1</v>
      </c>
      <c r="K814">
        <v>12.54</v>
      </c>
      <c r="L814">
        <v>0</v>
      </c>
      <c r="M814">
        <v>10.15</v>
      </c>
      <c r="N814">
        <v>0</v>
      </c>
      <c r="O814">
        <v>1</v>
      </c>
      <c r="P814">
        <v>1635</v>
      </c>
      <c r="Q814">
        <v>372</v>
      </c>
      <c r="R814">
        <v>78</v>
      </c>
      <c r="S814">
        <v>432</v>
      </c>
      <c r="T814">
        <v>0</v>
      </c>
      <c r="U814">
        <v>753</v>
      </c>
      <c r="V814" s="1">
        <f t="shared" si="36"/>
        <v>0.16039999999999999</v>
      </c>
      <c r="W814" s="1">
        <f t="shared" si="37"/>
        <v>0</v>
      </c>
      <c r="X814" s="1">
        <f t="shared" si="38"/>
        <v>5.3E-3</v>
      </c>
    </row>
    <row r="815" spans="1:24" x14ac:dyDescent="0.25">
      <c r="A815">
        <v>2019</v>
      </c>
      <c r="B815">
        <v>5</v>
      </c>
      <c r="C815" t="s">
        <v>47</v>
      </c>
      <c r="D815" t="str">
        <f>_xlfn.XLOOKUP(C815,'Carrier Name Rename'!A:A,'Carrier Name Rename'!B:B)</f>
        <v>Compass Airlines</v>
      </c>
      <c r="E815" t="s">
        <v>23</v>
      </c>
      <c r="F815" t="s">
        <v>24</v>
      </c>
      <c r="G815">
        <v>1439</v>
      </c>
      <c r="H815">
        <v>270</v>
      </c>
      <c r="I815">
        <v>64.47</v>
      </c>
      <c r="J815">
        <v>2.0699999999999998</v>
      </c>
      <c r="K815">
        <v>59.8</v>
      </c>
      <c r="L815">
        <v>0</v>
      </c>
      <c r="M815">
        <v>143.65</v>
      </c>
      <c r="N815">
        <v>3</v>
      </c>
      <c r="O815">
        <v>5</v>
      </c>
      <c r="P815">
        <v>23934</v>
      </c>
      <c r="Q815">
        <v>9414</v>
      </c>
      <c r="R815">
        <v>368</v>
      </c>
      <c r="S815">
        <v>2631</v>
      </c>
      <c r="T815">
        <v>0</v>
      </c>
      <c r="U815">
        <v>11521</v>
      </c>
      <c r="V815" s="1">
        <f t="shared" si="36"/>
        <v>0.18759999999999999</v>
      </c>
      <c r="W815" s="1">
        <f t="shared" si="37"/>
        <v>2.0999999999999999E-3</v>
      </c>
      <c r="X815" s="1">
        <f t="shared" si="38"/>
        <v>3.5000000000000001E-3</v>
      </c>
    </row>
    <row r="816" spans="1:24" x14ac:dyDescent="0.25">
      <c r="A816">
        <v>2019</v>
      </c>
      <c r="B816">
        <v>5</v>
      </c>
      <c r="C816" t="s">
        <v>37</v>
      </c>
      <c r="D816" t="str">
        <f>_xlfn.XLOOKUP(C816,'Carrier Name Rename'!A:A,'Carrier Name Rename'!B:B)</f>
        <v>Delta Air Lines Inc.</v>
      </c>
      <c r="E816" t="s">
        <v>23</v>
      </c>
      <c r="F816" t="s">
        <v>24</v>
      </c>
      <c r="G816">
        <v>2494</v>
      </c>
      <c r="H816">
        <v>323</v>
      </c>
      <c r="I816">
        <v>87.8</v>
      </c>
      <c r="J816">
        <v>13.41</v>
      </c>
      <c r="K816">
        <v>119.01</v>
      </c>
      <c r="L816">
        <v>0.28999999999999998</v>
      </c>
      <c r="M816">
        <v>102.49</v>
      </c>
      <c r="N816">
        <v>0</v>
      </c>
      <c r="O816">
        <v>3</v>
      </c>
      <c r="P816">
        <v>16740</v>
      </c>
      <c r="Q816">
        <v>5998</v>
      </c>
      <c r="R816">
        <v>652</v>
      </c>
      <c r="S816">
        <v>3262</v>
      </c>
      <c r="T816">
        <v>23</v>
      </c>
      <c r="U816">
        <v>6805</v>
      </c>
      <c r="V816" s="1">
        <f t="shared" si="36"/>
        <v>0.1295</v>
      </c>
      <c r="W816" s="1">
        <f t="shared" si="37"/>
        <v>0</v>
      </c>
      <c r="X816" s="1">
        <f t="shared" si="38"/>
        <v>1.1999999999999999E-3</v>
      </c>
    </row>
    <row r="817" spans="1:24" x14ac:dyDescent="0.25">
      <c r="A817">
        <v>2019</v>
      </c>
      <c r="B817">
        <v>5</v>
      </c>
      <c r="C817" t="s">
        <v>39</v>
      </c>
      <c r="D817" t="str">
        <f>_xlfn.XLOOKUP(C817,'Carrier Name Rename'!A:A,'Carrier Name Rename'!B:B)</f>
        <v>Frontier Airlines Inc.</v>
      </c>
      <c r="E817" t="s">
        <v>23</v>
      </c>
      <c r="F817" t="s">
        <v>24</v>
      </c>
      <c r="G817">
        <v>82</v>
      </c>
      <c r="H817">
        <v>29</v>
      </c>
      <c r="I817">
        <v>10.72</v>
      </c>
      <c r="J817">
        <v>0.78</v>
      </c>
      <c r="K817">
        <v>4.25</v>
      </c>
      <c r="L817">
        <v>0</v>
      </c>
      <c r="M817">
        <v>13.25</v>
      </c>
      <c r="N817">
        <v>1</v>
      </c>
      <c r="O817">
        <v>0</v>
      </c>
      <c r="P817">
        <v>1460</v>
      </c>
      <c r="Q817">
        <v>556</v>
      </c>
      <c r="R817">
        <v>19</v>
      </c>
      <c r="S817">
        <v>213</v>
      </c>
      <c r="T817">
        <v>0</v>
      </c>
      <c r="U817">
        <v>672</v>
      </c>
      <c r="V817" s="1">
        <f t="shared" si="36"/>
        <v>0.35370000000000001</v>
      </c>
      <c r="W817" s="1">
        <f t="shared" si="37"/>
        <v>1.2200000000000001E-2</v>
      </c>
      <c r="X817" s="1">
        <f t="shared" si="38"/>
        <v>0</v>
      </c>
    </row>
    <row r="818" spans="1:24" x14ac:dyDescent="0.25">
      <c r="A818">
        <v>2019</v>
      </c>
      <c r="B818">
        <v>5</v>
      </c>
      <c r="C818" t="s">
        <v>21</v>
      </c>
      <c r="D818" t="str">
        <f>_xlfn.XLOOKUP(C818,'Carrier Name Rename'!A:A,'Carrier Name Rename'!B:B)</f>
        <v>Hawaiian Airlines Inc.</v>
      </c>
      <c r="E818" t="s">
        <v>23</v>
      </c>
      <c r="F818" t="s">
        <v>24</v>
      </c>
      <c r="G818">
        <v>62</v>
      </c>
      <c r="H818">
        <v>35</v>
      </c>
      <c r="I818">
        <v>23.57</v>
      </c>
      <c r="J818">
        <v>0.84</v>
      </c>
      <c r="K818">
        <v>0</v>
      </c>
      <c r="L818">
        <v>1.62</v>
      </c>
      <c r="M818">
        <v>8.9600000000000009</v>
      </c>
      <c r="N818">
        <v>0</v>
      </c>
      <c r="O818">
        <v>0</v>
      </c>
      <c r="P818">
        <v>1540</v>
      </c>
      <c r="Q818">
        <v>775</v>
      </c>
      <c r="R818">
        <v>21</v>
      </c>
      <c r="S818">
        <v>0</v>
      </c>
      <c r="T818">
        <v>55</v>
      </c>
      <c r="U818">
        <v>689</v>
      </c>
      <c r="V818" s="1">
        <f t="shared" si="36"/>
        <v>0.5645</v>
      </c>
      <c r="W818" s="1">
        <f t="shared" si="37"/>
        <v>0</v>
      </c>
      <c r="X818" s="1">
        <f t="shared" si="38"/>
        <v>0</v>
      </c>
    </row>
    <row r="819" spans="1:24" x14ac:dyDescent="0.25">
      <c r="A819">
        <v>2019</v>
      </c>
      <c r="B819">
        <v>5</v>
      </c>
      <c r="C819" t="s">
        <v>25</v>
      </c>
      <c r="D819" t="str">
        <f>_xlfn.XLOOKUP(C819,'Carrier Name Rename'!A:A,'Carrier Name Rename'!B:B)</f>
        <v>Spirit Airlines</v>
      </c>
      <c r="E819" t="s">
        <v>23</v>
      </c>
      <c r="F819" t="s">
        <v>24</v>
      </c>
      <c r="G819">
        <v>273</v>
      </c>
      <c r="H819">
        <v>88</v>
      </c>
      <c r="I819">
        <v>15.97</v>
      </c>
      <c r="J819">
        <v>0.76</v>
      </c>
      <c r="K819">
        <v>38.42</v>
      </c>
      <c r="L819">
        <v>0</v>
      </c>
      <c r="M819">
        <v>32.85</v>
      </c>
      <c r="N819">
        <v>9</v>
      </c>
      <c r="O819">
        <v>0</v>
      </c>
      <c r="P819">
        <v>5705</v>
      </c>
      <c r="Q819">
        <v>968</v>
      </c>
      <c r="R819">
        <v>22</v>
      </c>
      <c r="S819">
        <v>1653</v>
      </c>
      <c r="T819">
        <v>0</v>
      </c>
      <c r="U819">
        <v>3062</v>
      </c>
      <c r="V819" s="1">
        <f t="shared" si="36"/>
        <v>0.32229999999999998</v>
      </c>
      <c r="W819" s="1">
        <f t="shared" si="37"/>
        <v>3.3000000000000002E-2</v>
      </c>
      <c r="X819" s="1">
        <f t="shared" si="38"/>
        <v>0</v>
      </c>
    </row>
    <row r="820" spans="1:24" x14ac:dyDescent="0.25">
      <c r="A820">
        <v>2019</v>
      </c>
      <c r="B820">
        <v>5</v>
      </c>
      <c r="C820" t="s">
        <v>27</v>
      </c>
      <c r="D820" t="str">
        <f>_xlfn.XLOOKUP(C820,'Carrier Name Rename'!A:A,'Carrier Name Rename'!B:B)</f>
        <v>SkyWest Airlines Inc.</v>
      </c>
      <c r="E820" t="s">
        <v>23</v>
      </c>
      <c r="F820" t="s">
        <v>24</v>
      </c>
      <c r="G820">
        <v>573</v>
      </c>
      <c r="H820">
        <v>57</v>
      </c>
      <c r="I820">
        <v>15.94</v>
      </c>
      <c r="J820">
        <v>2.57</v>
      </c>
      <c r="K820">
        <v>26.15</v>
      </c>
      <c r="L820">
        <v>0</v>
      </c>
      <c r="M820">
        <v>12.34</v>
      </c>
      <c r="N820">
        <v>0</v>
      </c>
      <c r="O820">
        <v>2</v>
      </c>
      <c r="P820">
        <v>3012</v>
      </c>
      <c r="Q820">
        <v>1434</v>
      </c>
      <c r="R820">
        <v>50</v>
      </c>
      <c r="S820">
        <v>727</v>
      </c>
      <c r="T820">
        <v>0</v>
      </c>
      <c r="U820">
        <v>801</v>
      </c>
      <c r="V820" s="1">
        <f t="shared" si="36"/>
        <v>9.9500000000000005E-2</v>
      </c>
      <c r="W820" s="1">
        <f t="shared" si="37"/>
        <v>0</v>
      </c>
      <c r="X820" s="1">
        <f t="shared" si="38"/>
        <v>3.5000000000000001E-3</v>
      </c>
    </row>
    <row r="821" spans="1:24" x14ac:dyDescent="0.25">
      <c r="A821">
        <v>2019</v>
      </c>
      <c r="B821">
        <v>5</v>
      </c>
      <c r="C821" t="s">
        <v>29</v>
      </c>
      <c r="D821" t="str">
        <f>_xlfn.XLOOKUP(C821,'Carrier Name Rename'!A:A,'Carrier Name Rename'!B:B)</f>
        <v>Horizon Air</v>
      </c>
      <c r="E821" t="s">
        <v>23</v>
      </c>
      <c r="F821" t="s">
        <v>24</v>
      </c>
      <c r="G821">
        <v>2813</v>
      </c>
      <c r="H821">
        <v>328</v>
      </c>
      <c r="I821">
        <v>51.48</v>
      </c>
      <c r="J821">
        <v>8.23</v>
      </c>
      <c r="K821">
        <v>167.81</v>
      </c>
      <c r="L821">
        <v>0</v>
      </c>
      <c r="M821">
        <v>100.49</v>
      </c>
      <c r="N821">
        <v>12</v>
      </c>
      <c r="O821">
        <v>2</v>
      </c>
      <c r="P821">
        <v>13886</v>
      </c>
      <c r="Q821">
        <v>3816</v>
      </c>
      <c r="R821">
        <v>530</v>
      </c>
      <c r="S821">
        <v>4508</v>
      </c>
      <c r="T821">
        <v>0</v>
      </c>
      <c r="U821">
        <v>5032</v>
      </c>
      <c r="V821" s="1">
        <f t="shared" si="36"/>
        <v>0.1166</v>
      </c>
      <c r="W821" s="1">
        <f t="shared" si="37"/>
        <v>4.3E-3</v>
      </c>
      <c r="X821" s="1">
        <f t="shared" si="38"/>
        <v>6.9999999999999999E-4</v>
      </c>
    </row>
    <row r="822" spans="1:24" x14ac:dyDescent="0.25">
      <c r="A822">
        <v>2019</v>
      </c>
      <c r="B822">
        <v>5</v>
      </c>
      <c r="C822" t="s">
        <v>41</v>
      </c>
      <c r="D822" t="str">
        <f>_xlfn.XLOOKUP(C822,'Carrier Name Rename'!A:A,'Carrier Name Rename'!B:B)</f>
        <v>United Air Lines Inc.</v>
      </c>
      <c r="E822" t="s">
        <v>23</v>
      </c>
      <c r="F822" t="s">
        <v>24</v>
      </c>
      <c r="G822">
        <v>825</v>
      </c>
      <c r="H822">
        <v>196</v>
      </c>
      <c r="I822">
        <v>52.5</v>
      </c>
      <c r="J822">
        <v>8.41</v>
      </c>
      <c r="K822">
        <v>71.62</v>
      </c>
      <c r="L822">
        <v>0</v>
      </c>
      <c r="M822">
        <v>63.46</v>
      </c>
      <c r="N822">
        <v>4</v>
      </c>
      <c r="O822">
        <v>0</v>
      </c>
      <c r="P822">
        <v>13255</v>
      </c>
      <c r="Q822">
        <v>3168</v>
      </c>
      <c r="R822">
        <v>1442</v>
      </c>
      <c r="S822">
        <v>2768</v>
      </c>
      <c r="T822">
        <v>0</v>
      </c>
      <c r="U822">
        <v>5877</v>
      </c>
      <c r="V822" s="1">
        <f t="shared" si="36"/>
        <v>0.23760000000000001</v>
      </c>
      <c r="W822" s="1">
        <f t="shared" si="37"/>
        <v>4.7999999999999996E-3</v>
      </c>
      <c r="X822" s="1">
        <f t="shared" si="38"/>
        <v>0</v>
      </c>
    </row>
    <row r="823" spans="1:24" x14ac:dyDescent="0.25">
      <c r="A823">
        <v>2019</v>
      </c>
      <c r="B823">
        <v>5</v>
      </c>
      <c r="C823" t="s">
        <v>43</v>
      </c>
      <c r="D823" t="str">
        <f>_xlfn.XLOOKUP(C823,'Carrier Name Rename'!A:A,'Carrier Name Rename'!B:B)</f>
        <v>Southwest Airlines Co.</v>
      </c>
      <c r="E823" t="s">
        <v>23</v>
      </c>
      <c r="F823" t="s">
        <v>24</v>
      </c>
      <c r="G823">
        <v>932</v>
      </c>
      <c r="H823">
        <v>234</v>
      </c>
      <c r="I823">
        <v>89.81</v>
      </c>
      <c r="J823">
        <v>0.11</v>
      </c>
      <c r="K823">
        <v>37.74</v>
      </c>
      <c r="L823">
        <v>0</v>
      </c>
      <c r="M823">
        <v>106.34</v>
      </c>
      <c r="N823">
        <v>5</v>
      </c>
      <c r="O823">
        <v>0</v>
      </c>
      <c r="P823">
        <v>11493</v>
      </c>
      <c r="Q823">
        <v>4829</v>
      </c>
      <c r="R823">
        <v>15</v>
      </c>
      <c r="S823">
        <v>1404</v>
      </c>
      <c r="T823">
        <v>0</v>
      </c>
      <c r="U823">
        <v>5245</v>
      </c>
      <c r="V823" s="1">
        <f t="shared" si="36"/>
        <v>0.25109999999999999</v>
      </c>
      <c r="W823" s="1">
        <f t="shared" si="37"/>
        <v>5.4000000000000003E-3</v>
      </c>
      <c r="X823" s="1">
        <f t="shared" si="38"/>
        <v>0</v>
      </c>
    </row>
    <row r="824" spans="1:24" x14ac:dyDescent="0.25">
      <c r="A824">
        <v>2019</v>
      </c>
      <c r="B824">
        <v>4</v>
      </c>
      <c r="C824" t="s">
        <v>31</v>
      </c>
      <c r="D824" t="str">
        <f>_xlfn.XLOOKUP(C824,'Carrier Name Rename'!A:A,'Carrier Name Rename'!B:B)</f>
        <v>American Airlines Inc.</v>
      </c>
      <c r="E824" t="s">
        <v>23</v>
      </c>
      <c r="F824" t="s">
        <v>24</v>
      </c>
      <c r="G824">
        <v>564</v>
      </c>
      <c r="H824">
        <v>149</v>
      </c>
      <c r="I824">
        <v>57.5</v>
      </c>
      <c r="J824">
        <v>5.81</v>
      </c>
      <c r="K824">
        <v>32.590000000000003</v>
      </c>
      <c r="L824">
        <v>0</v>
      </c>
      <c r="M824">
        <v>53.1</v>
      </c>
      <c r="N824">
        <v>16</v>
      </c>
      <c r="O824">
        <v>0</v>
      </c>
      <c r="P824">
        <v>8897</v>
      </c>
      <c r="Q824">
        <v>3763</v>
      </c>
      <c r="R824">
        <v>396</v>
      </c>
      <c r="S824">
        <v>1106</v>
      </c>
      <c r="T824">
        <v>0</v>
      </c>
      <c r="U824">
        <v>3632</v>
      </c>
      <c r="V824" s="1">
        <f t="shared" si="36"/>
        <v>0.26419999999999999</v>
      </c>
      <c r="W824" s="1">
        <f t="shared" si="37"/>
        <v>2.8400000000000002E-2</v>
      </c>
      <c r="X824" s="1">
        <f t="shared" si="38"/>
        <v>0</v>
      </c>
    </row>
    <row r="825" spans="1:24" x14ac:dyDescent="0.25">
      <c r="A825">
        <v>2019</v>
      </c>
      <c r="B825">
        <v>4</v>
      </c>
      <c r="C825" t="s">
        <v>33</v>
      </c>
      <c r="D825" t="str">
        <f>_xlfn.XLOOKUP(C825,'Carrier Name Rename'!A:A,'Carrier Name Rename'!B:B)</f>
        <v>Alaska Airlines Inc.</v>
      </c>
      <c r="E825" t="s">
        <v>23</v>
      </c>
      <c r="F825" t="s">
        <v>24</v>
      </c>
      <c r="G825">
        <v>5576</v>
      </c>
      <c r="H825">
        <v>915</v>
      </c>
      <c r="I825">
        <v>201.78</v>
      </c>
      <c r="J825">
        <v>10.96</v>
      </c>
      <c r="K825">
        <v>485.29</v>
      </c>
      <c r="L825">
        <v>0.73</v>
      </c>
      <c r="M825">
        <v>216.24</v>
      </c>
      <c r="N825">
        <v>36</v>
      </c>
      <c r="O825">
        <v>0</v>
      </c>
      <c r="P825">
        <v>40375</v>
      </c>
      <c r="Q825">
        <v>11600</v>
      </c>
      <c r="R825">
        <v>1580</v>
      </c>
      <c r="S825">
        <v>15672</v>
      </c>
      <c r="T825">
        <v>11</v>
      </c>
      <c r="U825">
        <v>11512</v>
      </c>
      <c r="V825" s="1">
        <f t="shared" si="36"/>
        <v>0.1641</v>
      </c>
      <c r="W825" s="1">
        <f t="shared" si="37"/>
        <v>6.4999999999999997E-3</v>
      </c>
      <c r="X825" s="1">
        <f t="shared" si="38"/>
        <v>0</v>
      </c>
    </row>
    <row r="826" spans="1:24" x14ac:dyDescent="0.25">
      <c r="A826">
        <v>2019</v>
      </c>
      <c r="B826">
        <v>4</v>
      </c>
      <c r="C826" t="s">
        <v>35</v>
      </c>
      <c r="D826" t="str">
        <f>_xlfn.XLOOKUP(C826,'Carrier Name Rename'!A:A,'Carrier Name Rename'!B:B)</f>
        <v>JetBlue Airways</v>
      </c>
      <c r="E826" t="s">
        <v>23</v>
      </c>
      <c r="F826" t="s">
        <v>24</v>
      </c>
      <c r="G826">
        <v>168</v>
      </c>
      <c r="H826">
        <v>42</v>
      </c>
      <c r="I826">
        <v>11.27</v>
      </c>
      <c r="J826">
        <v>0.43</v>
      </c>
      <c r="K826">
        <v>22.03</v>
      </c>
      <c r="L826">
        <v>0</v>
      </c>
      <c r="M826">
        <v>8.27</v>
      </c>
      <c r="N826">
        <v>0</v>
      </c>
      <c r="O826">
        <v>0</v>
      </c>
      <c r="P826">
        <v>2545</v>
      </c>
      <c r="Q826">
        <v>798</v>
      </c>
      <c r="R826">
        <v>24</v>
      </c>
      <c r="S826">
        <v>859</v>
      </c>
      <c r="T826">
        <v>0</v>
      </c>
      <c r="U826">
        <v>864</v>
      </c>
      <c r="V826" s="1">
        <f t="shared" si="36"/>
        <v>0.25</v>
      </c>
      <c r="W826" s="1">
        <f t="shared" si="37"/>
        <v>0</v>
      </c>
      <c r="X826" s="1">
        <f t="shared" si="38"/>
        <v>0</v>
      </c>
    </row>
    <row r="827" spans="1:24" x14ac:dyDescent="0.25">
      <c r="A827">
        <v>2019</v>
      </c>
      <c r="B827">
        <v>4</v>
      </c>
      <c r="C827" t="s">
        <v>47</v>
      </c>
      <c r="D827" t="str">
        <f>_xlfn.XLOOKUP(C827,'Carrier Name Rename'!A:A,'Carrier Name Rename'!B:B)</f>
        <v>Compass Airlines</v>
      </c>
      <c r="E827" t="s">
        <v>23</v>
      </c>
      <c r="F827" t="s">
        <v>24</v>
      </c>
      <c r="G827">
        <v>1311</v>
      </c>
      <c r="H827">
        <v>201</v>
      </c>
      <c r="I827">
        <v>59.41</v>
      </c>
      <c r="J827">
        <v>3.09</v>
      </c>
      <c r="K827">
        <v>60.85</v>
      </c>
      <c r="L827">
        <v>0</v>
      </c>
      <c r="M827">
        <v>77.650000000000006</v>
      </c>
      <c r="N827">
        <v>0</v>
      </c>
      <c r="O827">
        <v>1</v>
      </c>
      <c r="P827">
        <v>12225</v>
      </c>
      <c r="Q827">
        <v>4623</v>
      </c>
      <c r="R827">
        <v>258</v>
      </c>
      <c r="S827">
        <v>2164</v>
      </c>
      <c r="T827">
        <v>0</v>
      </c>
      <c r="U827">
        <v>5180</v>
      </c>
      <c r="V827" s="1">
        <f t="shared" si="36"/>
        <v>0.15329999999999999</v>
      </c>
      <c r="W827" s="1">
        <f t="shared" si="37"/>
        <v>0</v>
      </c>
      <c r="X827" s="1">
        <f t="shared" si="38"/>
        <v>8.0000000000000004E-4</v>
      </c>
    </row>
    <row r="828" spans="1:24" x14ac:dyDescent="0.25">
      <c r="A828">
        <v>2019</v>
      </c>
      <c r="B828">
        <v>4</v>
      </c>
      <c r="C828" t="s">
        <v>37</v>
      </c>
      <c r="D828" t="str">
        <f>_xlfn.XLOOKUP(C828,'Carrier Name Rename'!A:A,'Carrier Name Rename'!B:B)</f>
        <v>Delta Air Lines Inc.</v>
      </c>
      <c r="E828" t="s">
        <v>23</v>
      </c>
      <c r="F828" t="s">
        <v>24</v>
      </c>
      <c r="G828">
        <v>2274</v>
      </c>
      <c r="H828">
        <v>282</v>
      </c>
      <c r="I828">
        <v>84.47</v>
      </c>
      <c r="J828">
        <v>5.08</v>
      </c>
      <c r="K828">
        <v>127.09</v>
      </c>
      <c r="L828">
        <v>1</v>
      </c>
      <c r="M828">
        <v>64.349999999999994</v>
      </c>
      <c r="N828">
        <v>0</v>
      </c>
      <c r="O828">
        <v>4</v>
      </c>
      <c r="P828">
        <v>16678</v>
      </c>
      <c r="Q828">
        <v>6474</v>
      </c>
      <c r="R828">
        <v>631</v>
      </c>
      <c r="S828">
        <v>3591</v>
      </c>
      <c r="T828">
        <v>32</v>
      </c>
      <c r="U828">
        <v>5950</v>
      </c>
      <c r="V828" s="1">
        <f t="shared" si="36"/>
        <v>0.124</v>
      </c>
      <c r="W828" s="1">
        <f t="shared" si="37"/>
        <v>0</v>
      </c>
      <c r="X828" s="1">
        <f t="shared" si="38"/>
        <v>1.8E-3</v>
      </c>
    </row>
    <row r="829" spans="1:24" x14ac:dyDescent="0.25">
      <c r="A829">
        <v>2019</v>
      </c>
      <c r="B829">
        <v>4</v>
      </c>
      <c r="C829" t="s">
        <v>39</v>
      </c>
      <c r="D829" t="str">
        <f>_xlfn.XLOOKUP(C829,'Carrier Name Rename'!A:A,'Carrier Name Rename'!B:B)</f>
        <v>Frontier Airlines Inc.</v>
      </c>
      <c r="E829" t="s">
        <v>23</v>
      </c>
      <c r="F829" t="s">
        <v>24</v>
      </c>
      <c r="G829">
        <v>28</v>
      </c>
      <c r="H829">
        <v>5</v>
      </c>
      <c r="I829">
        <v>2.4700000000000002</v>
      </c>
      <c r="J829">
        <v>0</v>
      </c>
      <c r="K829">
        <v>1.81</v>
      </c>
      <c r="L829">
        <v>0</v>
      </c>
      <c r="M829">
        <v>0.72</v>
      </c>
      <c r="N829">
        <v>1</v>
      </c>
      <c r="O829">
        <v>0</v>
      </c>
      <c r="P829">
        <v>244</v>
      </c>
      <c r="Q829">
        <v>119</v>
      </c>
      <c r="R829">
        <v>0</v>
      </c>
      <c r="S829">
        <v>53</v>
      </c>
      <c r="T829">
        <v>0</v>
      </c>
      <c r="U829">
        <v>72</v>
      </c>
      <c r="V829" s="1">
        <f t="shared" si="36"/>
        <v>0.17860000000000001</v>
      </c>
      <c r="W829" s="1">
        <f t="shared" si="37"/>
        <v>3.5700000000000003E-2</v>
      </c>
      <c r="X829" s="1">
        <f t="shared" si="38"/>
        <v>0</v>
      </c>
    </row>
    <row r="830" spans="1:24" x14ac:dyDescent="0.25">
      <c r="A830">
        <v>2019</v>
      </c>
      <c r="B830">
        <v>4</v>
      </c>
      <c r="C830" t="s">
        <v>21</v>
      </c>
      <c r="D830" t="str">
        <f>_xlfn.XLOOKUP(C830,'Carrier Name Rename'!A:A,'Carrier Name Rename'!B:B)</f>
        <v>Hawaiian Airlines Inc.</v>
      </c>
      <c r="E830" t="s">
        <v>23</v>
      </c>
      <c r="F830" t="s">
        <v>24</v>
      </c>
      <c r="G830">
        <v>60</v>
      </c>
      <c r="H830">
        <v>32</v>
      </c>
      <c r="I830">
        <v>26.06</v>
      </c>
      <c r="J830">
        <v>0</v>
      </c>
      <c r="K830">
        <v>0</v>
      </c>
      <c r="L830">
        <v>0</v>
      </c>
      <c r="M830">
        <v>5.94</v>
      </c>
      <c r="N830">
        <v>0</v>
      </c>
      <c r="O830">
        <v>0</v>
      </c>
      <c r="P830">
        <v>883</v>
      </c>
      <c r="Q830">
        <v>737</v>
      </c>
      <c r="R830">
        <v>0</v>
      </c>
      <c r="S830">
        <v>0</v>
      </c>
      <c r="T830">
        <v>0</v>
      </c>
      <c r="U830">
        <v>146</v>
      </c>
      <c r="V830" s="1">
        <f t="shared" si="36"/>
        <v>0.5333</v>
      </c>
      <c r="W830" s="1">
        <f t="shared" si="37"/>
        <v>0</v>
      </c>
      <c r="X830" s="1">
        <f t="shared" si="38"/>
        <v>0</v>
      </c>
    </row>
    <row r="831" spans="1:24" x14ac:dyDescent="0.25">
      <c r="A831">
        <v>2019</v>
      </c>
      <c r="B831">
        <v>4</v>
      </c>
      <c r="C831" t="s">
        <v>25</v>
      </c>
      <c r="D831" t="str">
        <f>_xlfn.XLOOKUP(C831,'Carrier Name Rename'!A:A,'Carrier Name Rename'!B:B)</f>
        <v>Spirit Airlines</v>
      </c>
      <c r="E831" t="s">
        <v>23</v>
      </c>
      <c r="F831" t="s">
        <v>24</v>
      </c>
      <c r="G831">
        <v>90</v>
      </c>
      <c r="H831">
        <v>14</v>
      </c>
      <c r="I831">
        <v>2.52</v>
      </c>
      <c r="J831">
        <v>0</v>
      </c>
      <c r="K831">
        <v>7.8</v>
      </c>
      <c r="L831">
        <v>0</v>
      </c>
      <c r="M831">
        <v>3.68</v>
      </c>
      <c r="N831">
        <v>1</v>
      </c>
      <c r="O831">
        <v>0</v>
      </c>
      <c r="P831">
        <v>889</v>
      </c>
      <c r="Q831">
        <v>99</v>
      </c>
      <c r="R831">
        <v>0</v>
      </c>
      <c r="S831">
        <v>543</v>
      </c>
      <c r="T831">
        <v>0</v>
      </c>
      <c r="U831">
        <v>247</v>
      </c>
      <c r="V831" s="1">
        <f t="shared" si="36"/>
        <v>0.15559999999999999</v>
      </c>
      <c r="W831" s="1">
        <f t="shared" si="37"/>
        <v>1.11E-2</v>
      </c>
      <c r="X831" s="1">
        <f t="shared" si="38"/>
        <v>0</v>
      </c>
    </row>
    <row r="832" spans="1:24" x14ac:dyDescent="0.25">
      <c r="A832">
        <v>2019</v>
      </c>
      <c r="B832">
        <v>4</v>
      </c>
      <c r="C832" t="s">
        <v>27</v>
      </c>
      <c r="D832" t="str">
        <f>_xlfn.XLOOKUP(C832,'Carrier Name Rename'!A:A,'Carrier Name Rename'!B:B)</f>
        <v>SkyWest Airlines Inc.</v>
      </c>
      <c r="E832" t="s">
        <v>23</v>
      </c>
      <c r="F832" t="s">
        <v>24</v>
      </c>
      <c r="G832">
        <v>548</v>
      </c>
      <c r="H832">
        <v>58</v>
      </c>
      <c r="I832">
        <v>11.8</v>
      </c>
      <c r="J832">
        <v>0</v>
      </c>
      <c r="K832">
        <v>31.57</v>
      </c>
      <c r="L832">
        <v>0</v>
      </c>
      <c r="M832">
        <v>14.63</v>
      </c>
      <c r="N832">
        <v>1</v>
      </c>
      <c r="O832">
        <v>0</v>
      </c>
      <c r="P832">
        <v>2233</v>
      </c>
      <c r="Q832">
        <v>547</v>
      </c>
      <c r="R832">
        <v>0</v>
      </c>
      <c r="S832">
        <v>881</v>
      </c>
      <c r="T832">
        <v>0</v>
      </c>
      <c r="U832">
        <v>805</v>
      </c>
      <c r="V832" s="1">
        <f t="shared" si="36"/>
        <v>0.10580000000000001</v>
      </c>
      <c r="W832" s="1">
        <f t="shared" si="37"/>
        <v>1.8E-3</v>
      </c>
      <c r="X832" s="1">
        <f t="shared" si="38"/>
        <v>0</v>
      </c>
    </row>
    <row r="833" spans="1:24" x14ac:dyDescent="0.25">
      <c r="A833">
        <v>2019</v>
      </c>
      <c r="B833">
        <v>4</v>
      </c>
      <c r="C833" t="s">
        <v>29</v>
      </c>
      <c r="D833" t="str">
        <f>_xlfn.XLOOKUP(C833,'Carrier Name Rename'!A:A,'Carrier Name Rename'!B:B)</f>
        <v>Horizon Air</v>
      </c>
      <c r="E833" t="s">
        <v>23</v>
      </c>
      <c r="F833" t="s">
        <v>24</v>
      </c>
      <c r="G833">
        <v>2749</v>
      </c>
      <c r="H833">
        <v>384</v>
      </c>
      <c r="I833">
        <v>73.239999999999995</v>
      </c>
      <c r="J833">
        <v>4.7300000000000004</v>
      </c>
      <c r="K833">
        <v>179.7</v>
      </c>
      <c r="L833">
        <v>1.64</v>
      </c>
      <c r="M833">
        <v>124.68</v>
      </c>
      <c r="N833">
        <v>22</v>
      </c>
      <c r="O833">
        <v>0</v>
      </c>
      <c r="P833">
        <v>16258</v>
      </c>
      <c r="Q833">
        <v>4277</v>
      </c>
      <c r="R833">
        <v>351</v>
      </c>
      <c r="S833">
        <v>6065</v>
      </c>
      <c r="T833">
        <v>64</v>
      </c>
      <c r="U833">
        <v>5501</v>
      </c>
      <c r="V833" s="1">
        <f t="shared" si="36"/>
        <v>0.13969999999999999</v>
      </c>
      <c r="W833" s="1">
        <f t="shared" si="37"/>
        <v>8.0000000000000002E-3</v>
      </c>
      <c r="X833" s="1">
        <f t="shared" si="38"/>
        <v>0</v>
      </c>
    </row>
    <row r="834" spans="1:24" x14ac:dyDescent="0.25">
      <c r="A834">
        <v>2019</v>
      </c>
      <c r="B834">
        <v>4</v>
      </c>
      <c r="C834" t="s">
        <v>41</v>
      </c>
      <c r="D834" t="str">
        <f>_xlfn.XLOOKUP(C834,'Carrier Name Rename'!A:A,'Carrier Name Rename'!B:B)</f>
        <v>United Air Lines Inc.</v>
      </c>
      <c r="E834" t="s">
        <v>23</v>
      </c>
      <c r="F834" t="s">
        <v>24</v>
      </c>
      <c r="G834">
        <v>798</v>
      </c>
      <c r="H834">
        <v>209</v>
      </c>
      <c r="I834">
        <v>46</v>
      </c>
      <c r="J834">
        <v>4.3099999999999996</v>
      </c>
      <c r="K834">
        <v>99.93</v>
      </c>
      <c r="L834">
        <v>0</v>
      </c>
      <c r="M834">
        <v>58.75</v>
      </c>
      <c r="N834">
        <v>7</v>
      </c>
      <c r="O834">
        <v>0</v>
      </c>
      <c r="P834">
        <v>11883</v>
      </c>
      <c r="Q834">
        <v>2234</v>
      </c>
      <c r="R834">
        <v>420</v>
      </c>
      <c r="S834">
        <v>3441</v>
      </c>
      <c r="T834">
        <v>0</v>
      </c>
      <c r="U834">
        <v>5788</v>
      </c>
      <c r="V834" s="1">
        <f t="shared" si="36"/>
        <v>0.26190000000000002</v>
      </c>
      <c r="W834" s="1">
        <f t="shared" si="37"/>
        <v>8.8000000000000005E-3</v>
      </c>
      <c r="X834" s="1">
        <f t="shared" si="38"/>
        <v>0</v>
      </c>
    </row>
    <row r="835" spans="1:24" x14ac:dyDescent="0.25">
      <c r="A835">
        <v>2019</v>
      </c>
      <c r="B835">
        <v>4</v>
      </c>
      <c r="C835" t="s">
        <v>43</v>
      </c>
      <c r="D835" t="str">
        <f>_xlfn.XLOOKUP(C835,'Carrier Name Rename'!A:A,'Carrier Name Rename'!B:B)</f>
        <v>Southwest Airlines Co.</v>
      </c>
      <c r="E835" t="s">
        <v>23</v>
      </c>
      <c r="F835" t="s">
        <v>24</v>
      </c>
      <c r="G835">
        <v>891</v>
      </c>
      <c r="H835">
        <v>235</v>
      </c>
      <c r="I835">
        <v>83.48</v>
      </c>
      <c r="J835">
        <v>2.9</v>
      </c>
      <c r="K835">
        <v>59.34</v>
      </c>
      <c r="L835">
        <v>2.38</v>
      </c>
      <c r="M835">
        <v>86.9</v>
      </c>
      <c r="N835">
        <v>26</v>
      </c>
      <c r="O835">
        <v>0</v>
      </c>
      <c r="P835">
        <v>9878</v>
      </c>
      <c r="Q835">
        <v>3314</v>
      </c>
      <c r="R835">
        <v>204</v>
      </c>
      <c r="S835">
        <v>1975</v>
      </c>
      <c r="T835">
        <v>156</v>
      </c>
      <c r="U835">
        <v>4229</v>
      </c>
      <c r="V835" s="1">
        <f t="shared" ref="V835:V898" si="39">ROUND(H835/G835,4)</f>
        <v>0.26369999999999999</v>
      </c>
      <c r="W835" s="1">
        <f t="shared" ref="W835:W898" si="40">ROUND(N835/G835,4)</f>
        <v>2.92E-2</v>
      </c>
      <c r="X835" s="1">
        <f t="shared" ref="X835:X898" si="41">ROUND(O835/G835,4)</f>
        <v>0</v>
      </c>
    </row>
    <row r="836" spans="1:24" x14ac:dyDescent="0.25">
      <c r="A836">
        <v>2019</v>
      </c>
      <c r="B836">
        <v>3</v>
      </c>
      <c r="C836" t="s">
        <v>41</v>
      </c>
      <c r="D836" t="str">
        <f>_xlfn.XLOOKUP(C836,'Carrier Name Rename'!A:A,'Carrier Name Rename'!B:B)</f>
        <v>United Air Lines Inc.</v>
      </c>
      <c r="E836" t="s">
        <v>23</v>
      </c>
      <c r="F836" t="s">
        <v>24</v>
      </c>
      <c r="G836">
        <v>700</v>
      </c>
      <c r="H836">
        <v>166</v>
      </c>
      <c r="I836">
        <v>37.72</v>
      </c>
      <c r="J836">
        <v>3.92</v>
      </c>
      <c r="K836">
        <v>60.9</v>
      </c>
      <c r="L836">
        <v>0</v>
      </c>
      <c r="M836">
        <v>63.46</v>
      </c>
      <c r="N836">
        <v>6</v>
      </c>
      <c r="O836">
        <v>0</v>
      </c>
      <c r="P836">
        <v>9734</v>
      </c>
      <c r="Q836">
        <v>2492</v>
      </c>
      <c r="R836">
        <v>337</v>
      </c>
      <c r="S836">
        <v>1917</v>
      </c>
      <c r="T836">
        <v>0</v>
      </c>
      <c r="U836">
        <v>4988</v>
      </c>
      <c r="V836" s="1">
        <f t="shared" si="39"/>
        <v>0.23710000000000001</v>
      </c>
      <c r="W836" s="1">
        <f t="shared" si="40"/>
        <v>8.6E-3</v>
      </c>
      <c r="X836" s="1">
        <f t="shared" si="41"/>
        <v>0</v>
      </c>
    </row>
    <row r="837" spans="1:24" x14ac:dyDescent="0.25">
      <c r="A837">
        <v>2019</v>
      </c>
      <c r="B837">
        <v>3</v>
      </c>
      <c r="C837" t="s">
        <v>43</v>
      </c>
      <c r="D837" t="str">
        <f>_xlfn.XLOOKUP(C837,'Carrier Name Rename'!A:A,'Carrier Name Rename'!B:B)</f>
        <v>Southwest Airlines Co.</v>
      </c>
      <c r="E837" t="s">
        <v>23</v>
      </c>
      <c r="F837" t="s">
        <v>24</v>
      </c>
      <c r="G837">
        <v>869</v>
      </c>
      <c r="H837">
        <v>157</v>
      </c>
      <c r="I837">
        <v>70.239999999999995</v>
      </c>
      <c r="J837">
        <v>1.5</v>
      </c>
      <c r="K837">
        <v>26.41</v>
      </c>
      <c r="L837">
        <v>0</v>
      </c>
      <c r="M837">
        <v>58.85</v>
      </c>
      <c r="N837">
        <v>58</v>
      </c>
      <c r="O837">
        <v>0</v>
      </c>
      <c r="P837">
        <v>7732</v>
      </c>
      <c r="Q837">
        <v>3920</v>
      </c>
      <c r="R837">
        <v>57</v>
      </c>
      <c r="S837">
        <v>843</v>
      </c>
      <c r="T837">
        <v>0</v>
      </c>
      <c r="U837">
        <v>2912</v>
      </c>
      <c r="V837" s="1">
        <f t="shared" si="39"/>
        <v>0.1807</v>
      </c>
      <c r="W837" s="1">
        <f t="shared" si="40"/>
        <v>6.6699999999999995E-2</v>
      </c>
      <c r="X837" s="1">
        <f t="shared" si="41"/>
        <v>0</v>
      </c>
    </row>
    <row r="838" spans="1:24" x14ac:dyDescent="0.25">
      <c r="A838">
        <v>2019</v>
      </c>
      <c r="B838">
        <v>3</v>
      </c>
      <c r="C838" t="s">
        <v>31</v>
      </c>
      <c r="D838" t="str">
        <f>_xlfn.XLOOKUP(C838,'Carrier Name Rename'!A:A,'Carrier Name Rename'!B:B)</f>
        <v>American Airlines Inc.</v>
      </c>
      <c r="E838" t="s">
        <v>23</v>
      </c>
      <c r="F838" t="s">
        <v>24</v>
      </c>
      <c r="G838">
        <v>581</v>
      </c>
      <c r="H838">
        <v>126</v>
      </c>
      <c r="I838">
        <v>46.69</v>
      </c>
      <c r="J838">
        <v>2.56</v>
      </c>
      <c r="K838">
        <v>23.97</v>
      </c>
      <c r="L838">
        <v>0</v>
      </c>
      <c r="M838">
        <v>52.78</v>
      </c>
      <c r="N838">
        <v>20</v>
      </c>
      <c r="O838">
        <v>1</v>
      </c>
      <c r="P838">
        <v>7821</v>
      </c>
      <c r="Q838">
        <v>3313</v>
      </c>
      <c r="R838">
        <v>77</v>
      </c>
      <c r="S838">
        <v>959</v>
      </c>
      <c r="T838">
        <v>0</v>
      </c>
      <c r="U838">
        <v>3472</v>
      </c>
      <c r="V838" s="1">
        <f t="shared" si="39"/>
        <v>0.21690000000000001</v>
      </c>
      <c r="W838" s="1">
        <f t="shared" si="40"/>
        <v>3.44E-2</v>
      </c>
      <c r="X838" s="1">
        <f t="shared" si="41"/>
        <v>1.6999999999999999E-3</v>
      </c>
    </row>
    <row r="839" spans="1:24" x14ac:dyDescent="0.25">
      <c r="A839">
        <v>2019</v>
      </c>
      <c r="B839">
        <v>3</v>
      </c>
      <c r="C839" t="s">
        <v>33</v>
      </c>
      <c r="D839" t="str">
        <f>_xlfn.XLOOKUP(C839,'Carrier Name Rename'!A:A,'Carrier Name Rename'!B:B)</f>
        <v>Alaska Airlines Inc.</v>
      </c>
      <c r="E839" t="s">
        <v>23</v>
      </c>
      <c r="F839" t="s">
        <v>24</v>
      </c>
      <c r="G839">
        <v>5622</v>
      </c>
      <c r="H839">
        <v>858</v>
      </c>
      <c r="I839">
        <v>202.44</v>
      </c>
      <c r="J839">
        <v>14.04</v>
      </c>
      <c r="K839">
        <v>380.77</v>
      </c>
      <c r="L839">
        <v>1.31</v>
      </c>
      <c r="M839">
        <v>259.45</v>
      </c>
      <c r="N839">
        <v>39</v>
      </c>
      <c r="O839">
        <v>6</v>
      </c>
      <c r="P839">
        <v>38290</v>
      </c>
      <c r="Q839">
        <v>11558</v>
      </c>
      <c r="R839">
        <v>782</v>
      </c>
      <c r="S839">
        <v>11980</v>
      </c>
      <c r="T839">
        <v>45</v>
      </c>
      <c r="U839">
        <v>13925</v>
      </c>
      <c r="V839" s="1">
        <f t="shared" si="39"/>
        <v>0.15260000000000001</v>
      </c>
      <c r="W839" s="1">
        <f t="shared" si="40"/>
        <v>6.8999999999999999E-3</v>
      </c>
      <c r="X839" s="1">
        <f t="shared" si="41"/>
        <v>1.1000000000000001E-3</v>
      </c>
    </row>
    <row r="840" spans="1:24" x14ac:dyDescent="0.25">
      <c r="A840">
        <v>2019</v>
      </c>
      <c r="B840">
        <v>3</v>
      </c>
      <c r="C840" t="s">
        <v>35</v>
      </c>
      <c r="D840" t="str">
        <f>_xlfn.XLOOKUP(C840,'Carrier Name Rename'!A:A,'Carrier Name Rename'!B:B)</f>
        <v>JetBlue Airways</v>
      </c>
      <c r="E840" t="s">
        <v>23</v>
      </c>
      <c r="F840" t="s">
        <v>24</v>
      </c>
      <c r="G840">
        <v>164</v>
      </c>
      <c r="H840">
        <v>19</v>
      </c>
      <c r="I840">
        <v>5.38</v>
      </c>
      <c r="J840">
        <v>0.61</v>
      </c>
      <c r="K840">
        <v>5.34</v>
      </c>
      <c r="L840">
        <v>0</v>
      </c>
      <c r="M840">
        <v>7.68</v>
      </c>
      <c r="N840">
        <v>0</v>
      </c>
      <c r="O840">
        <v>0</v>
      </c>
      <c r="P840">
        <v>1184</v>
      </c>
      <c r="Q840">
        <v>329</v>
      </c>
      <c r="R840">
        <v>106</v>
      </c>
      <c r="S840">
        <v>235</v>
      </c>
      <c r="T840">
        <v>0</v>
      </c>
      <c r="U840">
        <v>514</v>
      </c>
      <c r="V840" s="1">
        <f t="shared" si="39"/>
        <v>0.1159</v>
      </c>
      <c r="W840" s="1">
        <f t="shared" si="40"/>
        <v>0</v>
      </c>
      <c r="X840" s="1">
        <f t="shared" si="41"/>
        <v>0</v>
      </c>
    </row>
    <row r="841" spans="1:24" x14ac:dyDescent="0.25">
      <c r="A841">
        <v>2019</v>
      </c>
      <c r="B841">
        <v>3</v>
      </c>
      <c r="C841" t="s">
        <v>47</v>
      </c>
      <c r="D841" t="str">
        <f>_xlfn.XLOOKUP(C841,'Carrier Name Rename'!A:A,'Carrier Name Rename'!B:B)</f>
        <v>Compass Airlines</v>
      </c>
      <c r="E841" t="s">
        <v>23</v>
      </c>
      <c r="F841" t="s">
        <v>24</v>
      </c>
      <c r="G841">
        <v>1266</v>
      </c>
      <c r="H841">
        <v>235</v>
      </c>
      <c r="I841">
        <v>51.64</v>
      </c>
      <c r="J841">
        <v>3.36</v>
      </c>
      <c r="K841">
        <v>72.680000000000007</v>
      </c>
      <c r="L841">
        <v>0</v>
      </c>
      <c r="M841">
        <v>107.32</v>
      </c>
      <c r="N841">
        <v>0</v>
      </c>
      <c r="O841">
        <v>1</v>
      </c>
      <c r="P841">
        <v>19934</v>
      </c>
      <c r="Q841">
        <v>9458</v>
      </c>
      <c r="R841">
        <v>233</v>
      </c>
      <c r="S841">
        <v>2393</v>
      </c>
      <c r="T841">
        <v>0</v>
      </c>
      <c r="U841">
        <v>7850</v>
      </c>
      <c r="V841" s="1">
        <f t="shared" si="39"/>
        <v>0.18559999999999999</v>
      </c>
      <c r="W841" s="1">
        <f t="shared" si="40"/>
        <v>0</v>
      </c>
      <c r="X841" s="1">
        <f t="shared" si="41"/>
        <v>8.0000000000000004E-4</v>
      </c>
    </row>
    <row r="842" spans="1:24" x14ac:dyDescent="0.25">
      <c r="A842">
        <v>2019</v>
      </c>
      <c r="B842">
        <v>3</v>
      </c>
      <c r="C842" t="s">
        <v>37</v>
      </c>
      <c r="D842" t="str">
        <f>_xlfn.XLOOKUP(C842,'Carrier Name Rename'!A:A,'Carrier Name Rename'!B:B)</f>
        <v>Delta Air Lines Inc.</v>
      </c>
      <c r="E842" t="s">
        <v>23</v>
      </c>
      <c r="F842" t="s">
        <v>24</v>
      </c>
      <c r="G842">
        <v>2351</v>
      </c>
      <c r="H842">
        <v>311</v>
      </c>
      <c r="I842">
        <v>95.36</v>
      </c>
      <c r="J842">
        <v>6.36</v>
      </c>
      <c r="K842">
        <v>100.61</v>
      </c>
      <c r="L842">
        <v>0</v>
      </c>
      <c r="M842">
        <v>108.67</v>
      </c>
      <c r="N842">
        <v>3</v>
      </c>
      <c r="O842">
        <v>4</v>
      </c>
      <c r="P842">
        <v>20393</v>
      </c>
      <c r="Q842">
        <v>9190</v>
      </c>
      <c r="R842">
        <v>268</v>
      </c>
      <c r="S842">
        <v>2992</v>
      </c>
      <c r="T842">
        <v>0</v>
      </c>
      <c r="U842">
        <v>7943</v>
      </c>
      <c r="V842" s="1">
        <f t="shared" si="39"/>
        <v>0.1323</v>
      </c>
      <c r="W842" s="1">
        <f t="shared" si="40"/>
        <v>1.2999999999999999E-3</v>
      </c>
      <c r="X842" s="1">
        <f t="shared" si="41"/>
        <v>1.6999999999999999E-3</v>
      </c>
    </row>
    <row r="843" spans="1:24" x14ac:dyDescent="0.25">
      <c r="A843">
        <v>2019</v>
      </c>
      <c r="B843">
        <v>3</v>
      </c>
      <c r="C843" t="s">
        <v>39</v>
      </c>
      <c r="D843" t="str">
        <f>_xlfn.XLOOKUP(C843,'Carrier Name Rename'!A:A,'Carrier Name Rename'!B:B)</f>
        <v>Frontier Airlines Inc.</v>
      </c>
      <c r="E843" t="s">
        <v>23</v>
      </c>
      <c r="F843" t="s">
        <v>24</v>
      </c>
      <c r="G843">
        <v>25</v>
      </c>
      <c r="H843">
        <v>5</v>
      </c>
      <c r="I843">
        <v>1.2</v>
      </c>
      <c r="J843">
        <v>0</v>
      </c>
      <c r="K843">
        <v>0</v>
      </c>
      <c r="L843">
        <v>0</v>
      </c>
      <c r="M843">
        <v>3.8</v>
      </c>
      <c r="N843">
        <v>1</v>
      </c>
      <c r="O843">
        <v>0</v>
      </c>
      <c r="P843">
        <v>829</v>
      </c>
      <c r="Q843">
        <v>49</v>
      </c>
      <c r="R843">
        <v>0</v>
      </c>
      <c r="S843">
        <v>0</v>
      </c>
      <c r="T843">
        <v>0</v>
      </c>
      <c r="U843">
        <v>780</v>
      </c>
      <c r="V843" s="1">
        <f t="shared" si="39"/>
        <v>0.2</v>
      </c>
      <c r="W843" s="1">
        <f t="shared" si="40"/>
        <v>0.04</v>
      </c>
      <c r="X843" s="1">
        <f t="shared" si="41"/>
        <v>0</v>
      </c>
    </row>
    <row r="844" spans="1:24" x14ac:dyDescent="0.25">
      <c r="A844">
        <v>2019</v>
      </c>
      <c r="B844">
        <v>3</v>
      </c>
      <c r="C844" t="s">
        <v>21</v>
      </c>
      <c r="D844" t="str">
        <f>_xlfn.XLOOKUP(C844,'Carrier Name Rename'!A:A,'Carrier Name Rename'!B:B)</f>
        <v>Hawaiian Airlines Inc.</v>
      </c>
      <c r="E844" t="s">
        <v>23</v>
      </c>
      <c r="F844" t="s">
        <v>24</v>
      </c>
      <c r="G844">
        <v>62</v>
      </c>
      <c r="H844">
        <v>18</v>
      </c>
      <c r="I844">
        <v>15.06</v>
      </c>
      <c r="J844">
        <v>0.3</v>
      </c>
      <c r="K844">
        <v>0</v>
      </c>
      <c r="L844">
        <v>0</v>
      </c>
      <c r="M844">
        <v>2.64</v>
      </c>
      <c r="N844">
        <v>0</v>
      </c>
      <c r="O844">
        <v>0</v>
      </c>
      <c r="P844">
        <v>432</v>
      </c>
      <c r="Q844">
        <v>353</v>
      </c>
      <c r="R844">
        <v>7</v>
      </c>
      <c r="S844">
        <v>0</v>
      </c>
      <c r="T844">
        <v>0</v>
      </c>
      <c r="U844">
        <v>72</v>
      </c>
      <c r="V844" s="1">
        <f t="shared" si="39"/>
        <v>0.2903</v>
      </c>
      <c r="W844" s="1">
        <f t="shared" si="40"/>
        <v>0</v>
      </c>
      <c r="X844" s="1">
        <f t="shared" si="41"/>
        <v>0</v>
      </c>
    </row>
    <row r="845" spans="1:24" x14ac:dyDescent="0.25">
      <c r="A845">
        <v>2019</v>
      </c>
      <c r="B845">
        <v>3</v>
      </c>
      <c r="C845" t="s">
        <v>25</v>
      </c>
      <c r="D845" t="str">
        <f>_xlfn.XLOOKUP(C845,'Carrier Name Rename'!A:A,'Carrier Name Rename'!B:B)</f>
        <v>Spirit Airlines</v>
      </c>
      <c r="E845" t="s">
        <v>23</v>
      </c>
      <c r="F845" t="s">
        <v>24</v>
      </c>
      <c r="G845">
        <v>93</v>
      </c>
      <c r="H845">
        <v>8</v>
      </c>
      <c r="I845">
        <v>0.89</v>
      </c>
      <c r="J845">
        <v>0</v>
      </c>
      <c r="K845">
        <v>4.09</v>
      </c>
      <c r="L845">
        <v>0</v>
      </c>
      <c r="M845">
        <v>3.02</v>
      </c>
      <c r="N845">
        <v>0</v>
      </c>
      <c r="O845">
        <v>0</v>
      </c>
      <c r="P845">
        <v>460</v>
      </c>
      <c r="Q845">
        <v>32</v>
      </c>
      <c r="R845">
        <v>0</v>
      </c>
      <c r="S845">
        <v>173</v>
      </c>
      <c r="T845">
        <v>0</v>
      </c>
      <c r="U845">
        <v>255</v>
      </c>
      <c r="V845" s="1">
        <f t="shared" si="39"/>
        <v>8.5999999999999993E-2</v>
      </c>
      <c r="W845" s="1">
        <f t="shared" si="40"/>
        <v>0</v>
      </c>
      <c r="X845" s="1">
        <f t="shared" si="41"/>
        <v>0</v>
      </c>
    </row>
    <row r="846" spans="1:24" x14ac:dyDescent="0.25">
      <c r="A846">
        <v>2019</v>
      </c>
      <c r="B846">
        <v>3</v>
      </c>
      <c r="C846" t="s">
        <v>27</v>
      </c>
      <c r="D846" t="str">
        <f>_xlfn.XLOOKUP(C846,'Carrier Name Rename'!A:A,'Carrier Name Rename'!B:B)</f>
        <v>SkyWest Airlines Inc.</v>
      </c>
      <c r="E846" t="s">
        <v>23</v>
      </c>
      <c r="F846" t="s">
        <v>24</v>
      </c>
      <c r="G846">
        <v>658</v>
      </c>
      <c r="H846">
        <v>95</v>
      </c>
      <c r="I846">
        <v>16.329999999999998</v>
      </c>
      <c r="J846">
        <v>2.2400000000000002</v>
      </c>
      <c r="K846">
        <v>31.29</v>
      </c>
      <c r="L846">
        <v>0</v>
      </c>
      <c r="M846">
        <v>45.14</v>
      </c>
      <c r="N846">
        <v>1</v>
      </c>
      <c r="O846">
        <v>1</v>
      </c>
      <c r="P846">
        <v>5405</v>
      </c>
      <c r="Q846">
        <v>1618</v>
      </c>
      <c r="R846">
        <v>112</v>
      </c>
      <c r="S846">
        <v>1156</v>
      </c>
      <c r="T846">
        <v>0</v>
      </c>
      <c r="U846">
        <v>2519</v>
      </c>
      <c r="V846" s="1">
        <f t="shared" si="39"/>
        <v>0.1444</v>
      </c>
      <c r="W846" s="1">
        <f t="shared" si="40"/>
        <v>1.5E-3</v>
      </c>
      <c r="X846" s="1">
        <f t="shared" si="41"/>
        <v>1.5E-3</v>
      </c>
    </row>
    <row r="847" spans="1:24" x14ac:dyDescent="0.25">
      <c r="A847">
        <v>2019</v>
      </c>
      <c r="B847">
        <v>3</v>
      </c>
      <c r="C847" t="s">
        <v>29</v>
      </c>
      <c r="D847" t="str">
        <f>_xlfn.XLOOKUP(C847,'Carrier Name Rename'!A:A,'Carrier Name Rename'!B:B)</f>
        <v>Horizon Air</v>
      </c>
      <c r="E847" t="s">
        <v>23</v>
      </c>
      <c r="F847" t="s">
        <v>24</v>
      </c>
      <c r="G847">
        <v>2922</v>
      </c>
      <c r="H847">
        <v>569</v>
      </c>
      <c r="I847">
        <v>89.34</v>
      </c>
      <c r="J847">
        <v>15.76</v>
      </c>
      <c r="K847">
        <v>285.2</v>
      </c>
      <c r="L847">
        <v>0</v>
      </c>
      <c r="M847">
        <v>178.7</v>
      </c>
      <c r="N847">
        <v>34</v>
      </c>
      <c r="O847">
        <v>2</v>
      </c>
      <c r="P847">
        <v>26530</v>
      </c>
      <c r="Q847">
        <v>6351</v>
      </c>
      <c r="R847">
        <v>1162</v>
      </c>
      <c r="S847">
        <v>10021</v>
      </c>
      <c r="T847">
        <v>0</v>
      </c>
      <c r="U847">
        <v>8996</v>
      </c>
      <c r="V847" s="1">
        <f t="shared" si="39"/>
        <v>0.19470000000000001</v>
      </c>
      <c r="W847" s="1">
        <f t="shared" si="40"/>
        <v>1.1599999999999999E-2</v>
      </c>
      <c r="X847" s="1">
        <f t="shared" si="41"/>
        <v>6.9999999999999999E-4</v>
      </c>
    </row>
    <row r="848" spans="1:24" x14ac:dyDescent="0.25">
      <c r="A848">
        <v>2019</v>
      </c>
      <c r="B848">
        <v>2</v>
      </c>
      <c r="C848" t="s">
        <v>31</v>
      </c>
      <c r="D848" t="str">
        <f>_xlfn.XLOOKUP(C848,'Carrier Name Rename'!A:A,'Carrier Name Rename'!B:B)</f>
        <v>American Airlines Inc.</v>
      </c>
      <c r="E848" t="s">
        <v>23</v>
      </c>
      <c r="F848" t="s">
        <v>24</v>
      </c>
      <c r="G848">
        <v>516</v>
      </c>
      <c r="H848">
        <v>143</v>
      </c>
      <c r="I848">
        <v>43.73</v>
      </c>
      <c r="J848">
        <v>7.4</v>
      </c>
      <c r="K848">
        <v>57.07</v>
      </c>
      <c r="L848">
        <v>0</v>
      </c>
      <c r="M848">
        <v>34.799999999999997</v>
      </c>
      <c r="N848">
        <v>23</v>
      </c>
      <c r="O848">
        <v>5</v>
      </c>
      <c r="P848">
        <v>7377</v>
      </c>
      <c r="Q848">
        <v>2212</v>
      </c>
      <c r="R848">
        <v>496</v>
      </c>
      <c r="S848">
        <v>2567</v>
      </c>
      <c r="T848">
        <v>0</v>
      </c>
      <c r="U848">
        <v>2102</v>
      </c>
      <c r="V848" s="1">
        <f t="shared" si="39"/>
        <v>0.27710000000000001</v>
      </c>
      <c r="W848" s="1">
        <f t="shared" si="40"/>
        <v>4.4600000000000001E-2</v>
      </c>
      <c r="X848" s="1">
        <f t="shared" si="41"/>
        <v>9.7000000000000003E-3</v>
      </c>
    </row>
    <row r="849" spans="1:24" x14ac:dyDescent="0.25">
      <c r="A849">
        <v>2019</v>
      </c>
      <c r="B849">
        <v>2</v>
      </c>
      <c r="C849" t="s">
        <v>33</v>
      </c>
      <c r="D849" t="str">
        <f>_xlfn.XLOOKUP(C849,'Carrier Name Rename'!A:A,'Carrier Name Rename'!B:B)</f>
        <v>Alaska Airlines Inc.</v>
      </c>
      <c r="E849" t="s">
        <v>23</v>
      </c>
      <c r="F849" t="s">
        <v>24</v>
      </c>
      <c r="G849">
        <v>4813</v>
      </c>
      <c r="H849">
        <v>1256</v>
      </c>
      <c r="I849">
        <v>190.25</v>
      </c>
      <c r="J849">
        <v>33.450000000000003</v>
      </c>
      <c r="K849">
        <v>612.98</v>
      </c>
      <c r="L849">
        <v>1.74</v>
      </c>
      <c r="M849">
        <v>417.57</v>
      </c>
      <c r="N849">
        <v>268</v>
      </c>
      <c r="O849">
        <v>35</v>
      </c>
      <c r="P849">
        <v>82773</v>
      </c>
      <c r="Q849">
        <v>14348</v>
      </c>
      <c r="R849">
        <v>3546</v>
      </c>
      <c r="S849">
        <v>32771</v>
      </c>
      <c r="T849">
        <v>48</v>
      </c>
      <c r="U849">
        <v>32060</v>
      </c>
      <c r="V849" s="1">
        <f t="shared" si="39"/>
        <v>0.26100000000000001</v>
      </c>
      <c r="W849" s="1">
        <f t="shared" si="40"/>
        <v>5.57E-2</v>
      </c>
      <c r="X849" s="1">
        <f t="shared" si="41"/>
        <v>7.3000000000000001E-3</v>
      </c>
    </row>
    <row r="850" spans="1:24" x14ac:dyDescent="0.25">
      <c r="A850">
        <v>2019</v>
      </c>
      <c r="B850">
        <v>2</v>
      </c>
      <c r="C850" t="s">
        <v>35</v>
      </c>
      <c r="D850" t="str">
        <f>_xlfn.XLOOKUP(C850,'Carrier Name Rename'!A:A,'Carrier Name Rename'!B:B)</f>
        <v>JetBlue Airways</v>
      </c>
      <c r="E850" t="s">
        <v>23</v>
      </c>
      <c r="F850" t="s">
        <v>24</v>
      </c>
      <c r="G850">
        <v>132</v>
      </c>
      <c r="H850">
        <v>43</v>
      </c>
      <c r="I850">
        <v>9.4700000000000006</v>
      </c>
      <c r="J850">
        <v>0.74</v>
      </c>
      <c r="K850">
        <v>25.29</v>
      </c>
      <c r="L850">
        <v>0</v>
      </c>
      <c r="M850">
        <v>7.5</v>
      </c>
      <c r="N850">
        <v>3</v>
      </c>
      <c r="O850">
        <v>0</v>
      </c>
      <c r="P850">
        <v>2423</v>
      </c>
      <c r="Q850">
        <v>453</v>
      </c>
      <c r="R850">
        <v>88</v>
      </c>
      <c r="S850">
        <v>1413</v>
      </c>
      <c r="T850">
        <v>0</v>
      </c>
      <c r="U850">
        <v>469</v>
      </c>
      <c r="V850" s="1">
        <f t="shared" si="39"/>
        <v>0.32579999999999998</v>
      </c>
      <c r="W850" s="1">
        <f t="shared" si="40"/>
        <v>2.2700000000000001E-2</v>
      </c>
      <c r="X850" s="1">
        <f t="shared" si="41"/>
        <v>0</v>
      </c>
    </row>
    <row r="851" spans="1:24" x14ac:dyDescent="0.25">
      <c r="A851">
        <v>2019</v>
      </c>
      <c r="B851">
        <v>2</v>
      </c>
      <c r="C851" t="s">
        <v>47</v>
      </c>
      <c r="D851" t="str">
        <f>_xlfn.XLOOKUP(C851,'Carrier Name Rename'!A:A,'Carrier Name Rename'!B:B)</f>
        <v>Compass Airlines</v>
      </c>
      <c r="E851" t="s">
        <v>23</v>
      </c>
      <c r="F851" t="s">
        <v>24</v>
      </c>
      <c r="G851">
        <v>1112</v>
      </c>
      <c r="H851">
        <v>266</v>
      </c>
      <c r="I851">
        <v>46.31</v>
      </c>
      <c r="J851">
        <v>9.8000000000000007</v>
      </c>
      <c r="K851">
        <v>86.58</v>
      </c>
      <c r="L851">
        <v>0</v>
      </c>
      <c r="M851">
        <v>123.32</v>
      </c>
      <c r="N851">
        <v>132</v>
      </c>
      <c r="O851">
        <v>6</v>
      </c>
      <c r="P851">
        <v>23959</v>
      </c>
      <c r="Q851">
        <v>5070</v>
      </c>
      <c r="R851">
        <v>1395</v>
      </c>
      <c r="S851">
        <v>6310</v>
      </c>
      <c r="T851">
        <v>0</v>
      </c>
      <c r="U851">
        <v>11184</v>
      </c>
      <c r="V851" s="1">
        <f t="shared" si="39"/>
        <v>0.2392</v>
      </c>
      <c r="W851" s="1">
        <f t="shared" si="40"/>
        <v>0.1187</v>
      </c>
      <c r="X851" s="1">
        <f t="shared" si="41"/>
        <v>5.4000000000000003E-3</v>
      </c>
    </row>
    <row r="852" spans="1:24" x14ac:dyDescent="0.25">
      <c r="A852">
        <v>2019</v>
      </c>
      <c r="B852">
        <v>2</v>
      </c>
      <c r="C852" t="s">
        <v>37</v>
      </c>
      <c r="D852" t="str">
        <f>_xlfn.XLOOKUP(C852,'Carrier Name Rename'!A:A,'Carrier Name Rename'!B:B)</f>
        <v>Delta Air Lines Inc.</v>
      </c>
      <c r="E852" t="s">
        <v>23</v>
      </c>
      <c r="F852" t="s">
        <v>24</v>
      </c>
      <c r="G852">
        <v>1958</v>
      </c>
      <c r="H852">
        <v>436</v>
      </c>
      <c r="I852">
        <v>97.26</v>
      </c>
      <c r="J852">
        <v>12.54</v>
      </c>
      <c r="K852">
        <v>183.14</v>
      </c>
      <c r="L852">
        <v>0</v>
      </c>
      <c r="M852">
        <v>143.05000000000001</v>
      </c>
      <c r="N852">
        <v>2</v>
      </c>
      <c r="O852">
        <v>14</v>
      </c>
      <c r="P852">
        <v>37008</v>
      </c>
      <c r="Q852">
        <v>9797</v>
      </c>
      <c r="R852">
        <v>1575</v>
      </c>
      <c r="S852">
        <v>10844</v>
      </c>
      <c r="T852">
        <v>0</v>
      </c>
      <c r="U852">
        <v>14792</v>
      </c>
      <c r="V852" s="1">
        <f t="shared" si="39"/>
        <v>0.22270000000000001</v>
      </c>
      <c r="W852" s="1">
        <f t="shared" si="40"/>
        <v>1E-3</v>
      </c>
      <c r="X852" s="1">
        <f t="shared" si="41"/>
        <v>7.1999999999999998E-3</v>
      </c>
    </row>
    <row r="853" spans="1:24" x14ac:dyDescent="0.25">
      <c r="A853">
        <v>2019</v>
      </c>
      <c r="B853">
        <v>2</v>
      </c>
      <c r="C853" t="s">
        <v>39</v>
      </c>
      <c r="D853" t="str">
        <f>_xlfn.XLOOKUP(C853,'Carrier Name Rename'!A:A,'Carrier Name Rename'!B:B)</f>
        <v>Frontier Airlines Inc.</v>
      </c>
      <c r="E853" t="s">
        <v>23</v>
      </c>
      <c r="F853" t="s">
        <v>24</v>
      </c>
      <c r="G853">
        <v>31</v>
      </c>
      <c r="H853">
        <v>8</v>
      </c>
      <c r="I853">
        <v>2.19</v>
      </c>
      <c r="J853">
        <v>0.16</v>
      </c>
      <c r="K853">
        <v>1.95</v>
      </c>
      <c r="L853">
        <v>0</v>
      </c>
      <c r="M853">
        <v>3.7</v>
      </c>
      <c r="N853">
        <v>0</v>
      </c>
      <c r="O853">
        <v>0</v>
      </c>
      <c r="P853">
        <v>638</v>
      </c>
      <c r="Q853">
        <v>119</v>
      </c>
      <c r="R853">
        <v>32</v>
      </c>
      <c r="S853">
        <v>103</v>
      </c>
      <c r="T853">
        <v>0</v>
      </c>
      <c r="U853">
        <v>384</v>
      </c>
      <c r="V853" s="1">
        <f t="shared" si="39"/>
        <v>0.2581</v>
      </c>
      <c r="W853" s="1">
        <f t="shared" si="40"/>
        <v>0</v>
      </c>
      <c r="X853" s="1">
        <f t="shared" si="41"/>
        <v>0</v>
      </c>
    </row>
    <row r="854" spans="1:24" x14ac:dyDescent="0.25">
      <c r="A854">
        <v>2019</v>
      </c>
      <c r="B854">
        <v>2</v>
      </c>
      <c r="C854" t="s">
        <v>21</v>
      </c>
      <c r="D854" t="str">
        <f>_xlfn.XLOOKUP(C854,'Carrier Name Rename'!A:A,'Carrier Name Rename'!B:B)</f>
        <v>Hawaiian Airlines Inc.</v>
      </c>
      <c r="E854" t="s">
        <v>23</v>
      </c>
      <c r="F854" t="s">
        <v>24</v>
      </c>
      <c r="G854">
        <v>56</v>
      </c>
      <c r="H854">
        <v>22</v>
      </c>
      <c r="I854">
        <v>15.51</v>
      </c>
      <c r="J854">
        <v>0</v>
      </c>
      <c r="K854">
        <v>0</v>
      </c>
      <c r="L854">
        <v>0</v>
      </c>
      <c r="M854">
        <v>6.49</v>
      </c>
      <c r="N854">
        <v>0</v>
      </c>
      <c r="O854">
        <v>0</v>
      </c>
      <c r="P854">
        <v>1072</v>
      </c>
      <c r="Q854">
        <v>631</v>
      </c>
      <c r="R854">
        <v>0</v>
      </c>
      <c r="S854">
        <v>0</v>
      </c>
      <c r="T854">
        <v>0</v>
      </c>
      <c r="U854">
        <v>441</v>
      </c>
      <c r="V854" s="1">
        <f t="shared" si="39"/>
        <v>0.39290000000000003</v>
      </c>
      <c r="W854" s="1">
        <f t="shared" si="40"/>
        <v>0</v>
      </c>
      <c r="X854" s="1">
        <f t="shared" si="41"/>
        <v>0</v>
      </c>
    </row>
    <row r="855" spans="1:24" x14ac:dyDescent="0.25">
      <c r="A855">
        <v>2019</v>
      </c>
      <c r="B855">
        <v>2</v>
      </c>
      <c r="C855" t="s">
        <v>25</v>
      </c>
      <c r="D855" t="str">
        <f>_xlfn.XLOOKUP(C855,'Carrier Name Rename'!A:A,'Carrier Name Rename'!B:B)</f>
        <v>Spirit Airlines</v>
      </c>
      <c r="E855" t="s">
        <v>23</v>
      </c>
      <c r="F855" t="s">
        <v>24</v>
      </c>
      <c r="G855">
        <v>85</v>
      </c>
      <c r="H855">
        <v>28</v>
      </c>
      <c r="I855">
        <v>4.9800000000000004</v>
      </c>
      <c r="J855">
        <v>3.17</v>
      </c>
      <c r="K855">
        <v>15.25</v>
      </c>
      <c r="L855">
        <v>0</v>
      </c>
      <c r="M855">
        <v>4.59</v>
      </c>
      <c r="N855">
        <v>2</v>
      </c>
      <c r="O855">
        <v>0</v>
      </c>
      <c r="P855">
        <v>2320</v>
      </c>
      <c r="Q855">
        <v>210</v>
      </c>
      <c r="R855">
        <v>261</v>
      </c>
      <c r="S855">
        <v>1550</v>
      </c>
      <c r="T855">
        <v>0</v>
      </c>
      <c r="U855">
        <v>299</v>
      </c>
      <c r="V855" s="1">
        <f t="shared" si="39"/>
        <v>0.32940000000000003</v>
      </c>
      <c r="W855" s="1">
        <f t="shared" si="40"/>
        <v>2.35E-2</v>
      </c>
      <c r="X855" s="1">
        <f t="shared" si="41"/>
        <v>0</v>
      </c>
    </row>
    <row r="856" spans="1:24" x14ac:dyDescent="0.25">
      <c r="A856">
        <v>2019</v>
      </c>
      <c r="B856">
        <v>2</v>
      </c>
      <c r="C856" t="s">
        <v>27</v>
      </c>
      <c r="D856" t="str">
        <f>_xlfn.XLOOKUP(C856,'Carrier Name Rename'!A:A,'Carrier Name Rename'!B:B)</f>
        <v>SkyWest Airlines Inc.</v>
      </c>
      <c r="E856" t="s">
        <v>23</v>
      </c>
      <c r="F856" t="s">
        <v>24</v>
      </c>
      <c r="G856">
        <v>510</v>
      </c>
      <c r="H856">
        <v>90</v>
      </c>
      <c r="I856">
        <v>11.66</v>
      </c>
      <c r="J856">
        <v>7.46</v>
      </c>
      <c r="K856">
        <v>46.39</v>
      </c>
      <c r="L856">
        <v>0</v>
      </c>
      <c r="M856">
        <v>24.49</v>
      </c>
      <c r="N856">
        <v>31</v>
      </c>
      <c r="O856">
        <v>3</v>
      </c>
      <c r="P856">
        <v>6706</v>
      </c>
      <c r="Q856">
        <v>777</v>
      </c>
      <c r="R856">
        <v>844</v>
      </c>
      <c r="S856">
        <v>3015</v>
      </c>
      <c r="T856">
        <v>0</v>
      </c>
      <c r="U856">
        <v>2070</v>
      </c>
      <c r="V856" s="1">
        <f t="shared" si="39"/>
        <v>0.17649999999999999</v>
      </c>
      <c r="W856" s="1">
        <f t="shared" si="40"/>
        <v>6.08E-2</v>
      </c>
      <c r="X856" s="1">
        <f t="shared" si="41"/>
        <v>5.8999999999999999E-3</v>
      </c>
    </row>
    <row r="857" spans="1:24" x14ac:dyDescent="0.25">
      <c r="A857">
        <v>2019</v>
      </c>
      <c r="B857">
        <v>2</v>
      </c>
      <c r="C857" t="s">
        <v>29</v>
      </c>
      <c r="D857" t="str">
        <f>_xlfn.XLOOKUP(C857,'Carrier Name Rename'!A:A,'Carrier Name Rename'!B:B)</f>
        <v>Horizon Air</v>
      </c>
      <c r="E857" t="s">
        <v>23</v>
      </c>
      <c r="F857" t="s">
        <v>24</v>
      </c>
      <c r="G857">
        <v>3049</v>
      </c>
      <c r="H857">
        <v>980</v>
      </c>
      <c r="I857">
        <v>128.31</v>
      </c>
      <c r="J857">
        <v>67.72</v>
      </c>
      <c r="K857">
        <v>501.97</v>
      </c>
      <c r="L857">
        <v>0</v>
      </c>
      <c r="M857">
        <v>281.99</v>
      </c>
      <c r="N857">
        <v>365</v>
      </c>
      <c r="O857">
        <v>17</v>
      </c>
      <c r="P857">
        <v>55805</v>
      </c>
      <c r="Q857">
        <v>8182</v>
      </c>
      <c r="R857">
        <v>5275</v>
      </c>
      <c r="S857">
        <v>24923</v>
      </c>
      <c r="T857">
        <v>0</v>
      </c>
      <c r="U857">
        <v>17425</v>
      </c>
      <c r="V857" s="1">
        <f t="shared" si="39"/>
        <v>0.32140000000000002</v>
      </c>
      <c r="W857" s="1">
        <f t="shared" si="40"/>
        <v>0.1197</v>
      </c>
      <c r="X857" s="1">
        <f t="shared" si="41"/>
        <v>5.5999999999999999E-3</v>
      </c>
    </row>
    <row r="858" spans="1:24" x14ac:dyDescent="0.25">
      <c r="A858">
        <v>2019</v>
      </c>
      <c r="B858">
        <v>2</v>
      </c>
      <c r="C858" t="s">
        <v>41</v>
      </c>
      <c r="D858" t="str">
        <f>_xlfn.XLOOKUP(C858,'Carrier Name Rename'!A:A,'Carrier Name Rename'!B:B)</f>
        <v>United Air Lines Inc.</v>
      </c>
      <c r="E858" t="s">
        <v>23</v>
      </c>
      <c r="F858" t="s">
        <v>24</v>
      </c>
      <c r="G858">
        <v>556</v>
      </c>
      <c r="H858">
        <v>134</v>
      </c>
      <c r="I858">
        <v>23.01</v>
      </c>
      <c r="J858">
        <v>2.74</v>
      </c>
      <c r="K858">
        <v>63.39</v>
      </c>
      <c r="L858">
        <v>0</v>
      </c>
      <c r="M858">
        <v>44.86</v>
      </c>
      <c r="N858">
        <v>12</v>
      </c>
      <c r="O858">
        <v>6</v>
      </c>
      <c r="P858">
        <v>10541</v>
      </c>
      <c r="Q858">
        <v>1180</v>
      </c>
      <c r="R858">
        <v>566</v>
      </c>
      <c r="S858">
        <v>4383</v>
      </c>
      <c r="T858">
        <v>0</v>
      </c>
      <c r="U858">
        <v>4412</v>
      </c>
      <c r="V858" s="1">
        <f t="shared" si="39"/>
        <v>0.24099999999999999</v>
      </c>
      <c r="W858" s="1">
        <f t="shared" si="40"/>
        <v>2.1600000000000001E-2</v>
      </c>
      <c r="X858" s="1">
        <f t="shared" si="41"/>
        <v>1.0800000000000001E-2</v>
      </c>
    </row>
    <row r="859" spans="1:24" x14ac:dyDescent="0.25">
      <c r="A859">
        <v>2019</v>
      </c>
      <c r="B859">
        <v>2</v>
      </c>
      <c r="C859" t="s">
        <v>43</v>
      </c>
      <c r="D859" t="str">
        <f>_xlfn.XLOOKUP(C859,'Carrier Name Rename'!A:A,'Carrier Name Rename'!B:B)</f>
        <v>Southwest Airlines Co.</v>
      </c>
      <c r="E859" t="s">
        <v>23</v>
      </c>
      <c r="F859" t="s">
        <v>24</v>
      </c>
      <c r="G859">
        <v>755</v>
      </c>
      <c r="H859">
        <v>201</v>
      </c>
      <c r="I859">
        <v>67.64</v>
      </c>
      <c r="J859">
        <v>1.93</v>
      </c>
      <c r="K859">
        <v>63.12</v>
      </c>
      <c r="L859">
        <v>0</v>
      </c>
      <c r="M859">
        <v>68.319999999999993</v>
      </c>
      <c r="N859">
        <v>37</v>
      </c>
      <c r="O859">
        <v>4</v>
      </c>
      <c r="P859">
        <v>11886</v>
      </c>
      <c r="Q859">
        <v>3378</v>
      </c>
      <c r="R859">
        <v>93</v>
      </c>
      <c r="S859">
        <v>4062</v>
      </c>
      <c r="T859">
        <v>0</v>
      </c>
      <c r="U859">
        <v>4353</v>
      </c>
      <c r="V859" s="1">
        <f t="shared" si="39"/>
        <v>0.26619999999999999</v>
      </c>
      <c r="W859" s="1">
        <f t="shared" si="40"/>
        <v>4.9000000000000002E-2</v>
      </c>
      <c r="X859" s="1">
        <f t="shared" si="41"/>
        <v>5.3E-3</v>
      </c>
    </row>
    <row r="860" spans="1:24" x14ac:dyDescent="0.25">
      <c r="A860">
        <v>2019</v>
      </c>
      <c r="B860">
        <v>1</v>
      </c>
      <c r="C860" t="s">
        <v>33</v>
      </c>
      <c r="D860" t="str">
        <f>_xlfn.XLOOKUP(C860,'Carrier Name Rename'!A:A,'Carrier Name Rename'!B:B)</f>
        <v>Alaska Airlines Inc.</v>
      </c>
      <c r="E860" t="s">
        <v>23</v>
      </c>
      <c r="F860" t="s">
        <v>24</v>
      </c>
      <c r="G860">
        <v>5064</v>
      </c>
      <c r="H860">
        <v>737</v>
      </c>
      <c r="I860">
        <v>149.04</v>
      </c>
      <c r="J860">
        <v>26.32</v>
      </c>
      <c r="K860">
        <v>369.9</v>
      </c>
      <c r="L860">
        <v>3.18</v>
      </c>
      <c r="M860">
        <v>188.55</v>
      </c>
      <c r="N860">
        <v>58</v>
      </c>
      <c r="O860">
        <v>6</v>
      </c>
      <c r="P860">
        <v>35271</v>
      </c>
      <c r="Q860">
        <v>10058</v>
      </c>
      <c r="R860">
        <v>1453</v>
      </c>
      <c r="S860">
        <v>10797</v>
      </c>
      <c r="T860">
        <v>91</v>
      </c>
      <c r="U860">
        <v>12872</v>
      </c>
      <c r="V860" s="1">
        <f t="shared" si="39"/>
        <v>0.14549999999999999</v>
      </c>
      <c r="W860" s="1">
        <f t="shared" si="40"/>
        <v>1.15E-2</v>
      </c>
      <c r="X860" s="1">
        <f t="shared" si="41"/>
        <v>1.1999999999999999E-3</v>
      </c>
    </row>
    <row r="861" spans="1:24" x14ac:dyDescent="0.25">
      <c r="A861">
        <v>2019</v>
      </c>
      <c r="B861">
        <v>1</v>
      </c>
      <c r="C861" t="s">
        <v>35</v>
      </c>
      <c r="D861" t="str">
        <f>_xlfn.XLOOKUP(C861,'Carrier Name Rename'!A:A,'Carrier Name Rename'!B:B)</f>
        <v>JetBlue Airways</v>
      </c>
      <c r="E861" t="s">
        <v>23</v>
      </c>
      <c r="F861" t="s">
        <v>24</v>
      </c>
      <c r="G861">
        <v>147</v>
      </c>
      <c r="H861">
        <v>34</v>
      </c>
      <c r="I861">
        <v>12.49</v>
      </c>
      <c r="J861">
        <v>1.67</v>
      </c>
      <c r="K861">
        <v>12.71</v>
      </c>
      <c r="L861">
        <v>0</v>
      </c>
      <c r="M861">
        <v>7.12</v>
      </c>
      <c r="N861">
        <v>3</v>
      </c>
      <c r="O861">
        <v>0</v>
      </c>
      <c r="P861">
        <v>1744</v>
      </c>
      <c r="Q861">
        <v>585</v>
      </c>
      <c r="R861">
        <v>90</v>
      </c>
      <c r="S861">
        <v>434</v>
      </c>
      <c r="T861">
        <v>0</v>
      </c>
      <c r="U861">
        <v>635</v>
      </c>
      <c r="V861" s="1">
        <f t="shared" si="39"/>
        <v>0.23130000000000001</v>
      </c>
      <c r="W861" s="1">
        <f t="shared" si="40"/>
        <v>2.0400000000000001E-2</v>
      </c>
      <c r="X861" s="1">
        <f t="shared" si="41"/>
        <v>0</v>
      </c>
    </row>
    <row r="862" spans="1:24" x14ac:dyDescent="0.25">
      <c r="A862">
        <v>2019</v>
      </c>
      <c r="B862">
        <v>1</v>
      </c>
      <c r="C862" t="s">
        <v>47</v>
      </c>
      <c r="D862" t="str">
        <f>_xlfn.XLOOKUP(C862,'Carrier Name Rename'!A:A,'Carrier Name Rename'!B:B)</f>
        <v>Compass Airlines</v>
      </c>
      <c r="E862" t="s">
        <v>23</v>
      </c>
      <c r="F862" t="s">
        <v>24</v>
      </c>
      <c r="G862">
        <v>1229</v>
      </c>
      <c r="H862">
        <v>226</v>
      </c>
      <c r="I862">
        <v>52.58</v>
      </c>
      <c r="J862">
        <v>7.75</v>
      </c>
      <c r="K862">
        <v>50.09</v>
      </c>
      <c r="L862">
        <v>0</v>
      </c>
      <c r="M862">
        <v>115.59</v>
      </c>
      <c r="N862">
        <v>10</v>
      </c>
      <c r="O862">
        <v>3</v>
      </c>
      <c r="P862">
        <v>21861</v>
      </c>
      <c r="Q862">
        <v>7157</v>
      </c>
      <c r="R862">
        <v>863</v>
      </c>
      <c r="S862">
        <v>1931</v>
      </c>
      <c r="T862">
        <v>0</v>
      </c>
      <c r="U862">
        <v>11910</v>
      </c>
      <c r="V862" s="1">
        <f t="shared" si="39"/>
        <v>0.18390000000000001</v>
      </c>
      <c r="W862" s="1">
        <f t="shared" si="40"/>
        <v>8.0999999999999996E-3</v>
      </c>
      <c r="X862" s="1">
        <f t="shared" si="41"/>
        <v>2.3999999999999998E-3</v>
      </c>
    </row>
    <row r="863" spans="1:24" x14ac:dyDescent="0.25">
      <c r="A863">
        <v>2019</v>
      </c>
      <c r="B863">
        <v>1</v>
      </c>
      <c r="C863" t="s">
        <v>37</v>
      </c>
      <c r="D863" t="str">
        <f>_xlfn.XLOOKUP(C863,'Carrier Name Rename'!A:A,'Carrier Name Rename'!B:B)</f>
        <v>Delta Air Lines Inc.</v>
      </c>
      <c r="E863" t="s">
        <v>23</v>
      </c>
      <c r="F863" t="s">
        <v>24</v>
      </c>
      <c r="G863">
        <v>2176</v>
      </c>
      <c r="H863">
        <v>276</v>
      </c>
      <c r="I863">
        <v>74.540000000000006</v>
      </c>
      <c r="J863">
        <v>12.68</v>
      </c>
      <c r="K863">
        <v>113.3</v>
      </c>
      <c r="L863">
        <v>1</v>
      </c>
      <c r="M863">
        <v>74.47</v>
      </c>
      <c r="N863">
        <v>2</v>
      </c>
      <c r="O863">
        <v>2</v>
      </c>
      <c r="P863">
        <v>21086</v>
      </c>
      <c r="Q863">
        <v>9098</v>
      </c>
      <c r="R863">
        <v>1233</v>
      </c>
      <c r="S863">
        <v>3542</v>
      </c>
      <c r="T863">
        <v>16</v>
      </c>
      <c r="U863">
        <v>7197</v>
      </c>
      <c r="V863" s="1">
        <f t="shared" si="39"/>
        <v>0.1268</v>
      </c>
      <c r="W863" s="1">
        <f t="shared" si="40"/>
        <v>8.9999999999999998E-4</v>
      </c>
      <c r="X863" s="1">
        <f t="shared" si="41"/>
        <v>8.9999999999999998E-4</v>
      </c>
    </row>
    <row r="864" spans="1:24" x14ac:dyDescent="0.25">
      <c r="A864">
        <v>2019</v>
      </c>
      <c r="B864">
        <v>1</v>
      </c>
      <c r="C864" t="s">
        <v>39</v>
      </c>
      <c r="D864" t="str">
        <f>_xlfn.XLOOKUP(C864,'Carrier Name Rename'!A:A,'Carrier Name Rename'!B:B)</f>
        <v>Frontier Airlines Inc.</v>
      </c>
      <c r="E864" t="s">
        <v>23</v>
      </c>
      <c r="F864" t="s">
        <v>24</v>
      </c>
      <c r="G864">
        <v>40</v>
      </c>
      <c r="H864">
        <v>5</v>
      </c>
      <c r="I864">
        <v>0.21</v>
      </c>
      <c r="J864">
        <v>0</v>
      </c>
      <c r="K864">
        <v>1</v>
      </c>
      <c r="L864">
        <v>0</v>
      </c>
      <c r="M864">
        <v>3.79</v>
      </c>
      <c r="N864">
        <v>0</v>
      </c>
      <c r="O864">
        <v>0</v>
      </c>
      <c r="P864">
        <v>365</v>
      </c>
      <c r="Q864">
        <v>19</v>
      </c>
      <c r="R864">
        <v>0</v>
      </c>
      <c r="S864">
        <v>30</v>
      </c>
      <c r="T864">
        <v>0</v>
      </c>
      <c r="U864">
        <v>316</v>
      </c>
      <c r="V864" s="1">
        <f t="shared" si="39"/>
        <v>0.125</v>
      </c>
      <c r="W864" s="1">
        <f t="shared" si="40"/>
        <v>0</v>
      </c>
      <c r="X864" s="1">
        <f t="shared" si="41"/>
        <v>0</v>
      </c>
    </row>
    <row r="865" spans="1:24" x14ac:dyDescent="0.25">
      <c r="A865">
        <v>2019</v>
      </c>
      <c r="B865">
        <v>1</v>
      </c>
      <c r="C865" t="s">
        <v>21</v>
      </c>
      <c r="D865" t="str">
        <f>_xlfn.XLOOKUP(C865,'Carrier Name Rename'!A:A,'Carrier Name Rename'!B:B)</f>
        <v>Hawaiian Airlines Inc.</v>
      </c>
      <c r="E865" t="s">
        <v>23</v>
      </c>
      <c r="F865" t="s">
        <v>24</v>
      </c>
      <c r="G865">
        <v>68</v>
      </c>
      <c r="H865">
        <v>34</v>
      </c>
      <c r="I865">
        <v>28.17</v>
      </c>
      <c r="J865">
        <v>0</v>
      </c>
      <c r="K865">
        <v>0</v>
      </c>
      <c r="L865">
        <v>1.47</v>
      </c>
      <c r="M865">
        <v>4.3600000000000003</v>
      </c>
      <c r="N865">
        <v>0</v>
      </c>
      <c r="O865">
        <v>0</v>
      </c>
      <c r="P865">
        <v>925</v>
      </c>
      <c r="Q865">
        <v>681</v>
      </c>
      <c r="R865">
        <v>0</v>
      </c>
      <c r="S865">
        <v>0</v>
      </c>
      <c r="T865">
        <v>127</v>
      </c>
      <c r="U865">
        <v>117</v>
      </c>
      <c r="V865" s="1">
        <f t="shared" si="39"/>
        <v>0.5</v>
      </c>
      <c r="W865" s="1">
        <f t="shared" si="40"/>
        <v>0</v>
      </c>
      <c r="X865" s="1">
        <f t="shared" si="41"/>
        <v>0</v>
      </c>
    </row>
    <row r="866" spans="1:24" x14ac:dyDescent="0.25">
      <c r="A866">
        <v>2019</v>
      </c>
      <c r="B866">
        <v>1</v>
      </c>
      <c r="C866" t="s">
        <v>25</v>
      </c>
      <c r="D866" t="str">
        <f>_xlfn.XLOOKUP(C866,'Carrier Name Rename'!A:A,'Carrier Name Rename'!B:B)</f>
        <v>Spirit Airlines</v>
      </c>
      <c r="E866" t="s">
        <v>23</v>
      </c>
      <c r="F866" t="s">
        <v>24</v>
      </c>
      <c r="G866">
        <v>103</v>
      </c>
      <c r="H866">
        <v>13</v>
      </c>
      <c r="I866">
        <v>4.5199999999999996</v>
      </c>
      <c r="J866">
        <v>0</v>
      </c>
      <c r="K866">
        <v>6.71</v>
      </c>
      <c r="L866">
        <v>0</v>
      </c>
      <c r="M866">
        <v>1.78</v>
      </c>
      <c r="N866">
        <v>0</v>
      </c>
      <c r="O866">
        <v>0</v>
      </c>
      <c r="P866">
        <v>649</v>
      </c>
      <c r="Q866">
        <v>270</v>
      </c>
      <c r="R866">
        <v>0</v>
      </c>
      <c r="S866">
        <v>312</v>
      </c>
      <c r="T866">
        <v>0</v>
      </c>
      <c r="U866">
        <v>67</v>
      </c>
      <c r="V866" s="1">
        <f t="shared" si="39"/>
        <v>0.12620000000000001</v>
      </c>
      <c r="W866" s="1">
        <f t="shared" si="40"/>
        <v>0</v>
      </c>
      <c r="X866" s="1">
        <f t="shared" si="41"/>
        <v>0</v>
      </c>
    </row>
    <row r="867" spans="1:24" x14ac:dyDescent="0.25">
      <c r="A867">
        <v>2019</v>
      </c>
      <c r="B867">
        <v>1</v>
      </c>
      <c r="C867" t="s">
        <v>27</v>
      </c>
      <c r="D867" t="str">
        <f>_xlfn.XLOOKUP(C867,'Carrier Name Rename'!A:A,'Carrier Name Rename'!B:B)</f>
        <v>SkyWest Airlines Inc.</v>
      </c>
      <c r="E867" t="s">
        <v>23</v>
      </c>
      <c r="F867" t="s">
        <v>24</v>
      </c>
      <c r="G867">
        <v>563</v>
      </c>
      <c r="H867">
        <v>68</v>
      </c>
      <c r="I867">
        <v>13.71</v>
      </c>
      <c r="J867">
        <v>2.35</v>
      </c>
      <c r="K867">
        <v>19.98</v>
      </c>
      <c r="L867">
        <v>1</v>
      </c>
      <c r="M867">
        <v>30.96</v>
      </c>
      <c r="N867">
        <v>5</v>
      </c>
      <c r="O867">
        <v>1</v>
      </c>
      <c r="P867">
        <v>4024</v>
      </c>
      <c r="Q867">
        <v>827</v>
      </c>
      <c r="R867">
        <v>319</v>
      </c>
      <c r="S867">
        <v>728</v>
      </c>
      <c r="T867">
        <v>35</v>
      </c>
      <c r="U867">
        <v>2115</v>
      </c>
      <c r="V867" s="1">
        <f t="shared" si="39"/>
        <v>0.1208</v>
      </c>
      <c r="W867" s="1">
        <f t="shared" si="40"/>
        <v>8.8999999999999999E-3</v>
      </c>
      <c r="X867" s="1">
        <f t="shared" si="41"/>
        <v>1.8E-3</v>
      </c>
    </row>
    <row r="868" spans="1:24" x14ac:dyDescent="0.25">
      <c r="A868">
        <v>2019</v>
      </c>
      <c r="B868">
        <v>1</v>
      </c>
      <c r="C868" t="s">
        <v>31</v>
      </c>
      <c r="D868" t="str">
        <f>_xlfn.XLOOKUP(C868,'Carrier Name Rename'!A:A,'Carrier Name Rename'!B:B)</f>
        <v>American Airlines Inc.</v>
      </c>
      <c r="E868" t="s">
        <v>23</v>
      </c>
      <c r="F868" t="s">
        <v>24</v>
      </c>
      <c r="G868">
        <v>558</v>
      </c>
      <c r="H868">
        <v>98</v>
      </c>
      <c r="I868">
        <v>37.909999999999997</v>
      </c>
      <c r="J868">
        <v>7.81</v>
      </c>
      <c r="K868">
        <v>25.45</v>
      </c>
      <c r="L868">
        <v>0.31</v>
      </c>
      <c r="M868">
        <v>26.52</v>
      </c>
      <c r="N868">
        <v>6</v>
      </c>
      <c r="O868">
        <v>4</v>
      </c>
      <c r="P868">
        <v>5041</v>
      </c>
      <c r="Q868">
        <v>2072</v>
      </c>
      <c r="R868">
        <v>559</v>
      </c>
      <c r="S868">
        <v>761</v>
      </c>
      <c r="T868">
        <v>12</v>
      </c>
      <c r="U868">
        <v>1637</v>
      </c>
      <c r="V868" s="1">
        <f t="shared" si="39"/>
        <v>0.17560000000000001</v>
      </c>
      <c r="W868" s="1">
        <f t="shared" si="40"/>
        <v>1.0800000000000001E-2</v>
      </c>
      <c r="X868" s="1">
        <f t="shared" si="41"/>
        <v>7.1999999999999998E-3</v>
      </c>
    </row>
    <row r="869" spans="1:24" x14ac:dyDescent="0.25">
      <c r="A869">
        <v>2019</v>
      </c>
      <c r="B869">
        <v>1</v>
      </c>
      <c r="C869" t="s">
        <v>29</v>
      </c>
      <c r="D869" t="str">
        <f>_xlfn.XLOOKUP(C869,'Carrier Name Rename'!A:A,'Carrier Name Rename'!B:B)</f>
        <v>Horizon Air</v>
      </c>
      <c r="E869" t="s">
        <v>23</v>
      </c>
      <c r="F869" t="s">
        <v>24</v>
      </c>
      <c r="G869">
        <v>3483</v>
      </c>
      <c r="H869">
        <v>659</v>
      </c>
      <c r="I869">
        <v>89.11</v>
      </c>
      <c r="J869">
        <v>23.53</v>
      </c>
      <c r="K869">
        <v>375.95</v>
      </c>
      <c r="L869">
        <v>0</v>
      </c>
      <c r="M869">
        <v>170.41</v>
      </c>
      <c r="N869">
        <v>91</v>
      </c>
      <c r="O869">
        <v>2</v>
      </c>
      <c r="P869">
        <v>26998</v>
      </c>
      <c r="Q869">
        <v>5406</v>
      </c>
      <c r="R869">
        <v>1548</v>
      </c>
      <c r="S869">
        <v>11522</v>
      </c>
      <c r="T869">
        <v>0</v>
      </c>
      <c r="U869">
        <v>8522</v>
      </c>
      <c r="V869" s="1">
        <f t="shared" si="39"/>
        <v>0.18920000000000001</v>
      </c>
      <c r="W869" s="1">
        <f t="shared" si="40"/>
        <v>2.6100000000000002E-2</v>
      </c>
      <c r="X869" s="1">
        <f t="shared" si="41"/>
        <v>5.9999999999999995E-4</v>
      </c>
    </row>
    <row r="870" spans="1:24" x14ac:dyDescent="0.25">
      <c r="A870">
        <v>2019</v>
      </c>
      <c r="B870">
        <v>1</v>
      </c>
      <c r="C870" t="s">
        <v>41</v>
      </c>
      <c r="D870" t="str">
        <f>_xlfn.XLOOKUP(C870,'Carrier Name Rename'!A:A,'Carrier Name Rename'!B:B)</f>
        <v>United Air Lines Inc.</v>
      </c>
      <c r="E870" t="s">
        <v>23</v>
      </c>
      <c r="F870" t="s">
        <v>24</v>
      </c>
      <c r="G870">
        <v>645</v>
      </c>
      <c r="H870">
        <v>122</v>
      </c>
      <c r="I870">
        <v>30.61</v>
      </c>
      <c r="J870">
        <v>7.2</v>
      </c>
      <c r="K870">
        <v>35.090000000000003</v>
      </c>
      <c r="L870">
        <v>0</v>
      </c>
      <c r="M870">
        <v>49.1</v>
      </c>
      <c r="N870">
        <v>7</v>
      </c>
      <c r="O870">
        <v>2</v>
      </c>
      <c r="P870">
        <v>8368</v>
      </c>
      <c r="Q870">
        <v>2738</v>
      </c>
      <c r="R870">
        <v>419</v>
      </c>
      <c r="S870">
        <v>1266</v>
      </c>
      <c r="T870">
        <v>0</v>
      </c>
      <c r="U870">
        <v>3945</v>
      </c>
      <c r="V870" s="1">
        <f t="shared" si="39"/>
        <v>0.18909999999999999</v>
      </c>
      <c r="W870" s="1">
        <f t="shared" si="40"/>
        <v>1.09E-2</v>
      </c>
      <c r="X870" s="1">
        <f t="shared" si="41"/>
        <v>3.0999999999999999E-3</v>
      </c>
    </row>
    <row r="871" spans="1:24" x14ac:dyDescent="0.25">
      <c r="A871">
        <v>2019</v>
      </c>
      <c r="B871">
        <v>1</v>
      </c>
      <c r="C871" t="s">
        <v>43</v>
      </c>
      <c r="D871" t="str">
        <f>_xlfn.XLOOKUP(C871,'Carrier Name Rename'!A:A,'Carrier Name Rename'!B:B)</f>
        <v>Southwest Airlines Co.</v>
      </c>
      <c r="E871" t="s">
        <v>23</v>
      </c>
      <c r="F871" t="s">
        <v>24</v>
      </c>
      <c r="G871">
        <v>863</v>
      </c>
      <c r="H871">
        <v>147</v>
      </c>
      <c r="I871">
        <v>50.68</v>
      </c>
      <c r="J871">
        <v>3.11</v>
      </c>
      <c r="K871">
        <v>39.299999999999997</v>
      </c>
      <c r="L871">
        <v>0.06</v>
      </c>
      <c r="M871">
        <v>53.85</v>
      </c>
      <c r="N871">
        <v>10</v>
      </c>
      <c r="O871">
        <v>1</v>
      </c>
      <c r="P871">
        <v>6403</v>
      </c>
      <c r="Q871">
        <v>2589</v>
      </c>
      <c r="R871">
        <v>166</v>
      </c>
      <c r="S871">
        <v>1295</v>
      </c>
      <c r="T871">
        <v>1</v>
      </c>
      <c r="U871">
        <v>2352</v>
      </c>
      <c r="V871" s="1">
        <f t="shared" si="39"/>
        <v>0.17030000000000001</v>
      </c>
      <c r="W871" s="1">
        <f t="shared" si="40"/>
        <v>1.1599999999999999E-2</v>
      </c>
      <c r="X871" s="1">
        <f t="shared" si="41"/>
        <v>1.1999999999999999E-3</v>
      </c>
    </row>
    <row r="872" spans="1:24" x14ac:dyDescent="0.25">
      <c r="A872">
        <v>2018</v>
      </c>
      <c r="B872">
        <v>12</v>
      </c>
      <c r="C872" t="s">
        <v>41</v>
      </c>
      <c r="D872" t="str">
        <f>_xlfn.XLOOKUP(C872,'Carrier Name Rename'!A:A,'Carrier Name Rename'!B:B)</f>
        <v>United Air Lines Inc.</v>
      </c>
      <c r="E872" t="s">
        <v>23</v>
      </c>
      <c r="F872" t="s">
        <v>24</v>
      </c>
      <c r="G872">
        <v>780</v>
      </c>
      <c r="H872">
        <v>164</v>
      </c>
      <c r="I872">
        <v>41.93</v>
      </c>
      <c r="J872">
        <v>3.85</v>
      </c>
      <c r="K872">
        <v>66.989999999999995</v>
      </c>
      <c r="L872">
        <v>0</v>
      </c>
      <c r="M872">
        <v>51.23</v>
      </c>
      <c r="N872">
        <v>1</v>
      </c>
      <c r="O872">
        <v>1</v>
      </c>
      <c r="P872">
        <v>9672</v>
      </c>
      <c r="Q872">
        <v>1900</v>
      </c>
      <c r="R872">
        <v>478</v>
      </c>
      <c r="S872">
        <v>2538</v>
      </c>
      <c r="T872">
        <v>0</v>
      </c>
      <c r="U872">
        <v>4756</v>
      </c>
      <c r="V872" s="1">
        <f t="shared" si="39"/>
        <v>0.21029999999999999</v>
      </c>
      <c r="W872" s="1">
        <f t="shared" si="40"/>
        <v>1.2999999999999999E-3</v>
      </c>
      <c r="X872" s="1">
        <f t="shared" si="41"/>
        <v>1.2999999999999999E-3</v>
      </c>
    </row>
    <row r="873" spans="1:24" x14ac:dyDescent="0.25">
      <c r="A873">
        <v>2018</v>
      </c>
      <c r="B873">
        <v>12</v>
      </c>
      <c r="C873" t="s">
        <v>43</v>
      </c>
      <c r="D873" t="str">
        <f>_xlfn.XLOOKUP(C873,'Carrier Name Rename'!A:A,'Carrier Name Rename'!B:B)</f>
        <v>Southwest Airlines Co.</v>
      </c>
      <c r="E873" t="s">
        <v>23</v>
      </c>
      <c r="F873" t="s">
        <v>24</v>
      </c>
      <c r="G873">
        <v>911</v>
      </c>
      <c r="H873">
        <v>233</v>
      </c>
      <c r="I873">
        <v>83.04</v>
      </c>
      <c r="J873">
        <v>1.62</v>
      </c>
      <c r="K873">
        <v>61.97</v>
      </c>
      <c r="L873">
        <v>0</v>
      </c>
      <c r="M873">
        <v>86.37</v>
      </c>
      <c r="N873">
        <v>0</v>
      </c>
      <c r="O873">
        <v>1</v>
      </c>
      <c r="P873">
        <v>9589</v>
      </c>
      <c r="Q873">
        <v>3661</v>
      </c>
      <c r="R873">
        <v>114</v>
      </c>
      <c r="S873">
        <v>2097</v>
      </c>
      <c r="T873">
        <v>0</v>
      </c>
      <c r="U873">
        <v>3717</v>
      </c>
      <c r="V873" s="1">
        <f t="shared" si="39"/>
        <v>0.25580000000000003</v>
      </c>
      <c r="W873" s="1">
        <f t="shared" si="40"/>
        <v>0</v>
      </c>
      <c r="X873" s="1">
        <f t="shared" si="41"/>
        <v>1.1000000000000001E-3</v>
      </c>
    </row>
    <row r="874" spans="1:24" x14ac:dyDescent="0.25">
      <c r="A874">
        <v>2018</v>
      </c>
      <c r="B874">
        <v>12</v>
      </c>
      <c r="C874" t="s">
        <v>31</v>
      </c>
      <c r="D874" t="str">
        <f>_xlfn.XLOOKUP(C874,'Carrier Name Rename'!A:A,'Carrier Name Rename'!B:B)</f>
        <v>American Airlines Inc.</v>
      </c>
      <c r="E874" t="s">
        <v>23</v>
      </c>
      <c r="F874" t="s">
        <v>24</v>
      </c>
      <c r="G874">
        <v>636</v>
      </c>
      <c r="H874">
        <v>125</v>
      </c>
      <c r="I874">
        <v>43.79</v>
      </c>
      <c r="J874">
        <v>9.3800000000000008</v>
      </c>
      <c r="K874">
        <v>41.48</v>
      </c>
      <c r="L874">
        <v>0</v>
      </c>
      <c r="M874">
        <v>30.35</v>
      </c>
      <c r="N874">
        <v>5</v>
      </c>
      <c r="O874">
        <v>2</v>
      </c>
      <c r="P874">
        <v>6514</v>
      </c>
      <c r="Q874">
        <v>2354</v>
      </c>
      <c r="R874">
        <v>729</v>
      </c>
      <c r="S874">
        <v>1348</v>
      </c>
      <c r="T874">
        <v>0</v>
      </c>
      <c r="U874">
        <v>2083</v>
      </c>
      <c r="V874" s="1">
        <f t="shared" si="39"/>
        <v>0.19650000000000001</v>
      </c>
      <c r="W874" s="1">
        <f t="shared" si="40"/>
        <v>7.9000000000000008E-3</v>
      </c>
      <c r="X874" s="1">
        <f t="shared" si="41"/>
        <v>3.0999999999999999E-3</v>
      </c>
    </row>
    <row r="875" spans="1:24" x14ac:dyDescent="0.25">
      <c r="A875">
        <v>2018</v>
      </c>
      <c r="B875">
        <v>12</v>
      </c>
      <c r="C875" t="s">
        <v>33</v>
      </c>
      <c r="D875" t="str">
        <f>_xlfn.XLOOKUP(C875,'Carrier Name Rename'!A:A,'Carrier Name Rename'!B:B)</f>
        <v>Alaska Airlines Inc.</v>
      </c>
      <c r="E875" t="s">
        <v>23</v>
      </c>
      <c r="F875" t="s">
        <v>24</v>
      </c>
      <c r="G875">
        <v>5030</v>
      </c>
      <c r="H875">
        <v>899</v>
      </c>
      <c r="I875">
        <v>174.63</v>
      </c>
      <c r="J875">
        <v>10.210000000000001</v>
      </c>
      <c r="K875">
        <v>509.08</v>
      </c>
      <c r="L875">
        <v>2.27</v>
      </c>
      <c r="M875">
        <v>202.82</v>
      </c>
      <c r="N875">
        <v>26</v>
      </c>
      <c r="O875">
        <v>3</v>
      </c>
      <c r="P875">
        <v>41089</v>
      </c>
      <c r="Q875">
        <v>11518</v>
      </c>
      <c r="R875">
        <v>584</v>
      </c>
      <c r="S875">
        <v>16774</v>
      </c>
      <c r="T875">
        <v>83</v>
      </c>
      <c r="U875">
        <v>12130</v>
      </c>
      <c r="V875" s="1">
        <f t="shared" si="39"/>
        <v>0.1787</v>
      </c>
      <c r="W875" s="1">
        <f t="shared" si="40"/>
        <v>5.1999999999999998E-3</v>
      </c>
      <c r="X875" s="1">
        <f t="shared" si="41"/>
        <v>5.9999999999999995E-4</v>
      </c>
    </row>
    <row r="876" spans="1:24" x14ac:dyDescent="0.25">
      <c r="A876">
        <v>2018</v>
      </c>
      <c r="B876">
        <v>12</v>
      </c>
      <c r="C876" t="s">
        <v>35</v>
      </c>
      <c r="D876" t="str">
        <f>_xlfn.XLOOKUP(C876,'Carrier Name Rename'!A:A,'Carrier Name Rename'!B:B)</f>
        <v>JetBlue Airways</v>
      </c>
      <c r="E876" t="s">
        <v>23</v>
      </c>
      <c r="F876" t="s">
        <v>24</v>
      </c>
      <c r="G876">
        <v>141</v>
      </c>
      <c r="H876">
        <v>27</v>
      </c>
      <c r="I876">
        <v>8.7899999999999991</v>
      </c>
      <c r="J876">
        <v>0</v>
      </c>
      <c r="K876">
        <v>10.97</v>
      </c>
      <c r="L876">
        <v>0</v>
      </c>
      <c r="M876">
        <v>7.24</v>
      </c>
      <c r="N876">
        <v>0</v>
      </c>
      <c r="O876">
        <v>0</v>
      </c>
      <c r="P876">
        <v>1732</v>
      </c>
      <c r="Q876">
        <v>696</v>
      </c>
      <c r="R876">
        <v>0</v>
      </c>
      <c r="S876">
        <v>508</v>
      </c>
      <c r="T876">
        <v>0</v>
      </c>
      <c r="U876">
        <v>528</v>
      </c>
      <c r="V876" s="1">
        <f t="shared" si="39"/>
        <v>0.1915</v>
      </c>
      <c r="W876" s="1">
        <f t="shared" si="40"/>
        <v>0</v>
      </c>
      <c r="X876" s="1">
        <f t="shared" si="41"/>
        <v>0</v>
      </c>
    </row>
    <row r="877" spans="1:24" x14ac:dyDescent="0.25">
      <c r="A877">
        <v>2018</v>
      </c>
      <c r="B877">
        <v>12</v>
      </c>
      <c r="C877" t="s">
        <v>47</v>
      </c>
      <c r="D877" t="str">
        <f>_xlfn.XLOOKUP(C877,'Carrier Name Rename'!A:A,'Carrier Name Rename'!B:B)</f>
        <v>Compass Airlines</v>
      </c>
      <c r="E877" t="s">
        <v>23</v>
      </c>
      <c r="F877" t="s">
        <v>24</v>
      </c>
      <c r="G877">
        <v>1203</v>
      </c>
      <c r="H877">
        <v>278</v>
      </c>
      <c r="I877">
        <v>53</v>
      </c>
      <c r="J877">
        <v>4.21</v>
      </c>
      <c r="K877">
        <v>99.9</v>
      </c>
      <c r="L877">
        <v>0.28000000000000003</v>
      </c>
      <c r="M877">
        <v>120.61</v>
      </c>
      <c r="N877">
        <v>9</v>
      </c>
      <c r="O877">
        <v>13</v>
      </c>
      <c r="P877">
        <v>23021</v>
      </c>
      <c r="Q877">
        <v>8245</v>
      </c>
      <c r="R877">
        <v>218</v>
      </c>
      <c r="S877">
        <v>3528</v>
      </c>
      <c r="T877">
        <v>18</v>
      </c>
      <c r="U877">
        <v>11012</v>
      </c>
      <c r="V877" s="1">
        <f t="shared" si="39"/>
        <v>0.2311</v>
      </c>
      <c r="W877" s="1">
        <f t="shared" si="40"/>
        <v>7.4999999999999997E-3</v>
      </c>
      <c r="X877" s="1">
        <f t="shared" si="41"/>
        <v>1.0800000000000001E-2</v>
      </c>
    </row>
    <row r="878" spans="1:24" x14ac:dyDescent="0.25">
      <c r="A878">
        <v>2018</v>
      </c>
      <c r="B878">
        <v>12</v>
      </c>
      <c r="C878" t="s">
        <v>37</v>
      </c>
      <c r="D878" t="str">
        <f>_xlfn.XLOOKUP(C878,'Carrier Name Rename'!A:A,'Carrier Name Rename'!B:B)</f>
        <v>Delta Air Lines Inc.</v>
      </c>
      <c r="E878" t="s">
        <v>23</v>
      </c>
      <c r="F878" t="s">
        <v>24</v>
      </c>
      <c r="G878">
        <v>2287</v>
      </c>
      <c r="H878">
        <v>267</v>
      </c>
      <c r="I878">
        <v>76.680000000000007</v>
      </c>
      <c r="J878">
        <v>5.51</v>
      </c>
      <c r="K878">
        <v>123.4</v>
      </c>
      <c r="L878">
        <v>0</v>
      </c>
      <c r="M878">
        <v>61.41</v>
      </c>
      <c r="N878">
        <v>2</v>
      </c>
      <c r="O878">
        <v>4</v>
      </c>
      <c r="P878">
        <v>16222</v>
      </c>
      <c r="Q878">
        <v>8118</v>
      </c>
      <c r="R878">
        <v>380</v>
      </c>
      <c r="S878">
        <v>4113</v>
      </c>
      <c r="T878">
        <v>0</v>
      </c>
      <c r="U878">
        <v>3611</v>
      </c>
      <c r="V878" s="1">
        <f t="shared" si="39"/>
        <v>0.1167</v>
      </c>
      <c r="W878" s="1">
        <f t="shared" si="40"/>
        <v>8.9999999999999998E-4</v>
      </c>
      <c r="X878" s="1">
        <f t="shared" si="41"/>
        <v>1.6999999999999999E-3</v>
      </c>
    </row>
    <row r="879" spans="1:24" x14ac:dyDescent="0.25">
      <c r="A879">
        <v>2018</v>
      </c>
      <c r="B879">
        <v>12</v>
      </c>
      <c r="C879" t="s">
        <v>39</v>
      </c>
      <c r="D879" t="str">
        <f>_xlfn.XLOOKUP(C879,'Carrier Name Rename'!A:A,'Carrier Name Rename'!B:B)</f>
        <v>Frontier Airlines Inc.</v>
      </c>
      <c r="E879" t="s">
        <v>23</v>
      </c>
      <c r="F879" t="s">
        <v>24</v>
      </c>
      <c r="G879">
        <v>34</v>
      </c>
      <c r="H879">
        <v>11</v>
      </c>
      <c r="I879">
        <v>7.07</v>
      </c>
      <c r="J879">
        <v>0</v>
      </c>
      <c r="K879">
        <v>2.95</v>
      </c>
      <c r="L879">
        <v>0</v>
      </c>
      <c r="M879">
        <v>0.98</v>
      </c>
      <c r="N879">
        <v>0</v>
      </c>
      <c r="O879">
        <v>0</v>
      </c>
      <c r="P879">
        <v>718</v>
      </c>
      <c r="Q879">
        <v>502</v>
      </c>
      <c r="R879">
        <v>0</v>
      </c>
      <c r="S879">
        <v>131</v>
      </c>
      <c r="T879">
        <v>0</v>
      </c>
      <c r="U879">
        <v>85</v>
      </c>
      <c r="V879" s="1">
        <f t="shared" si="39"/>
        <v>0.32350000000000001</v>
      </c>
      <c r="W879" s="1">
        <f t="shared" si="40"/>
        <v>0</v>
      </c>
      <c r="X879" s="1">
        <f t="shared" si="41"/>
        <v>0</v>
      </c>
    </row>
    <row r="880" spans="1:24" x14ac:dyDescent="0.25">
      <c r="A880">
        <v>2018</v>
      </c>
      <c r="B880">
        <v>12</v>
      </c>
      <c r="C880" t="s">
        <v>21</v>
      </c>
      <c r="D880" t="str">
        <f>_xlfn.XLOOKUP(C880,'Carrier Name Rename'!A:A,'Carrier Name Rename'!B:B)</f>
        <v>Hawaiian Airlines Inc.</v>
      </c>
      <c r="E880" t="s">
        <v>23</v>
      </c>
      <c r="F880" t="s">
        <v>24</v>
      </c>
      <c r="G880">
        <v>78</v>
      </c>
      <c r="H880">
        <v>26</v>
      </c>
      <c r="I880">
        <v>22.34</v>
      </c>
      <c r="J880">
        <v>0.45</v>
      </c>
      <c r="K880">
        <v>0</v>
      </c>
      <c r="L880">
        <v>0</v>
      </c>
      <c r="M880">
        <v>3.22</v>
      </c>
      <c r="N880">
        <v>0</v>
      </c>
      <c r="O880">
        <v>0</v>
      </c>
      <c r="P880">
        <v>936</v>
      </c>
      <c r="Q880">
        <v>815</v>
      </c>
      <c r="R880">
        <v>29</v>
      </c>
      <c r="S880">
        <v>0</v>
      </c>
      <c r="T880">
        <v>0</v>
      </c>
      <c r="U880">
        <v>92</v>
      </c>
      <c r="V880" s="1">
        <f t="shared" si="39"/>
        <v>0.33329999999999999</v>
      </c>
      <c r="W880" s="1">
        <f t="shared" si="40"/>
        <v>0</v>
      </c>
      <c r="X880" s="1">
        <f t="shared" si="41"/>
        <v>0</v>
      </c>
    </row>
    <row r="881" spans="1:24" x14ac:dyDescent="0.25">
      <c r="A881">
        <v>2018</v>
      </c>
      <c r="B881">
        <v>12</v>
      </c>
      <c r="C881" t="s">
        <v>25</v>
      </c>
      <c r="D881" t="str">
        <f>_xlfn.XLOOKUP(C881,'Carrier Name Rename'!A:A,'Carrier Name Rename'!B:B)</f>
        <v>Spirit Airlines</v>
      </c>
      <c r="E881" t="s">
        <v>23</v>
      </c>
      <c r="F881" t="s">
        <v>24</v>
      </c>
      <c r="G881">
        <v>87</v>
      </c>
      <c r="H881">
        <v>13</v>
      </c>
      <c r="I881">
        <v>1.92</v>
      </c>
      <c r="J881">
        <v>0</v>
      </c>
      <c r="K881">
        <v>7.79</v>
      </c>
      <c r="L881">
        <v>0</v>
      </c>
      <c r="M881">
        <v>3.29</v>
      </c>
      <c r="N881">
        <v>0</v>
      </c>
      <c r="O881">
        <v>0</v>
      </c>
      <c r="P881">
        <v>727</v>
      </c>
      <c r="Q881">
        <v>110</v>
      </c>
      <c r="R881">
        <v>0</v>
      </c>
      <c r="S881">
        <v>288</v>
      </c>
      <c r="T881">
        <v>0</v>
      </c>
      <c r="U881">
        <v>329</v>
      </c>
      <c r="V881" s="1">
        <f t="shared" si="39"/>
        <v>0.14940000000000001</v>
      </c>
      <c r="W881" s="1">
        <f t="shared" si="40"/>
        <v>0</v>
      </c>
      <c r="X881" s="1">
        <f t="shared" si="41"/>
        <v>0</v>
      </c>
    </row>
    <row r="882" spans="1:24" x14ac:dyDescent="0.25">
      <c r="A882">
        <v>2018</v>
      </c>
      <c r="B882">
        <v>12</v>
      </c>
      <c r="C882" t="s">
        <v>27</v>
      </c>
      <c r="D882" t="str">
        <f>_xlfn.XLOOKUP(C882,'Carrier Name Rename'!A:A,'Carrier Name Rename'!B:B)</f>
        <v>SkyWest Airlines Inc.</v>
      </c>
      <c r="E882" t="s">
        <v>23</v>
      </c>
      <c r="F882" t="s">
        <v>24</v>
      </c>
      <c r="G882">
        <v>714</v>
      </c>
      <c r="H882">
        <v>142</v>
      </c>
      <c r="I882">
        <v>33.6</v>
      </c>
      <c r="J882">
        <v>5.03</v>
      </c>
      <c r="K882">
        <v>68.09</v>
      </c>
      <c r="L882">
        <v>0</v>
      </c>
      <c r="M882">
        <v>35.28</v>
      </c>
      <c r="N882">
        <v>2</v>
      </c>
      <c r="O882">
        <v>6</v>
      </c>
      <c r="P882">
        <v>8905</v>
      </c>
      <c r="Q882">
        <v>3386</v>
      </c>
      <c r="R882">
        <v>527</v>
      </c>
      <c r="S882">
        <v>2297</v>
      </c>
      <c r="T882">
        <v>0</v>
      </c>
      <c r="U882">
        <v>2695</v>
      </c>
      <c r="V882" s="1">
        <f t="shared" si="39"/>
        <v>0.19889999999999999</v>
      </c>
      <c r="W882" s="1">
        <f t="shared" si="40"/>
        <v>2.8E-3</v>
      </c>
      <c r="X882" s="1">
        <f t="shared" si="41"/>
        <v>8.3999999999999995E-3</v>
      </c>
    </row>
    <row r="883" spans="1:24" x14ac:dyDescent="0.25">
      <c r="A883">
        <v>2018</v>
      </c>
      <c r="B883">
        <v>12</v>
      </c>
      <c r="C883" t="s">
        <v>29</v>
      </c>
      <c r="D883" t="str">
        <f>_xlfn.XLOOKUP(C883,'Carrier Name Rename'!A:A,'Carrier Name Rename'!B:B)</f>
        <v>Horizon Air</v>
      </c>
      <c r="E883" t="s">
        <v>23</v>
      </c>
      <c r="F883" t="s">
        <v>24</v>
      </c>
      <c r="G883">
        <v>3226</v>
      </c>
      <c r="H883">
        <v>794</v>
      </c>
      <c r="I883">
        <v>111.83</v>
      </c>
      <c r="J883">
        <v>21.37</v>
      </c>
      <c r="K883">
        <v>426.52</v>
      </c>
      <c r="L883">
        <v>2.09</v>
      </c>
      <c r="M883">
        <v>232.19</v>
      </c>
      <c r="N883">
        <v>72</v>
      </c>
      <c r="O883">
        <v>11</v>
      </c>
      <c r="P883">
        <v>40653</v>
      </c>
      <c r="Q883">
        <v>8369</v>
      </c>
      <c r="R883">
        <v>1297</v>
      </c>
      <c r="S883">
        <v>15824</v>
      </c>
      <c r="T883">
        <v>73</v>
      </c>
      <c r="U883">
        <v>15090</v>
      </c>
      <c r="V883" s="1">
        <f t="shared" si="39"/>
        <v>0.24610000000000001</v>
      </c>
      <c r="W883" s="1">
        <f t="shared" si="40"/>
        <v>2.23E-2</v>
      </c>
      <c r="X883" s="1">
        <f t="shared" si="41"/>
        <v>3.3999999999999998E-3</v>
      </c>
    </row>
    <row r="884" spans="1:24" x14ac:dyDescent="0.25">
      <c r="A884">
        <v>2018</v>
      </c>
      <c r="B884">
        <v>11</v>
      </c>
      <c r="C884" t="s">
        <v>31</v>
      </c>
      <c r="D884" t="str">
        <f>_xlfn.XLOOKUP(C884,'Carrier Name Rename'!A:A,'Carrier Name Rename'!B:B)</f>
        <v>American Airlines Inc.</v>
      </c>
      <c r="E884" t="s">
        <v>23</v>
      </c>
      <c r="F884" t="s">
        <v>24</v>
      </c>
      <c r="G884">
        <v>613</v>
      </c>
      <c r="H884">
        <v>168</v>
      </c>
      <c r="I884">
        <v>44.02</v>
      </c>
      <c r="J884">
        <v>3.43</v>
      </c>
      <c r="K884">
        <v>85.33</v>
      </c>
      <c r="L884">
        <v>0.38</v>
      </c>
      <c r="M884">
        <v>34.85</v>
      </c>
      <c r="N884">
        <v>3</v>
      </c>
      <c r="O884">
        <v>2</v>
      </c>
      <c r="P884">
        <v>7383</v>
      </c>
      <c r="Q884">
        <v>1753</v>
      </c>
      <c r="R884">
        <v>199</v>
      </c>
      <c r="S884">
        <v>3212</v>
      </c>
      <c r="T884">
        <v>18</v>
      </c>
      <c r="U884">
        <v>2201</v>
      </c>
      <c r="V884" s="1">
        <f t="shared" si="39"/>
        <v>0.27410000000000001</v>
      </c>
      <c r="W884" s="1">
        <f t="shared" si="40"/>
        <v>4.8999999999999998E-3</v>
      </c>
      <c r="X884" s="1">
        <f t="shared" si="41"/>
        <v>3.3E-3</v>
      </c>
    </row>
    <row r="885" spans="1:24" x14ac:dyDescent="0.25">
      <c r="A885">
        <v>2018</v>
      </c>
      <c r="B885">
        <v>11</v>
      </c>
      <c r="C885" t="s">
        <v>33</v>
      </c>
      <c r="D885" t="str">
        <f>_xlfn.XLOOKUP(C885,'Carrier Name Rename'!A:A,'Carrier Name Rename'!B:B)</f>
        <v>Alaska Airlines Inc.</v>
      </c>
      <c r="E885" t="s">
        <v>23</v>
      </c>
      <c r="F885" t="s">
        <v>24</v>
      </c>
      <c r="G885">
        <v>5008</v>
      </c>
      <c r="H885">
        <v>1083</v>
      </c>
      <c r="I885">
        <v>165.4</v>
      </c>
      <c r="J885">
        <v>9.52</v>
      </c>
      <c r="K885">
        <v>651.63</v>
      </c>
      <c r="L885">
        <v>3.92</v>
      </c>
      <c r="M885">
        <v>252.53</v>
      </c>
      <c r="N885">
        <v>54</v>
      </c>
      <c r="O885">
        <v>37</v>
      </c>
      <c r="P885">
        <v>59066</v>
      </c>
      <c r="Q885">
        <v>10986</v>
      </c>
      <c r="R885">
        <v>1571</v>
      </c>
      <c r="S885">
        <v>26415</v>
      </c>
      <c r="T885">
        <v>108</v>
      </c>
      <c r="U885">
        <v>19986</v>
      </c>
      <c r="V885" s="1">
        <f t="shared" si="39"/>
        <v>0.21629999999999999</v>
      </c>
      <c r="W885" s="1">
        <f t="shared" si="40"/>
        <v>1.0800000000000001E-2</v>
      </c>
      <c r="X885" s="1">
        <f t="shared" si="41"/>
        <v>7.4000000000000003E-3</v>
      </c>
    </row>
    <row r="886" spans="1:24" x14ac:dyDescent="0.25">
      <c r="A886">
        <v>2018</v>
      </c>
      <c r="B886">
        <v>11</v>
      </c>
      <c r="C886" t="s">
        <v>35</v>
      </c>
      <c r="D886" t="str">
        <f>_xlfn.XLOOKUP(C886,'Carrier Name Rename'!A:A,'Carrier Name Rename'!B:B)</f>
        <v>JetBlue Airways</v>
      </c>
      <c r="E886" t="s">
        <v>23</v>
      </c>
      <c r="F886" t="s">
        <v>24</v>
      </c>
      <c r="G886">
        <v>136</v>
      </c>
      <c r="H886">
        <v>28</v>
      </c>
      <c r="I886">
        <v>5.53</v>
      </c>
      <c r="J886">
        <v>1.8</v>
      </c>
      <c r="K886">
        <v>10.97</v>
      </c>
      <c r="L886">
        <v>0</v>
      </c>
      <c r="M886">
        <v>9.69</v>
      </c>
      <c r="N886">
        <v>0</v>
      </c>
      <c r="O886">
        <v>1</v>
      </c>
      <c r="P886">
        <v>2231</v>
      </c>
      <c r="Q886">
        <v>646</v>
      </c>
      <c r="R886">
        <v>260</v>
      </c>
      <c r="S886">
        <v>498</v>
      </c>
      <c r="T886">
        <v>0</v>
      </c>
      <c r="U886">
        <v>827</v>
      </c>
      <c r="V886" s="1">
        <f t="shared" si="39"/>
        <v>0.2059</v>
      </c>
      <c r="W886" s="1">
        <f t="shared" si="40"/>
        <v>0</v>
      </c>
      <c r="X886" s="1">
        <f t="shared" si="41"/>
        <v>7.4000000000000003E-3</v>
      </c>
    </row>
    <row r="887" spans="1:24" x14ac:dyDescent="0.25">
      <c r="A887">
        <v>2018</v>
      </c>
      <c r="B887">
        <v>11</v>
      </c>
      <c r="C887" t="s">
        <v>47</v>
      </c>
      <c r="D887" t="str">
        <f>_xlfn.XLOOKUP(C887,'Carrier Name Rename'!A:A,'Carrier Name Rename'!B:B)</f>
        <v>Compass Airlines</v>
      </c>
      <c r="E887" t="s">
        <v>23</v>
      </c>
      <c r="F887" t="s">
        <v>24</v>
      </c>
      <c r="G887">
        <v>1034</v>
      </c>
      <c r="H887">
        <v>291</v>
      </c>
      <c r="I887">
        <v>55.72</v>
      </c>
      <c r="J887">
        <v>12.68</v>
      </c>
      <c r="K887">
        <v>132.38999999999999</v>
      </c>
      <c r="L887">
        <v>0</v>
      </c>
      <c r="M887">
        <v>90.21</v>
      </c>
      <c r="N887">
        <v>5</v>
      </c>
      <c r="O887">
        <v>5</v>
      </c>
      <c r="P887">
        <v>24131</v>
      </c>
      <c r="Q887">
        <v>7223</v>
      </c>
      <c r="R887">
        <v>2100</v>
      </c>
      <c r="S887">
        <v>5754</v>
      </c>
      <c r="T887">
        <v>0</v>
      </c>
      <c r="U887">
        <v>9054</v>
      </c>
      <c r="V887" s="1">
        <f t="shared" si="39"/>
        <v>0.28139999999999998</v>
      </c>
      <c r="W887" s="1">
        <f t="shared" si="40"/>
        <v>4.7999999999999996E-3</v>
      </c>
      <c r="X887" s="1">
        <f t="shared" si="41"/>
        <v>4.7999999999999996E-3</v>
      </c>
    </row>
    <row r="888" spans="1:24" x14ac:dyDescent="0.25">
      <c r="A888">
        <v>2018</v>
      </c>
      <c r="B888">
        <v>11</v>
      </c>
      <c r="C888" t="s">
        <v>37</v>
      </c>
      <c r="D888" t="str">
        <f>_xlfn.XLOOKUP(C888,'Carrier Name Rename'!A:A,'Carrier Name Rename'!B:B)</f>
        <v>Delta Air Lines Inc.</v>
      </c>
      <c r="E888" t="s">
        <v>23</v>
      </c>
      <c r="F888" t="s">
        <v>24</v>
      </c>
      <c r="G888">
        <v>2137</v>
      </c>
      <c r="H888">
        <v>358</v>
      </c>
      <c r="I888">
        <v>85.05</v>
      </c>
      <c r="J888">
        <v>9.84</v>
      </c>
      <c r="K888">
        <v>160.88</v>
      </c>
      <c r="L888">
        <v>0</v>
      </c>
      <c r="M888">
        <v>102.24</v>
      </c>
      <c r="N888">
        <v>1</v>
      </c>
      <c r="O888">
        <v>19</v>
      </c>
      <c r="P888">
        <v>24692</v>
      </c>
      <c r="Q888">
        <v>7805</v>
      </c>
      <c r="R888">
        <v>1382</v>
      </c>
      <c r="S888">
        <v>6866</v>
      </c>
      <c r="T888">
        <v>0</v>
      </c>
      <c r="U888">
        <v>8639</v>
      </c>
      <c r="V888" s="1">
        <f t="shared" si="39"/>
        <v>0.16750000000000001</v>
      </c>
      <c r="W888" s="1">
        <f t="shared" si="40"/>
        <v>5.0000000000000001E-4</v>
      </c>
      <c r="X888" s="1">
        <f t="shared" si="41"/>
        <v>8.8999999999999999E-3</v>
      </c>
    </row>
    <row r="889" spans="1:24" x14ac:dyDescent="0.25">
      <c r="A889">
        <v>2018</v>
      </c>
      <c r="B889">
        <v>11</v>
      </c>
      <c r="C889" t="s">
        <v>39</v>
      </c>
      <c r="D889" t="str">
        <f>_xlfn.XLOOKUP(C889,'Carrier Name Rename'!A:A,'Carrier Name Rename'!B:B)</f>
        <v>Frontier Airlines Inc.</v>
      </c>
      <c r="E889" t="s">
        <v>23</v>
      </c>
      <c r="F889" t="s">
        <v>24</v>
      </c>
      <c r="G889">
        <v>47</v>
      </c>
      <c r="H889">
        <v>19</v>
      </c>
      <c r="I889">
        <v>4.66</v>
      </c>
      <c r="J889">
        <v>0.25</v>
      </c>
      <c r="K889">
        <v>9.94</v>
      </c>
      <c r="L889">
        <v>0</v>
      </c>
      <c r="M889">
        <v>4.1500000000000004</v>
      </c>
      <c r="N889">
        <v>0</v>
      </c>
      <c r="O889">
        <v>0</v>
      </c>
      <c r="P889">
        <v>985</v>
      </c>
      <c r="Q889">
        <v>198</v>
      </c>
      <c r="R889">
        <v>11</v>
      </c>
      <c r="S889">
        <v>475</v>
      </c>
      <c r="T889">
        <v>0</v>
      </c>
      <c r="U889">
        <v>301</v>
      </c>
      <c r="V889" s="1">
        <f t="shared" si="39"/>
        <v>0.40429999999999999</v>
      </c>
      <c r="W889" s="1">
        <f t="shared" si="40"/>
        <v>0</v>
      </c>
      <c r="X889" s="1">
        <f t="shared" si="41"/>
        <v>0</v>
      </c>
    </row>
    <row r="890" spans="1:24" x14ac:dyDescent="0.25">
      <c r="A890">
        <v>2018</v>
      </c>
      <c r="B890">
        <v>11</v>
      </c>
      <c r="C890" t="s">
        <v>21</v>
      </c>
      <c r="D890" t="str">
        <f>_xlfn.XLOOKUP(C890,'Carrier Name Rename'!A:A,'Carrier Name Rename'!B:B)</f>
        <v>Hawaiian Airlines Inc.</v>
      </c>
      <c r="E890" t="s">
        <v>23</v>
      </c>
      <c r="F890" t="s">
        <v>24</v>
      </c>
      <c r="G890">
        <v>61</v>
      </c>
      <c r="H890">
        <v>25</v>
      </c>
      <c r="I890">
        <v>18.75</v>
      </c>
      <c r="J890">
        <v>0</v>
      </c>
      <c r="K890">
        <v>0</v>
      </c>
      <c r="L890">
        <v>0.77</v>
      </c>
      <c r="M890">
        <v>5.48</v>
      </c>
      <c r="N890">
        <v>0</v>
      </c>
      <c r="O890">
        <v>0</v>
      </c>
      <c r="P890">
        <v>751</v>
      </c>
      <c r="Q890">
        <v>483</v>
      </c>
      <c r="R890">
        <v>0</v>
      </c>
      <c r="S890">
        <v>0</v>
      </c>
      <c r="T890">
        <v>17</v>
      </c>
      <c r="U890">
        <v>251</v>
      </c>
      <c r="V890" s="1">
        <f t="shared" si="39"/>
        <v>0.4098</v>
      </c>
      <c r="W890" s="1">
        <f t="shared" si="40"/>
        <v>0</v>
      </c>
      <c r="X890" s="1">
        <f t="shared" si="41"/>
        <v>0</v>
      </c>
    </row>
    <row r="891" spans="1:24" x14ac:dyDescent="0.25">
      <c r="A891">
        <v>2018</v>
      </c>
      <c r="B891">
        <v>11</v>
      </c>
      <c r="C891" t="s">
        <v>25</v>
      </c>
      <c r="D891" t="str">
        <f>_xlfn.XLOOKUP(C891,'Carrier Name Rename'!A:A,'Carrier Name Rename'!B:B)</f>
        <v>Spirit Airlines</v>
      </c>
      <c r="E891" t="s">
        <v>23</v>
      </c>
      <c r="F891" t="s">
        <v>24</v>
      </c>
      <c r="G891">
        <v>91</v>
      </c>
      <c r="H891">
        <v>11</v>
      </c>
      <c r="I891">
        <v>1.36</v>
      </c>
      <c r="J891">
        <v>0</v>
      </c>
      <c r="K891">
        <v>8.64</v>
      </c>
      <c r="L891">
        <v>0</v>
      </c>
      <c r="M891">
        <v>1</v>
      </c>
      <c r="N891">
        <v>0</v>
      </c>
      <c r="O891">
        <v>0</v>
      </c>
      <c r="P891">
        <v>789</v>
      </c>
      <c r="Q891">
        <v>59</v>
      </c>
      <c r="R891">
        <v>0</v>
      </c>
      <c r="S891">
        <v>682</v>
      </c>
      <c r="T891">
        <v>0</v>
      </c>
      <c r="U891">
        <v>48</v>
      </c>
      <c r="V891" s="1">
        <f t="shared" si="39"/>
        <v>0.12089999999999999</v>
      </c>
      <c r="W891" s="1">
        <f t="shared" si="40"/>
        <v>0</v>
      </c>
      <c r="X891" s="1">
        <f t="shared" si="41"/>
        <v>0</v>
      </c>
    </row>
    <row r="892" spans="1:24" x14ac:dyDescent="0.25">
      <c r="A892">
        <v>2018</v>
      </c>
      <c r="B892">
        <v>11</v>
      </c>
      <c r="C892" t="s">
        <v>27</v>
      </c>
      <c r="D892" t="str">
        <f>_xlfn.XLOOKUP(C892,'Carrier Name Rename'!A:A,'Carrier Name Rename'!B:B)</f>
        <v>SkyWest Airlines Inc.</v>
      </c>
      <c r="E892" t="s">
        <v>23</v>
      </c>
      <c r="F892" t="s">
        <v>24</v>
      </c>
      <c r="G892">
        <v>815</v>
      </c>
      <c r="H892">
        <v>198</v>
      </c>
      <c r="I892">
        <v>17.84</v>
      </c>
      <c r="J892">
        <v>14.91</v>
      </c>
      <c r="K892">
        <v>119.15</v>
      </c>
      <c r="L892">
        <v>0</v>
      </c>
      <c r="M892">
        <v>46.1</v>
      </c>
      <c r="N892">
        <v>4</v>
      </c>
      <c r="O892">
        <v>12</v>
      </c>
      <c r="P892">
        <v>11463</v>
      </c>
      <c r="Q892">
        <v>1394</v>
      </c>
      <c r="R892">
        <v>1273</v>
      </c>
      <c r="S892">
        <v>4573</v>
      </c>
      <c r="T892">
        <v>0</v>
      </c>
      <c r="U892">
        <v>4223</v>
      </c>
      <c r="V892" s="1">
        <f t="shared" si="39"/>
        <v>0.2429</v>
      </c>
      <c r="W892" s="1">
        <f t="shared" si="40"/>
        <v>4.8999999999999998E-3</v>
      </c>
      <c r="X892" s="1">
        <f t="shared" si="41"/>
        <v>1.47E-2</v>
      </c>
    </row>
    <row r="893" spans="1:24" x14ac:dyDescent="0.25">
      <c r="A893">
        <v>2018</v>
      </c>
      <c r="B893">
        <v>11</v>
      </c>
      <c r="C893" t="s">
        <v>29</v>
      </c>
      <c r="D893" t="str">
        <f>_xlfn.XLOOKUP(C893,'Carrier Name Rename'!A:A,'Carrier Name Rename'!B:B)</f>
        <v>Horizon Air</v>
      </c>
      <c r="E893" t="s">
        <v>23</v>
      </c>
      <c r="F893" t="s">
        <v>24</v>
      </c>
      <c r="G893">
        <v>3006</v>
      </c>
      <c r="H893">
        <v>888</v>
      </c>
      <c r="I893">
        <v>78.260000000000005</v>
      </c>
      <c r="J893">
        <v>17.440000000000001</v>
      </c>
      <c r="K893">
        <v>554.32000000000005</v>
      </c>
      <c r="L893">
        <v>2.12</v>
      </c>
      <c r="M893">
        <v>235.85</v>
      </c>
      <c r="N893">
        <v>104</v>
      </c>
      <c r="O893">
        <v>16</v>
      </c>
      <c r="P893">
        <v>46996</v>
      </c>
      <c r="Q893">
        <v>5089</v>
      </c>
      <c r="R893">
        <v>1625</v>
      </c>
      <c r="S893">
        <v>24272</v>
      </c>
      <c r="T893">
        <v>49</v>
      </c>
      <c r="U893">
        <v>15961</v>
      </c>
      <c r="V893" s="1">
        <f t="shared" si="39"/>
        <v>0.2954</v>
      </c>
      <c r="W893" s="1">
        <f t="shared" si="40"/>
        <v>3.4599999999999999E-2</v>
      </c>
      <c r="X893" s="1">
        <f t="shared" si="41"/>
        <v>5.3E-3</v>
      </c>
    </row>
    <row r="894" spans="1:24" x14ac:dyDescent="0.25">
      <c r="A894">
        <v>2018</v>
      </c>
      <c r="B894">
        <v>11</v>
      </c>
      <c r="C894" t="s">
        <v>41</v>
      </c>
      <c r="D894" t="str">
        <f>_xlfn.XLOOKUP(C894,'Carrier Name Rename'!A:A,'Carrier Name Rename'!B:B)</f>
        <v>United Air Lines Inc.</v>
      </c>
      <c r="E894" t="s">
        <v>23</v>
      </c>
      <c r="F894" t="s">
        <v>24</v>
      </c>
      <c r="G894">
        <v>779</v>
      </c>
      <c r="H894">
        <v>207</v>
      </c>
      <c r="I894">
        <v>35.33</v>
      </c>
      <c r="J894">
        <v>4.76</v>
      </c>
      <c r="K894">
        <v>114.69</v>
      </c>
      <c r="L894">
        <v>0</v>
      </c>
      <c r="M894">
        <v>52.22</v>
      </c>
      <c r="N894">
        <v>4</v>
      </c>
      <c r="O894">
        <v>3</v>
      </c>
      <c r="P894">
        <v>12155</v>
      </c>
      <c r="Q894">
        <v>1878</v>
      </c>
      <c r="R894">
        <v>345</v>
      </c>
      <c r="S894">
        <v>5827</v>
      </c>
      <c r="T894">
        <v>0</v>
      </c>
      <c r="U894">
        <v>4105</v>
      </c>
      <c r="V894" s="1">
        <f t="shared" si="39"/>
        <v>0.26569999999999999</v>
      </c>
      <c r="W894" s="1">
        <f t="shared" si="40"/>
        <v>5.1000000000000004E-3</v>
      </c>
      <c r="X894" s="1">
        <f t="shared" si="41"/>
        <v>3.8999999999999998E-3</v>
      </c>
    </row>
    <row r="895" spans="1:24" x14ac:dyDescent="0.25">
      <c r="A895">
        <v>2018</v>
      </c>
      <c r="B895">
        <v>11</v>
      </c>
      <c r="C895" t="s">
        <v>43</v>
      </c>
      <c r="D895" t="str">
        <f>_xlfn.XLOOKUP(C895,'Carrier Name Rename'!A:A,'Carrier Name Rename'!B:B)</f>
        <v>Southwest Airlines Co.</v>
      </c>
      <c r="E895" t="s">
        <v>23</v>
      </c>
      <c r="F895" t="s">
        <v>24</v>
      </c>
      <c r="G895">
        <v>947</v>
      </c>
      <c r="H895">
        <v>258</v>
      </c>
      <c r="I895">
        <v>62.71</v>
      </c>
      <c r="J895">
        <v>3.06</v>
      </c>
      <c r="K895">
        <v>110.97</v>
      </c>
      <c r="L895">
        <v>0</v>
      </c>
      <c r="M895">
        <v>81.260000000000005</v>
      </c>
      <c r="N895">
        <v>5</v>
      </c>
      <c r="O895">
        <v>2</v>
      </c>
      <c r="P895">
        <v>12204</v>
      </c>
      <c r="Q895">
        <v>2919</v>
      </c>
      <c r="R895">
        <v>386</v>
      </c>
      <c r="S895">
        <v>5200</v>
      </c>
      <c r="T895">
        <v>0</v>
      </c>
      <c r="U895">
        <v>3699</v>
      </c>
      <c r="V895" s="1">
        <f t="shared" si="39"/>
        <v>0.27239999999999998</v>
      </c>
      <c r="W895" s="1">
        <f t="shared" si="40"/>
        <v>5.3E-3</v>
      </c>
      <c r="X895" s="1">
        <f t="shared" si="41"/>
        <v>2.0999999999999999E-3</v>
      </c>
    </row>
    <row r="896" spans="1:24" x14ac:dyDescent="0.25">
      <c r="A896">
        <v>2018</v>
      </c>
      <c r="B896">
        <v>10</v>
      </c>
      <c r="C896" t="s">
        <v>31</v>
      </c>
      <c r="D896" t="str">
        <f>_xlfn.XLOOKUP(C896,'Carrier Name Rename'!A:A,'Carrier Name Rename'!B:B)</f>
        <v>American Airlines Inc.</v>
      </c>
      <c r="E896" t="s">
        <v>23</v>
      </c>
      <c r="F896" t="s">
        <v>24</v>
      </c>
      <c r="G896">
        <v>728</v>
      </c>
      <c r="H896">
        <v>261</v>
      </c>
      <c r="I896">
        <v>58.56</v>
      </c>
      <c r="J896">
        <v>8.2100000000000009</v>
      </c>
      <c r="K896">
        <v>139.65</v>
      </c>
      <c r="L896">
        <v>0</v>
      </c>
      <c r="M896">
        <v>54.59</v>
      </c>
      <c r="N896">
        <v>3</v>
      </c>
      <c r="O896">
        <v>9</v>
      </c>
      <c r="P896">
        <v>12925</v>
      </c>
      <c r="Q896">
        <v>3037</v>
      </c>
      <c r="R896">
        <v>1652</v>
      </c>
      <c r="S896">
        <v>4822</v>
      </c>
      <c r="T896">
        <v>0</v>
      </c>
      <c r="U896">
        <v>3414</v>
      </c>
      <c r="V896" s="1">
        <f t="shared" si="39"/>
        <v>0.35849999999999999</v>
      </c>
      <c r="W896" s="1">
        <f t="shared" si="40"/>
        <v>4.1000000000000003E-3</v>
      </c>
      <c r="X896" s="1">
        <f t="shared" si="41"/>
        <v>1.24E-2</v>
      </c>
    </row>
    <row r="897" spans="1:24" x14ac:dyDescent="0.25">
      <c r="A897">
        <v>2018</v>
      </c>
      <c r="B897">
        <v>10</v>
      </c>
      <c r="C897" t="s">
        <v>33</v>
      </c>
      <c r="D897" t="str">
        <f>_xlfn.XLOOKUP(C897,'Carrier Name Rename'!A:A,'Carrier Name Rename'!B:B)</f>
        <v>Alaska Airlines Inc.</v>
      </c>
      <c r="E897" t="s">
        <v>23</v>
      </c>
      <c r="F897" t="s">
        <v>24</v>
      </c>
      <c r="G897">
        <v>5464</v>
      </c>
      <c r="H897">
        <v>1407</v>
      </c>
      <c r="I897">
        <v>165.41</v>
      </c>
      <c r="J897">
        <v>7.83</v>
      </c>
      <c r="K897">
        <v>935.29</v>
      </c>
      <c r="L897">
        <v>2.7</v>
      </c>
      <c r="M897">
        <v>295.77</v>
      </c>
      <c r="N897">
        <v>49</v>
      </c>
      <c r="O897">
        <v>14</v>
      </c>
      <c r="P897">
        <v>65401</v>
      </c>
      <c r="Q897">
        <v>12208</v>
      </c>
      <c r="R897">
        <v>637</v>
      </c>
      <c r="S897">
        <v>34731</v>
      </c>
      <c r="T897">
        <v>83</v>
      </c>
      <c r="U897">
        <v>17742</v>
      </c>
      <c r="V897" s="1">
        <f t="shared" si="39"/>
        <v>0.25750000000000001</v>
      </c>
      <c r="W897" s="1">
        <f t="shared" si="40"/>
        <v>8.9999999999999993E-3</v>
      </c>
      <c r="X897" s="1">
        <f t="shared" si="41"/>
        <v>2.5999999999999999E-3</v>
      </c>
    </row>
    <row r="898" spans="1:24" x14ac:dyDescent="0.25">
      <c r="A898">
        <v>2018</v>
      </c>
      <c r="B898">
        <v>10</v>
      </c>
      <c r="C898" t="s">
        <v>35</v>
      </c>
      <c r="D898" t="str">
        <f>_xlfn.XLOOKUP(C898,'Carrier Name Rename'!A:A,'Carrier Name Rename'!B:B)</f>
        <v>JetBlue Airways</v>
      </c>
      <c r="E898" t="s">
        <v>23</v>
      </c>
      <c r="F898" t="s">
        <v>24</v>
      </c>
      <c r="G898">
        <v>143</v>
      </c>
      <c r="H898">
        <v>35</v>
      </c>
      <c r="I898">
        <v>6.17</v>
      </c>
      <c r="J898">
        <v>0</v>
      </c>
      <c r="K898">
        <v>20.059999999999999</v>
      </c>
      <c r="L898">
        <v>0</v>
      </c>
      <c r="M898">
        <v>8.77</v>
      </c>
      <c r="N898">
        <v>0</v>
      </c>
      <c r="O898">
        <v>2</v>
      </c>
      <c r="P898">
        <v>1967</v>
      </c>
      <c r="Q898">
        <v>523</v>
      </c>
      <c r="R898">
        <v>0</v>
      </c>
      <c r="S898">
        <v>758</v>
      </c>
      <c r="T898">
        <v>0</v>
      </c>
      <c r="U898">
        <v>686</v>
      </c>
      <c r="V898" s="1">
        <f t="shared" si="39"/>
        <v>0.24479999999999999</v>
      </c>
      <c r="W898" s="1">
        <f t="shared" si="40"/>
        <v>0</v>
      </c>
      <c r="X898" s="1">
        <f t="shared" si="41"/>
        <v>1.4E-2</v>
      </c>
    </row>
    <row r="899" spans="1:24" x14ac:dyDescent="0.25">
      <c r="A899">
        <v>2018</v>
      </c>
      <c r="B899">
        <v>10</v>
      </c>
      <c r="C899" t="s">
        <v>47</v>
      </c>
      <c r="D899" t="str">
        <f>_xlfn.XLOOKUP(C899,'Carrier Name Rename'!A:A,'Carrier Name Rename'!B:B)</f>
        <v>Compass Airlines</v>
      </c>
      <c r="E899" t="s">
        <v>23</v>
      </c>
      <c r="F899" t="s">
        <v>24</v>
      </c>
      <c r="G899">
        <v>1129</v>
      </c>
      <c r="H899">
        <v>393</v>
      </c>
      <c r="I899">
        <v>53.7</v>
      </c>
      <c r="J899">
        <v>29.71</v>
      </c>
      <c r="K899">
        <v>175.76</v>
      </c>
      <c r="L899">
        <v>0</v>
      </c>
      <c r="M899">
        <v>133.83000000000001</v>
      </c>
      <c r="N899">
        <v>12</v>
      </c>
      <c r="O899">
        <v>10</v>
      </c>
      <c r="P899">
        <v>35169</v>
      </c>
      <c r="Q899">
        <v>7349</v>
      </c>
      <c r="R899">
        <v>5605</v>
      </c>
      <c r="S899">
        <v>8991</v>
      </c>
      <c r="T899">
        <v>0</v>
      </c>
      <c r="U899">
        <v>13224</v>
      </c>
      <c r="V899" s="1">
        <f t="shared" ref="V899:V962" si="42">ROUND(H899/G899,4)</f>
        <v>0.34810000000000002</v>
      </c>
      <c r="W899" s="1">
        <f t="shared" ref="W899:W962" si="43">ROUND(N899/G899,4)</f>
        <v>1.06E-2</v>
      </c>
      <c r="X899" s="1">
        <f t="shared" ref="X899:X962" si="44">ROUND(O899/G899,4)</f>
        <v>8.8999999999999999E-3</v>
      </c>
    </row>
    <row r="900" spans="1:24" x14ac:dyDescent="0.25">
      <c r="A900">
        <v>2018</v>
      </c>
      <c r="B900">
        <v>10</v>
      </c>
      <c r="C900" t="s">
        <v>37</v>
      </c>
      <c r="D900" t="str">
        <f>_xlfn.XLOOKUP(C900,'Carrier Name Rename'!A:A,'Carrier Name Rename'!B:B)</f>
        <v>Delta Air Lines Inc.</v>
      </c>
      <c r="E900" t="s">
        <v>23</v>
      </c>
      <c r="F900" t="s">
        <v>24</v>
      </c>
      <c r="G900">
        <v>2242</v>
      </c>
      <c r="H900">
        <v>333</v>
      </c>
      <c r="I900">
        <v>67.92</v>
      </c>
      <c r="J900">
        <v>6.68</v>
      </c>
      <c r="K900">
        <v>182.38</v>
      </c>
      <c r="L900">
        <v>0</v>
      </c>
      <c r="M900">
        <v>76.02</v>
      </c>
      <c r="N900">
        <v>0</v>
      </c>
      <c r="O900">
        <v>10</v>
      </c>
      <c r="P900">
        <v>16113</v>
      </c>
      <c r="Q900">
        <v>4370</v>
      </c>
      <c r="R900">
        <v>256</v>
      </c>
      <c r="S900">
        <v>6300</v>
      </c>
      <c r="T900">
        <v>0</v>
      </c>
      <c r="U900">
        <v>5187</v>
      </c>
      <c r="V900" s="1">
        <f t="shared" si="42"/>
        <v>0.14849999999999999</v>
      </c>
      <c r="W900" s="1">
        <f t="shared" si="43"/>
        <v>0</v>
      </c>
      <c r="X900" s="1">
        <f t="shared" si="44"/>
        <v>4.4999999999999997E-3</v>
      </c>
    </row>
    <row r="901" spans="1:24" x14ac:dyDescent="0.25">
      <c r="A901">
        <v>2018</v>
      </c>
      <c r="B901">
        <v>10</v>
      </c>
      <c r="C901" t="s">
        <v>39</v>
      </c>
      <c r="D901" t="str">
        <f>_xlfn.XLOOKUP(C901,'Carrier Name Rename'!A:A,'Carrier Name Rename'!B:B)</f>
        <v>Frontier Airlines Inc.</v>
      </c>
      <c r="E901" t="s">
        <v>23</v>
      </c>
      <c r="F901" t="s">
        <v>24</v>
      </c>
      <c r="G901">
        <v>62</v>
      </c>
      <c r="H901">
        <v>28</v>
      </c>
      <c r="I901">
        <v>12.06</v>
      </c>
      <c r="J901">
        <v>0</v>
      </c>
      <c r="K901">
        <v>11.9</v>
      </c>
      <c r="L901">
        <v>0</v>
      </c>
      <c r="M901">
        <v>4.04</v>
      </c>
      <c r="N901">
        <v>0</v>
      </c>
      <c r="O901">
        <v>0</v>
      </c>
      <c r="P901">
        <v>1220</v>
      </c>
      <c r="Q901">
        <v>484</v>
      </c>
      <c r="R901">
        <v>0</v>
      </c>
      <c r="S901">
        <v>501</v>
      </c>
      <c r="T901">
        <v>0</v>
      </c>
      <c r="U901">
        <v>235</v>
      </c>
      <c r="V901" s="1">
        <f t="shared" si="42"/>
        <v>0.4516</v>
      </c>
      <c r="W901" s="1">
        <f t="shared" si="43"/>
        <v>0</v>
      </c>
      <c r="X901" s="1">
        <f t="shared" si="44"/>
        <v>0</v>
      </c>
    </row>
    <row r="902" spans="1:24" x14ac:dyDescent="0.25">
      <c r="A902">
        <v>2018</v>
      </c>
      <c r="B902">
        <v>10</v>
      </c>
      <c r="C902" t="s">
        <v>21</v>
      </c>
      <c r="D902" t="str">
        <f>_xlfn.XLOOKUP(C902,'Carrier Name Rename'!A:A,'Carrier Name Rename'!B:B)</f>
        <v>Hawaiian Airlines Inc.</v>
      </c>
      <c r="E902" t="s">
        <v>23</v>
      </c>
      <c r="F902" t="s">
        <v>24</v>
      </c>
      <c r="G902">
        <v>62</v>
      </c>
      <c r="H902">
        <v>26</v>
      </c>
      <c r="I902">
        <v>21.9</v>
      </c>
      <c r="J902">
        <v>0</v>
      </c>
      <c r="K902">
        <v>0</v>
      </c>
      <c r="L902">
        <v>1.2</v>
      </c>
      <c r="M902">
        <v>2.9</v>
      </c>
      <c r="N902">
        <v>0</v>
      </c>
      <c r="O902">
        <v>1</v>
      </c>
      <c r="P902">
        <v>973</v>
      </c>
      <c r="Q902">
        <v>823</v>
      </c>
      <c r="R902">
        <v>0</v>
      </c>
      <c r="S902">
        <v>0</v>
      </c>
      <c r="T902">
        <v>36</v>
      </c>
      <c r="U902">
        <v>114</v>
      </c>
      <c r="V902" s="1">
        <f t="shared" si="42"/>
        <v>0.4194</v>
      </c>
      <c r="W902" s="1">
        <f t="shared" si="43"/>
        <v>0</v>
      </c>
      <c r="X902" s="1">
        <f t="shared" si="44"/>
        <v>1.61E-2</v>
      </c>
    </row>
    <row r="903" spans="1:24" x14ac:dyDescent="0.25">
      <c r="A903">
        <v>2018</v>
      </c>
      <c r="B903">
        <v>10</v>
      </c>
      <c r="C903" t="s">
        <v>25</v>
      </c>
      <c r="D903" t="str">
        <f>_xlfn.XLOOKUP(C903,'Carrier Name Rename'!A:A,'Carrier Name Rename'!B:B)</f>
        <v>Spirit Airlines</v>
      </c>
      <c r="E903" t="s">
        <v>23</v>
      </c>
      <c r="F903" t="s">
        <v>24</v>
      </c>
      <c r="G903">
        <v>104</v>
      </c>
      <c r="H903">
        <v>30</v>
      </c>
      <c r="I903">
        <v>2.4700000000000002</v>
      </c>
      <c r="J903">
        <v>0</v>
      </c>
      <c r="K903">
        <v>22.37</v>
      </c>
      <c r="L903">
        <v>0</v>
      </c>
      <c r="M903">
        <v>5.16</v>
      </c>
      <c r="N903">
        <v>0</v>
      </c>
      <c r="O903">
        <v>0</v>
      </c>
      <c r="P903">
        <v>2029</v>
      </c>
      <c r="Q903">
        <v>175</v>
      </c>
      <c r="R903">
        <v>0</v>
      </c>
      <c r="S903">
        <v>1466</v>
      </c>
      <c r="T903">
        <v>0</v>
      </c>
      <c r="U903">
        <v>388</v>
      </c>
      <c r="V903" s="1">
        <f t="shared" si="42"/>
        <v>0.28849999999999998</v>
      </c>
      <c r="W903" s="1">
        <f t="shared" si="43"/>
        <v>0</v>
      </c>
      <c r="X903" s="1">
        <f t="shared" si="44"/>
        <v>0</v>
      </c>
    </row>
    <row r="904" spans="1:24" x14ac:dyDescent="0.25">
      <c r="A904">
        <v>2018</v>
      </c>
      <c r="B904">
        <v>10</v>
      </c>
      <c r="C904" t="s">
        <v>27</v>
      </c>
      <c r="D904" t="str">
        <f>_xlfn.XLOOKUP(C904,'Carrier Name Rename'!A:A,'Carrier Name Rename'!B:B)</f>
        <v>SkyWest Airlines Inc.</v>
      </c>
      <c r="E904" t="s">
        <v>23</v>
      </c>
      <c r="F904" t="s">
        <v>24</v>
      </c>
      <c r="G904">
        <v>947</v>
      </c>
      <c r="H904">
        <v>287</v>
      </c>
      <c r="I904">
        <v>19.91</v>
      </c>
      <c r="J904">
        <v>25.27</v>
      </c>
      <c r="K904">
        <v>168.63</v>
      </c>
      <c r="L904">
        <v>0</v>
      </c>
      <c r="M904">
        <v>73.19</v>
      </c>
      <c r="N904">
        <v>20</v>
      </c>
      <c r="O904">
        <v>16</v>
      </c>
      <c r="P904">
        <v>17930</v>
      </c>
      <c r="Q904">
        <v>1804</v>
      </c>
      <c r="R904">
        <v>3952</v>
      </c>
      <c r="S904">
        <v>6735</v>
      </c>
      <c r="T904">
        <v>0</v>
      </c>
      <c r="U904">
        <v>5439</v>
      </c>
      <c r="V904" s="1">
        <f t="shared" si="42"/>
        <v>0.30309999999999998</v>
      </c>
      <c r="W904" s="1">
        <f t="shared" si="43"/>
        <v>2.1100000000000001E-2</v>
      </c>
      <c r="X904" s="1">
        <f t="shared" si="44"/>
        <v>1.6899999999999998E-2</v>
      </c>
    </row>
    <row r="905" spans="1:24" x14ac:dyDescent="0.25">
      <c r="A905">
        <v>2018</v>
      </c>
      <c r="B905">
        <v>10</v>
      </c>
      <c r="C905" t="s">
        <v>29</v>
      </c>
      <c r="D905" t="str">
        <f>_xlfn.XLOOKUP(C905,'Carrier Name Rename'!A:A,'Carrier Name Rename'!B:B)</f>
        <v>Horizon Air</v>
      </c>
      <c r="E905" t="s">
        <v>23</v>
      </c>
      <c r="F905" t="s">
        <v>24</v>
      </c>
      <c r="G905">
        <v>2662</v>
      </c>
      <c r="H905">
        <v>831</v>
      </c>
      <c r="I905">
        <v>65.69</v>
      </c>
      <c r="J905">
        <v>22.17</v>
      </c>
      <c r="K905">
        <v>548.75</v>
      </c>
      <c r="L905">
        <v>0</v>
      </c>
      <c r="M905">
        <v>194.39</v>
      </c>
      <c r="N905">
        <v>100</v>
      </c>
      <c r="O905">
        <v>16</v>
      </c>
      <c r="P905">
        <v>44813</v>
      </c>
      <c r="Q905">
        <v>5380</v>
      </c>
      <c r="R905">
        <v>3716</v>
      </c>
      <c r="S905">
        <v>23387</v>
      </c>
      <c r="T905">
        <v>0</v>
      </c>
      <c r="U905">
        <v>12330</v>
      </c>
      <c r="V905" s="1">
        <f t="shared" si="42"/>
        <v>0.31219999999999998</v>
      </c>
      <c r="W905" s="1">
        <f t="shared" si="43"/>
        <v>3.7600000000000001E-2</v>
      </c>
      <c r="X905" s="1">
        <f t="shared" si="44"/>
        <v>6.0000000000000001E-3</v>
      </c>
    </row>
    <row r="906" spans="1:24" x14ac:dyDescent="0.25">
      <c r="A906">
        <v>2018</v>
      </c>
      <c r="B906">
        <v>10</v>
      </c>
      <c r="C906" t="s">
        <v>41</v>
      </c>
      <c r="D906" t="str">
        <f>_xlfn.XLOOKUP(C906,'Carrier Name Rename'!A:A,'Carrier Name Rename'!B:B)</f>
        <v>United Air Lines Inc.</v>
      </c>
      <c r="E906" t="s">
        <v>23</v>
      </c>
      <c r="F906" t="s">
        <v>24</v>
      </c>
      <c r="G906">
        <v>875</v>
      </c>
      <c r="H906">
        <v>268</v>
      </c>
      <c r="I906">
        <v>41.11</v>
      </c>
      <c r="J906">
        <v>0.64</v>
      </c>
      <c r="K906">
        <v>162.97</v>
      </c>
      <c r="L906">
        <v>0</v>
      </c>
      <c r="M906">
        <v>63.28</v>
      </c>
      <c r="N906">
        <v>0</v>
      </c>
      <c r="O906">
        <v>1</v>
      </c>
      <c r="P906">
        <v>14498</v>
      </c>
      <c r="Q906">
        <v>2091</v>
      </c>
      <c r="R906">
        <v>139</v>
      </c>
      <c r="S906">
        <v>7414</v>
      </c>
      <c r="T906">
        <v>0</v>
      </c>
      <c r="U906">
        <v>4854</v>
      </c>
      <c r="V906" s="1">
        <f t="shared" si="42"/>
        <v>0.30630000000000002</v>
      </c>
      <c r="W906" s="1">
        <f t="shared" si="43"/>
        <v>0</v>
      </c>
      <c r="X906" s="1">
        <f t="shared" si="44"/>
        <v>1.1000000000000001E-3</v>
      </c>
    </row>
    <row r="907" spans="1:24" x14ac:dyDescent="0.25">
      <c r="A907">
        <v>2018</v>
      </c>
      <c r="B907">
        <v>10</v>
      </c>
      <c r="C907" t="s">
        <v>43</v>
      </c>
      <c r="D907" t="str">
        <f>_xlfn.XLOOKUP(C907,'Carrier Name Rename'!A:A,'Carrier Name Rename'!B:B)</f>
        <v>Southwest Airlines Co.</v>
      </c>
      <c r="E907" t="s">
        <v>23</v>
      </c>
      <c r="F907" t="s">
        <v>24</v>
      </c>
      <c r="G907">
        <v>1061</v>
      </c>
      <c r="H907">
        <v>351</v>
      </c>
      <c r="I907">
        <v>60.05</v>
      </c>
      <c r="J907">
        <v>7.39</v>
      </c>
      <c r="K907">
        <v>209.99</v>
      </c>
      <c r="L907">
        <v>0</v>
      </c>
      <c r="M907">
        <v>73.58</v>
      </c>
      <c r="N907">
        <v>6</v>
      </c>
      <c r="O907">
        <v>0</v>
      </c>
      <c r="P907">
        <v>14071</v>
      </c>
      <c r="Q907">
        <v>3011</v>
      </c>
      <c r="R907">
        <v>683</v>
      </c>
      <c r="S907">
        <v>7716</v>
      </c>
      <c r="T907">
        <v>0</v>
      </c>
      <c r="U907">
        <v>2661</v>
      </c>
      <c r="V907" s="1">
        <f t="shared" si="42"/>
        <v>0.33079999999999998</v>
      </c>
      <c r="W907" s="1">
        <f t="shared" si="43"/>
        <v>5.7000000000000002E-3</v>
      </c>
      <c r="X907" s="1">
        <f t="shared" si="44"/>
        <v>0</v>
      </c>
    </row>
    <row r="908" spans="1:24" x14ac:dyDescent="0.25">
      <c r="A908">
        <v>2018</v>
      </c>
      <c r="B908">
        <v>9</v>
      </c>
      <c r="C908" t="s">
        <v>31</v>
      </c>
      <c r="D908" t="str">
        <f>_xlfn.XLOOKUP(C908,'Carrier Name Rename'!A:A,'Carrier Name Rename'!B:B)</f>
        <v>American Airlines Inc.</v>
      </c>
      <c r="E908" t="s">
        <v>23</v>
      </c>
      <c r="F908" t="s">
        <v>24</v>
      </c>
      <c r="G908">
        <v>779</v>
      </c>
      <c r="H908">
        <v>306</v>
      </c>
      <c r="I908">
        <v>73.31</v>
      </c>
      <c r="J908">
        <v>8.4499999999999993</v>
      </c>
      <c r="K908">
        <v>162.11000000000001</v>
      </c>
      <c r="L908">
        <v>1.4</v>
      </c>
      <c r="M908">
        <v>60.73</v>
      </c>
      <c r="N908">
        <v>17</v>
      </c>
      <c r="O908">
        <v>2</v>
      </c>
      <c r="P908">
        <v>15958</v>
      </c>
      <c r="Q908">
        <v>4751</v>
      </c>
      <c r="R908">
        <v>706</v>
      </c>
      <c r="S908">
        <v>6065</v>
      </c>
      <c r="T908">
        <v>132</v>
      </c>
      <c r="U908">
        <v>4304</v>
      </c>
      <c r="V908" s="1">
        <f t="shared" si="42"/>
        <v>0.39279999999999998</v>
      </c>
      <c r="W908" s="1">
        <f t="shared" si="43"/>
        <v>2.18E-2</v>
      </c>
      <c r="X908" s="1">
        <f t="shared" si="44"/>
        <v>2.5999999999999999E-3</v>
      </c>
    </row>
    <row r="909" spans="1:24" x14ac:dyDescent="0.25">
      <c r="A909">
        <v>2018</v>
      </c>
      <c r="B909">
        <v>9</v>
      </c>
      <c r="C909" t="s">
        <v>33</v>
      </c>
      <c r="D909" t="str">
        <f>_xlfn.XLOOKUP(C909,'Carrier Name Rename'!A:A,'Carrier Name Rename'!B:B)</f>
        <v>Alaska Airlines Inc.</v>
      </c>
      <c r="E909" t="s">
        <v>23</v>
      </c>
      <c r="F909" t="s">
        <v>24</v>
      </c>
      <c r="G909">
        <v>5427</v>
      </c>
      <c r="H909">
        <v>962</v>
      </c>
      <c r="I909">
        <v>146.16</v>
      </c>
      <c r="J909">
        <v>7.52</v>
      </c>
      <c r="K909">
        <v>660.22</v>
      </c>
      <c r="L909">
        <v>4.6399999999999997</v>
      </c>
      <c r="M909">
        <v>143.47</v>
      </c>
      <c r="N909">
        <v>40</v>
      </c>
      <c r="O909">
        <v>4</v>
      </c>
      <c r="P909">
        <v>39828</v>
      </c>
      <c r="Q909">
        <v>9285</v>
      </c>
      <c r="R909">
        <v>715</v>
      </c>
      <c r="S909">
        <v>21499</v>
      </c>
      <c r="T909">
        <v>98</v>
      </c>
      <c r="U909">
        <v>8231</v>
      </c>
      <c r="V909" s="1">
        <f t="shared" si="42"/>
        <v>0.17730000000000001</v>
      </c>
      <c r="W909" s="1">
        <f t="shared" si="43"/>
        <v>7.4000000000000003E-3</v>
      </c>
      <c r="X909" s="1">
        <f t="shared" si="44"/>
        <v>6.9999999999999999E-4</v>
      </c>
    </row>
    <row r="910" spans="1:24" x14ac:dyDescent="0.25">
      <c r="A910">
        <v>2018</v>
      </c>
      <c r="B910">
        <v>9</v>
      </c>
      <c r="C910" t="s">
        <v>35</v>
      </c>
      <c r="D910" t="str">
        <f>_xlfn.XLOOKUP(C910,'Carrier Name Rename'!A:A,'Carrier Name Rename'!B:B)</f>
        <v>JetBlue Airways</v>
      </c>
      <c r="E910" t="s">
        <v>23</v>
      </c>
      <c r="F910" t="s">
        <v>24</v>
      </c>
      <c r="G910">
        <v>169</v>
      </c>
      <c r="H910">
        <v>39</v>
      </c>
      <c r="I910">
        <v>7.49</v>
      </c>
      <c r="J910">
        <v>0</v>
      </c>
      <c r="K910">
        <v>23.44</v>
      </c>
      <c r="L910">
        <v>0</v>
      </c>
      <c r="M910">
        <v>8.07</v>
      </c>
      <c r="N910">
        <v>0</v>
      </c>
      <c r="O910">
        <v>0</v>
      </c>
      <c r="P910">
        <v>1729</v>
      </c>
      <c r="Q910">
        <v>401</v>
      </c>
      <c r="R910">
        <v>0</v>
      </c>
      <c r="S910">
        <v>957</v>
      </c>
      <c r="T910">
        <v>0</v>
      </c>
      <c r="U910">
        <v>371</v>
      </c>
      <c r="V910" s="1">
        <f t="shared" si="42"/>
        <v>0.23080000000000001</v>
      </c>
      <c r="W910" s="1">
        <f t="shared" si="43"/>
        <v>0</v>
      </c>
      <c r="X910" s="1">
        <f t="shared" si="44"/>
        <v>0</v>
      </c>
    </row>
    <row r="911" spans="1:24" x14ac:dyDescent="0.25">
      <c r="A911">
        <v>2018</v>
      </c>
      <c r="B911">
        <v>9</v>
      </c>
      <c r="C911" t="s">
        <v>47</v>
      </c>
      <c r="D911" t="str">
        <f>_xlfn.XLOOKUP(C911,'Carrier Name Rename'!A:A,'Carrier Name Rename'!B:B)</f>
        <v>Compass Airlines</v>
      </c>
      <c r="E911" t="s">
        <v>23</v>
      </c>
      <c r="F911" t="s">
        <v>24</v>
      </c>
      <c r="G911">
        <v>1095</v>
      </c>
      <c r="H911">
        <v>312</v>
      </c>
      <c r="I911">
        <v>50.25</v>
      </c>
      <c r="J911">
        <v>3.49</v>
      </c>
      <c r="K911">
        <v>185</v>
      </c>
      <c r="L911">
        <v>0</v>
      </c>
      <c r="M911">
        <v>73.25</v>
      </c>
      <c r="N911">
        <v>0</v>
      </c>
      <c r="O911">
        <v>0</v>
      </c>
      <c r="P911">
        <v>15490</v>
      </c>
      <c r="Q911">
        <v>4613</v>
      </c>
      <c r="R911">
        <v>146</v>
      </c>
      <c r="S911">
        <v>6839</v>
      </c>
      <c r="T911">
        <v>0</v>
      </c>
      <c r="U911">
        <v>3892</v>
      </c>
      <c r="V911" s="1">
        <f t="shared" si="42"/>
        <v>0.28489999999999999</v>
      </c>
      <c r="W911" s="1">
        <f t="shared" si="43"/>
        <v>0</v>
      </c>
      <c r="X911" s="1">
        <f t="shared" si="44"/>
        <v>0</v>
      </c>
    </row>
    <row r="912" spans="1:24" x14ac:dyDescent="0.25">
      <c r="A912">
        <v>2018</v>
      </c>
      <c r="B912">
        <v>9</v>
      </c>
      <c r="C912" t="s">
        <v>37</v>
      </c>
      <c r="D912" t="str">
        <f>_xlfn.XLOOKUP(C912,'Carrier Name Rename'!A:A,'Carrier Name Rename'!B:B)</f>
        <v>Delta Air Lines Inc.</v>
      </c>
      <c r="E912" t="s">
        <v>23</v>
      </c>
      <c r="F912" t="s">
        <v>24</v>
      </c>
      <c r="G912">
        <v>2273</v>
      </c>
      <c r="H912">
        <v>390</v>
      </c>
      <c r="I912">
        <v>85.1</v>
      </c>
      <c r="J912">
        <v>5.0599999999999996</v>
      </c>
      <c r="K912">
        <v>238.85</v>
      </c>
      <c r="L912">
        <v>0</v>
      </c>
      <c r="M912">
        <v>60.98</v>
      </c>
      <c r="N912">
        <v>0</v>
      </c>
      <c r="O912">
        <v>2</v>
      </c>
      <c r="P912">
        <v>18001</v>
      </c>
      <c r="Q912">
        <v>5199</v>
      </c>
      <c r="R912">
        <v>391</v>
      </c>
      <c r="S912">
        <v>8427</v>
      </c>
      <c r="T912">
        <v>0</v>
      </c>
      <c r="U912">
        <v>3984</v>
      </c>
      <c r="V912" s="1">
        <f t="shared" si="42"/>
        <v>0.1716</v>
      </c>
      <c r="W912" s="1">
        <f t="shared" si="43"/>
        <v>0</v>
      </c>
      <c r="X912" s="1">
        <f t="shared" si="44"/>
        <v>8.9999999999999998E-4</v>
      </c>
    </row>
    <row r="913" spans="1:24" x14ac:dyDescent="0.25">
      <c r="A913">
        <v>2018</v>
      </c>
      <c r="B913">
        <v>9</v>
      </c>
      <c r="C913" t="s">
        <v>39</v>
      </c>
      <c r="D913" t="str">
        <f>_xlfn.XLOOKUP(C913,'Carrier Name Rename'!A:A,'Carrier Name Rename'!B:B)</f>
        <v>Frontier Airlines Inc.</v>
      </c>
      <c r="E913" t="s">
        <v>23</v>
      </c>
      <c r="F913" t="s">
        <v>24</v>
      </c>
      <c r="G913">
        <v>60</v>
      </c>
      <c r="H913">
        <v>31</v>
      </c>
      <c r="I913">
        <v>14.16</v>
      </c>
      <c r="J913">
        <v>0</v>
      </c>
      <c r="K913">
        <v>7.78</v>
      </c>
      <c r="L913">
        <v>0</v>
      </c>
      <c r="M913">
        <v>9.07</v>
      </c>
      <c r="N913">
        <v>0</v>
      </c>
      <c r="O913">
        <v>0</v>
      </c>
      <c r="P913">
        <v>2199</v>
      </c>
      <c r="Q913">
        <v>756</v>
      </c>
      <c r="R913">
        <v>0</v>
      </c>
      <c r="S913">
        <v>385</v>
      </c>
      <c r="T913">
        <v>0</v>
      </c>
      <c r="U913">
        <v>1058</v>
      </c>
      <c r="V913" s="1">
        <f t="shared" si="42"/>
        <v>0.51670000000000005</v>
      </c>
      <c r="W913" s="1">
        <f t="shared" si="43"/>
        <v>0</v>
      </c>
      <c r="X913" s="1">
        <f t="shared" si="44"/>
        <v>0</v>
      </c>
    </row>
    <row r="914" spans="1:24" x14ac:dyDescent="0.25">
      <c r="A914">
        <v>2018</v>
      </c>
      <c r="B914">
        <v>9</v>
      </c>
      <c r="C914" t="s">
        <v>21</v>
      </c>
      <c r="D914" t="str">
        <f>_xlfn.XLOOKUP(C914,'Carrier Name Rename'!A:A,'Carrier Name Rename'!B:B)</f>
        <v>Hawaiian Airlines Inc.</v>
      </c>
      <c r="E914" t="s">
        <v>23</v>
      </c>
      <c r="F914" t="s">
        <v>24</v>
      </c>
      <c r="G914">
        <v>62</v>
      </c>
      <c r="H914">
        <v>13</v>
      </c>
      <c r="I914">
        <v>7.63</v>
      </c>
      <c r="J914">
        <v>0</v>
      </c>
      <c r="K914">
        <v>0</v>
      </c>
      <c r="L914">
        <v>0</v>
      </c>
      <c r="M914">
        <v>5.37</v>
      </c>
      <c r="N914">
        <v>0</v>
      </c>
      <c r="O914">
        <v>0</v>
      </c>
      <c r="P914">
        <v>316</v>
      </c>
      <c r="Q914">
        <v>184</v>
      </c>
      <c r="R914">
        <v>0</v>
      </c>
      <c r="S914">
        <v>0</v>
      </c>
      <c r="T914">
        <v>0</v>
      </c>
      <c r="U914">
        <v>132</v>
      </c>
      <c r="V914" s="1">
        <f t="shared" si="42"/>
        <v>0.2097</v>
      </c>
      <c r="W914" s="1">
        <f t="shared" si="43"/>
        <v>0</v>
      </c>
      <c r="X914" s="1">
        <f t="shared" si="44"/>
        <v>0</v>
      </c>
    </row>
    <row r="915" spans="1:24" x14ac:dyDescent="0.25">
      <c r="A915">
        <v>2018</v>
      </c>
      <c r="B915">
        <v>9</v>
      </c>
      <c r="C915" t="s">
        <v>25</v>
      </c>
      <c r="D915" t="str">
        <f>_xlfn.XLOOKUP(C915,'Carrier Name Rename'!A:A,'Carrier Name Rename'!B:B)</f>
        <v>Spirit Airlines</v>
      </c>
      <c r="E915" t="s">
        <v>23</v>
      </c>
      <c r="F915" t="s">
        <v>24</v>
      </c>
      <c r="G915">
        <v>135</v>
      </c>
      <c r="H915">
        <v>33</v>
      </c>
      <c r="I915">
        <v>2.65</v>
      </c>
      <c r="J915">
        <v>0.05</v>
      </c>
      <c r="K915">
        <v>24.69</v>
      </c>
      <c r="L915">
        <v>1</v>
      </c>
      <c r="M915">
        <v>4.6100000000000003</v>
      </c>
      <c r="N915">
        <v>1</v>
      </c>
      <c r="O915">
        <v>0</v>
      </c>
      <c r="P915">
        <v>1689</v>
      </c>
      <c r="Q915">
        <v>178</v>
      </c>
      <c r="R915">
        <v>9</v>
      </c>
      <c r="S915">
        <v>1092</v>
      </c>
      <c r="T915">
        <v>37</v>
      </c>
      <c r="U915">
        <v>373</v>
      </c>
      <c r="V915" s="1">
        <f t="shared" si="42"/>
        <v>0.24440000000000001</v>
      </c>
      <c r="W915" s="1">
        <f t="shared" si="43"/>
        <v>7.4000000000000003E-3</v>
      </c>
      <c r="X915" s="1">
        <f t="shared" si="44"/>
        <v>0</v>
      </c>
    </row>
    <row r="916" spans="1:24" x14ac:dyDescent="0.25">
      <c r="A916">
        <v>2018</v>
      </c>
      <c r="B916">
        <v>9</v>
      </c>
      <c r="C916" t="s">
        <v>27</v>
      </c>
      <c r="D916" t="str">
        <f>_xlfn.XLOOKUP(C916,'Carrier Name Rename'!A:A,'Carrier Name Rename'!B:B)</f>
        <v>SkyWest Airlines Inc.</v>
      </c>
      <c r="E916" t="s">
        <v>23</v>
      </c>
      <c r="F916" t="s">
        <v>24</v>
      </c>
      <c r="G916">
        <v>963</v>
      </c>
      <c r="H916">
        <v>272</v>
      </c>
      <c r="I916">
        <v>23.44</v>
      </c>
      <c r="J916">
        <v>24.29</v>
      </c>
      <c r="K916">
        <v>147.78</v>
      </c>
      <c r="L916">
        <v>0</v>
      </c>
      <c r="M916">
        <v>76.5</v>
      </c>
      <c r="N916">
        <v>3</v>
      </c>
      <c r="O916">
        <v>3</v>
      </c>
      <c r="P916">
        <v>13236</v>
      </c>
      <c r="Q916">
        <v>1671</v>
      </c>
      <c r="R916">
        <v>2162</v>
      </c>
      <c r="S916">
        <v>5759</v>
      </c>
      <c r="T916">
        <v>0</v>
      </c>
      <c r="U916">
        <v>3644</v>
      </c>
      <c r="V916" s="1">
        <f t="shared" si="42"/>
        <v>0.28249999999999997</v>
      </c>
      <c r="W916" s="1">
        <f t="shared" si="43"/>
        <v>3.0999999999999999E-3</v>
      </c>
      <c r="X916" s="1">
        <f t="shared" si="44"/>
        <v>3.0999999999999999E-3</v>
      </c>
    </row>
    <row r="917" spans="1:24" x14ac:dyDescent="0.25">
      <c r="A917">
        <v>2018</v>
      </c>
      <c r="B917">
        <v>9</v>
      </c>
      <c r="C917" t="s">
        <v>29</v>
      </c>
      <c r="D917" t="str">
        <f>_xlfn.XLOOKUP(C917,'Carrier Name Rename'!A:A,'Carrier Name Rename'!B:B)</f>
        <v>Horizon Air</v>
      </c>
      <c r="E917" t="s">
        <v>23</v>
      </c>
      <c r="F917" t="s">
        <v>24</v>
      </c>
      <c r="G917">
        <v>2554</v>
      </c>
      <c r="H917">
        <v>620</v>
      </c>
      <c r="I917">
        <v>54.38</v>
      </c>
      <c r="J917">
        <v>1.9</v>
      </c>
      <c r="K917">
        <v>440</v>
      </c>
      <c r="L917">
        <v>0.94</v>
      </c>
      <c r="M917">
        <v>122.77</v>
      </c>
      <c r="N917">
        <v>52</v>
      </c>
      <c r="O917">
        <v>0</v>
      </c>
      <c r="P917">
        <v>27148</v>
      </c>
      <c r="Q917">
        <v>3791</v>
      </c>
      <c r="R917">
        <v>76</v>
      </c>
      <c r="S917">
        <v>16605</v>
      </c>
      <c r="T917">
        <v>16</v>
      </c>
      <c r="U917">
        <v>6660</v>
      </c>
      <c r="V917" s="1">
        <f t="shared" si="42"/>
        <v>0.24279999999999999</v>
      </c>
      <c r="W917" s="1">
        <f t="shared" si="43"/>
        <v>2.0400000000000001E-2</v>
      </c>
      <c r="X917" s="1">
        <f t="shared" si="44"/>
        <v>0</v>
      </c>
    </row>
    <row r="918" spans="1:24" x14ac:dyDescent="0.25">
      <c r="A918">
        <v>2018</v>
      </c>
      <c r="B918">
        <v>9</v>
      </c>
      <c r="C918" t="s">
        <v>41</v>
      </c>
      <c r="D918" t="str">
        <f>_xlfn.XLOOKUP(C918,'Carrier Name Rename'!A:A,'Carrier Name Rename'!B:B)</f>
        <v>United Air Lines Inc.</v>
      </c>
      <c r="E918" t="s">
        <v>23</v>
      </c>
      <c r="F918" t="s">
        <v>24</v>
      </c>
      <c r="G918">
        <v>902</v>
      </c>
      <c r="H918">
        <v>230</v>
      </c>
      <c r="I918">
        <v>40.380000000000003</v>
      </c>
      <c r="J918">
        <v>8.84</v>
      </c>
      <c r="K918">
        <v>144.57</v>
      </c>
      <c r="L918">
        <v>0</v>
      </c>
      <c r="M918">
        <v>36.21</v>
      </c>
      <c r="N918">
        <v>0</v>
      </c>
      <c r="O918">
        <v>0</v>
      </c>
      <c r="P918">
        <v>12498</v>
      </c>
      <c r="Q918">
        <v>2825</v>
      </c>
      <c r="R918">
        <v>736</v>
      </c>
      <c r="S918">
        <v>5798</v>
      </c>
      <c r="T918">
        <v>0</v>
      </c>
      <c r="U918">
        <v>3139</v>
      </c>
      <c r="V918" s="1">
        <f t="shared" si="42"/>
        <v>0.255</v>
      </c>
      <c r="W918" s="1">
        <f t="shared" si="43"/>
        <v>0</v>
      </c>
      <c r="X918" s="1">
        <f t="shared" si="44"/>
        <v>0</v>
      </c>
    </row>
    <row r="919" spans="1:24" x14ac:dyDescent="0.25">
      <c r="A919">
        <v>2018</v>
      </c>
      <c r="B919">
        <v>9</v>
      </c>
      <c r="C919" t="s">
        <v>43</v>
      </c>
      <c r="D919" t="str">
        <f>_xlfn.XLOOKUP(C919,'Carrier Name Rename'!A:A,'Carrier Name Rename'!B:B)</f>
        <v>Southwest Airlines Co.</v>
      </c>
      <c r="E919" t="s">
        <v>23</v>
      </c>
      <c r="F919" t="s">
        <v>24</v>
      </c>
      <c r="G919">
        <v>1109</v>
      </c>
      <c r="H919">
        <v>322</v>
      </c>
      <c r="I919">
        <v>48.09</v>
      </c>
      <c r="J919">
        <v>5.29</v>
      </c>
      <c r="K919">
        <v>206.93</v>
      </c>
      <c r="L919">
        <v>0.17</v>
      </c>
      <c r="M919">
        <v>61.51</v>
      </c>
      <c r="N919">
        <v>4</v>
      </c>
      <c r="O919">
        <v>1</v>
      </c>
      <c r="P919">
        <v>14212</v>
      </c>
      <c r="Q919">
        <v>2439</v>
      </c>
      <c r="R919">
        <v>667</v>
      </c>
      <c r="S919">
        <v>7605</v>
      </c>
      <c r="T919">
        <v>5</v>
      </c>
      <c r="U919">
        <v>3496</v>
      </c>
      <c r="V919" s="1">
        <f t="shared" si="42"/>
        <v>0.29039999999999999</v>
      </c>
      <c r="W919" s="1">
        <f t="shared" si="43"/>
        <v>3.5999999999999999E-3</v>
      </c>
      <c r="X919" s="1">
        <f t="shared" si="44"/>
        <v>8.9999999999999998E-4</v>
      </c>
    </row>
    <row r="920" spans="1:24" x14ac:dyDescent="0.25">
      <c r="A920">
        <v>2018</v>
      </c>
      <c r="B920">
        <v>8</v>
      </c>
      <c r="C920" t="s">
        <v>31</v>
      </c>
      <c r="D920" t="str">
        <f>_xlfn.XLOOKUP(C920,'Carrier Name Rename'!A:A,'Carrier Name Rename'!B:B)</f>
        <v>American Airlines Inc.</v>
      </c>
      <c r="E920" t="s">
        <v>23</v>
      </c>
      <c r="F920" t="s">
        <v>24</v>
      </c>
      <c r="G920">
        <v>921</v>
      </c>
      <c r="H920">
        <v>349</v>
      </c>
      <c r="I920">
        <v>98.21</v>
      </c>
      <c r="J920">
        <v>16.48</v>
      </c>
      <c r="K920">
        <v>134.1</v>
      </c>
      <c r="L920">
        <v>0.85</v>
      </c>
      <c r="M920">
        <v>99.35</v>
      </c>
      <c r="N920">
        <v>13</v>
      </c>
      <c r="O920">
        <v>1</v>
      </c>
      <c r="P920">
        <v>20603</v>
      </c>
      <c r="Q920">
        <v>5162</v>
      </c>
      <c r="R920">
        <v>1499</v>
      </c>
      <c r="S920">
        <v>6434</v>
      </c>
      <c r="T920">
        <v>29</v>
      </c>
      <c r="U920">
        <v>7479</v>
      </c>
      <c r="V920" s="1">
        <f t="shared" si="42"/>
        <v>0.37890000000000001</v>
      </c>
      <c r="W920" s="1">
        <f t="shared" si="43"/>
        <v>1.41E-2</v>
      </c>
      <c r="X920" s="1">
        <f t="shared" si="44"/>
        <v>1.1000000000000001E-3</v>
      </c>
    </row>
    <row r="921" spans="1:24" x14ac:dyDescent="0.25">
      <c r="A921">
        <v>2018</v>
      </c>
      <c r="B921">
        <v>8</v>
      </c>
      <c r="C921" t="s">
        <v>33</v>
      </c>
      <c r="D921" t="str">
        <f>_xlfn.XLOOKUP(C921,'Carrier Name Rename'!A:A,'Carrier Name Rename'!B:B)</f>
        <v>Alaska Airlines Inc.</v>
      </c>
      <c r="E921" t="s">
        <v>23</v>
      </c>
      <c r="F921" t="s">
        <v>24</v>
      </c>
      <c r="G921">
        <v>6047</v>
      </c>
      <c r="H921">
        <v>1457</v>
      </c>
      <c r="I921">
        <v>211.58</v>
      </c>
      <c r="J921">
        <v>46.66</v>
      </c>
      <c r="K921">
        <v>839.9</v>
      </c>
      <c r="L921">
        <v>3.45</v>
      </c>
      <c r="M921">
        <v>355.41</v>
      </c>
      <c r="N921">
        <v>52</v>
      </c>
      <c r="O921">
        <v>10</v>
      </c>
      <c r="P921">
        <v>81131</v>
      </c>
      <c r="Q921">
        <v>14326</v>
      </c>
      <c r="R921">
        <v>3042</v>
      </c>
      <c r="S921">
        <v>40682</v>
      </c>
      <c r="T921">
        <v>351</v>
      </c>
      <c r="U921">
        <v>22730</v>
      </c>
      <c r="V921" s="1">
        <f t="shared" si="42"/>
        <v>0.2409</v>
      </c>
      <c r="W921" s="1">
        <f t="shared" si="43"/>
        <v>8.6E-3</v>
      </c>
      <c r="X921" s="1">
        <f t="shared" si="44"/>
        <v>1.6999999999999999E-3</v>
      </c>
    </row>
    <row r="922" spans="1:24" x14ac:dyDescent="0.25">
      <c r="A922">
        <v>2018</v>
      </c>
      <c r="B922">
        <v>8</v>
      </c>
      <c r="C922" t="s">
        <v>35</v>
      </c>
      <c r="D922" t="str">
        <f>_xlfn.XLOOKUP(C922,'Carrier Name Rename'!A:A,'Carrier Name Rename'!B:B)</f>
        <v>JetBlue Airways</v>
      </c>
      <c r="E922" t="s">
        <v>23</v>
      </c>
      <c r="F922" t="s">
        <v>24</v>
      </c>
      <c r="G922">
        <v>239</v>
      </c>
      <c r="H922">
        <v>70</v>
      </c>
      <c r="I922">
        <v>12.68</v>
      </c>
      <c r="J922">
        <v>0</v>
      </c>
      <c r="K922">
        <v>38.1</v>
      </c>
      <c r="L922">
        <v>0</v>
      </c>
      <c r="M922">
        <v>19.22</v>
      </c>
      <c r="N922">
        <v>2</v>
      </c>
      <c r="O922">
        <v>0</v>
      </c>
      <c r="P922">
        <v>4422</v>
      </c>
      <c r="Q922">
        <v>832</v>
      </c>
      <c r="R922">
        <v>0</v>
      </c>
      <c r="S922">
        <v>2064</v>
      </c>
      <c r="T922">
        <v>0</v>
      </c>
      <c r="U922">
        <v>1526</v>
      </c>
      <c r="V922" s="1">
        <f t="shared" si="42"/>
        <v>0.29289999999999999</v>
      </c>
      <c r="W922" s="1">
        <f t="shared" si="43"/>
        <v>8.3999999999999995E-3</v>
      </c>
      <c r="X922" s="1">
        <f t="shared" si="44"/>
        <v>0</v>
      </c>
    </row>
    <row r="923" spans="1:24" x14ac:dyDescent="0.25">
      <c r="A923">
        <v>2018</v>
      </c>
      <c r="B923">
        <v>8</v>
      </c>
      <c r="C923" t="s">
        <v>47</v>
      </c>
      <c r="D923" t="str">
        <f>_xlfn.XLOOKUP(C923,'Carrier Name Rename'!A:A,'Carrier Name Rename'!B:B)</f>
        <v>Compass Airlines</v>
      </c>
      <c r="E923" t="s">
        <v>23</v>
      </c>
      <c r="F923" t="s">
        <v>24</v>
      </c>
      <c r="G923">
        <v>1226</v>
      </c>
      <c r="H923">
        <v>505</v>
      </c>
      <c r="I923">
        <v>56.37</v>
      </c>
      <c r="J923">
        <v>8.59</v>
      </c>
      <c r="K923">
        <v>222.92</v>
      </c>
      <c r="L923">
        <v>0</v>
      </c>
      <c r="M923">
        <v>217.11</v>
      </c>
      <c r="N923">
        <v>0</v>
      </c>
      <c r="O923">
        <v>6</v>
      </c>
      <c r="P923">
        <v>37596</v>
      </c>
      <c r="Q923">
        <v>7044</v>
      </c>
      <c r="R923">
        <v>539</v>
      </c>
      <c r="S923">
        <v>12592</v>
      </c>
      <c r="T923">
        <v>0</v>
      </c>
      <c r="U923">
        <v>17421</v>
      </c>
      <c r="V923" s="1">
        <f t="shared" si="42"/>
        <v>0.41189999999999999</v>
      </c>
      <c r="W923" s="1">
        <f t="shared" si="43"/>
        <v>0</v>
      </c>
      <c r="X923" s="1">
        <f t="shared" si="44"/>
        <v>4.8999999999999998E-3</v>
      </c>
    </row>
    <row r="924" spans="1:24" x14ac:dyDescent="0.25">
      <c r="A924">
        <v>2018</v>
      </c>
      <c r="B924">
        <v>8</v>
      </c>
      <c r="C924" t="s">
        <v>37</v>
      </c>
      <c r="D924" t="str">
        <f>_xlfn.XLOOKUP(C924,'Carrier Name Rename'!A:A,'Carrier Name Rename'!B:B)</f>
        <v>Delta Air Lines Inc.</v>
      </c>
      <c r="E924" t="s">
        <v>23</v>
      </c>
      <c r="F924" t="s">
        <v>24</v>
      </c>
      <c r="G924">
        <v>2914</v>
      </c>
      <c r="H924">
        <v>646</v>
      </c>
      <c r="I924">
        <v>124.03</v>
      </c>
      <c r="J924">
        <v>15.45</v>
      </c>
      <c r="K924">
        <v>305.87</v>
      </c>
      <c r="L924">
        <v>0</v>
      </c>
      <c r="M924">
        <v>200.65</v>
      </c>
      <c r="N924">
        <v>4</v>
      </c>
      <c r="O924">
        <v>7</v>
      </c>
      <c r="P924">
        <v>37429</v>
      </c>
      <c r="Q924">
        <v>9762</v>
      </c>
      <c r="R924">
        <v>1088</v>
      </c>
      <c r="S924">
        <v>13097</v>
      </c>
      <c r="T924">
        <v>0</v>
      </c>
      <c r="U924">
        <v>13482</v>
      </c>
      <c r="V924" s="1">
        <f t="shared" si="42"/>
        <v>0.22170000000000001</v>
      </c>
      <c r="W924" s="1">
        <f t="shared" si="43"/>
        <v>1.4E-3</v>
      </c>
      <c r="X924" s="1">
        <f t="shared" si="44"/>
        <v>2.3999999999999998E-3</v>
      </c>
    </row>
    <row r="925" spans="1:24" x14ac:dyDescent="0.25">
      <c r="A925">
        <v>2018</v>
      </c>
      <c r="B925">
        <v>8</v>
      </c>
      <c r="C925" t="s">
        <v>39</v>
      </c>
      <c r="D925" t="str">
        <f>_xlfn.XLOOKUP(C925,'Carrier Name Rename'!A:A,'Carrier Name Rename'!B:B)</f>
        <v>Frontier Airlines Inc.</v>
      </c>
      <c r="E925" t="s">
        <v>23</v>
      </c>
      <c r="F925" t="s">
        <v>24</v>
      </c>
      <c r="G925">
        <v>76</v>
      </c>
      <c r="H925">
        <v>40</v>
      </c>
      <c r="I925">
        <v>19.3</v>
      </c>
      <c r="J925">
        <v>0</v>
      </c>
      <c r="K925">
        <v>11.89</v>
      </c>
      <c r="L925">
        <v>0</v>
      </c>
      <c r="M925">
        <v>8.81</v>
      </c>
      <c r="N925">
        <v>0</v>
      </c>
      <c r="O925">
        <v>0</v>
      </c>
      <c r="P925">
        <v>2312</v>
      </c>
      <c r="Q925">
        <v>1017</v>
      </c>
      <c r="R925">
        <v>0</v>
      </c>
      <c r="S925">
        <v>711</v>
      </c>
      <c r="T925">
        <v>0</v>
      </c>
      <c r="U925">
        <v>584</v>
      </c>
      <c r="V925" s="1">
        <f t="shared" si="42"/>
        <v>0.52629999999999999</v>
      </c>
      <c r="W925" s="1">
        <f t="shared" si="43"/>
        <v>0</v>
      </c>
      <c r="X925" s="1">
        <f t="shared" si="44"/>
        <v>0</v>
      </c>
    </row>
    <row r="926" spans="1:24" x14ac:dyDescent="0.25">
      <c r="A926">
        <v>2018</v>
      </c>
      <c r="B926">
        <v>8</v>
      </c>
      <c r="C926" t="s">
        <v>25</v>
      </c>
      <c r="D926" t="str">
        <f>_xlfn.XLOOKUP(C926,'Carrier Name Rename'!A:A,'Carrier Name Rename'!B:B)</f>
        <v>Spirit Airlines</v>
      </c>
      <c r="E926" t="s">
        <v>23</v>
      </c>
      <c r="F926" t="s">
        <v>24</v>
      </c>
      <c r="G926">
        <v>310</v>
      </c>
      <c r="H926">
        <v>96</v>
      </c>
      <c r="I926">
        <v>15.61</v>
      </c>
      <c r="J926">
        <v>4.32</v>
      </c>
      <c r="K926">
        <v>54.2</v>
      </c>
      <c r="L926">
        <v>0</v>
      </c>
      <c r="M926">
        <v>21.86</v>
      </c>
      <c r="N926">
        <v>0</v>
      </c>
      <c r="O926">
        <v>1</v>
      </c>
      <c r="P926">
        <v>7000</v>
      </c>
      <c r="Q926">
        <v>1064</v>
      </c>
      <c r="R926">
        <v>218</v>
      </c>
      <c r="S926">
        <v>3182</v>
      </c>
      <c r="T926">
        <v>0</v>
      </c>
      <c r="U926">
        <v>2536</v>
      </c>
      <c r="V926" s="1">
        <f t="shared" si="42"/>
        <v>0.30969999999999998</v>
      </c>
      <c r="W926" s="1">
        <f t="shared" si="43"/>
        <v>0</v>
      </c>
      <c r="X926" s="1">
        <f t="shared" si="44"/>
        <v>3.2000000000000002E-3</v>
      </c>
    </row>
    <row r="927" spans="1:24" x14ac:dyDescent="0.25">
      <c r="A927">
        <v>2018</v>
      </c>
      <c r="B927">
        <v>8</v>
      </c>
      <c r="C927" t="s">
        <v>27</v>
      </c>
      <c r="D927" t="str">
        <f>_xlfn.XLOOKUP(C927,'Carrier Name Rename'!A:A,'Carrier Name Rename'!B:B)</f>
        <v>SkyWest Airlines Inc.</v>
      </c>
      <c r="E927" t="s">
        <v>23</v>
      </c>
      <c r="F927" t="s">
        <v>24</v>
      </c>
      <c r="G927">
        <v>1009</v>
      </c>
      <c r="H927">
        <v>343</v>
      </c>
      <c r="I927">
        <v>33.29</v>
      </c>
      <c r="J927">
        <v>29.2</v>
      </c>
      <c r="K927">
        <v>164.7</v>
      </c>
      <c r="L927">
        <v>1.21</v>
      </c>
      <c r="M927">
        <v>114.6</v>
      </c>
      <c r="N927">
        <v>8</v>
      </c>
      <c r="O927">
        <v>1</v>
      </c>
      <c r="P927">
        <v>23433</v>
      </c>
      <c r="Q927">
        <v>3946</v>
      </c>
      <c r="R927">
        <v>2306</v>
      </c>
      <c r="S927">
        <v>8441</v>
      </c>
      <c r="T927">
        <v>32</v>
      </c>
      <c r="U927">
        <v>8708</v>
      </c>
      <c r="V927" s="1">
        <f t="shared" si="42"/>
        <v>0.33989999999999998</v>
      </c>
      <c r="W927" s="1">
        <f t="shared" si="43"/>
        <v>7.9000000000000008E-3</v>
      </c>
      <c r="X927" s="1">
        <f t="shared" si="44"/>
        <v>1E-3</v>
      </c>
    </row>
    <row r="928" spans="1:24" x14ac:dyDescent="0.25">
      <c r="A928">
        <v>2018</v>
      </c>
      <c r="B928">
        <v>8</v>
      </c>
      <c r="C928" t="s">
        <v>29</v>
      </c>
      <c r="D928" t="str">
        <f>_xlfn.XLOOKUP(C928,'Carrier Name Rename'!A:A,'Carrier Name Rename'!B:B)</f>
        <v>Horizon Air</v>
      </c>
      <c r="E928" t="s">
        <v>23</v>
      </c>
      <c r="F928" t="s">
        <v>24</v>
      </c>
      <c r="G928">
        <v>2879</v>
      </c>
      <c r="H928">
        <v>902</v>
      </c>
      <c r="I928">
        <v>68.44</v>
      </c>
      <c r="J928">
        <v>2.04</v>
      </c>
      <c r="K928">
        <v>524.95000000000005</v>
      </c>
      <c r="L928">
        <v>1</v>
      </c>
      <c r="M928">
        <v>305.57</v>
      </c>
      <c r="N928">
        <v>94</v>
      </c>
      <c r="O928">
        <v>9</v>
      </c>
      <c r="P928">
        <v>53355</v>
      </c>
      <c r="Q928">
        <v>4936</v>
      </c>
      <c r="R928">
        <v>266</v>
      </c>
      <c r="S928">
        <v>29161</v>
      </c>
      <c r="T928">
        <v>51</v>
      </c>
      <c r="U928">
        <v>18941</v>
      </c>
      <c r="V928" s="1">
        <f t="shared" si="42"/>
        <v>0.31330000000000002</v>
      </c>
      <c r="W928" s="1">
        <f t="shared" si="43"/>
        <v>3.27E-2</v>
      </c>
      <c r="X928" s="1">
        <f t="shared" si="44"/>
        <v>3.0999999999999999E-3</v>
      </c>
    </row>
    <row r="929" spans="1:24" x14ac:dyDescent="0.25">
      <c r="A929">
        <v>2018</v>
      </c>
      <c r="B929">
        <v>8</v>
      </c>
      <c r="C929" t="s">
        <v>41</v>
      </c>
      <c r="D929" t="str">
        <f>_xlfn.XLOOKUP(C929,'Carrier Name Rename'!A:A,'Carrier Name Rename'!B:B)</f>
        <v>United Air Lines Inc.</v>
      </c>
      <c r="E929" t="s">
        <v>23</v>
      </c>
      <c r="F929" t="s">
        <v>24</v>
      </c>
      <c r="G929">
        <v>1071</v>
      </c>
      <c r="H929">
        <v>403</v>
      </c>
      <c r="I929">
        <v>56.43</v>
      </c>
      <c r="J929">
        <v>16.739999999999998</v>
      </c>
      <c r="K929">
        <v>202.86</v>
      </c>
      <c r="L929">
        <v>0</v>
      </c>
      <c r="M929">
        <v>126.97</v>
      </c>
      <c r="N929">
        <v>7</v>
      </c>
      <c r="O929">
        <v>1</v>
      </c>
      <c r="P929">
        <v>27217</v>
      </c>
      <c r="Q929">
        <v>3806</v>
      </c>
      <c r="R929">
        <v>1708</v>
      </c>
      <c r="S929">
        <v>10685</v>
      </c>
      <c r="T929">
        <v>0</v>
      </c>
      <c r="U929">
        <v>11018</v>
      </c>
      <c r="V929" s="1">
        <f t="shared" si="42"/>
        <v>0.37630000000000002</v>
      </c>
      <c r="W929" s="1">
        <f t="shared" si="43"/>
        <v>6.4999999999999997E-3</v>
      </c>
      <c r="X929" s="1">
        <f t="shared" si="44"/>
        <v>8.9999999999999998E-4</v>
      </c>
    </row>
    <row r="930" spans="1:24" x14ac:dyDescent="0.25">
      <c r="A930">
        <v>2018</v>
      </c>
      <c r="B930">
        <v>8</v>
      </c>
      <c r="C930" t="s">
        <v>43</v>
      </c>
      <c r="D930" t="str">
        <f>_xlfn.XLOOKUP(C930,'Carrier Name Rename'!A:A,'Carrier Name Rename'!B:B)</f>
        <v>Southwest Airlines Co.</v>
      </c>
      <c r="E930" t="s">
        <v>23</v>
      </c>
      <c r="F930" t="s">
        <v>24</v>
      </c>
      <c r="G930">
        <v>1231</v>
      </c>
      <c r="H930">
        <v>433</v>
      </c>
      <c r="I930">
        <v>92.73</v>
      </c>
      <c r="J930">
        <v>5.84</v>
      </c>
      <c r="K930">
        <v>240.28</v>
      </c>
      <c r="L930">
        <v>0</v>
      </c>
      <c r="M930">
        <v>94.15</v>
      </c>
      <c r="N930">
        <v>7</v>
      </c>
      <c r="O930">
        <v>1</v>
      </c>
      <c r="P930">
        <v>23065</v>
      </c>
      <c r="Q930">
        <v>5672</v>
      </c>
      <c r="R930">
        <v>392</v>
      </c>
      <c r="S930">
        <v>11519</v>
      </c>
      <c r="T930">
        <v>0</v>
      </c>
      <c r="U930">
        <v>5482</v>
      </c>
      <c r="V930" s="1">
        <f t="shared" si="42"/>
        <v>0.35170000000000001</v>
      </c>
      <c r="W930" s="1">
        <f t="shared" si="43"/>
        <v>5.7000000000000002E-3</v>
      </c>
      <c r="X930" s="1">
        <f t="shared" si="44"/>
        <v>8.0000000000000004E-4</v>
      </c>
    </row>
    <row r="931" spans="1:24" x14ac:dyDescent="0.25">
      <c r="A931">
        <v>2018</v>
      </c>
      <c r="B931">
        <v>7</v>
      </c>
      <c r="C931" t="s">
        <v>31</v>
      </c>
      <c r="D931" t="str">
        <f>_xlfn.XLOOKUP(C931,'Carrier Name Rename'!A:A,'Carrier Name Rename'!B:B)</f>
        <v>American Airlines Inc.</v>
      </c>
      <c r="E931" t="s">
        <v>23</v>
      </c>
      <c r="F931" t="s">
        <v>24</v>
      </c>
      <c r="G931">
        <v>930</v>
      </c>
      <c r="H931">
        <v>335</v>
      </c>
      <c r="I931">
        <v>113.42</v>
      </c>
      <c r="J931">
        <v>12.64</v>
      </c>
      <c r="K931">
        <v>98.65</v>
      </c>
      <c r="L931">
        <v>0</v>
      </c>
      <c r="M931">
        <v>110.28</v>
      </c>
      <c r="N931">
        <v>15</v>
      </c>
      <c r="O931">
        <v>2</v>
      </c>
      <c r="P931">
        <v>19214</v>
      </c>
      <c r="Q931">
        <v>6586</v>
      </c>
      <c r="R931">
        <v>1028</v>
      </c>
      <c r="S931">
        <v>4036</v>
      </c>
      <c r="T931">
        <v>0</v>
      </c>
      <c r="U931">
        <v>7564</v>
      </c>
      <c r="V931" s="1">
        <f t="shared" si="42"/>
        <v>0.36020000000000002</v>
      </c>
      <c r="W931" s="1">
        <f t="shared" si="43"/>
        <v>1.61E-2</v>
      </c>
      <c r="X931" s="1">
        <f t="shared" si="44"/>
        <v>2.2000000000000001E-3</v>
      </c>
    </row>
    <row r="932" spans="1:24" x14ac:dyDescent="0.25">
      <c r="A932">
        <v>2018</v>
      </c>
      <c r="B932">
        <v>7</v>
      </c>
      <c r="C932" t="s">
        <v>33</v>
      </c>
      <c r="D932" t="str">
        <f>_xlfn.XLOOKUP(C932,'Carrier Name Rename'!A:A,'Carrier Name Rename'!B:B)</f>
        <v>Alaska Airlines Inc.</v>
      </c>
      <c r="E932" t="s">
        <v>23</v>
      </c>
      <c r="F932" t="s">
        <v>24</v>
      </c>
      <c r="G932">
        <v>6113</v>
      </c>
      <c r="H932">
        <v>793</v>
      </c>
      <c r="I932">
        <v>185.01</v>
      </c>
      <c r="J932">
        <v>16.52</v>
      </c>
      <c r="K932">
        <v>332.3</v>
      </c>
      <c r="L932">
        <v>4.51</v>
      </c>
      <c r="M932">
        <v>254.66</v>
      </c>
      <c r="N932">
        <v>36</v>
      </c>
      <c r="O932">
        <v>6</v>
      </c>
      <c r="P932">
        <v>38606</v>
      </c>
      <c r="Q932">
        <v>11150</v>
      </c>
      <c r="R932">
        <v>1148</v>
      </c>
      <c r="S932">
        <v>10895</v>
      </c>
      <c r="T932">
        <v>204</v>
      </c>
      <c r="U932">
        <v>15209</v>
      </c>
      <c r="V932" s="1">
        <f t="shared" si="42"/>
        <v>0.12970000000000001</v>
      </c>
      <c r="W932" s="1">
        <f t="shared" si="43"/>
        <v>5.8999999999999999E-3</v>
      </c>
      <c r="X932" s="1">
        <f t="shared" si="44"/>
        <v>1E-3</v>
      </c>
    </row>
    <row r="933" spans="1:24" x14ac:dyDescent="0.25">
      <c r="A933">
        <v>2018</v>
      </c>
      <c r="B933">
        <v>7</v>
      </c>
      <c r="C933" t="s">
        <v>35</v>
      </c>
      <c r="D933" t="str">
        <f>_xlfn.XLOOKUP(C933,'Carrier Name Rename'!A:A,'Carrier Name Rename'!B:B)</f>
        <v>JetBlue Airways</v>
      </c>
      <c r="E933" t="s">
        <v>23</v>
      </c>
      <c r="F933" t="s">
        <v>24</v>
      </c>
      <c r="G933">
        <v>240</v>
      </c>
      <c r="H933">
        <v>58</v>
      </c>
      <c r="I933">
        <v>18.37</v>
      </c>
      <c r="J933">
        <v>1</v>
      </c>
      <c r="K933">
        <v>21.48</v>
      </c>
      <c r="L933">
        <v>0.11</v>
      </c>
      <c r="M933">
        <v>17.04</v>
      </c>
      <c r="N933">
        <v>0</v>
      </c>
      <c r="O933">
        <v>0</v>
      </c>
      <c r="P933">
        <v>3778</v>
      </c>
      <c r="Q933">
        <v>1636</v>
      </c>
      <c r="R933">
        <v>281</v>
      </c>
      <c r="S933">
        <v>685</v>
      </c>
      <c r="T933">
        <v>6</v>
      </c>
      <c r="U933">
        <v>1170</v>
      </c>
      <c r="V933" s="1">
        <f t="shared" si="42"/>
        <v>0.2417</v>
      </c>
      <c r="W933" s="1">
        <f t="shared" si="43"/>
        <v>0</v>
      </c>
      <c r="X933" s="1">
        <f t="shared" si="44"/>
        <v>0</v>
      </c>
    </row>
    <row r="934" spans="1:24" x14ac:dyDescent="0.25">
      <c r="A934">
        <v>2018</v>
      </c>
      <c r="B934">
        <v>7</v>
      </c>
      <c r="C934" t="s">
        <v>47</v>
      </c>
      <c r="D934" t="str">
        <f>_xlfn.XLOOKUP(C934,'Carrier Name Rename'!A:A,'Carrier Name Rename'!B:B)</f>
        <v>Compass Airlines</v>
      </c>
      <c r="E934" t="s">
        <v>23</v>
      </c>
      <c r="F934" t="s">
        <v>24</v>
      </c>
      <c r="G934">
        <v>1217</v>
      </c>
      <c r="H934">
        <v>235</v>
      </c>
      <c r="I934">
        <v>61.28</v>
      </c>
      <c r="J934">
        <v>1.38</v>
      </c>
      <c r="K934">
        <v>77.52</v>
      </c>
      <c r="L934">
        <v>0</v>
      </c>
      <c r="M934">
        <v>94.82</v>
      </c>
      <c r="N934">
        <v>2</v>
      </c>
      <c r="O934">
        <v>0</v>
      </c>
      <c r="P934">
        <v>16773</v>
      </c>
      <c r="Q934">
        <v>8521</v>
      </c>
      <c r="R934">
        <v>39</v>
      </c>
      <c r="S934">
        <v>2400</v>
      </c>
      <c r="T934">
        <v>0</v>
      </c>
      <c r="U934">
        <v>5813</v>
      </c>
      <c r="V934" s="1">
        <f t="shared" si="42"/>
        <v>0.19309999999999999</v>
      </c>
      <c r="W934" s="1">
        <f t="shared" si="43"/>
        <v>1.6000000000000001E-3</v>
      </c>
      <c r="X934" s="1">
        <f t="shared" si="44"/>
        <v>0</v>
      </c>
    </row>
    <row r="935" spans="1:24" x14ac:dyDescent="0.25">
      <c r="A935">
        <v>2018</v>
      </c>
      <c r="B935">
        <v>7</v>
      </c>
      <c r="C935" t="s">
        <v>37</v>
      </c>
      <c r="D935" t="str">
        <f>_xlfn.XLOOKUP(C935,'Carrier Name Rename'!A:A,'Carrier Name Rename'!B:B)</f>
        <v>Delta Air Lines Inc.</v>
      </c>
      <c r="E935" t="s">
        <v>23</v>
      </c>
      <c r="F935" t="s">
        <v>24</v>
      </c>
      <c r="G935">
        <v>2877</v>
      </c>
      <c r="H935">
        <v>366</v>
      </c>
      <c r="I935">
        <v>139.49</v>
      </c>
      <c r="J935">
        <v>16.14</v>
      </c>
      <c r="K935">
        <v>120.98</v>
      </c>
      <c r="L935">
        <v>0</v>
      </c>
      <c r="M935">
        <v>89.4</v>
      </c>
      <c r="N935">
        <v>2</v>
      </c>
      <c r="O935">
        <v>0</v>
      </c>
      <c r="P935">
        <v>23094</v>
      </c>
      <c r="Q935">
        <v>11850</v>
      </c>
      <c r="R935">
        <v>1276</v>
      </c>
      <c r="S935">
        <v>4309</v>
      </c>
      <c r="T935">
        <v>0</v>
      </c>
      <c r="U935">
        <v>5659</v>
      </c>
      <c r="V935" s="1">
        <f t="shared" si="42"/>
        <v>0.12720000000000001</v>
      </c>
      <c r="W935" s="1">
        <f t="shared" si="43"/>
        <v>6.9999999999999999E-4</v>
      </c>
      <c r="X935" s="1">
        <f t="shared" si="44"/>
        <v>0</v>
      </c>
    </row>
    <row r="936" spans="1:24" x14ac:dyDescent="0.25">
      <c r="A936">
        <v>2018</v>
      </c>
      <c r="B936">
        <v>7</v>
      </c>
      <c r="C936" t="s">
        <v>39</v>
      </c>
      <c r="D936" t="str">
        <f>_xlfn.XLOOKUP(C936,'Carrier Name Rename'!A:A,'Carrier Name Rename'!B:B)</f>
        <v>Frontier Airlines Inc.</v>
      </c>
      <c r="E936" t="s">
        <v>23</v>
      </c>
      <c r="F936" t="s">
        <v>24</v>
      </c>
      <c r="G936">
        <v>96</v>
      </c>
      <c r="H936">
        <v>48</v>
      </c>
      <c r="I936">
        <v>15.72</v>
      </c>
      <c r="J936">
        <v>1.71</v>
      </c>
      <c r="K936">
        <v>15.07</v>
      </c>
      <c r="L936">
        <v>0</v>
      </c>
      <c r="M936">
        <v>15.49</v>
      </c>
      <c r="N936">
        <v>1</v>
      </c>
      <c r="O936">
        <v>0</v>
      </c>
      <c r="P936">
        <v>2883</v>
      </c>
      <c r="Q936">
        <v>616</v>
      </c>
      <c r="R936">
        <v>84</v>
      </c>
      <c r="S936">
        <v>782</v>
      </c>
      <c r="T936">
        <v>0</v>
      </c>
      <c r="U936">
        <v>1401</v>
      </c>
      <c r="V936" s="1">
        <f t="shared" si="42"/>
        <v>0.5</v>
      </c>
      <c r="W936" s="1">
        <f t="shared" si="43"/>
        <v>1.04E-2</v>
      </c>
      <c r="X936" s="1">
        <f t="shared" si="44"/>
        <v>0</v>
      </c>
    </row>
    <row r="937" spans="1:24" x14ac:dyDescent="0.25">
      <c r="A937">
        <v>2018</v>
      </c>
      <c r="B937">
        <v>7</v>
      </c>
      <c r="C937" t="s">
        <v>21</v>
      </c>
      <c r="D937" t="str">
        <f>_xlfn.XLOOKUP(C937,'Carrier Name Rename'!A:A,'Carrier Name Rename'!B:B)</f>
        <v>Hawaiian Airlines Inc.</v>
      </c>
      <c r="E937" t="s">
        <v>23</v>
      </c>
      <c r="F937" t="s">
        <v>24</v>
      </c>
      <c r="G937">
        <v>62</v>
      </c>
      <c r="H937">
        <v>9</v>
      </c>
      <c r="I937">
        <v>4.6900000000000004</v>
      </c>
      <c r="J937">
        <v>0</v>
      </c>
      <c r="K937">
        <v>0</v>
      </c>
      <c r="L937">
        <v>0</v>
      </c>
      <c r="M937">
        <v>4.3099999999999996</v>
      </c>
      <c r="N937">
        <v>0</v>
      </c>
      <c r="O937">
        <v>0</v>
      </c>
      <c r="P937">
        <v>321</v>
      </c>
      <c r="Q937">
        <v>185</v>
      </c>
      <c r="R937">
        <v>0</v>
      </c>
      <c r="S937">
        <v>0</v>
      </c>
      <c r="T937">
        <v>0</v>
      </c>
      <c r="U937">
        <v>136</v>
      </c>
      <c r="V937" s="1">
        <f t="shared" si="42"/>
        <v>0.1452</v>
      </c>
      <c r="W937" s="1">
        <f t="shared" si="43"/>
        <v>0</v>
      </c>
      <c r="X937" s="1">
        <f t="shared" si="44"/>
        <v>0</v>
      </c>
    </row>
    <row r="938" spans="1:24" x14ac:dyDescent="0.25">
      <c r="A938">
        <v>2018</v>
      </c>
      <c r="B938">
        <v>7</v>
      </c>
      <c r="C938" t="s">
        <v>25</v>
      </c>
      <c r="D938" t="str">
        <f>_xlfn.XLOOKUP(C938,'Carrier Name Rename'!A:A,'Carrier Name Rename'!B:B)</f>
        <v>Spirit Airlines</v>
      </c>
      <c r="E938" t="s">
        <v>23</v>
      </c>
      <c r="F938" t="s">
        <v>24</v>
      </c>
      <c r="G938">
        <v>310</v>
      </c>
      <c r="H938">
        <v>77</v>
      </c>
      <c r="I938">
        <v>20.78</v>
      </c>
      <c r="J938">
        <v>3.18</v>
      </c>
      <c r="K938">
        <v>32.94</v>
      </c>
      <c r="L938">
        <v>0</v>
      </c>
      <c r="M938">
        <v>20.09</v>
      </c>
      <c r="N938">
        <v>2</v>
      </c>
      <c r="O938">
        <v>0</v>
      </c>
      <c r="P938">
        <v>4907</v>
      </c>
      <c r="Q938">
        <v>1242</v>
      </c>
      <c r="R938">
        <v>269</v>
      </c>
      <c r="S938">
        <v>1948</v>
      </c>
      <c r="T938">
        <v>0</v>
      </c>
      <c r="U938">
        <v>1448</v>
      </c>
      <c r="V938" s="1">
        <f t="shared" si="42"/>
        <v>0.24840000000000001</v>
      </c>
      <c r="W938" s="1">
        <f t="shared" si="43"/>
        <v>6.4999999999999997E-3</v>
      </c>
      <c r="X938" s="1">
        <f t="shared" si="44"/>
        <v>0</v>
      </c>
    </row>
    <row r="939" spans="1:24" x14ac:dyDescent="0.25">
      <c r="A939">
        <v>2018</v>
      </c>
      <c r="B939">
        <v>7</v>
      </c>
      <c r="C939" t="s">
        <v>27</v>
      </c>
      <c r="D939" t="str">
        <f>_xlfn.XLOOKUP(C939,'Carrier Name Rename'!A:A,'Carrier Name Rename'!B:B)</f>
        <v>SkyWest Airlines Inc.</v>
      </c>
      <c r="E939" t="s">
        <v>23</v>
      </c>
      <c r="F939" t="s">
        <v>24</v>
      </c>
      <c r="G939">
        <v>904</v>
      </c>
      <c r="H939">
        <v>175</v>
      </c>
      <c r="I939">
        <v>26.47</v>
      </c>
      <c r="J939">
        <v>12.53</v>
      </c>
      <c r="K939">
        <v>83.93</v>
      </c>
      <c r="L939">
        <v>0</v>
      </c>
      <c r="M939">
        <v>52.07</v>
      </c>
      <c r="N939">
        <v>1</v>
      </c>
      <c r="O939">
        <v>1</v>
      </c>
      <c r="P939">
        <v>9874</v>
      </c>
      <c r="Q939">
        <v>4348</v>
      </c>
      <c r="R939">
        <v>425</v>
      </c>
      <c r="S939">
        <v>2730</v>
      </c>
      <c r="T939">
        <v>0</v>
      </c>
      <c r="U939">
        <v>2371</v>
      </c>
      <c r="V939" s="1">
        <f t="shared" si="42"/>
        <v>0.19359999999999999</v>
      </c>
      <c r="W939" s="1">
        <f t="shared" si="43"/>
        <v>1.1000000000000001E-3</v>
      </c>
      <c r="X939" s="1">
        <f t="shared" si="44"/>
        <v>1.1000000000000001E-3</v>
      </c>
    </row>
    <row r="940" spans="1:24" x14ac:dyDescent="0.25">
      <c r="A940">
        <v>2018</v>
      </c>
      <c r="B940">
        <v>7</v>
      </c>
      <c r="C940" t="s">
        <v>29</v>
      </c>
      <c r="D940" t="str">
        <f>_xlfn.XLOOKUP(C940,'Carrier Name Rename'!A:A,'Carrier Name Rename'!B:B)</f>
        <v>Horizon Air</v>
      </c>
      <c r="E940" t="s">
        <v>23</v>
      </c>
      <c r="F940" t="s">
        <v>24</v>
      </c>
      <c r="G940">
        <v>3011</v>
      </c>
      <c r="H940">
        <v>475</v>
      </c>
      <c r="I940">
        <v>59.55</v>
      </c>
      <c r="J940">
        <v>5.83</v>
      </c>
      <c r="K940">
        <v>264.52</v>
      </c>
      <c r="L940">
        <v>0.84</v>
      </c>
      <c r="M940">
        <v>144.26</v>
      </c>
      <c r="N940">
        <v>26</v>
      </c>
      <c r="O940">
        <v>2</v>
      </c>
      <c r="P940">
        <v>18464</v>
      </c>
      <c r="Q940">
        <v>3165</v>
      </c>
      <c r="R940">
        <v>323</v>
      </c>
      <c r="S940">
        <v>8920</v>
      </c>
      <c r="T940">
        <v>19</v>
      </c>
      <c r="U940">
        <v>6037</v>
      </c>
      <c r="V940" s="1">
        <f t="shared" si="42"/>
        <v>0.1578</v>
      </c>
      <c r="W940" s="1">
        <f t="shared" si="43"/>
        <v>8.6E-3</v>
      </c>
      <c r="X940" s="1">
        <f t="shared" si="44"/>
        <v>6.9999999999999999E-4</v>
      </c>
    </row>
    <row r="941" spans="1:24" x14ac:dyDescent="0.25">
      <c r="A941">
        <v>2018</v>
      </c>
      <c r="B941">
        <v>7</v>
      </c>
      <c r="C941" t="s">
        <v>41</v>
      </c>
      <c r="D941" t="str">
        <f>_xlfn.XLOOKUP(C941,'Carrier Name Rename'!A:A,'Carrier Name Rename'!B:B)</f>
        <v>United Air Lines Inc.</v>
      </c>
      <c r="E941" t="s">
        <v>23</v>
      </c>
      <c r="F941" t="s">
        <v>24</v>
      </c>
      <c r="G941">
        <v>975</v>
      </c>
      <c r="H941">
        <v>238</v>
      </c>
      <c r="I941">
        <v>54.41</v>
      </c>
      <c r="J941">
        <v>11.23</v>
      </c>
      <c r="K941">
        <v>73.489999999999995</v>
      </c>
      <c r="L941">
        <v>0</v>
      </c>
      <c r="M941">
        <v>98.88</v>
      </c>
      <c r="N941">
        <v>4</v>
      </c>
      <c r="O941">
        <v>3</v>
      </c>
      <c r="P941">
        <v>16184</v>
      </c>
      <c r="Q941">
        <v>3430</v>
      </c>
      <c r="R941">
        <v>1237</v>
      </c>
      <c r="S941">
        <v>2762</v>
      </c>
      <c r="T941">
        <v>0</v>
      </c>
      <c r="U941">
        <v>8755</v>
      </c>
      <c r="V941" s="1">
        <f t="shared" si="42"/>
        <v>0.24410000000000001</v>
      </c>
      <c r="W941" s="1">
        <f t="shared" si="43"/>
        <v>4.1000000000000003E-3</v>
      </c>
      <c r="X941" s="1">
        <f t="shared" si="44"/>
        <v>3.0999999999999999E-3</v>
      </c>
    </row>
    <row r="942" spans="1:24" x14ac:dyDescent="0.25">
      <c r="A942">
        <v>2018</v>
      </c>
      <c r="B942">
        <v>7</v>
      </c>
      <c r="C942" t="s">
        <v>43</v>
      </c>
      <c r="D942" t="str">
        <f>_xlfn.XLOOKUP(C942,'Carrier Name Rename'!A:A,'Carrier Name Rename'!B:B)</f>
        <v>Southwest Airlines Co.</v>
      </c>
      <c r="E942" t="s">
        <v>23</v>
      </c>
      <c r="F942" t="s">
        <v>24</v>
      </c>
      <c r="G942">
        <v>1281</v>
      </c>
      <c r="H942">
        <v>338</v>
      </c>
      <c r="I942">
        <v>140.94999999999999</v>
      </c>
      <c r="J942">
        <v>9.34</v>
      </c>
      <c r="K942">
        <v>72.83</v>
      </c>
      <c r="L942">
        <v>0.91</v>
      </c>
      <c r="M942">
        <v>113.98</v>
      </c>
      <c r="N942">
        <v>3</v>
      </c>
      <c r="O942">
        <v>1</v>
      </c>
      <c r="P942">
        <v>17972</v>
      </c>
      <c r="Q942">
        <v>7290</v>
      </c>
      <c r="R942">
        <v>569</v>
      </c>
      <c r="S942">
        <v>2817</v>
      </c>
      <c r="T942">
        <v>49</v>
      </c>
      <c r="U942">
        <v>7247</v>
      </c>
      <c r="V942" s="1">
        <f t="shared" si="42"/>
        <v>0.26390000000000002</v>
      </c>
      <c r="W942" s="1">
        <f t="shared" si="43"/>
        <v>2.3E-3</v>
      </c>
      <c r="X942" s="1">
        <f t="shared" si="44"/>
        <v>8.0000000000000004E-4</v>
      </c>
    </row>
    <row r="943" spans="1:24" x14ac:dyDescent="0.25">
      <c r="A943">
        <v>2018</v>
      </c>
      <c r="B943">
        <v>6</v>
      </c>
      <c r="C943" t="s">
        <v>31</v>
      </c>
      <c r="D943" t="str">
        <f>_xlfn.XLOOKUP(C943,'Carrier Name Rename'!A:A,'Carrier Name Rename'!B:B)</f>
        <v>American Airlines Inc.</v>
      </c>
      <c r="E943" t="s">
        <v>23</v>
      </c>
      <c r="F943" t="s">
        <v>24</v>
      </c>
      <c r="G943">
        <v>859</v>
      </c>
      <c r="H943">
        <v>265</v>
      </c>
      <c r="I943">
        <v>87.49</v>
      </c>
      <c r="J943">
        <v>10.18</v>
      </c>
      <c r="K943">
        <v>74.510000000000005</v>
      </c>
      <c r="L943">
        <v>0</v>
      </c>
      <c r="M943">
        <v>92.82</v>
      </c>
      <c r="N943">
        <v>6</v>
      </c>
      <c r="O943">
        <v>1</v>
      </c>
      <c r="P943">
        <v>15575</v>
      </c>
      <c r="Q943">
        <v>5864</v>
      </c>
      <c r="R943">
        <v>757</v>
      </c>
      <c r="S943">
        <v>2971</v>
      </c>
      <c r="T943">
        <v>0</v>
      </c>
      <c r="U943">
        <v>5983</v>
      </c>
      <c r="V943" s="1">
        <f t="shared" si="42"/>
        <v>0.3085</v>
      </c>
      <c r="W943" s="1">
        <f t="shared" si="43"/>
        <v>7.0000000000000001E-3</v>
      </c>
      <c r="X943" s="1">
        <f t="shared" si="44"/>
        <v>1.1999999999999999E-3</v>
      </c>
    </row>
    <row r="944" spans="1:24" x14ac:dyDescent="0.25">
      <c r="A944">
        <v>2018</v>
      </c>
      <c r="B944">
        <v>6</v>
      </c>
      <c r="C944" t="s">
        <v>33</v>
      </c>
      <c r="D944" t="str">
        <f>_xlfn.XLOOKUP(C944,'Carrier Name Rename'!A:A,'Carrier Name Rename'!B:B)</f>
        <v>Alaska Airlines Inc.</v>
      </c>
      <c r="E944" t="s">
        <v>23</v>
      </c>
      <c r="F944" t="s">
        <v>24</v>
      </c>
      <c r="G944">
        <v>5728</v>
      </c>
      <c r="H944">
        <v>818</v>
      </c>
      <c r="I944">
        <v>173.2</v>
      </c>
      <c r="J944">
        <v>13.29</v>
      </c>
      <c r="K944">
        <v>447.56</v>
      </c>
      <c r="L944">
        <v>3.9</v>
      </c>
      <c r="M944">
        <v>180.04</v>
      </c>
      <c r="N944">
        <v>26</v>
      </c>
      <c r="O944">
        <v>7</v>
      </c>
      <c r="P944">
        <v>34076</v>
      </c>
      <c r="Q944">
        <v>10154</v>
      </c>
      <c r="R944">
        <v>931</v>
      </c>
      <c r="S944">
        <v>13309</v>
      </c>
      <c r="T944">
        <v>155</v>
      </c>
      <c r="U944">
        <v>9527</v>
      </c>
      <c r="V944" s="1">
        <f t="shared" si="42"/>
        <v>0.14280000000000001</v>
      </c>
      <c r="W944" s="1">
        <f t="shared" si="43"/>
        <v>4.4999999999999997E-3</v>
      </c>
      <c r="X944" s="1">
        <f t="shared" si="44"/>
        <v>1.1999999999999999E-3</v>
      </c>
    </row>
    <row r="945" spans="1:24" x14ac:dyDescent="0.25">
      <c r="A945">
        <v>2018</v>
      </c>
      <c r="B945">
        <v>6</v>
      </c>
      <c r="C945" t="s">
        <v>35</v>
      </c>
      <c r="D945" t="str">
        <f>_xlfn.XLOOKUP(C945,'Carrier Name Rename'!A:A,'Carrier Name Rename'!B:B)</f>
        <v>JetBlue Airways</v>
      </c>
      <c r="E945" t="s">
        <v>23</v>
      </c>
      <c r="F945" t="s">
        <v>24</v>
      </c>
      <c r="G945">
        <v>226</v>
      </c>
      <c r="H945">
        <v>48</v>
      </c>
      <c r="I945">
        <v>13.9</v>
      </c>
      <c r="J945">
        <v>0</v>
      </c>
      <c r="K945">
        <v>24.02</v>
      </c>
      <c r="L945">
        <v>0</v>
      </c>
      <c r="M945">
        <v>10.08</v>
      </c>
      <c r="N945">
        <v>2</v>
      </c>
      <c r="O945">
        <v>1</v>
      </c>
      <c r="P945">
        <v>1878</v>
      </c>
      <c r="Q945">
        <v>666</v>
      </c>
      <c r="R945">
        <v>0</v>
      </c>
      <c r="S945">
        <v>685</v>
      </c>
      <c r="T945">
        <v>0</v>
      </c>
      <c r="U945">
        <v>527</v>
      </c>
      <c r="V945" s="1">
        <f t="shared" si="42"/>
        <v>0.21240000000000001</v>
      </c>
      <c r="W945" s="1">
        <f t="shared" si="43"/>
        <v>8.8000000000000005E-3</v>
      </c>
      <c r="X945" s="1">
        <f t="shared" si="44"/>
        <v>4.4000000000000003E-3</v>
      </c>
    </row>
    <row r="946" spans="1:24" x14ac:dyDescent="0.25">
      <c r="A946">
        <v>2018</v>
      </c>
      <c r="B946">
        <v>6</v>
      </c>
      <c r="C946" t="s">
        <v>47</v>
      </c>
      <c r="D946" t="str">
        <f>_xlfn.XLOOKUP(C946,'Carrier Name Rename'!A:A,'Carrier Name Rename'!B:B)</f>
        <v>Compass Airlines</v>
      </c>
      <c r="E946" t="s">
        <v>23</v>
      </c>
      <c r="F946" t="s">
        <v>24</v>
      </c>
      <c r="G946">
        <v>1300</v>
      </c>
      <c r="H946">
        <v>356</v>
      </c>
      <c r="I946">
        <v>77.08</v>
      </c>
      <c r="J946">
        <v>2.0699999999999998</v>
      </c>
      <c r="K946">
        <v>125.46</v>
      </c>
      <c r="L946">
        <v>0</v>
      </c>
      <c r="M946">
        <v>151.38999999999999</v>
      </c>
      <c r="N946">
        <v>4</v>
      </c>
      <c r="O946">
        <v>0</v>
      </c>
      <c r="P946">
        <v>24336</v>
      </c>
      <c r="Q946">
        <v>9324</v>
      </c>
      <c r="R946">
        <v>104</v>
      </c>
      <c r="S946">
        <v>4544</v>
      </c>
      <c r="T946">
        <v>0</v>
      </c>
      <c r="U946">
        <v>10364</v>
      </c>
      <c r="V946" s="1">
        <f t="shared" si="42"/>
        <v>0.27379999999999999</v>
      </c>
      <c r="W946" s="1">
        <f t="shared" si="43"/>
        <v>3.0999999999999999E-3</v>
      </c>
      <c r="X946" s="1">
        <f t="shared" si="44"/>
        <v>0</v>
      </c>
    </row>
    <row r="947" spans="1:24" x14ac:dyDescent="0.25">
      <c r="A947">
        <v>2018</v>
      </c>
      <c r="B947">
        <v>6</v>
      </c>
      <c r="C947" t="s">
        <v>37</v>
      </c>
      <c r="D947" t="str">
        <f>_xlfn.XLOOKUP(C947,'Carrier Name Rename'!A:A,'Carrier Name Rename'!B:B)</f>
        <v>Delta Air Lines Inc.</v>
      </c>
      <c r="E947" t="s">
        <v>23</v>
      </c>
      <c r="F947" t="s">
        <v>24</v>
      </c>
      <c r="G947">
        <v>2567</v>
      </c>
      <c r="H947">
        <v>358</v>
      </c>
      <c r="I947">
        <v>133.75</v>
      </c>
      <c r="J947">
        <v>12.82</v>
      </c>
      <c r="K947">
        <v>125.08</v>
      </c>
      <c r="L947">
        <v>0</v>
      </c>
      <c r="M947">
        <v>86.36</v>
      </c>
      <c r="N947">
        <v>1</v>
      </c>
      <c r="O947">
        <v>0</v>
      </c>
      <c r="P947">
        <v>23061</v>
      </c>
      <c r="Q947">
        <v>10365</v>
      </c>
      <c r="R947">
        <v>2169</v>
      </c>
      <c r="S947">
        <v>4285</v>
      </c>
      <c r="T947">
        <v>0</v>
      </c>
      <c r="U947">
        <v>6242</v>
      </c>
      <c r="V947" s="1">
        <f t="shared" si="42"/>
        <v>0.13950000000000001</v>
      </c>
      <c r="W947" s="1">
        <f t="shared" si="43"/>
        <v>4.0000000000000002E-4</v>
      </c>
      <c r="X947" s="1">
        <f t="shared" si="44"/>
        <v>0</v>
      </c>
    </row>
    <row r="948" spans="1:24" x14ac:dyDescent="0.25">
      <c r="A948">
        <v>2018</v>
      </c>
      <c r="B948">
        <v>6</v>
      </c>
      <c r="C948" t="s">
        <v>39</v>
      </c>
      <c r="D948" t="str">
        <f>_xlfn.XLOOKUP(C948,'Carrier Name Rename'!A:A,'Carrier Name Rename'!B:B)</f>
        <v>Frontier Airlines Inc.</v>
      </c>
      <c r="E948" t="s">
        <v>23</v>
      </c>
      <c r="F948" t="s">
        <v>24</v>
      </c>
      <c r="G948">
        <v>96</v>
      </c>
      <c r="H948">
        <v>50</v>
      </c>
      <c r="I948">
        <v>21.79</v>
      </c>
      <c r="J948">
        <v>0</v>
      </c>
      <c r="K948">
        <v>14.62</v>
      </c>
      <c r="L948">
        <v>0</v>
      </c>
      <c r="M948">
        <v>13.59</v>
      </c>
      <c r="N948">
        <v>3</v>
      </c>
      <c r="O948">
        <v>0</v>
      </c>
      <c r="P948">
        <v>3231</v>
      </c>
      <c r="Q948">
        <v>1146</v>
      </c>
      <c r="R948">
        <v>0</v>
      </c>
      <c r="S948">
        <v>557</v>
      </c>
      <c r="T948">
        <v>0</v>
      </c>
      <c r="U948">
        <v>1528</v>
      </c>
      <c r="V948" s="1">
        <f t="shared" si="42"/>
        <v>0.52080000000000004</v>
      </c>
      <c r="W948" s="1">
        <f t="shared" si="43"/>
        <v>3.1300000000000001E-2</v>
      </c>
      <c r="X948" s="1">
        <f t="shared" si="44"/>
        <v>0</v>
      </c>
    </row>
    <row r="949" spans="1:24" x14ac:dyDescent="0.25">
      <c r="A949">
        <v>2018</v>
      </c>
      <c r="B949">
        <v>6</v>
      </c>
      <c r="C949" t="s">
        <v>21</v>
      </c>
      <c r="D949" t="str">
        <f>_xlfn.XLOOKUP(C949,'Carrier Name Rename'!A:A,'Carrier Name Rename'!B:B)</f>
        <v>Hawaiian Airlines Inc.</v>
      </c>
      <c r="E949" t="s">
        <v>23</v>
      </c>
      <c r="F949" t="s">
        <v>24</v>
      </c>
      <c r="G949">
        <v>60</v>
      </c>
      <c r="H949">
        <v>17</v>
      </c>
      <c r="I949">
        <v>15.36</v>
      </c>
      <c r="J949">
        <v>0</v>
      </c>
      <c r="K949">
        <v>0</v>
      </c>
      <c r="L949">
        <v>0</v>
      </c>
      <c r="M949">
        <v>1.64</v>
      </c>
      <c r="N949">
        <v>0</v>
      </c>
      <c r="O949">
        <v>1</v>
      </c>
      <c r="P949">
        <v>565</v>
      </c>
      <c r="Q949">
        <v>537</v>
      </c>
      <c r="R949">
        <v>0</v>
      </c>
      <c r="S949">
        <v>0</v>
      </c>
      <c r="T949">
        <v>0</v>
      </c>
      <c r="U949">
        <v>28</v>
      </c>
      <c r="V949" s="1">
        <f t="shared" si="42"/>
        <v>0.2833</v>
      </c>
      <c r="W949" s="1">
        <f t="shared" si="43"/>
        <v>0</v>
      </c>
      <c r="X949" s="1">
        <f t="shared" si="44"/>
        <v>1.67E-2</v>
      </c>
    </row>
    <row r="950" spans="1:24" x14ac:dyDescent="0.25">
      <c r="A950">
        <v>2018</v>
      </c>
      <c r="B950">
        <v>6</v>
      </c>
      <c r="C950" t="s">
        <v>25</v>
      </c>
      <c r="D950" t="str">
        <f>_xlfn.XLOOKUP(C950,'Carrier Name Rename'!A:A,'Carrier Name Rename'!B:B)</f>
        <v>Spirit Airlines</v>
      </c>
      <c r="E950" t="s">
        <v>23</v>
      </c>
      <c r="F950" t="s">
        <v>24</v>
      </c>
      <c r="G950">
        <v>300</v>
      </c>
      <c r="H950">
        <v>66</v>
      </c>
      <c r="I950">
        <v>9.8000000000000007</v>
      </c>
      <c r="J950">
        <v>0</v>
      </c>
      <c r="K950">
        <v>49.15</v>
      </c>
      <c r="L950">
        <v>0</v>
      </c>
      <c r="M950">
        <v>7.05</v>
      </c>
      <c r="N950">
        <v>1</v>
      </c>
      <c r="O950">
        <v>0</v>
      </c>
      <c r="P950">
        <v>3328</v>
      </c>
      <c r="Q950">
        <v>463</v>
      </c>
      <c r="R950">
        <v>0</v>
      </c>
      <c r="S950">
        <v>2202</v>
      </c>
      <c r="T950">
        <v>0</v>
      </c>
      <c r="U950">
        <v>663</v>
      </c>
      <c r="V950" s="1">
        <f t="shared" si="42"/>
        <v>0.22</v>
      </c>
      <c r="W950" s="1">
        <f t="shared" si="43"/>
        <v>3.3E-3</v>
      </c>
      <c r="X950" s="1">
        <f t="shared" si="44"/>
        <v>0</v>
      </c>
    </row>
    <row r="951" spans="1:24" x14ac:dyDescent="0.25">
      <c r="A951">
        <v>2018</v>
      </c>
      <c r="B951">
        <v>6</v>
      </c>
      <c r="C951" t="s">
        <v>27</v>
      </c>
      <c r="D951" t="str">
        <f>_xlfn.XLOOKUP(C951,'Carrier Name Rename'!A:A,'Carrier Name Rename'!B:B)</f>
        <v>SkyWest Airlines Inc.</v>
      </c>
      <c r="E951" t="s">
        <v>23</v>
      </c>
      <c r="F951" t="s">
        <v>24</v>
      </c>
      <c r="G951">
        <v>867</v>
      </c>
      <c r="H951">
        <v>145</v>
      </c>
      <c r="I951">
        <v>18.68</v>
      </c>
      <c r="J951">
        <v>6.96</v>
      </c>
      <c r="K951">
        <v>83.68</v>
      </c>
      <c r="L951">
        <v>0</v>
      </c>
      <c r="M951">
        <v>35.69</v>
      </c>
      <c r="N951">
        <v>2</v>
      </c>
      <c r="O951">
        <v>1</v>
      </c>
      <c r="P951">
        <v>8670</v>
      </c>
      <c r="Q951">
        <v>2238</v>
      </c>
      <c r="R951">
        <v>946</v>
      </c>
      <c r="S951">
        <v>3199</v>
      </c>
      <c r="T951">
        <v>0</v>
      </c>
      <c r="U951">
        <v>2287</v>
      </c>
      <c r="V951" s="1">
        <f t="shared" si="42"/>
        <v>0.16719999999999999</v>
      </c>
      <c r="W951" s="1">
        <f t="shared" si="43"/>
        <v>2.3E-3</v>
      </c>
      <c r="X951" s="1">
        <f t="shared" si="44"/>
        <v>1.1999999999999999E-3</v>
      </c>
    </row>
    <row r="952" spans="1:24" x14ac:dyDescent="0.25">
      <c r="A952">
        <v>2018</v>
      </c>
      <c r="B952">
        <v>6</v>
      </c>
      <c r="C952" t="s">
        <v>29</v>
      </c>
      <c r="D952" t="str">
        <f>_xlfn.XLOOKUP(C952,'Carrier Name Rename'!A:A,'Carrier Name Rename'!B:B)</f>
        <v>Horizon Air</v>
      </c>
      <c r="E952" t="s">
        <v>23</v>
      </c>
      <c r="F952" t="s">
        <v>24</v>
      </c>
      <c r="G952">
        <v>2780</v>
      </c>
      <c r="H952">
        <v>515</v>
      </c>
      <c r="I952">
        <v>46.6</v>
      </c>
      <c r="J952">
        <v>3.11</v>
      </c>
      <c r="K952">
        <v>318.32</v>
      </c>
      <c r="L952">
        <v>1.82</v>
      </c>
      <c r="M952">
        <v>145.16</v>
      </c>
      <c r="N952">
        <v>26</v>
      </c>
      <c r="O952">
        <v>0</v>
      </c>
      <c r="P952">
        <v>19195</v>
      </c>
      <c r="Q952">
        <v>2466</v>
      </c>
      <c r="R952">
        <v>119</v>
      </c>
      <c r="S952">
        <v>9951</v>
      </c>
      <c r="T952">
        <v>191</v>
      </c>
      <c r="U952">
        <v>6468</v>
      </c>
      <c r="V952" s="1">
        <f t="shared" si="42"/>
        <v>0.18529999999999999</v>
      </c>
      <c r="W952" s="1">
        <f t="shared" si="43"/>
        <v>9.4000000000000004E-3</v>
      </c>
      <c r="X952" s="1">
        <f t="shared" si="44"/>
        <v>0</v>
      </c>
    </row>
    <row r="953" spans="1:24" x14ac:dyDescent="0.25">
      <c r="A953">
        <v>2018</v>
      </c>
      <c r="B953">
        <v>6</v>
      </c>
      <c r="C953" t="s">
        <v>41</v>
      </c>
      <c r="D953" t="str">
        <f>_xlfn.XLOOKUP(C953,'Carrier Name Rename'!A:A,'Carrier Name Rename'!B:B)</f>
        <v>United Air Lines Inc.</v>
      </c>
      <c r="E953" t="s">
        <v>23</v>
      </c>
      <c r="F953" t="s">
        <v>24</v>
      </c>
      <c r="G953">
        <v>936</v>
      </c>
      <c r="H953">
        <v>249</v>
      </c>
      <c r="I953">
        <v>58.55</v>
      </c>
      <c r="J953">
        <v>10.74</v>
      </c>
      <c r="K953">
        <v>97.71</v>
      </c>
      <c r="L953">
        <v>0</v>
      </c>
      <c r="M953">
        <v>82</v>
      </c>
      <c r="N953">
        <v>2</v>
      </c>
      <c r="O953">
        <v>0</v>
      </c>
      <c r="P953">
        <v>17180</v>
      </c>
      <c r="Q953">
        <v>4629</v>
      </c>
      <c r="R953">
        <v>844</v>
      </c>
      <c r="S953">
        <v>4287</v>
      </c>
      <c r="T953">
        <v>0</v>
      </c>
      <c r="U953">
        <v>7420</v>
      </c>
      <c r="V953" s="1">
        <f t="shared" si="42"/>
        <v>0.26600000000000001</v>
      </c>
      <c r="W953" s="1">
        <f t="shared" si="43"/>
        <v>2.0999999999999999E-3</v>
      </c>
      <c r="X953" s="1">
        <f t="shared" si="44"/>
        <v>0</v>
      </c>
    </row>
    <row r="954" spans="1:24" x14ac:dyDescent="0.25">
      <c r="A954">
        <v>2018</v>
      </c>
      <c r="B954">
        <v>6</v>
      </c>
      <c r="C954" t="s">
        <v>43</v>
      </c>
      <c r="D954" t="str">
        <f>_xlfn.XLOOKUP(C954,'Carrier Name Rename'!A:A,'Carrier Name Rename'!B:B)</f>
        <v>Southwest Airlines Co.</v>
      </c>
      <c r="E954" t="s">
        <v>23</v>
      </c>
      <c r="F954" t="s">
        <v>24</v>
      </c>
      <c r="G954">
        <v>1205</v>
      </c>
      <c r="H954">
        <v>347</v>
      </c>
      <c r="I954">
        <v>115.63</v>
      </c>
      <c r="J954">
        <v>5.76</v>
      </c>
      <c r="K954">
        <v>110.34</v>
      </c>
      <c r="L954">
        <v>1</v>
      </c>
      <c r="M954">
        <v>114.27</v>
      </c>
      <c r="N954">
        <v>1</v>
      </c>
      <c r="O954">
        <v>2</v>
      </c>
      <c r="P954">
        <v>15646</v>
      </c>
      <c r="Q954">
        <v>5886</v>
      </c>
      <c r="R954">
        <v>214</v>
      </c>
      <c r="S954">
        <v>3658</v>
      </c>
      <c r="T954">
        <v>87</v>
      </c>
      <c r="U954">
        <v>5801</v>
      </c>
      <c r="V954" s="1">
        <f t="shared" si="42"/>
        <v>0.28799999999999998</v>
      </c>
      <c r="W954" s="1">
        <f t="shared" si="43"/>
        <v>8.0000000000000004E-4</v>
      </c>
      <c r="X954" s="1">
        <f t="shared" si="44"/>
        <v>1.6999999999999999E-3</v>
      </c>
    </row>
    <row r="955" spans="1:24" x14ac:dyDescent="0.25">
      <c r="A955">
        <v>2018</v>
      </c>
      <c r="B955">
        <v>5</v>
      </c>
      <c r="C955" t="s">
        <v>31</v>
      </c>
      <c r="D955" t="str">
        <f>_xlfn.XLOOKUP(C955,'Carrier Name Rename'!A:A,'Carrier Name Rename'!B:B)</f>
        <v>American Airlines Inc.</v>
      </c>
      <c r="E955" t="s">
        <v>23</v>
      </c>
      <c r="F955" t="s">
        <v>24</v>
      </c>
      <c r="G955">
        <v>716</v>
      </c>
      <c r="H955">
        <v>171</v>
      </c>
      <c r="I955">
        <v>54.76</v>
      </c>
      <c r="J955">
        <v>10.83</v>
      </c>
      <c r="K955">
        <v>43.56</v>
      </c>
      <c r="L955">
        <v>0.08</v>
      </c>
      <c r="M955">
        <v>61.77</v>
      </c>
      <c r="N955">
        <v>3</v>
      </c>
      <c r="O955">
        <v>1</v>
      </c>
      <c r="P955">
        <v>10152</v>
      </c>
      <c r="Q955">
        <v>3284</v>
      </c>
      <c r="R955">
        <v>728</v>
      </c>
      <c r="S955">
        <v>1566</v>
      </c>
      <c r="T955">
        <v>9</v>
      </c>
      <c r="U955">
        <v>4565</v>
      </c>
      <c r="V955" s="1">
        <f t="shared" si="42"/>
        <v>0.23880000000000001</v>
      </c>
      <c r="W955" s="1">
        <f t="shared" si="43"/>
        <v>4.1999999999999997E-3</v>
      </c>
      <c r="X955" s="1">
        <f t="shared" si="44"/>
        <v>1.4E-3</v>
      </c>
    </row>
    <row r="956" spans="1:24" x14ac:dyDescent="0.25">
      <c r="A956">
        <v>2018</v>
      </c>
      <c r="B956">
        <v>5</v>
      </c>
      <c r="C956" t="s">
        <v>33</v>
      </c>
      <c r="D956" t="str">
        <f>_xlfn.XLOOKUP(C956,'Carrier Name Rename'!A:A,'Carrier Name Rename'!B:B)</f>
        <v>Alaska Airlines Inc.</v>
      </c>
      <c r="E956" t="s">
        <v>23</v>
      </c>
      <c r="F956" t="s">
        <v>24</v>
      </c>
      <c r="G956">
        <v>5604</v>
      </c>
      <c r="H956">
        <v>739</v>
      </c>
      <c r="I956">
        <v>170.24</v>
      </c>
      <c r="J956">
        <v>11.44</v>
      </c>
      <c r="K956">
        <v>343.68</v>
      </c>
      <c r="L956">
        <v>3.78</v>
      </c>
      <c r="M956">
        <v>209.86</v>
      </c>
      <c r="N956">
        <v>18</v>
      </c>
      <c r="O956">
        <v>12</v>
      </c>
      <c r="P956">
        <v>33103</v>
      </c>
      <c r="Q956">
        <v>10526</v>
      </c>
      <c r="R956">
        <v>1254</v>
      </c>
      <c r="S956">
        <v>9556</v>
      </c>
      <c r="T956">
        <v>141</v>
      </c>
      <c r="U956">
        <v>11626</v>
      </c>
      <c r="V956" s="1">
        <f t="shared" si="42"/>
        <v>0.13189999999999999</v>
      </c>
      <c r="W956" s="1">
        <f t="shared" si="43"/>
        <v>3.2000000000000002E-3</v>
      </c>
      <c r="X956" s="1">
        <f t="shared" si="44"/>
        <v>2.0999999999999999E-3</v>
      </c>
    </row>
    <row r="957" spans="1:24" x14ac:dyDescent="0.25">
      <c r="A957">
        <v>2018</v>
      </c>
      <c r="B957">
        <v>5</v>
      </c>
      <c r="C957" t="s">
        <v>35</v>
      </c>
      <c r="D957" t="str">
        <f>_xlfn.XLOOKUP(C957,'Carrier Name Rename'!A:A,'Carrier Name Rename'!B:B)</f>
        <v>JetBlue Airways</v>
      </c>
      <c r="E957" t="s">
        <v>23</v>
      </c>
      <c r="F957" t="s">
        <v>24</v>
      </c>
      <c r="G957">
        <v>205</v>
      </c>
      <c r="H957">
        <v>51</v>
      </c>
      <c r="I957">
        <v>19.14</v>
      </c>
      <c r="J957">
        <v>0.72</v>
      </c>
      <c r="K957">
        <v>19.57</v>
      </c>
      <c r="L957">
        <v>0</v>
      </c>
      <c r="M957">
        <v>11.57</v>
      </c>
      <c r="N957">
        <v>0</v>
      </c>
      <c r="O957">
        <v>0</v>
      </c>
      <c r="P957">
        <v>2479</v>
      </c>
      <c r="Q957">
        <v>1270</v>
      </c>
      <c r="R957">
        <v>55</v>
      </c>
      <c r="S957">
        <v>620</v>
      </c>
      <c r="T957">
        <v>0</v>
      </c>
      <c r="U957">
        <v>534</v>
      </c>
      <c r="V957" s="1">
        <f t="shared" si="42"/>
        <v>0.24879999999999999</v>
      </c>
      <c r="W957" s="1">
        <f t="shared" si="43"/>
        <v>0</v>
      </c>
      <c r="X957" s="1">
        <f t="shared" si="44"/>
        <v>0</v>
      </c>
    </row>
    <row r="958" spans="1:24" x14ac:dyDescent="0.25">
      <c r="A958">
        <v>2018</v>
      </c>
      <c r="B958">
        <v>5</v>
      </c>
      <c r="C958" t="s">
        <v>47</v>
      </c>
      <c r="D958" t="str">
        <f>_xlfn.XLOOKUP(C958,'Carrier Name Rename'!A:A,'Carrier Name Rename'!B:B)</f>
        <v>Compass Airlines</v>
      </c>
      <c r="E958" t="s">
        <v>23</v>
      </c>
      <c r="F958" t="s">
        <v>24</v>
      </c>
      <c r="G958">
        <v>1255</v>
      </c>
      <c r="H958">
        <v>193</v>
      </c>
      <c r="I958">
        <v>42.29</v>
      </c>
      <c r="J958">
        <v>3.36</v>
      </c>
      <c r="K958">
        <v>63.44</v>
      </c>
      <c r="L958">
        <v>0</v>
      </c>
      <c r="M958">
        <v>83.92</v>
      </c>
      <c r="N958">
        <v>0</v>
      </c>
      <c r="O958">
        <v>0</v>
      </c>
      <c r="P958">
        <v>14210</v>
      </c>
      <c r="Q958">
        <v>5567</v>
      </c>
      <c r="R958">
        <v>151</v>
      </c>
      <c r="S958">
        <v>1898</v>
      </c>
      <c r="T958">
        <v>0</v>
      </c>
      <c r="U958">
        <v>6594</v>
      </c>
      <c r="V958" s="1">
        <f t="shared" si="42"/>
        <v>0.15379999999999999</v>
      </c>
      <c r="W958" s="1">
        <f t="shared" si="43"/>
        <v>0</v>
      </c>
      <c r="X958" s="1">
        <f t="shared" si="44"/>
        <v>0</v>
      </c>
    </row>
    <row r="959" spans="1:24" x14ac:dyDescent="0.25">
      <c r="A959">
        <v>2018</v>
      </c>
      <c r="B959">
        <v>5</v>
      </c>
      <c r="C959" t="s">
        <v>37</v>
      </c>
      <c r="D959" t="str">
        <f>_xlfn.XLOOKUP(C959,'Carrier Name Rename'!A:A,'Carrier Name Rename'!B:B)</f>
        <v>Delta Air Lines Inc.</v>
      </c>
      <c r="E959" t="s">
        <v>23</v>
      </c>
      <c r="F959" t="s">
        <v>24</v>
      </c>
      <c r="G959">
        <v>2185</v>
      </c>
      <c r="H959">
        <v>260</v>
      </c>
      <c r="I959">
        <v>99.98</v>
      </c>
      <c r="J959">
        <v>14.58</v>
      </c>
      <c r="K959">
        <v>86.9</v>
      </c>
      <c r="L959">
        <v>0</v>
      </c>
      <c r="M959">
        <v>58.54</v>
      </c>
      <c r="N959">
        <v>0</v>
      </c>
      <c r="O959">
        <v>1</v>
      </c>
      <c r="P959">
        <v>13515</v>
      </c>
      <c r="Q959">
        <v>6590</v>
      </c>
      <c r="R959">
        <v>970</v>
      </c>
      <c r="S959">
        <v>2585</v>
      </c>
      <c r="T959">
        <v>0</v>
      </c>
      <c r="U959">
        <v>3370</v>
      </c>
      <c r="V959" s="1">
        <f t="shared" si="42"/>
        <v>0.11899999999999999</v>
      </c>
      <c r="W959" s="1">
        <f t="shared" si="43"/>
        <v>0</v>
      </c>
      <c r="X959" s="1">
        <f t="shared" si="44"/>
        <v>5.0000000000000001E-4</v>
      </c>
    </row>
    <row r="960" spans="1:24" x14ac:dyDescent="0.25">
      <c r="A960">
        <v>2018</v>
      </c>
      <c r="B960">
        <v>5</v>
      </c>
      <c r="C960" t="s">
        <v>39</v>
      </c>
      <c r="D960" t="str">
        <f>_xlfn.XLOOKUP(C960,'Carrier Name Rename'!A:A,'Carrier Name Rename'!B:B)</f>
        <v>Frontier Airlines Inc.</v>
      </c>
      <c r="E960" t="s">
        <v>23</v>
      </c>
      <c r="F960" t="s">
        <v>24</v>
      </c>
      <c r="G960">
        <v>96</v>
      </c>
      <c r="H960">
        <v>30</v>
      </c>
      <c r="I960">
        <v>8.8699999999999992</v>
      </c>
      <c r="J960">
        <v>0</v>
      </c>
      <c r="K960">
        <v>6.21</v>
      </c>
      <c r="L960">
        <v>0</v>
      </c>
      <c r="M960">
        <v>14.92</v>
      </c>
      <c r="N960">
        <v>1</v>
      </c>
      <c r="O960">
        <v>0</v>
      </c>
      <c r="P960">
        <v>2118</v>
      </c>
      <c r="Q960">
        <v>387</v>
      </c>
      <c r="R960">
        <v>0</v>
      </c>
      <c r="S960">
        <v>210</v>
      </c>
      <c r="T960">
        <v>0</v>
      </c>
      <c r="U960">
        <v>1521</v>
      </c>
      <c r="V960" s="1">
        <f t="shared" si="42"/>
        <v>0.3125</v>
      </c>
      <c r="W960" s="1">
        <f t="shared" si="43"/>
        <v>1.04E-2</v>
      </c>
      <c r="X960" s="1">
        <f t="shared" si="44"/>
        <v>0</v>
      </c>
    </row>
    <row r="961" spans="1:24" x14ac:dyDescent="0.25">
      <c r="A961">
        <v>2018</v>
      </c>
      <c r="B961">
        <v>5</v>
      </c>
      <c r="C961" t="s">
        <v>21</v>
      </c>
      <c r="D961" t="str">
        <f>_xlfn.XLOOKUP(C961,'Carrier Name Rename'!A:A,'Carrier Name Rename'!B:B)</f>
        <v>Hawaiian Airlines Inc.</v>
      </c>
      <c r="E961" t="s">
        <v>23</v>
      </c>
      <c r="F961" t="s">
        <v>24</v>
      </c>
      <c r="G961">
        <v>62</v>
      </c>
      <c r="H961">
        <v>19</v>
      </c>
      <c r="I961">
        <v>13.56</v>
      </c>
      <c r="J961">
        <v>0</v>
      </c>
      <c r="K961">
        <v>0.89</v>
      </c>
      <c r="L961">
        <v>0</v>
      </c>
      <c r="M961">
        <v>4.55</v>
      </c>
      <c r="N961">
        <v>0</v>
      </c>
      <c r="O961">
        <v>0</v>
      </c>
      <c r="P961">
        <v>719</v>
      </c>
      <c r="Q961">
        <v>445</v>
      </c>
      <c r="R961">
        <v>0</v>
      </c>
      <c r="S961">
        <v>25</v>
      </c>
      <c r="T961">
        <v>0</v>
      </c>
      <c r="U961">
        <v>249</v>
      </c>
      <c r="V961" s="1">
        <f t="shared" si="42"/>
        <v>0.30649999999999999</v>
      </c>
      <c r="W961" s="1">
        <f t="shared" si="43"/>
        <v>0</v>
      </c>
      <c r="X961" s="1">
        <f t="shared" si="44"/>
        <v>0</v>
      </c>
    </row>
    <row r="962" spans="1:24" x14ac:dyDescent="0.25">
      <c r="A962">
        <v>2018</v>
      </c>
      <c r="B962">
        <v>5</v>
      </c>
      <c r="C962" t="s">
        <v>25</v>
      </c>
      <c r="D962" t="str">
        <f>_xlfn.XLOOKUP(C962,'Carrier Name Rename'!A:A,'Carrier Name Rename'!B:B)</f>
        <v>Spirit Airlines</v>
      </c>
      <c r="E962" t="s">
        <v>23</v>
      </c>
      <c r="F962" t="s">
        <v>24</v>
      </c>
      <c r="G962">
        <v>260</v>
      </c>
      <c r="H962">
        <v>39</v>
      </c>
      <c r="I962">
        <v>11.01</v>
      </c>
      <c r="J962">
        <v>1.82</v>
      </c>
      <c r="K962">
        <v>17.62</v>
      </c>
      <c r="L962">
        <v>0</v>
      </c>
      <c r="M962">
        <v>8.5399999999999991</v>
      </c>
      <c r="N962">
        <v>2</v>
      </c>
      <c r="O962">
        <v>1</v>
      </c>
      <c r="P962">
        <v>2880</v>
      </c>
      <c r="Q962">
        <v>815</v>
      </c>
      <c r="R962">
        <v>219</v>
      </c>
      <c r="S962">
        <v>1285</v>
      </c>
      <c r="T962">
        <v>0</v>
      </c>
      <c r="U962">
        <v>561</v>
      </c>
      <c r="V962" s="1">
        <f t="shared" si="42"/>
        <v>0.15</v>
      </c>
      <c r="W962" s="1">
        <f t="shared" si="43"/>
        <v>7.7000000000000002E-3</v>
      </c>
      <c r="X962" s="1">
        <f t="shared" si="44"/>
        <v>3.8E-3</v>
      </c>
    </row>
    <row r="963" spans="1:24" x14ac:dyDescent="0.25">
      <c r="A963">
        <v>2018</v>
      </c>
      <c r="B963">
        <v>5</v>
      </c>
      <c r="C963" t="s">
        <v>27</v>
      </c>
      <c r="D963" t="str">
        <f>_xlfn.XLOOKUP(C963,'Carrier Name Rename'!A:A,'Carrier Name Rename'!B:B)</f>
        <v>SkyWest Airlines Inc.</v>
      </c>
      <c r="E963" t="s">
        <v>23</v>
      </c>
      <c r="F963" t="s">
        <v>24</v>
      </c>
      <c r="G963">
        <v>998</v>
      </c>
      <c r="H963">
        <v>141</v>
      </c>
      <c r="I963">
        <v>27.48</v>
      </c>
      <c r="J963">
        <v>4.3600000000000003</v>
      </c>
      <c r="K963">
        <v>64.97</v>
      </c>
      <c r="L963">
        <v>0</v>
      </c>
      <c r="M963">
        <v>44.18</v>
      </c>
      <c r="N963">
        <v>11</v>
      </c>
      <c r="O963">
        <v>1</v>
      </c>
      <c r="P963">
        <v>7619</v>
      </c>
      <c r="Q963">
        <v>2968</v>
      </c>
      <c r="R963">
        <v>276</v>
      </c>
      <c r="S963">
        <v>1667</v>
      </c>
      <c r="T963">
        <v>0</v>
      </c>
      <c r="U963">
        <v>2708</v>
      </c>
      <c r="V963" s="1">
        <f t="shared" ref="V963:V1026" si="45">ROUND(H963/G963,4)</f>
        <v>0.14130000000000001</v>
      </c>
      <c r="W963" s="1">
        <f t="shared" ref="W963:W1026" si="46">ROUND(N963/G963,4)</f>
        <v>1.0999999999999999E-2</v>
      </c>
      <c r="X963" s="1">
        <f t="shared" ref="X963:X1026" si="47">ROUND(O963/G963,4)</f>
        <v>1E-3</v>
      </c>
    </row>
    <row r="964" spans="1:24" x14ac:dyDescent="0.25">
      <c r="A964">
        <v>2018</v>
      </c>
      <c r="B964">
        <v>5</v>
      </c>
      <c r="C964" t="s">
        <v>29</v>
      </c>
      <c r="D964" t="str">
        <f>_xlfn.XLOOKUP(C964,'Carrier Name Rename'!A:A,'Carrier Name Rename'!B:B)</f>
        <v>Horizon Air</v>
      </c>
      <c r="E964" t="s">
        <v>23</v>
      </c>
      <c r="F964" t="s">
        <v>24</v>
      </c>
      <c r="G964">
        <v>2680</v>
      </c>
      <c r="H964">
        <v>303</v>
      </c>
      <c r="I964">
        <v>51.66</v>
      </c>
      <c r="J964">
        <v>4.09</v>
      </c>
      <c r="K964">
        <v>165.72</v>
      </c>
      <c r="L964">
        <v>0</v>
      </c>
      <c r="M964">
        <v>81.540000000000006</v>
      </c>
      <c r="N964">
        <v>6</v>
      </c>
      <c r="O964">
        <v>2</v>
      </c>
      <c r="P964">
        <v>11987</v>
      </c>
      <c r="Q964">
        <v>2840</v>
      </c>
      <c r="R964">
        <v>287</v>
      </c>
      <c r="S964">
        <v>4573</v>
      </c>
      <c r="T964">
        <v>0</v>
      </c>
      <c r="U964">
        <v>4287</v>
      </c>
      <c r="V964" s="1">
        <f t="shared" si="45"/>
        <v>0.11310000000000001</v>
      </c>
      <c r="W964" s="1">
        <f t="shared" si="46"/>
        <v>2.2000000000000001E-3</v>
      </c>
      <c r="X964" s="1">
        <f t="shared" si="47"/>
        <v>6.9999999999999999E-4</v>
      </c>
    </row>
    <row r="965" spans="1:24" x14ac:dyDescent="0.25">
      <c r="A965">
        <v>2018</v>
      </c>
      <c r="B965">
        <v>5</v>
      </c>
      <c r="C965" t="s">
        <v>41</v>
      </c>
      <c r="D965" t="str">
        <f>_xlfn.XLOOKUP(C965,'Carrier Name Rename'!A:A,'Carrier Name Rename'!B:B)</f>
        <v>United Air Lines Inc.</v>
      </c>
      <c r="E965" t="s">
        <v>23</v>
      </c>
      <c r="F965" t="s">
        <v>24</v>
      </c>
      <c r="G965">
        <v>867</v>
      </c>
      <c r="H965">
        <v>159</v>
      </c>
      <c r="I965">
        <v>39.47</v>
      </c>
      <c r="J965">
        <v>11.83</v>
      </c>
      <c r="K965">
        <v>47.44</v>
      </c>
      <c r="L965">
        <v>0</v>
      </c>
      <c r="M965">
        <v>60.26</v>
      </c>
      <c r="N965">
        <v>1</v>
      </c>
      <c r="O965">
        <v>3</v>
      </c>
      <c r="P965">
        <v>12712</v>
      </c>
      <c r="Q965">
        <v>2855</v>
      </c>
      <c r="R965">
        <v>1336</v>
      </c>
      <c r="S965">
        <v>1724</v>
      </c>
      <c r="T965">
        <v>0</v>
      </c>
      <c r="U965">
        <v>6797</v>
      </c>
      <c r="V965" s="1">
        <f t="shared" si="45"/>
        <v>0.18340000000000001</v>
      </c>
      <c r="W965" s="1">
        <f t="shared" si="46"/>
        <v>1.1999999999999999E-3</v>
      </c>
      <c r="X965" s="1">
        <f t="shared" si="47"/>
        <v>3.5000000000000001E-3</v>
      </c>
    </row>
    <row r="966" spans="1:24" x14ac:dyDescent="0.25">
      <c r="A966">
        <v>2018</v>
      </c>
      <c r="B966">
        <v>5</v>
      </c>
      <c r="C966" t="s">
        <v>43</v>
      </c>
      <c r="D966" t="str">
        <f>_xlfn.XLOOKUP(C966,'Carrier Name Rename'!A:A,'Carrier Name Rename'!B:B)</f>
        <v>Southwest Airlines Co.</v>
      </c>
      <c r="E966" t="s">
        <v>23</v>
      </c>
      <c r="F966" t="s">
        <v>24</v>
      </c>
      <c r="G966">
        <v>1056</v>
      </c>
      <c r="H966">
        <v>237</v>
      </c>
      <c r="I966">
        <v>71.040000000000006</v>
      </c>
      <c r="J966">
        <v>2.69</v>
      </c>
      <c r="K966">
        <v>28.9</v>
      </c>
      <c r="L966">
        <v>0</v>
      </c>
      <c r="M966">
        <v>134.37</v>
      </c>
      <c r="N966">
        <v>3</v>
      </c>
      <c r="O966">
        <v>0</v>
      </c>
      <c r="P966">
        <v>11652</v>
      </c>
      <c r="Q966">
        <v>3459</v>
      </c>
      <c r="R966">
        <v>197</v>
      </c>
      <c r="S966">
        <v>743</v>
      </c>
      <c r="T966">
        <v>0</v>
      </c>
      <c r="U966">
        <v>7253</v>
      </c>
      <c r="V966" s="1">
        <f t="shared" si="45"/>
        <v>0.22439999999999999</v>
      </c>
      <c r="W966" s="1">
        <f t="shared" si="46"/>
        <v>2.8E-3</v>
      </c>
      <c r="X966" s="1">
        <f t="shared" si="47"/>
        <v>0</v>
      </c>
    </row>
    <row r="967" spans="1:24" x14ac:dyDescent="0.25">
      <c r="A967">
        <v>2018</v>
      </c>
      <c r="B967">
        <v>4</v>
      </c>
      <c r="C967" t="s">
        <v>31</v>
      </c>
      <c r="D967" t="str">
        <f>_xlfn.XLOOKUP(C967,'Carrier Name Rename'!A:A,'Carrier Name Rename'!B:B)</f>
        <v>American Airlines Inc.</v>
      </c>
      <c r="E967" t="s">
        <v>23</v>
      </c>
      <c r="F967" t="s">
        <v>24</v>
      </c>
      <c r="G967">
        <v>598</v>
      </c>
      <c r="H967">
        <v>166</v>
      </c>
      <c r="I967">
        <v>51.43</v>
      </c>
      <c r="J967">
        <v>4.04</v>
      </c>
      <c r="K967">
        <v>74.42</v>
      </c>
      <c r="L967">
        <v>0.24</v>
      </c>
      <c r="M967">
        <v>35.86</v>
      </c>
      <c r="N967">
        <v>0</v>
      </c>
      <c r="O967">
        <v>0</v>
      </c>
      <c r="P967">
        <v>7199</v>
      </c>
      <c r="Q967">
        <v>2530</v>
      </c>
      <c r="R967">
        <v>236</v>
      </c>
      <c r="S967">
        <v>2137</v>
      </c>
      <c r="T967">
        <v>73</v>
      </c>
      <c r="U967">
        <v>2223</v>
      </c>
      <c r="V967" s="1">
        <f t="shared" si="45"/>
        <v>0.27760000000000001</v>
      </c>
      <c r="W967" s="1">
        <f t="shared" si="46"/>
        <v>0</v>
      </c>
      <c r="X967" s="1">
        <f t="shared" si="47"/>
        <v>0</v>
      </c>
    </row>
    <row r="968" spans="1:24" x14ac:dyDescent="0.25">
      <c r="A968">
        <v>2018</v>
      </c>
      <c r="B968">
        <v>4</v>
      </c>
      <c r="C968" t="s">
        <v>33</v>
      </c>
      <c r="D968" t="str">
        <f>_xlfn.XLOOKUP(C968,'Carrier Name Rename'!A:A,'Carrier Name Rename'!B:B)</f>
        <v>Alaska Airlines Inc.</v>
      </c>
      <c r="E968" t="s">
        <v>23</v>
      </c>
      <c r="F968" t="s">
        <v>24</v>
      </c>
      <c r="G968">
        <v>5315</v>
      </c>
      <c r="H968">
        <v>829</v>
      </c>
      <c r="I968">
        <v>144.59</v>
      </c>
      <c r="J968">
        <v>5.09</v>
      </c>
      <c r="K968">
        <v>452.58</v>
      </c>
      <c r="L968">
        <v>4.95</v>
      </c>
      <c r="M968">
        <v>221.79</v>
      </c>
      <c r="N968">
        <v>23</v>
      </c>
      <c r="O968">
        <v>11</v>
      </c>
      <c r="P968">
        <v>33375</v>
      </c>
      <c r="Q968">
        <v>9126</v>
      </c>
      <c r="R968">
        <v>327</v>
      </c>
      <c r="S968">
        <v>12807</v>
      </c>
      <c r="T968">
        <v>212</v>
      </c>
      <c r="U968">
        <v>10903</v>
      </c>
      <c r="V968" s="1">
        <f t="shared" si="45"/>
        <v>0.156</v>
      </c>
      <c r="W968" s="1">
        <f t="shared" si="46"/>
        <v>4.3E-3</v>
      </c>
      <c r="X968" s="1">
        <f t="shared" si="47"/>
        <v>2.0999999999999999E-3</v>
      </c>
    </row>
    <row r="969" spans="1:24" x14ac:dyDescent="0.25">
      <c r="A969">
        <v>2018</v>
      </c>
      <c r="B969">
        <v>4</v>
      </c>
      <c r="C969" t="s">
        <v>35</v>
      </c>
      <c r="D969" t="str">
        <f>_xlfn.XLOOKUP(C969,'Carrier Name Rename'!A:A,'Carrier Name Rename'!B:B)</f>
        <v>JetBlue Airways</v>
      </c>
      <c r="E969" t="s">
        <v>23</v>
      </c>
      <c r="F969" t="s">
        <v>24</v>
      </c>
      <c r="G969">
        <v>160</v>
      </c>
      <c r="H969">
        <v>35</v>
      </c>
      <c r="I969">
        <v>10.59</v>
      </c>
      <c r="J969">
        <v>0</v>
      </c>
      <c r="K969">
        <v>15.47</v>
      </c>
      <c r="L969">
        <v>0</v>
      </c>
      <c r="M969">
        <v>8.94</v>
      </c>
      <c r="N969">
        <v>0</v>
      </c>
      <c r="O969">
        <v>1</v>
      </c>
      <c r="P969">
        <v>1693</v>
      </c>
      <c r="Q969">
        <v>585</v>
      </c>
      <c r="R969">
        <v>0</v>
      </c>
      <c r="S969">
        <v>548</v>
      </c>
      <c r="T969">
        <v>0</v>
      </c>
      <c r="U969">
        <v>560</v>
      </c>
      <c r="V969" s="1">
        <f t="shared" si="45"/>
        <v>0.21879999999999999</v>
      </c>
      <c r="W969" s="1">
        <f t="shared" si="46"/>
        <v>0</v>
      </c>
      <c r="X969" s="1">
        <f t="shared" si="47"/>
        <v>6.3E-3</v>
      </c>
    </row>
    <row r="970" spans="1:24" x14ac:dyDescent="0.25">
      <c r="A970">
        <v>2018</v>
      </c>
      <c r="B970">
        <v>4</v>
      </c>
      <c r="C970" t="s">
        <v>47</v>
      </c>
      <c r="D970" t="str">
        <f>_xlfn.XLOOKUP(C970,'Carrier Name Rename'!A:A,'Carrier Name Rename'!B:B)</f>
        <v>Compass Airlines</v>
      </c>
      <c r="E970" t="s">
        <v>23</v>
      </c>
      <c r="F970" t="s">
        <v>24</v>
      </c>
      <c r="G970">
        <v>1294</v>
      </c>
      <c r="H970">
        <v>224</v>
      </c>
      <c r="I970">
        <v>48.84</v>
      </c>
      <c r="J970">
        <v>0</v>
      </c>
      <c r="K970">
        <v>95.29</v>
      </c>
      <c r="L970">
        <v>0</v>
      </c>
      <c r="M970">
        <v>79.88</v>
      </c>
      <c r="N970">
        <v>2</v>
      </c>
      <c r="O970">
        <v>1</v>
      </c>
      <c r="P970">
        <v>15587</v>
      </c>
      <c r="Q970">
        <v>7304</v>
      </c>
      <c r="R970">
        <v>0</v>
      </c>
      <c r="S970">
        <v>3196</v>
      </c>
      <c r="T970">
        <v>0</v>
      </c>
      <c r="U970">
        <v>5087</v>
      </c>
      <c r="V970" s="1">
        <f t="shared" si="45"/>
        <v>0.1731</v>
      </c>
      <c r="W970" s="1">
        <f t="shared" si="46"/>
        <v>1.5E-3</v>
      </c>
      <c r="X970" s="1">
        <f t="shared" si="47"/>
        <v>8.0000000000000004E-4</v>
      </c>
    </row>
    <row r="971" spans="1:24" x14ac:dyDescent="0.25">
      <c r="A971">
        <v>2018</v>
      </c>
      <c r="B971">
        <v>4</v>
      </c>
      <c r="C971" t="s">
        <v>37</v>
      </c>
      <c r="D971" t="str">
        <f>_xlfn.XLOOKUP(C971,'Carrier Name Rename'!A:A,'Carrier Name Rename'!B:B)</f>
        <v>Delta Air Lines Inc.</v>
      </c>
      <c r="E971" t="s">
        <v>23</v>
      </c>
      <c r="F971" t="s">
        <v>24</v>
      </c>
      <c r="G971">
        <v>1958</v>
      </c>
      <c r="H971">
        <v>403</v>
      </c>
      <c r="I971">
        <v>117.49</v>
      </c>
      <c r="J971">
        <v>5.14</v>
      </c>
      <c r="K971">
        <v>220.47</v>
      </c>
      <c r="L971">
        <v>0</v>
      </c>
      <c r="M971">
        <v>59.89</v>
      </c>
      <c r="N971">
        <v>3</v>
      </c>
      <c r="O971">
        <v>0</v>
      </c>
      <c r="P971">
        <v>21257</v>
      </c>
      <c r="Q971">
        <v>10622</v>
      </c>
      <c r="R971">
        <v>421</v>
      </c>
      <c r="S971">
        <v>6723</v>
      </c>
      <c r="T971">
        <v>0</v>
      </c>
      <c r="U971">
        <v>3491</v>
      </c>
      <c r="V971" s="1">
        <f t="shared" si="45"/>
        <v>0.20580000000000001</v>
      </c>
      <c r="W971" s="1">
        <f t="shared" si="46"/>
        <v>1.5E-3</v>
      </c>
      <c r="X971" s="1">
        <f t="shared" si="47"/>
        <v>0</v>
      </c>
    </row>
    <row r="972" spans="1:24" x14ac:dyDescent="0.25">
      <c r="A972">
        <v>2018</v>
      </c>
      <c r="B972">
        <v>4</v>
      </c>
      <c r="C972" t="s">
        <v>39</v>
      </c>
      <c r="D972" t="str">
        <f>_xlfn.XLOOKUP(C972,'Carrier Name Rename'!A:A,'Carrier Name Rename'!B:B)</f>
        <v>Frontier Airlines Inc.</v>
      </c>
      <c r="E972" t="s">
        <v>23</v>
      </c>
      <c r="F972" t="s">
        <v>24</v>
      </c>
      <c r="G972">
        <v>86</v>
      </c>
      <c r="H972">
        <v>25</v>
      </c>
      <c r="I972">
        <v>9.1300000000000008</v>
      </c>
      <c r="J972">
        <v>0</v>
      </c>
      <c r="K972">
        <v>10.79</v>
      </c>
      <c r="L972">
        <v>0</v>
      </c>
      <c r="M972">
        <v>5.08</v>
      </c>
      <c r="N972">
        <v>1</v>
      </c>
      <c r="O972">
        <v>0</v>
      </c>
      <c r="P972">
        <v>1229</v>
      </c>
      <c r="Q972">
        <v>405</v>
      </c>
      <c r="R972">
        <v>0</v>
      </c>
      <c r="S972">
        <v>380</v>
      </c>
      <c r="T972">
        <v>0</v>
      </c>
      <c r="U972">
        <v>444</v>
      </c>
      <c r="V972" s="1">
        <f t="shared" si="45"/>
        <v>0.29070000000000001</v>
      </c>
      <c r="W972" s="1">
        <f t="shared" si="46"/>
        <v>1.1599999999999999E-2</v>
      </c>
      <c r="X972" s="1">
        <f t="shared" si="47"/>
        <v>0</v>
      </c>
    </row>
    <row r="973" spans="1:24" x14ac:dyDescent="0.25">
      <c r="A973">
        <v>2018</v>
      </c>
      <c r="B973">
        <v>4</v>
      </c>
      <c r="C973" t="s">
        <v>21</v>
      </c>
      <c r="D973" t="str">
        <f>_xlfn.XLOOKUP(C973,'Carrier Name Rename'!A:A,'Carrier Name Rename'!B:B)</f>
        <v>Hawaiian Airlines Inc.</v>
      </c>
      <c r="E973" t="s">
        <v>23</v>
      </c>
      <c r="F973" t="s">
        <v>24</v>
      </c>
      <c r="G973">
        <v>62</v>
      </c>
      <c r="H973">
        <v>20</v>
      </c>
      <c r="I973">
        <v>10.050000000000001</v>
      </c>
      <c r="J973">
        <v>0</v>
      </c>
      <c r="K973">
        <v>0.65</v>
      </c>
      <c r="L973">
        <v>0</v>
      </c>
      <c r="M973">
        <v>9.3000000000000007</v>
      </c>
      <c r="N973">
        <v>0</v>
      </c>
      <c r="O973">
        <v>0</v>
      </c>
      <c r="P973">
        <v>632</v>
      </c>
      <c r="Q973">
        <v>351</v>
      </c>
      <c r="R973">
        <v>0</v>
      </c>
      <c r="S973">
        <v>13</v>
      </c>
      <c r="T973">
        <v>0</v>
      </c>
      <c r="U973">
        <v>268</v>
      </c>
      <c r="V973" s="1">
        <f t="shared" si="45"/>
        <v>0.3226</v>
      </c>
      <c r="W973" s="1">
        <f t="shared" si="46"/>
        <v>0</v>
      </c>
      <c r="X973" s="1">
        <f t="shared" si="47"/>
        <v>0</v>
      </c>
    </row>
    <row r="974" spans="1:24" x14ac:dyDescent="0.25">
      <c r="A974">
        <v>2018</v>
      </c>
      <c r="B974">
        <v>4</v>
      </c>
      <c r="C974" t="s">
        <v>25</v>
      </c>
      <c r="D974" t="str">
        <f>_xlfn.XLOOKUP(C974,'Carrier Name Rename'!A:A,'Carrier Name Rename'!B:B)</f>
        <v>Spirit Airlines</v>
      </c>
      <c r="E974" t="s">
        <v>23</v>
      </c>
      <c r="F974" t="s">
        <v>24</v>
      </c>
      <c r="G974">
        <v>189</v>
      </c>
      <c r="H974">
        <v>44</v>
      </c>
      <c r="I974">
        <v>1.8</v>
      </c>
      <c r="J974">
        <v>0</v>
      </c>
      <c r="K974">
        <v>40.96</v>
      </c>
      <c r="L974">
        <v>0</v>
      </c>
      <c r="M974">
        <v>1.23</v>
      </c>
      <c r="N974">
        <v>4</v>
      </c>
      <c r="O974">
        <v>0</v>
      </c>
      <c r="P974">
        <v>2853</v>
      </c>
      <c r="Q974">
        <v>251</v>
      </c>
      <c r="R974">
        <v>0</v>
      </c>
      <c r="S974">
        <v>2345</v>
      </c>
      <c r="T974">
        <v>0</v>
      </c>
      <c r="U974">
        <v>257</v>
      </c>
      <c r="V974" s="1">
        <f t="shared" si="45"/>
        <v>0.23280000000000001</v>
      </c>
      <c r="W974" s="1">
        <f t="shared" si="46"/>
        <v>2.12E-2</v>
      </c>
      <c r="X974" s="1">
        <f t="shared" si="47"/>
        <v>0</v>
      </c>
    </row>
    <row r="975" spans="1:24" x14ac:dyDescent="0.25">
      <c r="A975">
        <v>2018</v>
      </c>
      <c r="B975">
        <v>4</v>
      </c>
      <c r="C975" t="s">
        <v>27</v>
      </c>
      <c r="D975" t="str">
        <f>_xlfn.XLOOKUP(C975,'Carrier Name Rename'!A:A,'Carrier Name Rename'!B:B)</f>
        <v>SkyWest Airlines Inc.</v>
      </c>
      <c r="E975" t="s">
        <v>23</v>
      </c>
      <c r="F975" t="s">
        <v>24</v>
      </c>
      <c r="G975">
        <v>967</v>
      </c>
      <c r="H975">
        <v>214</v>
      </c>
      <c r="I975">
        <v>19.98</v>
      </c>
      <c r="J975">
        <v>5.61</v>
      </c>
      <c r="K975">
        <v>118.53</v>
      </c>
      <c r="L975">
        <v>0</v>
      </c>
      <c r="M975">
        <v>69.88</v>
      </c>
      <c r="N975">
        <v>8</v>
      </c>
      <c r="O975">
        <v>3</v>
      </c>
      <c r="P975">
        <v>10631</v>
      </c>
      <c r="Q975">
        <v>1693</v>
      </c>
      <c r="R975">
        <v>873</v>
      </c>
      <c r="S975">
        <v>3804</v>
      </c>
      <c r="T975">
        <v>0</v>
      </c>
      <c r="U975">
        <v>4261</v>
      </c>
      <c r="V975" s="1">
        <f t="shared" si="45"/>
        <v>0.2213</v>
      </c>
      <c r="W975" s="1">
        <f t="shared" si="46"/>
        <v>8.3000000000000001E-3</v>
      </c>
      <c r="X975" s="1">
        <f t="shared" si="47"/>
        <v>3.0999999999999999E-3</v>
      </c>
    </row>
    <row r="976" spans="1:24" x14ac:dyDescent="0.25">
      <c r="A976">
        <v>2018</v>
      </c>
      <c r="B976">
        <v>4</v>
      </c>
      <c r="C976" t="s">
        <v>29</v>
      </c>
      <c r="D976" t="str">
        <f>_xlfn.XLOOKUP(C976,'Carrier Name Rename'!A:A,'Carrier Name Rename'!B:B)</f>
        <v>Horizon Air</v>
      </c>
      <c r="E976" t="s">
        <v>23</v>
      </c>
      <c r="F976" t="s">
        <v>24</v>
      </c>
      <c r="G976">
        <v>2596</v>
      </c>
      <c r="H976">
        <v>475</v>
      </c>
      <c r="I976">
        <v>55.1</v>
      </c>
      <c r="J976">
        <v>2.73</v>
      </c>
      <c r="K976">
        <v>304.49</v>
      </c>
      <c r="L976">
        <v>0</v>
      </c>
      <c r="M976">
        <v>112.69</v>
      </c>
      <c r="N976">
        <v>4</v>
      </c>
      <c r="O976">
        <v>2</v>
      </c>
      <c r="P976">
        <v>19423</v>
      </c>
      <c r="Q976">
        <v>4693</v>
      </c>
      <c r="R976">
        <v>96</v>
      </c>
      <c r="S976">
        <v>9163</v>
      </c>
      <c r="T976">
        <v>0</v>
      </c>
      <c r="U976">
        <v>5471</v>
      </c>
      <c r="V976" s="1">
        <f t="shared" si="45"/>
        <v>0.183</v>
      </c>
      <c r="W976" s="1">
        <f t="shared" si="46"/>
        <v>1.5E-3</v>
      </c>
      <c r="X976" s="1">
        <f t="shared" si="47"/>
        <v>8.0000000000000004E-4</v>
      </c>
    </row>
    <row r="977" spans="1:24" x14ac:dyDescent="0.25">
      <c r="A977">
        <v>2018</v>
      </c>
      <c r="B977">
        <v>4</v>
      </c>
      <c r="C977" t="s">
        <v>41</v>
      </c>
      <c r="D977" t="str">
        <f>_xlfn.XLOOKUP(C977,'Carrier Name Rename'!A:A,'Carrier Name Rename'!B:B)</f>
        <v>United Air Lines Inc.</v>
      </c>
      <c r="E977" t="s">
        <v>23</v>
      </c>
      <c r="F977" t="s">
        <v>24</v>
      </c>
      <c r="G977">
        <v>793</v>
      </c>
      <c r="H977">
        <v>152</v>
      </c>
      <c r="I977">
        <v>34.74</v>
      </c>
      <c r="J977">
        <v>1.25</v>
      </c>
      <c r="K977">
        <v>79.900000000000006</v>
      </c>
      <c r="L977">
        <v>0</v>
      </c>
      <c r="M977">
        <v>36.11</v>
      </c>
      <c r="N977">
        <v>0</v>
      </c>
      <c r="O977">
        <v>2</v>
      </c>
      <c r="P977">
        <v>7441</v>
      </c>
      <c r="Q977">
        <v>1726</v>
      </c>
      <c r="R977">
        <v>135</v>
      </c>
      <c r="S977">
        <v>2374</v>
      </c>
      <c r="T977">
        <v>0</v>
      </c>
      <c r="U977">
        <v>3206</v>
      </c>
      <c r="V977" s="1">
        <f t="shared" si="45"/>
        <v>0.19170000000000001</v>
      </c>
      <c r="W977" s="1">
        <f t="shared" si="46"/>
        <v>0</v>
      </c>
      <c r="X977" s="1">
        <f t="shared" si="47"/>
        <v>2.5000000000000001E-3</v>
      </c>
    </row>
    <row r="978" spans="1:24" x14ac:dyDescent="0.25">
      <c r="A978">
        <v>2018</v>
      </c>
      <c r="B978">
        <v>4</v>
      </c>
      <c r="C978" t="s">
        <v>43</v>
      </c>
      <c r="D978" t="str">
        <f>_xlfn.XLOOKUP(C978,'Carrier Name Rename'!A:A,'Carrier Name Rename'!B:B)</f>
        <v>Southwest Airlines Co.</v>
      </c>
      <c r="E978" t="s">
        <v>23</v>
      </c>
      <c r="F978" t="s">
        <v>24</v>
      </c>
      <c r="G978">
        <v>1010</v>
      </c>
      <c r="H978">
        <v>272</v>
      </c>
      <c r="I978">
        <v>82.72</v>
      </c>
      <c r="J978">
        <v>1.74</v>
      </c>
      <c r="K978">
        <v>80.69</v>
      </c>
      <c r="L978">
        <v>1.82</v>
      </c>
      <c r="M978">
        <v>105.03</v>
      </c>
      <c r="N978">
        <v>2</v>
      </c>
      <c r="O978">
        <v>0</v>
      </c>
      <c r="P978">
        <v>11530</v>
      </c>
      <c r="Q978">
        <v>3745</v>
      </c>
      <c r="R978">
        <v>78</v>
      </c>
      <c r="S978">
        <v>2408</v>
      </c>
      <c r="T978">
        <v>143</v>
      </c>
      <c r="U978">
        <v>5156</v>
      </c>
      <c r="V978" s="1">
        <f t="shared" si="45"/>
        <v>0.26929999999999998</v>
      </c>
      <c r="W978" s="1">
        <f t="shared" si="46"/>
        <v>2E-3</v>
      </c>
      <c r="X978" s="1">
        <f t="shared" si="47"/>
        <v>0</v>
      </c>
    </row>
    <row r="979" spans="1:24" x14ac:dyDescent="0.25">
      <c r="A979">
        <v>2018</v>
      </c>
      <c r="B979">
        <v>3</v>
      </c>
      <c r="C979" t="s">
        <v>31</v>
      </c>
      <c r="D979" t="str">
        <f>_xlfn.XLOOKUP(C979,'Carrier Name Rename'!A:A,'Carrier Name Rename'!B:B)</f>
        <v>American Airlines Inc.</v>
      </c>
      <c r="E979" t="s">
        <v>23</v>
      </c>
      <c r="F979" t="s">
        <v>24</v>
      </c>
      <c r="G979">
        <v>645</v>
      </c>
      <c r="H979">
        <v>93</v>
      </c>
      <c r="I979">
        <v>47.83</v>
      </c>
      <c r="J979">
        <v>0.92</v>
      </c>
      <c r="K979">
        <v>26.2</v>
      </c>
      <c r="L979">
        <v>0</v>
      </c>
      <c r="M979">
        <v>18.04</v>
      </c>
      <c r="N979">
        <v>7</v>
      </c>
      <c r="O979">
        <v>1</v>
      </c>
      <c r="P979">
        <v>4355</v>
      </c>
      <c r="Q979">
        <v>2111</v>
      </c>
      <c r="R979">
        <v>71</v>
      </c>
      <c r="S979">
        <v>790</v>
      </c>
      <c r="T979">
        <v>0</v>
      </c>
      <c r="U979">
        <v>1383</v>
      </c>
      <c r="V979" s="1">
        <f t="shared" si="45"/>
        <v>0.14419999999999999</v>
      </c>
      <c r="W979" s="1">
        <f t="shared" si="46"/>
        <v>1.09E-2</v>
      </c>
      <c r="X979" s="1">
        <f t="shared" si="47"/>
        <v>1.6000000000000001E-3</v>
      </c>
    </row>
    <row r="980" spans="1:24" x14ac:dyDescent="0.25">
      <c r="A980">
        <v>2018</v>
      </c>
      <c r="B980">
        <v>3</v>
      </c>
      <c r="C980" t="s">
        <v>33</v>
      </c>
      <c r="D980" t="str">
        <f>_xlfn.XLOOKUP(C980,'Carrier Name Rename'!A:A,'Carrier Name Rename'!B:B)</f>
        <v>Alaska Airlines Inc.</v>
      </c>
      <c r="E980" t="s">
        <v>23</v>
      </c>
      <c r="F980" t="s">
        <v>24</v>
      </c>
      <c r="G980">
        <v>4807</v>
      </c>
      <c r="H980">
        <v>534</v>
      </c>
      <c r="I980">
        <v>104.93</v>
      </c>
      <c r="J980">
        <v>9.7200000000000006</v>
      </c>
      <c r="K980">
        <v>249.73</v>
      </c>
      <c r="L980">
        <v>2.78</v>
      </c>
      <c r="M980">
        <v>166.83</v>
      </c>
      <c r="N980">
        <v>30</v>
      </c>
      <c r="O980">
        <v>3</v>
      </c>
      <c r="P980">
        <v>21236</v>
      </c>
      <c r="Q980">
        <v>5380</v>
      </c>
      <c r="R980">
        <v>758</v>
      </c>
      <c r="S980">
        <v>6842</v>
      </c>
      <c r="T980">
        <v>151</v>
      </c>
      <c r="U980">
        <v>8105</v>
      </c>
      <c r="V980" s="1">
        <f t="shared" si="45"/>
        <v>0.1111</v>
      </c>
      <c r="W980" s="1">
        <f t="shared" si="46"/>
        <v>6.1999999999999998E-3</v>
      </c>
      <c r="X980" s="1">
        <f t="shared" si="47"/>
        <v>5.9999999999999995E-4</v>
      </c>
    </row>
    <row r="981" spans="1:24" x14ac:dyDescent="0.25">
      <c r="A981">
        <v>2018</v>
      </c>
      <c r="B981">
        <v>3</v>
      </c>
      <c r="C981" t="s">
        <v>35</v>
      </c>
      <c r="D981" t="str">
        <f>_xlfn.XLOOKUP(C981,'Carrier Name Rename'!A:A,'Carrier Name Rename'!B:B)</f>
        <v>JetBlue Airways</v>
      </c>
      <c r="E981" t="s">
        <v>23</v>
      </c>
      <c r="F981" t="s">
        <v>24</v>
      </c>
      <c r="G981">
        <v>139</v>
      </c>
      <c r="H981">
        <v>31</v>
      </c>
      <c r="I981">
        <v>7.37</v>
      </c>
      <c r="J981">
        <v>0</v>
      </c>
      <c r="K981">
        <v>12.14</v>
      </c>
      <c r="L981">
        <v>0</v>
      </c>
      <c r="M981">
        <v>11.49</v>
      </c>
      <c r="N981">
        <v>7</v>
      </c>
      <c r="O981">
        <v>0</v>
      </c>
      <c r="P981">
        <v>1607</v>
      </c>
      <c r="Q981">
        <v>599</v>
      </c>
      <c r="R981">
        <v>0</v>
      </c>
      <c r="S981">
        <v>348</v>
      </c>
      <c r="T981">
        <v>0</v>
      </c>
      <c r="U981">
        <v>660</v>
      </c>
      <c r="V981" s="1">
        <f t="shared" si="45"/>
        <v>0.223</v>
      </c>
      <c r="W981" s="1">
        <f t="shared" si="46"/>
        <v>5.04E-2</v>
      </c>
      <c r="X981" s="1">
        <f t="shared" si="47"/>
        <v>0</v>
      </c>
    </row>
    <row r="982" spans="1:24" x14ac:dyDescent="0.25">
      <c r="A982">
        <v>2018</v>
      </c>
      <c r="B982">
        <v>3</v>
      </c>
      <c r="C982" t="s">
        <v>47</v>
      </c>
      <c r="D982" t="str">
        <f>_xlfn.XLOOKUP(C982,'Carrier Name Rename'!A:A,'Carrier Name Rename'!B:B)</f>
        <v>Compass Airlines</v>
      </c>
      <c r="E982" t="s">
        <v>23</v>
      </c>
      <c r="F982" t="s">
        <v>24</v>
      </c>
      <c r="G982">
        <v>1175</v>
      </c>
      <c r="H982">
        <v>249</v>
      </c>
      <c r="I982">
        <v>62.2</v>
      </c>
      <c r="J982">
        <v>1.77</v>
      </c>
      <c r="K982">
        <v>79.569999999999993</v>
      </c>
      <c r="L982">
        <v>0</v>
      </c>
      <c r="M982">
        <v>105.46</v>
      </c>
      <c r="N982">
        <v>1</v>
      </c>
      <c r="O982">
        <v>0</v>
      </c>
      <c r="P982">
        <v>17275</v>
      </c>
      <c r="Q982">
        <v>7252</v>
      </c>
      <c r="R982">
        <v>109</v>
      </c>
      <c r="S982">
        <v>2664</v>
      </c>
      <c r="T982">
        <v>0</v>
      </c>
      <c r="U982">
        <v>7250</v>
      </c>
      <c r="V982" s="1">
        <f t="shared" si="45"/>
        <v>0.21190000000000001</v>
      </c>
      <c r="W982" s="1">
        <f t="shared" si="46"/>
        <v>8.9999999999999998E-4</v>
      </c>
      <c r="X982" s="1">
        <f t="shared" si="47"/>
        <v>0</v>
      </c>
    </row>
    <row r="983" spans="1:24" x14ac:dyDescent="0.25">
      <c r="A983">
        <v>2018</v>
      </c>
      <c r="B983">
        <v>3</v>
      </c>
      <c r="C983" t="s">
        <v>37</v>
      </c>
      <c r="D983" t="str">
        <f>_xlfn.XLOOKUP(C983,'Carrier Name Rename'!A:A,'Carrier Name Rename'!B:B)</f>
        <v>Delta Air Lines Inc.</v>
      </c>
      <c r="E983" t="s">
        <v>23</v>
      </c>
      <c r="F983" t="s">
        <v>24</v>
      </c>
      <c r="G983">
        <v>2053</v>
      </c>
      <c r="H983">
        <v>264</v>
      </c>
      <c r="I983">
        <v>94.3</v>
      </c>
      <c r="J983">
        <v>7.92</v>
      </c>
      <c r="K983">
        <v>95.73</v>
      </c>
      <c r="L983">
        <v>0</v>
      </c>
      <c r="M983">
        <v>66.05</v>
      </c>
      <c r="N983">
        <v>4</v>
      </c>
      <c r="O983">
        <v>1</v>
      </c>
      <c r="P983">
        <v>15114</v>
      </c>
      <c r="Q983">
        <v>7130</v>
      </c>
      <c r="R983">
        <v>1127</v>
      </c>
      <c r="S983">
        <v>2911</v>
      </c>
      <c r="T983">
        <v>0</v>
      </c>
      <c r="U983">
        <v>3946</v>
      </c>
      <c r="V983" s="1">
        <f t="shared" si="45"/>
        <v>0.12859999999999999</v>
      </c>
      <c r="W983" s="1">
        <f t="shared" si="46"/>
        <v>1.9E-3</v>
      </c>
      <c r="X983" s="1">
        <f t="shared" si="47"/>
        <v>5.0000000000000001E-4</v>
      </c>
    </row>
    <row r="984" spans="1:24" x14ac:dyDescent="0.25">
      <c r="A984">
        <v>2018</v>
      </c>
      <c r="B984">
        <v>3</v>
      </c>
      <c r="C984" t="s">
        <v>39</v>
      </c>
      <c r="D984" t="str">
        <f>_xlfn.XLOOKUP(C984,'Carrier Name Rename'!A:A,'Carrier Name Rename'!B:B)</f>
        <v>Frontier Airlines Inc.</v>
      </c>
      <c r="E984" t="s">
        <v>23</v>
      </c>
      <c r="F984" t="s">
        <v>24</v>
      </c>
      <c r="G984">
        <v>45</v>
      </c>
      <c r="H984">
        <v>6</v>
      </c>
      <c r="I984">
        <v>1.22</v>
      </c>
      <c r="J984">
        <v>0</v>
      </c>
      <c r="K984">
        <v>0.82</v>
      </c>
      <c r="L984">
        <v>0</v>
      </c>
      <c r="M984">
        <v>3.96</v>
      </c>
      <c r="N984">
        <v>0</v>
      </c>
      <c r="O984">
        <v>0</v>
      </c>
      <c r="P984">
        <v>601</v>
      </c>
      <c r="Q984">
        <v>52</v>
      </c>
      <c r="R984">
        <v>0</v>
      </c>
      <c r="S984">
        <v>66</v>
      </c>
      <c r="T984">
        <v>0</v>
      </c>
      <c r="U984">
        <v>483</v>
      </c>
      <c r="V984" s="1">
        <f t="shared" si="45"/>
        <v>0.1333</v>
      </c>
      <c r="W984" s="1">
        <f t="shared" si="46"/>
        <v>0</v>
      </c>
      <c r="X984" s="1">
        <f t="shared" si="47"/>
        <v>0</v>
      </c>
    </row>
    <row r="985" spans="1:24" x14ac:dyDescent="0.25">
      <c r="A985">
        <v>2018</v>
      </c>
      <c r="B985">
        <v>3</v>
      </c>
      <c r="C985" t="s">
        <v>21</v>
      </c>
      <c r="D985" t="str">
        <f>_xlfn.XLOOKUP(C985,'Carrier Name Rename'!A:A,'Carrier Name Rename'!B:B)</f>
        <v>Hawaiian Airlines Inc.</v>
      </c>
      <c r="E985" t="s">
        <v>23</v>
      </c>
      <c r="F985" t="s">
        <v>24</v>
      </c>
      <c r="G985">
        <v>62</v>
      </c>
      <c r="H985">
        <v>37</v>
      </c>
      <c r="I985">
        <v>24.4</v>
      </c>
      <c r="J985">
        <v>0</v>
      </c>
      <c r="K985">
        <v>0.35</v>
      </c>
      <c r="L985">
        <v>1.27</v>
      </c>
      <c r="M985">
        <v>10.99</v>
      </c>
      <c r="N985">
        <v>0</v>
      </c>
      <c r="O985">
        <v>1</v>
      </c>
      <c r="P985">
        <v>1176</v>
      </c>
      <c r="Q985">
        <v>690</v>
      </c>
      <c r="R985">
        <v>0</v>
      </c>
      <c r="S985">
        <v>8</v>
      </c>
      <c r="T985">
        <v>19</v>
      </c>
      <c r="U985">
        <v>459</v>
      </c>
      <c r="V985" s="1">
        <f t="shared" si="45"/>
        <v>0.5968</v>
      </c>
      <c r="W985" s="1">
        <f t="shared" si="46"/>
        <v>0</v>
      </c>
      <c r="X985" s="1">
        <f t="shared" si="47"/>
        <v>1.61E-2</v>
      </c>
    </row>
    <row r="986" spans="1:24" x14ac:dyDescent="0.25">
      <c r="A986">
        <v>2018</v>
      </c>
      <c r="B986">
        <v>3</v>
      </c>
      <c r="C986" t="s">
        <v>25</v>
      </c>
      <c r="D986" t="str">
        <f>_xlfn.XLOOKUP(C986,'Carrier Name Rename'!A:A,'Carrier Name Rename'!B:B)</f>
        <v>Spirit Airlines</v>
      </c>
      <c r="E986" t="s">
        <v>23</v>
      </c>
      <c r="F986" t="s">
        <v>24</v>
      </c>
      <c r="G986">
        <v>93</v>
      </c>
      <c r="H986">
        <v>13</v>
      </c>
      <c r="I986">
        <v>2.2799999999999998</v>
      </c>
      <c r="J986">
        <v>0</v>
      </c>
      <c r="K986">
        <v>6.04</v>
      </c>
      <c r="L986">
        <v>0</v>
      </c>
      <c r="M986">
        <v>4.68</v>
      </c>
      <c r="N986">
        <v>0</v>
      </c>
      <c r="O986">
        <v>0</v>
      </c>
      <c r="P986">
        <v>637</v>
      </c>
      <c r="Q986">
        <v>75</v>
      </c>
      <c r="R986">
        <v>0</v>
      </c>
      <c r="S986">
        <v>379</v>
      </c>
      <c r="T986">
        <v>0</v>
      </c>
      <c r="U986">
        <v>183</v>
      </c>
      <c r="V986" s="1">
        <f t="shared" si="45"/>
        <v>0.13980000000000001</v>
      </c>
      <c r="W986" s="1">
        <f t="shared" si="46"/>
        <v>0</v>
      </c>
      <c r="X986" s="1">
        <f t="shared" si="47"/>
        <v>0</v>
      </c>
    </row>
    <row r="987" spans="1:24" x14ac:dyDescent="0.25">
      <c r="A987">
        <v>2018</v>
      </c>
      <c r="B987">
        <v>3</v>
      </c>
      <c r="C987" t="s">
        <v>27</v>
      </c>
      <c r="D987" t="str">
        <f>_xlfn.XLOOKUP(C987,'Carrier Name Rename'!A:A,'Carrier Name Rename'!B:B)</f>
        <v>SkyWest Airlines Inc.</v>
      </c>
      <c r="E987" t="s">
        <v>23</v>
      </c>
      <c r="F987" t="s">
        <v>24</v>
      </c>
      <c r="G987">
        <v>1131</v>
      </c>
      <c r="H987">
        <v>169</v>
      </c>
      <c r="I987">
        <v>21.97</v>
      </c>
      <c r="J987">
        <v>1.44</v>
      </c>
      <c r="K987">
        <v>80.05</v>
      </c>
      <c r="L987">
        <v>0</v>
      </c>
      <c r="M987">
        <v>65.55</v>
      </c>
      <c r="N987">
        <v>4</v>
      </c>
      <c r="O987">
        <v>2</v>
      </c>
      <c r="P987">
        <v>7770</v>
      </c>
      <c r="Q987">
        <v>1245</v>
      </c>
      <c r="R987">
        <v>92</v>
      </c>
      <c r="S987">
        <v>2435</v>
      </c>
      <c r="T987">
        <v>0</v>
      </c>
      <c r="U987">
        <v>3998</v>
      </c>
      <c r="V987" s="1">
        <f t="shared" si="45"/>
        <v>0.14940000000000001</v>
      </c>
      <c r="W987" s="1">
        <f t="shared" si="46"/>
        <v>3.5000000000000001E-3</v>
      </c>
      <c r="X987" s="1">
        <f t="shared" si="47"/>
        <v>1.8E-3</v>
      </c>
    </row>
    <row r="988" spans="1:24" x14ac:dyDescent="0.25">
      <c r="A988">
        <v>2018</v>
      </c>
      <c r="B988">
        <v>3</v>
      </c>
      <c r="C988" t="s">
        <v>29</v>
      </c>
      <c r="D988" t="str">
        <f>_xlfn.XLOOKUP(C988,'Carrier Name Rename'!A:A,'Carrier Name Rename'!B:B)</f>
        <v>Horizon Air</v>
      </c>
      <c r="E988" t="s">
        <v>23</v>
      </c>
      <c r="F988" t="s">
        <v>24</v>
      </c>
      <c r="G988">
        <v>2540</v>
      </c>
      <c r="H988">
        <v>332</v>
      </c>
      <c r="I988">
        <v>50.46</v>
      </c>
      <c r="J988">
        <v>4.66</v>
      </c>
      <c r="K988">
        <v>162.47</v>
      </c>
      <c r="L988">
        <v>1</v>
      </c>
      <c r="M988">
        <v>113.4</v>
      </c>
      <c r="N988">
        <v>11</v>
      </c>
      <c r="O988">
        <v>4</v>
      </c>
      <c r="P988">
        <v>13535</v>
      </c>
      <c r="Q988">
        <v>3074</v>
      </c>
      <c r="R988">
        <v>203</v>
      </c>
      <c r="S988">
        <v>4564</v>
      </c>
      <c r="T988">
        <v>17</v>
      </c>
      <c r="U988">
        <v>5677</v>
      </c>
      <c r="V988" s="1">
        <f t="shared" si="45"/>
        <v>0.13070000000000001</v>
      </c>
      <c r="W988" s="1">
        <f t="shared" si="46"/>
        <v>4.3E-3</v>
      </c>
      <c r="X988" s="1">
        <f t="shared" si="47"/>
        <v>1.6000000000000001E-3</v>
      </c>
    </row>
    <row r="989" spans="1:24" x14ac:dyDescent="0.25">
      <c r="A989">
        <v>2018</v>
      </c>
      <c r="B989">
        <v>3</v>
      </c>
      <c r="C989" t="s">
        <v>41</v>
      </c>
      <c r="D989" t="str">
        <f>_xlfn.XLOOKUP(C989,'Carrier Name Rename'!A:A,'Carrier Name Rename'!B:B)</f>
        <v>United Air Lines Inc.</v>
      </c>
      <c r="E989" t="s">
        <v>23</v>
      </c>
      <c r="F989" t="s">
        <v>24</v>
      </c>
      <c r="G989">
        <v>781</v>
      </c>
      <c r="H989">
        <v>99</v>
      </c>
      <c r="I989">
        <v>29.08</v>
      </c>
      <c r="J989">
        <v>3.28</v>
      </c>
      <c r="K989">
        <v>28.07</v>
      </c>
      <c r="L989">
        <v>0</v>
      </c>
      <c r="M989">
        <v>38.57</v>
      </c>
      <c r="N989">
        <v>5</v>
      </c>
      <c r="O989">
        <v>1</v>
      </c>
      <c r="P989">
        <v>5990</v>
      </c>
      <c r="Q989">
        <v>1360</v>
      </c>
      <c r="R989">
        <v>353</v>
      </c>
      <c r="S989">
        <v>864</v>
      </c>
      <c r="T989">
        <v>0</v>
      </c>
      <c r="U989">
        <v>3413</v>
      </c>
      <c r="V989" s="1">
        <f t="shared" si="45"/>
        <v>0.1268</v>
      </c>
      <c r="W989" s="1">
        <f t="shared" si="46"/>
        <v>6.4000000000000003E-3</v>
      </c>
      <c r="X989" s="1">
        <f t="shared" si="47"/>
        <v>1.2999999999999999E-3</v>
      </c>
    </row>
    <row r="990" spans="1:24" x14ac:dyDescent="0.25">
      <c r="A990">
        <v>2018</v>
      </c>
      <c r="B990">
        <v>3</v>
      </c>
      <c r="C990" t="s">
        <v>51</v>
      </c>
      <c r="D990" t="str">
        <f>_xlfn.XLOOKUP(C990,'Carrier Name Rename'!A:A,'Carrier Name Rename'!B:B)</f>
        <v>Virgin America</v>
      </c>
      <c r="E990" t="s">
        <v>23</v>
      </c>
      <c r="F990" t="s">
        <v>24</v>
      </c>
      <c r="G990">
        <v>443</v>
      </c>
      <c r="H990">
        <v>125</v>
      </c>
      <c r="I990">
        <v>40.96</v>
      </c>
      <c r="J990">
        <v>0</v>
      </c>
      <c r="K990">
        <v>51.9</v>
      </c>
      <c r="L990">
        <v>1.25</v>
      </c>
      <c r="M990">
        <v>30.88</v>
      </c>
      <c r="N990">
        <v>13</v>
      </c>
      <c r="O990">
        <v>0</v>
      </c>
      <c r="P990">
        <v>6701</v>
      </c>
      <c r="Q990">
        <v>2689</v>
      </c>
      <c r="R990">
        <v>0</v>
      </c>
      <c r="S990">
        <v>1608</v>
      </c>
      <c r="T990">
        <v>26</v>
      </c>
      <c r="U990">
        <v>2378</v>
      </c>
      <c r="V990" s="1">
        <f t="shared" si="45"/>
        <v>0.28220000000000001</v>
      </c>
      <c r="W990" s="1">
        <f t="shared" si="46"/>
        <v>2.93E-2</v>
      </c>
      <c r="X990" s="1">
        <f t="shared" si="47"/>
        <v>0</v>
      </c>
    </row>
    <row r="991" spans="1:24" x14ac:dyDescent="0.25">
      <c r="A991">
        <v>2018</v>
      </c>
      <c r="B991">
        <v>3</v>
      </c>
      <c r="C991" t="s">
        <v>43</v>
      </c>
      <c r="D991" t="str">
        <f>_xlfn.XLOOKUP(C991,'Carrier Name Rename'!A:A,'Carrier Name Rename'!B:B)</f>
        <v>Southwest Airlines Co.</v>
      </c>
      <c r="E991" t="s">
        <v>23</v>
      </c>
      <c r="F991" t="s">
        <v>24</v>
      </c>
      <c r="G991">
        <v>963</v>
      </c>
      <c r="H991">
        <v>198</v>
      </c>
      <c r="I991">
        <v>75.180000000000007</v>
      </c>
      <c r="J991">
        <v>2.46</v>
      </c>
      <c r="K991">
        <v>29.43</v>
      </c>
      <c r="L991">
        <v>1</v>
      </c>
      <c r="M991">
        <v>89.93</v>
      </c>
      <c r="N991">
        <v>4</v>
      </c>
      <c r="O991">
        <v>0</v>
      </c>
      <c r="P991">
        <v>8403</v>
      </c>
      <c r="Q991">
        <v>3355</v>
      </c>
      <c r="R991">
        <v>66</v>
      </c>
      <c r="S991">
        <v>789</v>
      </c>
      <c r="T991">
        <v>53</v>
      </c>
      <c r="U991">
        <v>4140</v>
      </c>
      <c r="V991" s="1">
        <f t="shared" si="45"/>
        <v>0.2056</v>
      </c>
      <c r="W991" s="1">
        <f t="shared" si="46"/>
        <v>4.1999999999999997E-3</v>
      </c>
      <c r="X991" s="1">
        <f t="shared" si="47"/>
        <v>0</v>
      </c>
    </row>
    <row r="992" spans="1:24" x14ac:dyDescent="0.25">
      <c r="A992">
        <v>2018</v>
      </c>
      <c r="B992">
        <v>2</v>
      </c>
      <c r="C992" t="s">
        <v>31</v>
      </c>
      <c r="D992" t="str">
        <f>_xlfn.XLOOKUP(C992,'Carrier Name Rename'!A:A,'Carrier Name Rename'!B:B)</f>
        <v>American Airlines Inc.</v>
      </c>
      <c r="E992" t="s">
        <v>23</v>
      </c>
      <c r="F992" t="s">
        <v>24</v>
      </c>
      <c r="G992">
        <v>568</v>
      </c>
      <c r="H992">
        <v>139</v>
      </c>
      <c r="I992">
        <v>48.7</v>
      </c>
      <c r="J992">
        <v>6.49</v>
      </c>
      <c r="K992">
        <v>52.23</v>
      </c>
      <c r="L992">
        <v>1</v>
      </c>
      <c r="M992">
        <v>30.58</v>
      </c>
      <c r="N992">
        <v>3</v>
      </c>
      <c r="O992">
        <v>4</v>
      </c>
      <c r="P992">
        <v>6407</v>
      </c>
      <c r="Q992">
        <v>2532</v>
      </c>
      <c r="R992">
        <v>556</v>
      </c>
      <c r="S992">
        <v>1684</v>
      </c>
      <c r="T992">
        <v>63</v>
      </c>
      <c r="U992">
        <v>1572</v>
      </c>
      <c r="V992" s="1">
        <f t="shared" si="45"/>
        <v>0.2447</v>
      </c>
      <c r="W992" s="1">
        <f t="shared" si="46"/>
        <v>5.3E-3</v>
      </c>
      <c r="X992" s="1">
        <f t="shared" si="47"/>
        <v>7.0000000000000001E-3</v>
      </c>
    </row>
    <row r="993" spans="1:24" x14ac:dyDescent="0.25">
      <c r="A993">
        <v>2018</v>
      </c>
      <c r="B993">
        <v>2</v>
      </c>
      <c r="C993" t="s">
        <v>33</v>
      </c>
      <c r="D993" t="str">
        <f>_xlfn.XLOOKUP(C993,'Carrier Name Rename'!A:A,'Carrier Name Rename'!B:B)</f>
        <v>Alaska Airlines Inc.</v>
      </c>
      <c r="E993" t="s">
        <v>23</v>
      </c>
      <c r="F993" t="s">
        <v>24</v>
      </c>
      <c r="G993">
        <v>4222</v>
      </c>
      <c r="H993">
        <v>563</v>
      </c>
      <c r="I993">
        <v>123.01</v>
      </c>
      <c r="J993">
        <v>12.98</v>
      </c>
      <c r="K993">
        <v>270.91000000000003</v>
      </c>
      <c r="L993">
        <v>2.4500000000000002</v>
      </c>
      <c r="M993">
        <v>153.65</v>
      </c>
      <c r="N993">
        <v>14</v>
      </c>
      <c r="O993">
        <v>4</v>
      </c>
      <c r="P993">
        <v>25857</v>
      </c>
      <c r="Q993">
        <v>8760</v>
      </c>
      <c r="R993">
        <v>998</v>
      </c>
      <c r="S993">
        <v>7906</v>
      </c>
      <c r="T993">
        <v>104</v>
      </c>
      <c r="U993">
        <v>8089</v>
      </c>
      <c r="V993" s="1">
        <f t="shared" si="45"/>
        <v>0.1333</v>
      </c>
      <c r="W993" s="1">
        <f t="shared" si="46"/>
        <v>3.3E-3</v>
      </c>
      <c r="X993" s="1">
        <f t="shared" si="47"/>
        <v>8.9999999999999998E-4</v>
      </c>
    </row>
    <row r="994" spans="1:24" x14ac:dyDescent="0.25">
      <c r="A994">
        <v>2018</v>
      </c>
      <c r="B994">
        <v>2</v>
      </c>
      <c r="C994" t="s">
        <v>35</v>
      </c>
      <c r="D994" t="str">
        <f>_xlfn.XLOOKUP(C994,'Carrier Name Rename'!A:A,'Carrier Name Rename'!B:B)</f>
        <v>JetBlue Airways</v>
      </c>
      <c r="E994" t="s">
        <v>23</v>
      </c>
      <c r="F994" t="s">
        <v>24</v>
      </c>
      <c r="G994">
        <v>131</v>
      </c>
      <c r="H994">
        <v>37</v>
      </c>
      <c r="I994">
        <v>16.829999999999998</v>
      </c>
      <c r="J994">
        <v>0</v>
      </c>
      <c r="K994">
        <v>13.21</v>
      </c>
      <c r="L994">
        <v>0</v>
      </c>
      <c r="M994">
        <v>6.96</v>
      </c>
      <c r="N994">
        <v>0</v>
      </c>
      <c r="O994">
        <v>0</v>
      </c>
      <c r="P994">
        <v>2139</v>
      </c>
      <c r="Q994">
        <v>1269</v>
      </c>
      <c r="R994">
        <v>0</v>
      </c>
      <c r="S994">
        <v>508</v>
      </c>
      <c r="T994">
        <v>0</v>
      </c>
      <c r="U994">
        <v>362</v>
      </c>
      <c r="V994" s="1">
        <f t="shared" si="45"/>
        <v>0.28239999999999998</v>
      </c>
      <c r="W994" s="1">
        <f t="shared" si="46"/>
        <v>0</v>
      </c>
      <c r="X994" s="1">
        <f t="shared" si="47"/>
        <v>0</v>
      </c>
    </row>
    <row r="995" spans="1:24" x14ac:dyDescent="0.25">
      <c r="A995">
        <v>2018</v>
      </c>
      <c r="B995">
        <v>2</v>
      </c>
      <c r="C995" t="s">
        <v>47</v>
      </c>
      <c r="D995" t="str">
        <f>_xlfn.XLOOKUP(C995,'Carrier Name Rename'!A:A,'Carrier Name Rename'!B:B)</f>
        <v>Compass Airlines</v>
      </c>
      <c r="E995" t="s">
        <v>23</v>
      </c>
      <c r="F995" t="s">
        <v>24</v>
      </c>
      <c r="G995">
        <v>1047</v>
      </c>
      <c r="H995">
        <v>209</v>
      </c>
      <c r="I995">
        <v>52.98</v>
      </c>
      <c r="J995">
        <v>4.74</v>
      </c>
      <c r="K995">
        <v>65.58</v>
      </c>
      <c r="L995">
        <v>0</v>
      </c>
      <c r="M995">
        <v>85.69</v>
      </c>
      <c r="N995">
        <v>6</v>
      </c>
      <c r="O995">
        <v>1</v>
      </c>
      <c r="P995">
        <v>14777</v>
      </c>
      <c r="Q995">
        <v>4441</v>
      </c>
      <c r="R995">
        <v>710</v>
      </c>
      <c r="S995">
        <v>2667</v>
      </c>
      <c r="T995">
        <v>0</v>
      </c>
      <c r="U995">
        <v>6959</v>
      </c>
      <c r="V995" s="1">
        <f t="shared" si="45"/>
        <v>0.1996</v>
      </c>
      <c r="W995" s="1">
        <f t="shared" si="46"/>
        <v>5.7000000000000002E-3</v>
      </c>
      <c r="X995" s="1">
        <f t="shared" si="47"/>
        <v>1E-3</v>
      </c>
    </row>
    <row r="996" spans="1:24" x14ac:dyDescent="0.25">
      <c r="A996">
        <v>2018</v>
      </c>
      <c r="B996">
        <v>2</v>
      </c>
      <c r="C996" t="s">
        <v>37</v>
      </c>
      <c r="D996" t="str">
        <f>_xlfn.XLOOKUP(C996,'Carrier Name Rename'!A:A,'Carrier Name Rename'!B:B)</f>
        <v>Delta Air Lines Inc.</v>
      </c>
      <c r="E996" t="s">
        <v>23</v>
      </c>
      <c r="F996" t="s">
        <v>24</v>
      </c>
      <c r="G996">
        <v>1542</v>
      </c>
      <c r="H996">
        <v>269</v>
      </c>
      <c r="I996">
        <v>71.61</v>
      </c>
      <c r="J996">
        <v>8.9</v>
      </c>
      <c r="K996">
        <v>141.91</v>
      </c>
      <c r="L996">
        <v>0</v>
      </c>
      <c r="M996">
        <v>46.57</v>
      </c>
      <c r="N996">
        <v>0</v>
      </c>
      <c r="O996">
        <v>4</v>
      </c>
      <c r="P996">
        <v>16284</v>
      </c>
      <c r="Q996">
        <v>6950</v>
      </c>
      <c r="R996">
        <v>816</v>
      </c>
      <c r="S996">
        <v>4759</v>
      </c>
      <c r="T996">
        <v>0</v>
      </c>
      <c r="U996">
        <v>3759</v>
      </c>
      <c r="V996" s="1">
        <f t="shared" si="45"/>
        <v>0.1744</v>
      </c>
      <c r="W996" s="1">
        <f t="shared" si="46"/>
        <v>0</v>
      </c>
      <c r="X996" s="1">
        <f t="shared" si="47"/>
        <v>2.5999999999999999E-3</v>
      </c>
    </row>
    <row r="997" spans="1:24" x14ac:dyDescent="0.25">
      <c r="A997">
        <v>2018</v>
      </c>
      <c r="B997">
        <v>2</v>
      </c>
      <c r="C997" t="s">
        <v>39</v>
      </c>
      <c r="D997" t="str">
        <f>_xlfn.XLOOKUP(C997,'Carrier Name Rename'!A:A,'Carrier Name Rename'!B:B)</f>
        <v>Frontier Airlines Inc.</v>
      </c>
      <c r="E997" t="s">
        <v>23</v>
      </c>
      <c r="F997" t="s">
        <v>24</v>
      </c>
      <c r="G997">
        <v>40</v>
      </c>
      <c r="H997">
        <v>8</v>
      </c>
      <c r="I997">
        <v>2</v>
      </c>
      <c r="J997">
        <v>0</v>
      </c>
      <c r="K997">
        <v>4.0999999999999996</v>
      </c>
      <c r="L997">
        <v>0</v>
      </c>
      <c r="M997">
        <v>1.9</v>
      </c>
      <c r="N997">
        <v>0</v>
      </c>
      <c r="O997">
        <v>0</v>
      </c>
      <c r="P997">
        <v>219</v>
      </c>
      <c r="Q997">
        <v>54</v>
      </c>
      <c r="R997">
        <v>0</v>
      </c>
      <c r="S997">
        <v>133</v>
      </c>
      <c r="T997">
        <v>0</v>
      </c>
      <c r="U997">
        <v>32</v>
      </c>
      <c r="V997" s="1">
        <f t="shared" si="45"/>
        <v>0.2</v>
      </c>
      <c r="W997" s="1">
        <f t="shared" si="46"/>
        <v>0</v>
      </c>
      <c r="X997" s="1">
        <f t="shared" si="47"/>
        <v>0</v>
      </c>
    </row>
    <row r="998" spans="1:24" x14ac:dyDescent="0.25">
      <c r="A998">
        <v>2018</v>
      </c>
      <c r="B998">
        <v>2</v>
      </c>
      <c r="C998" t="s">
        <v>21</v>
      </c>
      <c r="D998" t="str">
        <f>_xlfn.XLOOKUP(C998,'Carrier Name Rename'!A:A,'Carrier Name Rename'!B:B)</f>
        <v>Hawaiian Airlines Inc.</v>
      </c>
      <c r="E998" t="s">
        <v>23</v>
      </c>
      <c r="F998" t="s">
        <v>24</v>
      </c>
      <c r="G998">
        <v>56</v>
      </c>
      <c r="H998">
        <v>35</v>
      </c>
      <c r="I998">
        <v>29.13</v>
      </c>
      <c r="J998">
        <v>0</v>
      </c>
      <c r="K998">
        <v>0.6</v>
      </c>
      <c r="L998">
        <v>0</v>
      </c>
      <c r="M998">
        <v>5.26</v>
      </c>
      <c r="N998">
        <v>0</v>
      </c>
      <c r="O998">
        <v>0</v>
      </c>
      <c r="P998">
        <v>1400</v>
      </c>
      <c r="Q998">
        <v>1079</v>
      </c>
      <c r="R998">
        <v>0</v>
      </c>
      <c r="S998">
        <v>21</v>
      </c>
      <c r="T998">
        <v>0</v>
      </c>
      <c r="U998">
        <v>300</v>
      </c>
      <c r="V998" s="1">
        <f t="shared" si="45"/>
        <v>0.625</v>
      </c>
      <c r="W998" s="1">
        <f t="shared" si="46"/>
        <v>0</v>
      </c>
      <c r="X998" s="1">
        <f t="shared" si="47"/>
        <v>0</v>
      </c>
    </row>
    <row r="999" spans="1:24" x14ac:dyDescent="0.25">
      <c r="A999">
        <v>2018</v>
      </c>
      <c r="B999">
        <v>2</v>
      </c>
      <c r="C999" t="s">
        <v>25</v>
      </c>
      <c r="D999" t="str">
        <f>_xlfn.XLOOKUP(C999,'Carrier Name Rename'!A:A,'Carrier Name Rename'!B:B)</f>
        <v>Spirit Airlines</v>
      </c>
      <c r="E999" t="s">
        <v>23</v>
      </c>
      <c r="F999" t="s">
        <v>24</v>
      </c>
      <c r="G999">
        <v>84</v>
      </c>
      <c r="H999">
        <v>19</v>
      </c>
      <c r="I999">
        <v>3.9</v>
      </c>
      <c r="J999">
        <v>0.4</v>
      </c>
      <c r="K999">
        <v>7.48</v>
      </c>
      <c r="L999">
        <v>0</v>
      </c>
      <c r="M999">
        <v>7.22</v>
      </c>
      <c r="N999">
        <v>1</v>
      </c>
      <c r="O999">
        <v>0</v>
      </c>
      <c r="P999">
        <v>1197</v>
      </c>
      <c r="Q999">
        <v>276</v>
      </c>
      <c r="R999">
        <v>10</v>
      </c>
      <c r="S999">
        <v>298</v>
      </c>
      <c r="T999">
        <v>0</v>
      </c>
      <c r="U999">
        <v>613</v>
      </c>
      <c r="V999" s="1">
        <f t="shared" si="45"/>
        <v>0.22620000000000001</v>
      </c>
      <c r="W999" s="1">
        <f t="shared" si="46"/>
        <v>1.1900000000000001E-2</v>
      </c>
      <c r="X999" s="1">
        <f t="shared" si="47"/>
        <v>0</v>
      </c>
    </row>
    <row r="1000" spans="1:24" x14ac:dyDescent="0.25">
      <c r="A1000">
        <v>2018</v>
      </c>
      <c r="B1000">
        <v>2</v>
      </c>
      <c r="C1000" t="s">
        <v>27</v>
      </c>
      <c r="D1000" t="str">
        <f>_xlfn.XLOOKUP(C1000,'Carrier Name Rename'!A:A,'Carrier Name Rename'!B:B)</f>
        <v>SkyWest Airlines Inc.</v>
      </c>
      <c r="E1000" t="s">
        <v>23</v>
      </c>
      <c r="F1000" t="s">
        <v>24</v>
      </c>
      <c r="G1000">
        <v>1259</v>
      </c>
      <c r="H1000">
        <v>172</v>
      </c>
      <c r="I1000">
        <v>23.85</v>
      </c>
      <c r="J1000">
        <v>3.73</v>
      </c>
      <c r="K1000">
        <v>80.36</v>
      </c>
      <c r="L1000">
        <v>0.61</v>
      </c>
      <c r="M1000">
        <v>63.45</v>
      </c>
      <c r="N1000">
        <v>8</v>
      </c>
      <c r="O1000">
        <v>0</v>
      </c>
      <c r="P1000">
        <v>10317</v>
      </c>
      <c r="Q1000">
        <v>2654</v>
      </c>
      <c r="R1000">
        <v>423</v>
      </c>
      <c r="S1000">
        <v>2897</v>
      </c>
      <c r="T1000">
        <v>44</v>
      </c>
      <c r="U1000">
        <v>4299</v>
      </c>
      <c r="V1000" s="1">
        <f t="shared" si="45"/>
        <v>0.1366</v>
      </c>
      <c r="W1000" s="1">
        <f t="shared" si="46"/>
        <v>6.4000000000000003E-3</v>
      </c>
      <c r="X1000" s="1">
        <f t="shared" si="47"/>
        <v>0</v>
      </c>
    </row>
    <row r="1001" spans="1:24" x14ac:dyDescent="0.25">
      <c r="A1001">
        <v>2018</v>
      </c>
      <c r="B1001">
        <v>2</v>
      </c>
      <c r="C1001" t="s">
        <v>29</v>
      </c>
      <c r="D1001" t="str">
        <f>_xlfn.XLOOKUP(C1001,'Carrier Name Rename'!A:A,'Carrier Name Rename'!B:B)</f>
        <v>Horizon Air</v>
      </c>
      <c r="E1001" t="s">
        <v>23</v>
      </c>
      <c r="F1001" t="s">
        <v>24</v>
      </c>
      <c r="G1001">
        <v>2097</v>
      </c>
      <c r="H1001">
        <v>334</v>
      </c>
      <c r="I1001">
        <v>47.1</v>
      </c>
      <c r="J1001">
        <v>30.23</v>
      </c>
      <c r="K1001">
        <v>155</v>
      </c>
      <c r="L1001">
        <v>0</v>
      </c>
      <c r="M1001">
        <v>101.67</v>
      </c>
      <c r="N1001">
        <v>32</v>
      </c>
      <c r="O1001">
        <v>3</v>
      </c>
      <c r="P1001">
        <v>14571</v>
      </c>
      <c r="Q1001">
        <v>2925</v>
      </c>
      <c r="R1001">
        <v>1744</v>
      </c>
      <c r="S1001">
        <v>4106</v>
      </c>
      <c r="T1001">
        <v>0</v>
      </c>
      <c r="U1001">
        <v>5796</v>
      </c>
      <c r="V1001" s="1">
        <f t="shared" si="45"/>
        <v>0.1593</v>
      </c>
      <c r="W1001" s="1">
        <f t="shared" si="46"/>
        <v>1.5299999999999999E-2</v>
      </c>
      <c r="X1001" s="1">
        <f t="shared" si="47"/>
        <v>1.4E-3</v>
      </c>
    </row>
    <row r="1002" spans="1:24" x14ac:dyDescent="0.25">
      <c r="A1002">
        <v>2018</v>
      </c>
      <c r="B1002">
        <v>2</v>
      </c>
      <c r="C1002" t="s">
        <v>41</v>
      </c>
      <c r="D1002" t="str">
        <f>_xlfn.XLOOKUP(C1002,'Carrier Name Rename'!A:A,'Carrier Name Rename'!B:B)</f>
        <v>United Air Lines Inc.</v>
      </c>
      <c r="E1002" t="s">
        <v>23</v>
      </c>
      <c r="F1002" t="s">
        <v>24</v>
      </c>
      <c r="G1002">
        <v>648</v>
      </c>
      <c r="H1002">
        <v>112</v>
      </c>
      <c r="I1002">
        <v>32.770000000000003</v>
      </c>
      <c r="J1002">
        <v>8.18</v>
      </c>
      <c r="K1002">
        <v>50.41</v>
      </c>
      <c r="L1002">
        <v>0</v>
      </c>
      <c r="M1002">
        <v>20.64</v>
      </c>
      <c r="N1002">
        <v>0</v>
      </c>
      <c r="O1002">
        <v>1</v>
      </c>
      <c r="P1002">
        <v>6444</v>
      </c>
      <c r="Q1002">
        <v>2617</v>
      </c>
      <c r="R1002">
        <v>290</v>
      </c>
      <c r="S1002">
        <v>1768</v>
      </c>
      <c r="T1002">
        <v>0</v>
      </c>
      <c r="U1002">
        <v>1769</v>
      </c>
      <c r="V1002" s="1">
        <f t="shared" si="45"/>
        <v>0.17280000000000001</v>
      </c>
      <c r="W1002" s="1">
        <f t="shared" si="46"/>
        <v>0</v>
      </c>
      <c r="X1002" s="1">
        <f t="shared" si="47"/>
        <v>1.5E-3</v>
      </c>
    </row>
    <row r="1003" spans="1:24" x14ac:dyDescent="0.25">
      <c r="A1003">
        <v>2018</v>
      </c>
      <c r="B1003">
        <v>2</v>
      </c>
      <c r="C1003" t="s">
        <v>51</v>
      </c>
      <c r="D1003" t="str">
        <f>_xlfn.XLOOKUP(C1003,'Carrier Name Rename'!A:A,'Carrier Name Rename'!B:B)</f>
        <v>Virgin America</v>
      </c>
      <c r="E1003" t="s">
        <v>23</v>
      </c>
      <c r="F1003" t="s">
        <v>24</v>
      </c>
      <c r="G1003">
        <v>228</v>
      </c>
      <c r="H1003">
        <v>67</v>
      </c>
      <c r="I1003">
        <v>20.45</v>
      </c>
      <c r="J1003">
        <v>0</v>
      </c>
      <c r="K1003">
        <v>28.85</v>
      </c>
      <c r="L1003">
        <v>0</v>
      </c>
      <c r="M1003">
        <v>17.7</v>
      </c>
      <c r="N1003">
        <v>1</v>
      </c>
      <c r="O1003">
        <v>0</v>
      </c>
      <c r="P1003">
        <v>3479</v>
      </c>
      <c r="Q1003">
        <v>1159</v>
      </c>
      <c r="R1003">
        <v>0</v>
      </c>
      <c r="S1003">
        <v>1013</v>
      </c>
      <c r="T1003">
        <v>0</v>
      </c>
      <c r="U1003">
        <v>1307</v>
      </c>
      <c r="V1003" s="1">
        <f t="shared" si="45"/>
        <v>0.29389999999999999</v>
      </c>
      <c r="W1003" s="1">
        <f t="shared" si="46"/>
        <v>4.4000000000000003E-3</v>
      </c>
      <c r="X1003" s="1">
        <f t="shared" si="47"/>
        <v>0</v>
      </c>
    </row>
    <row r="1004" spans="1:24" x14ac:dyDescent="0.25">
      <c r="A1004">
        <v>2018</v>
      </c>
      <c r="B1004">
        <v>2</v>
      </c>
      <c r="C1004" t="s">
        <v>43</v>
      </c>
      <c r="D1004" t="str">
        <f>_xlfn.XLOOKUP(C1004,'Carrier Name Rename'!A:A,'Carrier Name Rename'!B:B)</f>
        <v>Southwest Airlines Co.</v>
      </c>
      <c r="E1004" t="s">
        <v>23</v>
      </c>
      <c r="F1004" t="s">
        <v>24</v>
      </c>
      <c r="G1004">
        <v>758</v>
      </c>
      <c r="H1004">
        <v>191</v>
      </c>
      <c r="I1004">
        <v>64.22</v>
      </c>
      <c r="J1004">
        <v>3.66</v>
      </c>
      <c r="K1004">
        <v>37.630000000000003</v>
      </c>
      <c r="L1004">
        <v>1</v>
      </c>
      <c r="M1004">
        <v>84.48</v>
      </c>
      <c r="N1004">
        <v>2</v>
      </c>
      <c r="O1004">
        <v>1</v>
      </c>
      <c r="P1004">
        <v>7437</v>
      </c>
      <c r="Q1004">
        <v>2597</v>
      </c>
      <c r="R1004">
        <v>158</v>
      </c>
      <c r="S1004">
        <v>1132</v>
      </c>
      <c r="T1004">
        <v>27</v>
      </c>
      <c r="U1004">
        <v>3523</v>
      </c>
      <c r="V1004" s="1">
        <f t="shared" si="45"/>
        <v>0.252</v>
      </c>
      <c r="W1004" s="1">
        <f t="shared" si="46"/>
        <v>2.5999999999999999E-3</v>
      </c>
      <c r="X1004" s="1">
        <f t="shared" si="47"/>
        <v>1.2999999999999999E-3</v>
      </c>
    </row>
    <row r="1005" spans="1:24" x14ac:dyDescent="0.25">
      <c r="A1005">
        <v>2018</v>
      </c>
      <c r="B1005">
        <v>1</v>
      </c>
      <c r="C1005" t="s">
        <v>31</v>
      </c>
      <c r="D1005" t="str">
        <f>_xlfn.XLOOKUP(C1005,'Carrier Name Rename'!A:A,'Carrier Name Rename'!B:B)</f>
        <v>American Airlines Inc.</v>
      </c>
      <c r="E1005" t="s">
        <v>23</v>
      </c>
      <c r="F1005" t="s">
        <v>24</v>
      </c>
      <c r="G1005">
        <v>626</v>
      </c>
      <c r="H1005">
        <v>125</v>
      </c>
      <c r="I1005">
        <v>49.74</v>
      </c>
      <c r="J1005">
        <v>5.03</v>
      </c>
      <c r="K1005">
        <v>34.36</v>
      </c>
      <c r="L1005">
        <v>0</v>
      </c>
      <c r="M1005">
        <v>35.880000000000003</v>
      </c>
      <c r="N1005">
        <v>5</v>
      </c>
      <c r="O1005">
        <v>2</v>
      </c>
      <c r="P1005">
        <v>6304</v>
      </c>
      <c r="Q1005">
        <v>2612</v>
      </c>
      <c r="R1005">
        <v>280</v>
      </c>
      <c r="S1005">
        <v>1241</v>
      </c>
      <c r="T1005">
        <v>0</v>
      </c>
      <c r="U1005">
        <v>2171</v>
      </c>
      <c r="V1005" s="1">
        <f t="shared" si="45"/>
        <v>0.19969999999999999</v>
      </c>
      <c r="W1005" s="1">
        <f t="shared" si="46"/>
        <v>8.0000000000000002E-3</v>
      </c>
      <c r="X1005" s="1">
        <f t="shared" si="47"/>
        <v>3.2000000000000002E-3</v>
      </c>
    </row>
    <row r="1006" spans="1:24" x14ac:dyDescent="0.25">
      <c r="A1006">
        <v>2018</v>
      </c>
      <c r="B1006">
        <v>1</v>
      </c>
      <c r="C1006" t="s">
        <v>33</v>
      </c>
      <c r="D1006" t="str">
        <f>_xlfn.XLOOKUP(C1006,'Carrier Name Rename'!A:A,'Carrier Name Rename'!B:B)</f>
        <v>Alaska Airlines Inc.</v>
      </c>
      <c r="E1006" t="s">
        <v>23</v>
      </c>
      <c r="F1006" t="s">
        <v>24</v>
      </c>
      <c r="G1006">
        <v>4736</v>
      </c>
      <c r="H1006">
        <v>477</v>
      </c>
      <c r="I1006">
        <v>103.83</v>
      </c>
      <c r="J1006">
        <v>8.83</v>
      </c>
      <c r="K1006">
        <v>218.44</v>
      </c>
      <c r="L1006">
        <v>1.88</v>
      </c>
      <c r="M1006">
        <v>144.02000000000001</v>
      </c>
      <c r="N1006">
        <v>47</v>
      </c>
      <c r="O1006">
        <v>3</v>
      </c>
      <c r="P1006">
        <v>21018</v>
      </c>
      <c r="Q1006">
        <v>5453</v>
      </c>
      <c r="R1006">
        <v>679</v>
      </c>
      <c r="S1006">
        <v>6166</v>
      </c>
      <c r="T1006">
        <v>96</v>
      </c>
      <c r="U1006">
        <v>8624</v>
      </c>
      <c r="V1006" s="1">
        <f t="shared" si="45"/>
        <v>0.1007</v>
      </c>
      <c r="W1006" s="1">
        <f t="shared" si="46"/>
        <v>9.9000000000000008E-3</v>
      </c>
      <c r="X1006" s="1">
        <f t="shared" si="47"/>
        <v>5.9999999999999995E-4</v>
      </c>
    </row>
    <row r="1007" spans="1:24" x14ac:dyDescent="0.25">
      <c r="A1007">
        <v>2018</v>
      </c>
      <c r="B1007">
        <v>1</v>
      </c>
      <c r="C1007" t="s">
        <v>35</v>
      </c>
      <c r="D1007" t="str">
        <f>_xlfn.XLOOKUP(C1007,'Carrier Name Rename'!A:A,'Carrier Name Rename'!B:B)</f>
        <v>JetBlue Airways</v>
      </c>
      <c r="E1007" t="s">
        <v>23</v>
      </c>
      <c r="F1007" t="s">
        <v>24</v>
      </c>
      <c r="G1007">
        <v>143</v>
      </c>
      <c r="H1007">
        <v>35</v>
      </c>
      <c r="I1007">
        <v>16.32</v>
      </c>
      <c r="J1007">
        <v>1</v>
      </c>
      <c r="K1007">
        <v>7.43</v>
      </c>
      <c r="L1007">
        <v>0</v>
      </c>
      <c r="M1007">
        <v>10.25</v>
      </c>
      <c r="N1007">
        <v>4</v>
      </c>
      <c r="O1007">
        <v>2</v>
      </c>
      <c r="P1007">
        <v>2541</v>
      </c>
      <c r="Q1007">
        <v>1623</v>
      </c>
      <c r="R1007">
        <v>87</v>
      </c>
      <c r="S1007">
        <v>209</v>
      </c>
      <c r="T1007">
        <v>0</v>
      </c>
      <c r="U1007">
        <v>622</v>
      </c>
      <c r="V1007" s="1">
        <f t="shared" si="45"/>
        <v>0.24479999999999999</v>
      </c>
      <c r="W1007" s="1">
        <f t="shared" si="46"/>
        <v>2.8000000000000001E-2</v>
      </c>
      <c r="X1007" s="1">
        <f t="shared" si="47"/>
        <v>1.4E-2</v>
      </c>
    </row>
    <row r="1008" spans="1:24" x14ac:dyDescent="0.25">
      <c r="A1008">
        <v>2018</v>
      </c>
      <c r="B1008">
        <v>1</v>
      </c>
      <c r="C1008" t="s">
        <v>47</v>
      </c>
      <c r="D1008" t="str">
        <f>_xlfn.XLOOKUP(C1008,'Carrier Name Rename'!A:A,'Carrier Name Rename'!B:B)</f>
        <v>Compass Airlines</v>
      </c>
      <c r="E1008" t="s">
        <v>23</v>
      </c>
      <c r="F1008" t="s">
        <v>24</v>
      </c>
      <c r="G1008">
        <v>1106</v>
      </c>
      <c r="H1008">
        <v>159</v>
      </c>
      <c r="I1008">
        <v>49.25</v>
      </c>
      <c r="J1008">
        <v>4.9800000000000004</v>
      </c>
      <c r="K1008">
        <v>46.83</v>
      </c>
      <c r="L1008">
        <v>0</v>
      </c>
      <c r="M1008">
        <v>57.94</v>
      </c>
      <c r="N1008">
        <v>4</v>
      </c>
      <c r="O1008">
        <v>1</v>
      </c>
      <c r="P1008">
        <v>11289</v>
      </c>
      <c r="Q1008">
        <v>5756</v>
      </c>
      <c r="R1008">
        <v>303</v>
      </c>
      <c r="S1008">
        <v>1388</v>
      </c>
      <c r="T1008">
        <v>0</v>
      </c>
      <c r="U1008">
        <v>3842</v>
      </c>
      <c r="V1008" s="1">
        <f t="shared" si="45"/>
        <v>0.14380000000000001</v>
      </c>
      <c r="W1008" s="1">
        <f t="shared" si="46"/>
        <v>3.5999999999999999E-3</v>
      </c>
      <c r="X1008" s="1">
        <f t="shared" si="47"/>
        <v>8.9999999999999998E-4</v>
      </c>
    </row>
    <row r="1009" spans="1:24" x14ac:dyDescent="0.25">
      <c r="A1009">
        <v>2018</v>
      </c>
      <c r="B1009">
        <v>1</v>
      </c>
      <c r="C1009" t="s">
        <v>37</v>
      </c>
      <c r="D1009" t="str">
        <f>_xlfn.XLOOKUP(C1009,'Carrier Name Rename'!A:A,'Carrier Name Rename'!B:B)</f>
        <v>Delta Air Lines Inc.</v>
      </c>
      <c r="E1009" t="s">
        <v>23</v>
      </c>
      <c r="F1009" t="s">
        <v>24</v>
      </c>
      <c r="G1009">
        <v>1623</v>
      </c>
      <c r="H1009">
        <v>206</v>
      </c>
      <c r="I1009">
        <v>64.099999999999994</v>
      </c>
      <c r="J1009">
        <v>20.45</v>
      </c>
      <c r="K1009">
        <v>74.52</v>
      </c>
      <c r="L1009">
        <v>0</v>
      </c>
      <c r="M1009">
        <v>46.93</v>
      </c>
      <c r="N1009">
        <v>11</v>
      </c>
      <c r="O1009">
        <v>0</v>
      </c>
      <c r="P1009">
        <v>13127</v>
      </c>
      <c r="Q1009">
        <v>5580</v>
      </c>
      <c r="R1009">
        <v>1576</v>
      </c>
      <c r="S1009">
        <v>2321</v>
      </c>
      <c r="T1009">
        <v>0</v>
      </c>
      <c r="U1009">
        <v>3650</v>
      </c>
      <c r="V1009" s="1">
        <f t="shared" si="45"/>
        <v>0.12690000000000001</v>
      </c>
      <c r="W1009" s="1">
        <f t="shared" si="46"/>
        <v>6.7999999999999996E-3</v>
      </c>
      <c r="X1009" s="1">
        <f t="shared" si="47"/>
        <v>0</v>
      </c>
    </row>
    <row r="1010" spans="1:24" x14ac:dyDescent="0.25">
      <c r="A1010">
        <v>2018</v>
      </c>
      <c r="B1010">
        <v>1</v>
      </c>
      <c r="C1010" t="s">
        <v>39</v>
      </c>
      <c r="D1010" t="str">
        <f>_xlfn.XLOOKUP(C1010,'Carrier Name Rename'!A:A,'Carrier Name Rename'!B:B)</f>
        <v>Frontier Airlines Inc.</v>
      </c>
      <c r="E1010" t="s">
        <v>23</v>
      </c>
      <c r="F1010" t="s">
        <v>24</v>
      </c>
      <c r="G1010">
        <v>49</v>
      </c>
      <c r="H1010">
        <v>8</v>
      </c>
      <c r="I1010">
        <v>2.34</v>
      </c>
      <c r="J1010">
        <v>0</v>
      </c>
      <c r="K1010">
        <v>3.49</v>
      </c>
      <c r="L1010">
        <v>0</v>
      </c>
      <c r="M1010">
        <v>2.17</v>
      </c>
      <c r="N1010">
        <v>0</v>
      </c>
      <c r="O1010">
        <v>0</v>
      </c>
      <c r="P1010">
        <v>335</v>
      </c>
      <c r="Q1010">
        <v>96</v>
      </c>
      <c r="R1010">
        <v>0</v>
      </c>
      <c r="S1010">
        <v>70</v>
      </c>
      <c r="T1010">
        <v>0</v>
      </c>
      <c r="U1010">
        <v>169</v>
      </c>
      <c r="V1010" s="1">
        <f t="shared" si="45"/>
        <v>0.1633</v>
      </c>
      <c r="W1010" s="1">
        <f t="shared" si="46"/>
        <v>0</v>
      </c>
      <c r="X1010" s="1">
        <f t="shared" si="47"/>
        <v>0</v>
      </c>
    </row>
    <row r="1011" spans="1:24" x14ac:dyDescent="0.25">
      <c r="A1011">
        <v>2018</v>
      </c>
      <c r="B1011">
        <v>1</v>
      </c>
      <c r="C1011" t="s">
        <v>21</v>
      </c>
      <c r="D1011" t="str">
        <f>_xlfn.XLOOKUP(C1011,'Carrier Name Rename'!A:A,'Carrier Name Rename'!B:B)</f>
        <v>Hawaiian Airlines Inc.</v>
      </c>
      <c r="E1011" t="s">
        <v>23</v>
      </c>
      <c r="F1011" t="s">
        <v>24</v>
      </c>
      <c r="G1011">
        <v>69</v>
      </c>
      <c r="H1011">
        <v>21</v>
      </c>
      <c r="I1011">
        <v>18.489999999999998</v>
      </c>
      <c r="J1011">
        <v>0</v>
      </c>
      <c r="K1011">
        <v>0</v>
      </c>
      <c r="L1011">
        <v>0</v>
      </c>
      <c r="M1011">
        <v>2.5099999999999998</v>
      </c>
      <c r="N1011">
        <v>0</v>
      </c>
      <c r="O1011">
        <v>1</v>
      </c>
      <c r="P1011">
        <v>664</v>
      </c>
      <c r="Q1011">
        <v>600</v>
      </c>
      <c r="R1011">
        <v>0</v>
      </c>
      <c r="S1011">
        <v>0</v>
      </c>
      <c r="T1011">
        <v>0</v>
      </c>
      <c r="U1011">
        <v>64</v>
      </c>
      <c r="V1011" s="1">
        <f t="shared" si="45"/>
        <v>0.30430000000000001</v>
      </c>
      <c r="W1011" s="1">
        <f t="shared" si="46"/>
        <v>0</v>
      </c>
      <c r="X1011" s="1">
        <f t="shared" si="47"/>
        <v>1.4500000000000001E-2</v>
      </c>
    </row>
    <row r="1012" spans="1:24" x14ac:dyDescent="0.25">
      <c r="A1012">
        <v>2018</v>
      </c>
      <c r="B1012">
        <v>1</v>
      </c>
      <c r="C1012" t="s">
        <v>25</v>
      </c>
      <c r="D1012" t="str">
        <f>_xlfn.XLOOKUP(C1012,'Carrier Name Rename'!A:A,'Carrier Name Rename'!B:B)</f>
        <v>Spirit Airlines</v>
      </c>
      <c r="E1012" t="s">
        <v>23</v>
      </c>
      <c r="F1012" t="s">
        <v>24</v>
      </c>
      <c r="G1012">
        <v>93</v>
      </c>
      <c r="H1012">
        <v>11</v>
      </c>
      <c r="I1012">
        <v>5.47</v>
      </c>
      <c r="J1012">
        <v>0</v>
      </c>
      <c r="K1012">
        <v>2.68</v>
      </c>
      <c r="L1012">
        <v>0</v>
      </c>
      <c r="M1012">
        <v>2.85</v>
      </c>
      <c r="N1012">
        <v>0</v>
      </c>
      <c r="O1012">
        <v>0</v>
      </c>
      <c r="P1012">
        <v>1414</v>
      </c>
      <c r="Q1012">
        <v>1162</v>
      </c>
      <c r="R1012">
        <v>0</v>
      </c>
      <c r="S1012">
        <v>147</v>
      </c>
      <c r="T1012">
        <v>0</v>
      </c>
      <c r="U1012">
        <v>105</v>
      </c>
      <c r="V1012" s="1">
        <f t="shared" si="45"/>
        <v>0.1183</v>
      </c>
      <c r="W1012" s="1">
        <f t="shared" si="46"/>
        <v>0</v>
      </c>
      <c r="X1012" s="1">
        <f t="shared" si="47"/>
        <v>0</v>
      </c>
    </row>
    <row r="1013" spans="1:24" x14ac:dyDescent="0.25">
      <c r="A1013">
        <v>2018</v>
      </c>
      <c r="B1013">
        <v>1</v>
      </c>
      <c r="C1013" t="s">
        <v>27</v>
      </c>
      <c r="D1013" t="str">
        <f>_xlfn.XLOOKUP(C1013,'Carrier Name Rename'!A:A,'Carrier Name Rename'!B:B)</f>
        <v>SkyWest Airlines Inc.</v>
      </c>
      <c r="E1013" t="s">
        <v>23</v>
      </c>
      <c r="F1013" t="s">
        <v>24</v>
      </c>
      <c r="G1013">
        <v>1550</v>
      </c>
      <c r="H1013">
        <v>204</v>
      </c>
      <c r="I1013">
        <v>33.56</v>
      </c>
      <c r="J1013">
        <v>8.7899999999999991</v>
      </c>
      <c r="K1013">
        <v>57.93</v>
      </c>
      <c r="L1013">
        <v>0</v>
      </c>
      <c r="M1013">
        <v>103.71</v>
      </c>
      <c r="N1013">
        <v>36</v>
      </c>
      <c r="O1013">
        <v>0</v>
      </c>
      <c r="P1013">
        <v>16200</v>
      </c>
      <c r="Q1013">
        <v>5986</v>
      </c>
      <c r="R1013">
        <v>678</v>
      </c>
      <c r="S1013">
        <v>1879</v>
      </c>
      <c r="T1013">
        <v>0</v>
      </c>
      <c r="U1013">
        <v>7657</v>
      </c>
      <c r="V1013" s="1">
        <f t="shared" si="45"/>
        <v>0.13159999999999999</v>
      </c>
      <c r="W1013" s="1">
        <f t="shared" si="46"/>
        <v>2.3199999999999998E-2</v>
      </c>
      <c r="X1013" s="1">
        <f t="shared" si="47"/>
        <v>0</v>
      </c>
    </row>
    <row r="1014" spans="1:24" x14ac:dyDescent="0.25">
      <c r="A1014">
        <v>2018</v>
      </c>
      <c r="B1014">
        <v>1</v>
      </c>
      <c r="C1014" t="s">
        <v>29</v>
      </c>
      <c r="D1014" t="str">
        <f>_xlfn.XLOOKUP(C1014,'Carrier Name Rename'!A:A,'Carrier Name Rename'!B:B)</f>
        <v>Horizon Air</v>
      </c>
      <c r="E1014" t="s">
        <v>23</v>
      </c>
      <c r="F1014" t="s">
        <v>24</v>
      </c>
      <c r="G1014">
        <v>2389</v>
      </c>
      <c r="H1014">
        <v>254</v>
      </c>
      <c r="I1014">
        <v>39.479999999999997</v>
      </c>
      <c r="J1014">
        <v>11.48</v>
      </c>
      <c r="K1014">
        <v>126.47</v>
      </c>
      <c r="L1014">
        <v>0</v>
      </c>
      <c r="M1014">
        <v>76.569999999999993</v>
      </c>
      <c r="N1014">
        <v>33</v>
      </c>
      <c r="O1014">
        <v>10</v>
      </c>
      <c r="P1014">
        <v>11763</v>
      </c>
      <c r="Q1014">
        <v>3011</v>
      </c>
      <c r="R1014">
        <v>746</v>
      </c>
      <c r="S1014">
        <v>3302</v>
      </c>
      <c r="T1014">
        <v>0</v>
      </c>
      <c r="U1014">
        <v>4704</v>
      </c>
      <c r="V1014" s="1">
        <f t="shared" si="45"/>
        <v>0.10630000000000001</v>
      </c>
      <c r="W1014" s="1">
        <f t="shared" si="46"/>
        <v>1.38E-2</v>
      </c>
      <c r="X1014" s="1">
        <f t="shared" si="47"/>
        <v>4.1999999999999997E-3</v>
      </c>
    </row>
    <row r="1015" spans="1:24" x14ac:dyDescent="0.25">
      <c r="A1015">
        <v>2018</v>
      </c>
      <c r="B1015">
        <v>1</v>
      </c>
      <c r="C1015" t="s">
        <v>41</v>
      </c>
      <c r="D1015" t="str">
        <f>_xlfn.XLOOKUP(C1015,'Carrier Name Rename'!A:A,'Carrier Name Rename'!B:B)</f>
        <v>United Air Lines Inc.</v>
      </c>
      <c r="E1015" t="s">
        <v>23</v>
      </c>
      <c r="F1015" t="s">
        <v>24</v>
      </c>
      <c r="G1015">
        <v>755</v>
      </c>
      <c r="H1015">
        <v>83</v>
      </c>
      <c r="I1015">
        <v>31.38</v>
      </c>
      <c r="J1015">
        <v>6.66</v>
      </c>
      <c r="K1015">
        <v>21.09</v>
      </c>
      <c r="L1015">
        <v>0</v>
      </c>
      <c r="M1015">
        <v>23.87</v>
      </c>
      <c r="N1015">
        <v>7</v>
      </c>
      <c r="O1015">
        <v>1</v>
      </c>
      <c r="P1015">
        <v>4478</v>
      </c>
      <c r="Q1015">
        <v>1502</v>
      </c>
      <c r="R1015">
        <v>473</v>
      </c>
      <c r="S1015">
        <v>767</v>
      </c>
      <c r="T1015">
        <v>0</v>
      </c>
      <c r="U1015">
        <v>1736</v>
      </c>
      <c r="V1015" s="1">
        <f t="shared" si="45"/>
        <v>0.1099</v>
      </c>
      <c r="W1015" s="1">
        <f t="shared" si="46"/>
        <v>9.2999999999999992E-3</v>
      </c>
      <c r="X1015" s="1">
        <f t="shared" si="47"/>
        <v>1.2999999999999999E-3</v>
      </c>
    </row>
    <row r="1016" spans="1:24" x14ac:dyDescent="0.25">
      <c r="A1016">
        <v>2018</v>
      </c>
      <c r="B1016">
        <v>1</v>
      </c>
      <c r="C1016" t="s">
        <v>51</v>
      </c>
      <c r="D1016" t="str">
        <f>_xlfn.XLOOKUP(C1016,'Carrier Name Rename'!A:A,'Carrier Name Rename'!B:B)</f>
        <v>Virgin America</v>
      </c>
      <c r="E1016" t="s">
        <v>23</v>
      </c>
      <c r="F1016" t="s">
        <v>24</v>
      </c>
      <c r="G1016">
        <v>176</v>
      </c>
      <c r="H1016">
        <v>29</v>
      </c>
      <c r="I1016">
        <v>5.9</v>
      </c>
      <c r="J1016">
        <v>0</v>
      </c>
      <c r="K1016">
        <v>10.95</v>
      </c>
      <c r="L1016">
        <v>0</v>
      </c>
      <c r="M1016">
        <v>12.16</v>
      </c>
      <c r="N1016">
        <v>1</v>
      </c>
      <c r="O1016">
        <v>0</v>
      </c>
      <c r="P1016">
        <v>1001</v>
      </c>
      <c r="Q1016">
        <v>189</v>
      </c>
      <c r="R1016">
        <v>0</v>
      </c>
      <c r="S1016">
        <v>300</v>
      </c>
      <c r="T1016">
        <v>0</v>
      </c>
      <c r="U1016">
        <v>512</v>
      </c>
      <c r="V1016" s="1">
        <f t="shared" si="45"/>
        <v>0.1648</v>
      </c>
      <c r="W1016" s="1">
        <f t="shared" si="46"/>
        <v>5.7000000000000002E-3</v>
      </c>
      <c r="X1016" s="1">
        <f t="shared" si="47"/>
        <v>0</v>
      </c>
    </row>
    <row r="1017" spans="1:24" x14ac:dyDescent="0.25">
      <c r="A1017">
        <v>2018</v>
      </c>
      <c r="B1017">
        <v>1</v>
      </c>
      <c r="C1017" t="s">
        <v>43</v>
      </c>
      <c r="D1017" t="str">
        <f>_xlfn.XLOOKUP(C1017,'Carrier Name Rename'!A:A,'Carrier Name Rename'!B:B)</f>
        <v>Southwest Airlines Co.</v>
      </c>
      <c r="E1017" t="s">
        <v>23</v>
      </c>
      <c r="F1017" t="s">
        <v>24</v>
      </c>
      <c r="G1017">
        <v>898</v>
      </c>
      <c r="H1017">
        <v>121</v>
      </c>
      <c r="I1017">
        <v>42.1</v>
      </c>
      <c r="J1017">
        <v>1.43</v>
      </c>
      <c r="K1017">
        <v>22.36</v>
      </c>
      <c r="L1017">
        <v>7.0000000000000007E-2</v>
      </c>
      <c r="M1017">
        <v>55.04</v>
      </c>
      <c r="N1017">
        <v>4</v>
      </c>
      <c r="O1017">
        <v>2</v>
      </c>
      <c r="P1017">
        <v>5250</v>
      </c>
      <c r="Q1017">
        <v>1831</v>
      </c>
      <c r="R1017">
        <v>44</v>
      </c>
      <c r="S1017">
        <v>536</v>
      </c>
      <c r="T1017">
        <v>8</v>
      </c>
      <c r="U1017">
        <v>2831</v>
      </c>
      <c r="V1017" s="1">
        <f t="shared" si="45"/>
        <v>0.13469999999999999</v>
      </c>
      <c r="W1017" s="1">
        <f t="shared" si="46"/>
        <v>4.4999999999999997E-3</v>
      </c>
      <c r="X1017" s="1">
        <f t="shared" si="47"/>
        <v>2.2000000000000001E-3</v>
      </c>
    </row>
    <row r="1018" spans="1:24" x14ac:dyDescent="0.25">
      <c r="A1018">
        <v>2017</v>
      </c>
      <c r="B1018">
        <v>12</v>
      </c>
      <c r="C1018" t="s">
        <v>31</v>
      </c>
      <c r="D1018" t="str">
        <f>_xlfn.XLOOKUP(C1018,'Carrier Name Rename'!A:A,'Carrier Name Rename'!B:B)</f>
        <v>American Airlines Inc.</v>
      </c>
      <c r="E1018" t="s">
        <v>23</v>
      </c>
      <c r="F1018" t="s">
        <v>24</v>
      </c>
      <c r="G1018">
        <v>714</v>
      </c>
      <c r="H1018">
        <v>180</v>
      </c>
      <c r="I1018">
        <v>57.48</v>
      </c>
      <c r="J1018">
        <v>6.91</v>
      </c>
      <c r="K1018">
        <v>81.2</v>
      </c>
      <c r="L1018">
        <v>0.41</v>
      </c>
      <c r="M1018">
        <v>34</v>
      </c>
      <c r="N1018">
        <v>5</v>
      </c>
      <c r="O1018">
        <v>21</v>
      </c>
      <c r="P1018">
        <v>8996</v>
      </c>
      <c r="Q1018">
        <v>3126</v>
      </c>
      <c r="R1018">
        <v>536</v>
      </c>
      <c r="S1018">
        <v>2977</v>
      </c>
      <c r="T1018">
        <v>43</v>
      </c>
      <c r="U1018">
        <v>2314</v>
      </c>
      <c r="V1018" s="1">
        <f t="shared" si="45"/>
        <v>0.25209999999999999</v>
      </c>
      <c r="W1018" s="1">
        <f t="shared" si="46"/>
        <v>7.0000000000000001E-3</v>
      </c>
      <c r="X1018" s="1">
        <f t="shared" si="47"/>
        <v>2.9399999999999999E-2</v>
      </c>
    </row>
    <row r="1019" spans="1:24" x14ac:dyDescent="0.25">
      <c r="A1019">
        <v>2017</v>
      </c>
      <c r="B1019">
        <v>12</v>
      </c>
      <c r="C1019" t="s">
        <v>33</v>
      </c>
      <c r="D1019" t="str">
        <f>_xlfn.XLOOKUP(C1019,'Carrier Name Rename'!A:A,'Carrier Name Rename'!B:B)</f>
        <v>Alaska Airlines Inc.</v>
      </c>
      <c r="E1019" t="s">
        <v>23</v>
      </c>
      <c r="F1019" t="s">
        <v>24</v>
      </c>
      <c r="G1019">
        <v>4729</v>
      </c>
      <c r="H1019">
        <v>789</v>
      </c>
      <c r="I1019">
        <v>162.97</v>
      </c>
      <c r="J1019">
        <v>17.93</v>
      </c>
      <c r="K1019">
        <v>361.12</v>
      </c>
      <c r="L1019">
        <v>4.49</v>
      </c>
      <c r="M1019">
        <v>242.49</v>
      </c>
      <c r="N1019">
        <v>26</v>
      </c>
      <c r="O1019">
        <v>6</v>
      </c>
      <c r="P1019">
        <v>36188</v>
      </c>
      <c r="Q1019">
        <v>9589</v>
      </c>
      <c r="R1019">
        <v>1138</v>
      </c>
      <c r="S1019">
        <v>11750</v>
      </c>
      <c r="T1019">
        <v>137</v>
      </c>
      <c r="U1019">
        <v>13574</v>
      </c>
      <c r="V1019" s="1">
        <f t="shared" si="45"/>
        <v>0.1668</v>
      </c>
      <c r="W1019" s="1">
        <f t="shared" si="46"/>
        <v>5.4999999999999997E-3</v>
      </c>
      <c r="X1019" s="1">
        <f t="shared" si="47"/>
        <v>1.2999999999999999E-3</v>
      </c>
    </row>
    <row r="1020" spans="1:24" x14ac:dyDescent="0.25">
      <c r="A1020">
        <v>2017</v>
      </c>
      <c r="B1020">
        <v>12</v>
      </c>
      <c r="C1020" t="s">
        <v>35</v>
      </c>
      <c r="D1020" t="str">
        <f>_xlfn.XLOOKUP(C1020,'Carrier Name Rename'!A:A,'Carrier Name Rename'!B:B)</f>
        <v>JetBlue Airways</v>
      </c>
      <c r="E1020" t="s">
        <v>23</v>
      </c>
      <c r="F1020" t="s">
        <v>24</v>
      </c>
      <c r="G1020">
        <v>146</v>
      </c>
      <c r="H1020">
        <v>43</v>
      </c>
      <c r="I1020">
        <v>19.510000000000002</v>
      </c>
      <c r="J1020">
        <v>1.38</v>
      </c>
      <c r="K1020">
        <v>15.39</v>
      </c>
      <c r="L1020">
        <v>0</v>
      </c>
      <c r="M1020">
        <v>6.72</v>
      </c>
      <c r="N1020">
        <v>1</v>
      </c>
      <c r="O1020">
        <v>0</v>
      </c>
      <c r="P1020">
        <v>2319</v>
      </c>
      <c r="Q1020">
        <v>898</v>
      </c>
      <c r="R1020">
        <v>199</v>
      </c>
      <c r="S1020">
        <v>542</v>
      </c>
      <c r="T1020">
        <v>0</v>
      </c>
      <c r="U1020">
        <v>680</v>
      </c>
      <c r="V1020" s="1">
        <f t="shared" si="45"/>
        <v>0.29449999999999998</v>
      </c>
      <c r="W1020" s="1">
        <f t="shared" si="46"/>
        <v>6.7999999999999996E-3</v>
      </c>
      <c r="X1020" s="1">
        <f t="shared" si="47"/>
        <v>0</v>
      </c>
    </row>
    <row r="1021" spans="1:24" x14ac:dyDescent="0.25">
      <c r="A1021">
        <v>2017</v>
      </c>
      <c r="B1021">
        <v>12</v>
      </c>
      <c r="C1021" t="s">
        <v>27</v>
      </c>
      <c r="D1021" t="str">
        <f>_xlfn.XLOOKUP(C1021,'Carrier Name Rename'!A:A,'Carrier Name Rename'!B:B)</f>
        <v>SkyWest Airlines Inc.</v>
      </c>
      <c r="E1021" t="s">
        <v>23</v>
      </c>
      <c r="F1021" t="s">
        <v>24</v>
      </c>
      <c r="G1021">
        <v>1489</v>
      </c>
      <c r="H1021">
        <v>317</v>
      </c>
      <c r="I1021">
        <v>36.69</v>
      </c>
      <c r="J1021">
        <v>19.32</v>
      </c>
      <c r="K1021">
        <v>137.61000000000001</v>
      </c>
      <c r="L1021">
        <v>0</v>
      </c>
      <c r="M1021">
        <v>123.38</v>
      </c>
      <c r="N1021">
        <v>19</v>
      </c>
      <c r="O1021">
        <v>20</v>
      </c>
      <c r="P1021">
        <v>20402</v>
      </c>
      <c r="Q1021">
        <v>2898</v>
      </c>
      <c r="R1021">
        <v>1970</v>
      </c>
      <c r="S1021">
        <v>7065</v>
      </c>
      <c r="T1021">
        <v>0</v>
      </c>
      <c r="U1021">
        <v>8469</v>
      </c>
      <c r="V1021" s="1">
        <f t="shared" si="45"/>
        <v>0.21290000000000001</v>
      </c>
      <c r="W1021" s="1">
        <f t="shared" si="46"/>
        <v>1.2800000000000001E-2</v>
      </c>
      <c r="X1021" s="1">
        <f t="shared" si="47"/>
        <v>1.34E-2</v>
      </c>
    </row>
    <row r="1022" spans="1:24" x14ac:dyDescent="0.25">
      <c r="A1022">
        <v>2017</v>
      </c>
      <c r="B1022">
        <v>12</v>
      </c>
      <c r="C1022" t="s">
        <v>41</v>
      </c>
      <c r="D1022" t="str">
        <f>_xlfn.XLOOKUP(C1022,'Carrier Name Rename'!A:A,'Carrier Name Rename'!B:B)</f>
        <v>United Air Lines Inc.</v>
      </c>
      <c r="E1022" t="s">
        <v>23</v>
      </c>
      <c r="F1022" t="s">
        <v>24</v>
      </c>
      <c r="G1022">
        <v>836</v>
      </c>
      <c r="H1022">
        <v>182</v>
      </c>
      <c r="I1022">
        <v>50.69</v>
      </c>
      <c r="J1022">
        <v>11.64</v>
      </c>
      <c r="K1022">
        <v>85.18</v>
      </c>
      <c r="L1022">
        <v>0</v>
      </c>
      <c r="M1022">
        <v>34.479999999999997</v>
      </c>
      <c r="N1022">
        <v>0</v>
      </c>
      <c r="O1022">
        <v>7</v>
      </c>
      <c r="P1022">
        <v>9733</v>
      </c>
      <c r="Q1022">
        <v>2375</v>
      </c>
      <c r="R1022">
        <v>1199</v>
      </c>
      <c r="S1022">
        <v>3671</v>
      </c>
      <c r="T1022">
        <v>0</v>
      </c>
      <c r="U1022">
        <v>2488</v>
      </c>
      <c r="V1022" s="1">
        <f t="shared" si="45"/>
        <v>0.2177</v>
      </c>
      <c r="W1022" s="1">
        <f t="shared" si="46"/>
        <v>0</v>
      </c>
      <c r="X1022" s="1">
        <f t="shared" si="47"/>
        <v>8.3999999999999995E-3</v>
      </c>
    </row>
    <row r="1023" spans="1:24" x14ac:dyDescent="0.25">
      <c r="A1023">
        <v>2017</v>
      </c>
      <c r="B1023">
        <v>12</v>
      </c>
      <c r="C1023" t="s">
        <v>51</v>
      </c>
      <c r="D1023" t="str">
        <f>_xlfn.XLOOKUP(C1023,'Carrier Name Rename'!A:A,'Carrier Name Rename'!B:B)</f>
        <v>Virgin America</v>
      </c>
      <c r="E1023" t="s">
        <v>23</v>
      </c>
      <c r="F1023" t="s">
        <v>24</v>
      </c>
      <c r="G1023">
        <v>135</v>
      </c>
      <c r="H1023">
        <v>32</v>
      </c>
      <c r="I1023">
        <v>8.36</v>
      </c>
      <c r="J1023">
        <v>1</v>
      </c>
      <c r="K1023">
        <v>17.489999999999998</v>
      </c>
      <c r="L1023">
        <v>0</v>
      </c>
      <c r="M1023">
        <v>5.15</v>
      </c>
      <c r="N1023">
        <v>0</v>
      </c>
      <c r="O1023">
        <v>0</v>
      </c>
      <c r="P1023">
        <v>1554</v>
      </c>
      <c r="Q1023">
        <v>586</v>
      </c>
      <c r="R1023">
        <v>17</v>
      </c>
      <c r="S1023">
        <v>659</v>
      </c>
      <c r="T1023">
        <v>0</v>
      </c>
      <c r="U1023">
        <v>292</v>
      </c>
      <c r="V1023" s="1">
        <f t="shared" si="45"/>
        <v>0.23699999999999999</v>
      </c>
      <c r="W1023" s="1">
        <f t="shared" si="46"/>
        <v>0</v>
      </c>
      <c r="X1023" s="1">
        <f t="shared" si="47"/>
        <v>0</v>
      </c>
    </row>
    <row r="1024" spans="1:24" x14ac:dyDescent="0.25">
      <c r="A1024">
        <v>2017</v>
      </c>
      <c r="B1024">
        <v>12</v>
      </c>
      <c r="C1024" t="s">
        <v>43</v>
      </c>
      <c r="D1024" t="str">
        <f>_xlfn.XLOOKUP(C1024,'Carrier Name Rename'!A:A,'Carrier Name Rename'!B:B)</f>
        <v>Southwest Airlines Co.</v>
      </c>
      <c r="E1024" t="s">
        <v>23</v>
      </c>
      <c r="F1024" t="s">
        <v>24</v>
      </c>
      <c r="G1024">
        <v>965</v>
      </c>
      <c r="H1024">
        <v>230</v>
      </c>
      <c r="I1024">
        <v>78.489999999999995</v>
      </c>
      <c r="J1024">
        <v>4.46</v>
      </c>
      <c r="K1024">
        <v>60.6</v>
      </c>
      <c r="L1024">
        <v>1.8</v>
      </c>
      <c r="M1024">
        <v>84.65</v>
      </c>
      <c r="N1024">
        <v>2</v>
      </c>
      <c r="O1024">
        <v>7</v>
      </c>
      <c r="P1024">
        <v>9953</v>
      </c>
      <c r="Q1024">
        <v>3056</v>
      </c>
      <c r="R1024">
        <v>230</v>
      </c>
      <c r="S1024">
        <v>2496</v>
      </c>
      <c r="T1024">
        <v>86</v>
      </c>
      <c r="U1024">
        <v>4085</v>
      </c>
      <c r="V1024" s="1">
        <f t="shared" si="45"/>
        <v>0.23830000000000001</v>
      </c>
      <c r="W1024" s="1">
        <f t="shared" si="46"/>
        <v>2.0999999999999999E-3</v>
      </c>
      <c r="X1024" s="1">
        <f t="shared" si="47"/>
        <v>7.3000000000000001E-3</v>
      </c>
    </row>
    <row r="1025" spans="1:24" x14ac:dyDescent="0.25">
      <c r="A1025">
        <v>2017</v>
      </c>
      <c r="B1025">
        <v>12</v>
      </c>
      <c r="C1025" t="s">
        <v>37</v>
      </c>
      <c r="D1025" t="str">
        <f>_xlfn.XLOOKUP(C1025,'Carrier Name Rename'!A:A,'Carrier Name Rename'!B:B)</f>
        <v>Delta Air Lines Inc.</v>
      </c>
      <c r="E1025" t="s">
        <v>23</v>
      </c>
      <c r="F1025" t="s">
        <v>24</v>
      </c>
      <c r="G1025">
        <v>1791</v>
      </c>
      <c r="H1025">
        <v>294</v>
      </c>
      <c r="I1025">
        <v>77.23</v>
      </c>
      <c r="J1025">
        <v>13.88</v>
      </c>
      <c r="K1025">
        <v>142.87</v>
      </c>
      <c r="L1025">
        <v>0</v>
      </c>
      <c r="M1025">
        <v>60.01</v>
      </c>
      <c r="N1025">
        <v>6</v>
      </c>
      <c r="O1025">
        <v>18</v>
      </c>
      <c r="P1025">
        <v>15599</v>
      </c>
      <c r="Q1025">
        <v>4561</v>
      </c>
      <c r="R1025">
        <v>1092</v>
      </c>
      <c r="S1025">
        <v>5830</v>
      </c>
      <c r="T1025">
        <v>0</v>
      </c>
      <c r="U1025">
        <v>4116</v>
      </c>
      <c r="V1025" s="1">
        <f t="shared" si="45"/>
        <v>0.16420000000000001</v>
      </c>
      <c r="W1025" s="1">
        <f t="shared" si="46"/>
        <v>3.3999999999999998E-3</v>
      </c>
      <c r="X1025" s="1">
        <f t="shared" si="47"/>
        <v>1.01E-2</v>
      </c>
    </row>
    <row r="1026" spans="1:24" x14ac:dyDescent="0.25">
      <c r="A1026">
        <v>2017</v>
      </c>
      <c r="B1026">
        <v>12</v>
      </c>
      <c r="C1026" t="s">
        <v>39</v>
      </c>
      <c r="D1026" t="str">
        <f>_xlfn.XLOOKUP(C1026,'Carrier Name Rename'!A:A,'Carrier Name Rename'!B:B)</f>
        <v>Frontier Airlines Inc.</v>
      </c>
      <c r="E1026" t="s">
        <v>23</v>
      </c>
      <c r="F1026" t="s">
        <v>24</v>
      </c>
      <c r="G1026">
        <v>39</v>
      </c>
      <c r="H1026">
        <v>6</v>
      </c>
      <c r="I1026">
        <v>1.82</v>
      </c>
      <c r="J1026">
        <v>0</v>
      </c>
      <c r="K1026">
        <v>2.5499999999999998</v>
      </c>
      <c r="L1026">
        <v>0</v>
      </c>
      <c r="M1026">
        <v>1.63</v>
      </c>
      <c r="N1026">
        <v>0</v>
      </c>
      <c r="O1026">
        <v>0</v>
      </c>
      <c r="P1026">
        <v>324</v>
      </c>
      <c r="Q1026">
        <v>111</v>
      </c>
      <c r="R1026">
        <v>0</v>
      </c>
      <c r="S1026">
        <v>115</v>
      </c>
      <c r="T1026">
        <v>0</v>
      </c>
      <c r="U1026">
        <v>98</v>
      </c>
      <c r="V1026" s="1">
        <f t="shared" si="45"/>
        <v>0.15379999999999999</v>
      </c>
      <c r="W1026" s="1">
        <f t="shared" si="46"/>
        <v>0</v>
      </c>
      <c r="X1026" s="1">
        <f t="shared" si="47"/>
        <v>0</v>
      </c>
    </row>
    <row r="1027" spans="1:24" x14ac:dyDescent="0.25">
      <c r="A1027">
        <v>2017</v>
      </c>
      <c r="B1027">
        <v>12</v>
      </c>
      <c r="C1027" t="s">
        <v>21</v>
      </c>
      <c r="D1027" t="str">
        <f>_xlfn.XLOOKUP(C1027,'Carrier Name Rename'!A:A,'Carrier Name Rename'!B:B)</f>
        <v>Hawaiian Airlines Inc.</v>
      </c>
      <c r="E1027" t="s">
        <v>23</v>
      </c>
      <c r="F1027" t="s">
        <v>24</v>
      </c>
      <c r="G1027">
        <v>72</v>
      </c>
      <c r="H1027">
        <v>25</v>
      </c>
      <c r="I1027">
        <v>14.04</v>
      </c>
      <c r="J1027">
        <v>0.13</v>
      </c>
      <c r="K1027">
        <v>0</v>
      </c>
      <c r="L1027">
        <v>0</v>
      </c>
      <c r="M1027">
        <v>10.82</v>
      </c>
      <c r="N1027">
        <v>0</v>
      </c>
      <c r="O1027">
        <v>1</v>
      </c>
      <c r="P1027">
        <v>1075</v>
      </c>
      <c r="Q1027">
        <v>513</v>
      </c>
      <c r="R1027">
        <v>11</v>
      </c>
      <c r="S1027">
        <v>0</v>
      </c>
      <c r="T1027">
        <v>0</v>
      </c>
      <c r="U1027">
        <v>551</v>
      </c>
      <c r="V1027" s="1">
        <f t="shared" ref="V1027:V1090" si="48">ROUND(H1027/G1027,4)</f>
        <v>0.34720000000000001</v>
      </c>
      <c r="W1027" s="1">
        <f t="shared" ref="W1027:W1090" si="49">ROUND(N1027/G1027,4)</f>
        <v>0</v>
      </c>
      <c r="X1027" s="1">
        <f t="shared" ref="X1027:X1090" si="50">ROUND(O1027/G1027,4)</f>
        <v>1.3899999999999999E-2</v>
      </c>
    </row>
    <row r="1028" spans="1:24" x14ac:dyDescent="0.25">
      <c r="A1028">
        <v>2017</v>
      </c>
      <c r="B1028">
        <v>12</v>
      </c>
      <c r="C1028" t="s">
        <v>25</v>
      </c>
      <c r="D1028" t="str">
        <f>_xlfn.XLOOKUP(C1028,'Carrier Name Rename'!A:A,'Carrier Name Rename'!B:B)</f>
        <v>Spirit Airlines</v>
      </c>
      <c r="E1028" t="s">
        <v>23</v>
      </c>
      <c r="F1028" t="s">
        <v>24</v>
      </c>
      <c r="G1028">
        <v>93</v>
      </c>
      <c r="H1028">
        <v>26</v>
      </c>
      <c r="I1028">
        <v>7.56</v>
      </c>
      <c r="J1028">
        <v>0</v>
      </c>
      <c r="K1028">
        <v>12.21</v>
      </c>
      <c r="L1028">
        <v>0</v>
      </c>
      <c r="M1028">
        <v>6.23</v>
      </c>
      <c r="N1028">
        <v>0</v>
      </c>
      <c r="O1028">
        <v>0</v>
      </c>
      <c r="P1028">
        <v>1288</v>
      </c>
      <c r="Q1028">
        <v>417</v>
      </c>
      <c r="R1028">
        <v>0</v>
      </c>
      <c r="S1028">
        <v>550</v>
      </c>
      <c r="T1028">
        <v>0</v>
      </c>
      <c r="U1028">
        <v>321</v>
      </c>
      <c r="V1028" s="1">
        <f t="shared" si="48"/>
        <v>0.27960000000000002</v>
      </c>
      <c r="W1028" s="1">
        <f t="shared" si="49"/>
        <v>0</v>
      </c>
      <c r="X1028" s="1">
        <f t="shared" si="50"/>
        <v>0</v>
      </c>
    </row>
    <row r="1029" spans="1:24" x14ac:dyDescent="0.25">
      <c r="A1029">
        <v>2017</v>
      </c>
      <c r="B1029">
        <v>11</v>
      </c>
      <c r="C1029" t="s">
        <v>31</v>
      </c>
      <c r="D1029" t="str">
        <f>_xlfn.XLOOKUP(C1029,'Carrier Name Rename'!A:A,'Carrier Name Rename'!B:B)</f>
        <v>American Airlines Inc.</v>
      </c>
      <c r="E1029" t="s">
        <v>23</v>
      </c>
      <c r="F1029" t="s">
        <v>24</v>
      </c>
      <c r="G1029">
        <v>623</v>
      </c>
      <c r="H1029">
        <v>164</v>
      </c>
      <c r="I1029">
        <v>50.63</v>
      </c>
      <c r="J1029">
        <v>1.69</v>
      </c>
      <c r="K1029">
        <v>88.79</v>
      </c>
      <c r="L1029">
        <v>0</v>
      </c>
      <c r="M1029">
        <v>22.89</v>
      </c>
      <c r="N1029">
        <v>2</v>
      </c>
      <c r="O1029">
        <v>5</v>
      </c>
      <c r="P1029">
        <v>7627</v>
      </c>
      <c r="Q1029">
        <v>2292</v>
      </c>
      <c r="R1029">
        <v>58</v>
      </c>
      <c r="S1029">
        <v>3735</v>
      </c>
      <c r="T1029">
        <v>0</v>
      </c>
      <c r="U1029">
        <v>1542</v>
      </c>
      <c r="V1029" s="1">
        <f t="shared" si="48"/>
        <v>0.26319999999999999</v>
      </c>
      <c r="W1029" s="1">
        <f t="shared" si="49"/>
        <v>3.2000000000000002E-3</v>
      </c>
      <c r="X1029" s="1">
        <f t="shared" si="50"/>
        <v>8.0000000000000002E-3</v>
      </c>
    </row>
    <row r="1030" spans="1:24" x14ac:dyDescent="0.25">
      <c r="A1030">
        <v>2017</v>
      </c>
      <c r="B1030">
        <v>11</v>
      </c>
      <c r="C1030" t="s">
        <v>33</v>
      </c>
      <c r="D1030" t="str">
        <f>_xlfn.XLOOKUP(C1030,'Carrier Name Rename'!A:A,'Carrier Name Rename'!B:B)</f>
        <v>Alaska Airlines Inc.</v>
      </c>
      <c r="E1030" t="s">
        <v>23</v>
      </c>
      <c r="F1030" t="s">
        <v>24</v>
      </c>
      <c r="G1030">
        <v>4565</v>
      </c>
      <c r="H1030">
        <v>758</v>
      </c>
      <c r="I1030">
        <v>109.9</v>
      </c>
      <c r="J1030">
        <v>7.9</v>
      </c>
      <c r="K1030">
        <v>421.86</v>
      </c>
      <c r="L1030">
        <v>2.4700000000000002</v>
      </c>
      <c r="M1030">
        <v>215.87</v>
      </c>
      <c r="N1030">
        <v>47</v>
      </c>
      <c r="O1030">
        <v>6</v>
      </c>
      <c r="P1030">
        <v>41314</v>
      </c>
      <c r="Q1030">
        <v>6790</v>
      </c>
      <c r="R1030">
        <v>441</v>
      </c>
      <c r="S1030">
        <v>15908</v>
      </c>
      <c r="T1030">
        <v>405</v>
      </c>
      <c r="U1030">
        <v>17770</v>
      </c>
      <c r="V1030" s="1">
        <f t="shared" si="48"/>
        <v>0.16600000000000001</v>
      </c>
      <c r="W1030" s="1">
        <f t="shared" si="49"/>
        <v>1.03E-2</v>
      </c>
      <c r="X1030" s="1">
        <f t="shared" si="50"/>
        <v>1.2999999999999999E-3</v>
      </c>
    </row>
    <row r="1031" spans="1:24" x14ac:dyDescent="0.25">
      <c r="A1031">
        <v>2017</v>
      </c>
      <c r="B1031">
        <v>11</v>
      </c>
      <c r="C1031" t="s">
        <v>35</v>
      </c>
      <c r="D1031" t="str">
        <f>_xlfn.XLOOKUP(C1031,'Carrier Name Rename'!A:A,'Carrier Name Rename'!B:B)</f>
        <v>JetBlue Airways</v>
      </c>
      <c r="E1031" t="s">
        <v>23</v>
      </c>
      <c r="F1031" t="s">
        <v>24</v>
      </c>
      <c r="G1031">
        <v>138</v>
      </c>
      <c r="H1031">
        <v>44</v>
      </c>
      <c r="I1031">
        <v>11.34</v>
      </c>
      <c r="J1031">
        <v>0.87</v>
      </c>
      <c r="K1031">
        <v>26.91</v>
      </c>
      <c r="L1031">
        <v>0</v>
      </c>
      <c r="M1031">
        <v>4.88</v>
      </c>
      <c r="N1031">
        <v>0</v>
      </c>
      <c r="O1031">
        <v>2</v>
      </c>
      <c r="P1031">
        <v>2170</v>
      </c>
      <c r="Q1031">
        <v>565</v>
      </c>
      <c r="R1031">
        <v>99</v>
      </c>
      <c r="S1031">
        <v>1300</v>
      </c>
      <c r="T1031">
        <v>0</v>
      </c>
      <c r="U1031">
        <v>206</v>
      </c>
      <c r="V1031" s="1">
        <f t="shared" si="48"/>
        <v>0.31879999999999997</v>
      </c>
      <c r="W1031" s="1">
        <f t="shared" si="49"/>
        <v>0</v>
      </c>
      <c r="X1031" s="1">
        <f t="shared" si="50"/>
        <v>1.4500000000000001E-2</v>
      </c>
    </row>
    <row r="1032" spans="1:24" x14ac:dyDescent="0.25">
      <c r="A1032">
        <v>2017</v>
      </c>
      <c r="B1032">
        <v>11</v>
      </c>
      <c r="C1032" t="s">
        <v>37</v>
      </c>
      <c r="D1032" t="str">
        <f>_xlfn.XLOOKUP(C1032,'Carrier Name Rename'!A:A,'Carrier Name Rename'!B:B)</f>
        <v>Delta Air Lines Inc.</v>
      </c>
      <c r="E1032" t="s">
        <v>23</v>
      </c>
      <c r="F1032" t="s">
        <v>24</v>
      </c>
      <c r="G1032">
        <v>1716</v>
      </c>
      <c r="H1032">
        <v>245</v>
      </c>
      <c r="I1032">
        <v>47.5</v>
      </c>
      <c r="J1032">
        <v>0</v>
      </c>
      <c r="K1032">
        <v>162.68</v>
      </c>
      <c r="L1032">
        <v>0</v>
      </c>
      <c r="M1032">
        <v>34.82</v>
      </c>
      <c r="N1032">
        <v>0</v>
      </c>
      <c r="O1032">
        <v>0</v>
      </c>
      <c r="P1032">
        <v>13061</v>
      </c>
      <c r="Q1032">
        <v>2832</v>
      </c>
      <c r="R1032">
        <v>0</v>
      </c>
      <c r="S1032">
        <v>6939</v>
      </c>
      <c r="T1032">
        <v>0</v>
      </c>
      <c r="U1032">
        <v>3290</v>
      </c>
      <c r="V1032" s="1">
        <f t="shared" si="48"/>
        <v>0.14280000000000001</v>
      </c>
      <c r="W1032" s="1">
        <f t="shared" si="49"/>
        <v>0</v>
      </c>
      <c r="X1032" s="1">
        <f t="shared" si="50"/>
        <v>0</v>
      </c>
    </row>
    <row r="1033" spans="1:24" x14ac:dyDescent="0.25">
      <c r="A1033">
        <v>2017</v>
      </c>
      <c r="B1033">
        <v>11</v>
      </c>
      <c r="C1033" t="s">
        <v>39</v>
      </c>
      <c r="D1033" t="str">
        <f>_xlfn.XLOOKUP(C1033,'Carrier Name Rename'!A:A,'Carrier Name Rename'!B:B)</f>
        <v>Frontier Airlines Inc.</v>
      </c>
      <c r="E1033" t="s">
        <v>23</v>
      </c>
      <c r="F1033" t="s">
        <v>24</v>
      </c>
      <c r="G1033">
        <v>35</v>
      </c>
      <c r="H1033">
        <v>9</v>
      </c>
      <c r="I1033">
        <v>3.37</v>
      </c>
      <c r="J1033">
        <v>0</v>
      </c>
      <c r="K1033">
        <v>4.4400000000000004</v>
      </c>
      <c r="L1033">
        <v>0</v>
      </c>
      <c r="M1033">
        <v>1.19</v>
      </c>
      <c r="N1033">
        <v>0</v>
      </c>
      <c r="O1033">
        <v>0</v>
      </c>
      <c r="P1033">
        <v>485</v>
      </c>
      <c r="Q1033">
        <v>110</v>
      </c>
      <c r="R1033">
        <v>0</v>
      </c>
      <c r="S1033">
        <v>308</v>
      </c>
      <c r="T1033">
        <v>0</v>
      </c>
      <c r="U1033">
        <v>67</v>
      </c>
      <c r="V1033" s="1">
        <f t="shared" si="48"/>
        <v>0.2571</v>
      </c>
      <c r="W1033" s="1">
        <f t="shared" si="49"/>
        <v>0</v>
      </c>
      <c r="X1033" s="1">
        <f t="shared" si="50"/>
        <v>0</v>
      </c>
    </row>
    <row r="1034" spans="1:24" x14ac:dyDescent="0.25">
      <c r="A1034">
        <v>2017</v>
      </c>
      <c r="B1034">
        <v>11</v>
      </c>
      <c r="C1034" t="s">
        <v>21</v>
      </c>
      <c r="D1034" t="str">
        <f>_xlfn.XLOOKUP(C1034,'Carrier Name Rename'!A:A,'Carrier Name Rename'!B:B)</f>
        <v>Hawaiian Airlines Inc.</v>
      </c>
      <c r="E1034" t="s">
        <v>23</v>
      </c>
      <c r="F1034" t="s">
        <v>24</v>
      </c>
      <c r="G1034">
        <v>60</v>
      </c>
      <c r="H1034">
        <v>18</v>
      </c>
      <c r="I1034">
        <v>12.41</v>
      </c>
      <c r="J1034">
        <v>0</v>
      </c>
      <c r="K1034">
        <v>0.14000000000000001</v>
      </c>
      <c r="L1034">
        <v>0</v>
      </c>
      <c r="M1034">
        <v>5.45</v>
      </c>
      <c r="N1034">
        <v>0</v>
      </c>
      <c r="O1034">
        <v>0</v>
      </c>
      <c r="P1034">
        <v>775</v>
      </c>
      <c r="Q1034">
        <v>516</v>
      </c>
      <c r="R1034">
        <v>0</v>
      </c>
      <c r="S1034">
        <v>3</v>
      </c>
      <c r="T1034">
        <v>0</v>
      </c>
      <c r="U1034">
        <v>256</v>
      </c>
      <c r="V1034" s="1">
        <f t="shared" si="48"/>
        <v>0.3</v>
      </c>
      <c r="W1034" s="1">
        <f t="shared" si="49"/>
        <v>0</v>
      </c>
      <c r="X1034" s="1">
        <f t="shared" si="50"/>
        <v>0</v>
      </c>
    </row>
    <row r="1035" spans="1:24" x14ac:dyDescent="0.25">
      <c r="A1035">
        <v>2017</v>
      </c>
      <c r="B1035">
        <v>11</v>
      </c>
      <c r="C1035" t="s">
        <v>25</v>
      </c>
      <c r="D1035" t="str">
        <f>_xlfn.XLOOKUP(C1035,'Carrier Name Rename'!A:A,'Carrier Name Rename'!B:B)</f>
        <v>Spirit Airlines</v>
      </c>
      <c r="E1035" t="s">
        <v>23</v>
      </c>
      <c r="F1035" t="s">
        <v>24</v>
      </c>
      <c r="G1035">
        <v>103</v>
      </c>
      <c r="H1035">
        <v>27</v>
      </c>
      <c r="I1035">
        <v>4.5199999999999996</v>
      </c>
      <c r="J1035">
        <v>0</v>
      </c>
      <c r="K1035">
        <v>14.69</v>
      </c>
      <c r="L1035">
        <v>0.86</v>
      </c>
      <c r="M1035">
        <v>6.94</v>
      </c>
      <c r="N1035">
        <v>2</v>
      </c>
      <c r="O1035">
        <v>0</v>
      </c>
      <c r="P1035">
        <v>1359</v>
      </c>
      <c r="Q1035">
        <v>151</v>
      </c>
      <c r="R1035">
        <v>0</v>
      </c>
      <c r="S1035">
        <v>770</v>
      </c>
      <c r="T1035">
        <v>65</v>
      </c>
      <c r="U1035">
        <v>373</v>
      </c>
      <c r="V1035" s="1">
        <f t="shared" si="48"/>
        <v>0.2621</v>
      </c>
      <c r="W1035" s="1">
        <f t="shared" si="49"/>
        <v>1.9400000000000001E-2</v>
      </c>
      <c r="X1035" s="1">
        <f t="shared" si="50"/>
        <v>0</v>
      </c>
    </row>
    <row r="1036" spans="1:24" x14ac:dyDescent="0.25">
      <c r="A1036">
        <v>2017</v>
      </c>
      <c r="B1036">
        <v>11</v>
      </c>
      <c r="C1036" t="s">
        <v>27</v>
      </c>
      <c r="D1036" t="str">
        <f>_xlfn.XLOOKUP(C1036,'Carrier Name Rename'!A:A,'Carrier Name Rename'!B:B)</f>
        <v>SkyWest Airlines Inc.</v>
      </c>
      <c r="E1036" t="s">
        <v>23</v>
      </c>
      <c r="F1036" t="s">
        <v>24</v>
      </c>
      <c r="G1036">
        <v>1675</v>
      </c>
      <c r="H1036">
        <v>333</v>
      </c>
      <c r="I1036">
        <v>40.42</v>
      </c>
      <c r="J1036">
        <v>14.44</v>
      </c>
      <c r="K1036">
        <v>150.5</v>
      </c>
      <c r="L1036">
        <v>1</v>
      </c>
      <c r="M1036">
        <v>126.64</v>
      </c>
      <c r="N1036">
        <v>27</v>
      </c>
      <c r="O1036">
        <v>2</v>
      </c>
      <c r="P1036">
        <v>24985</v>
      </c>
      <c r="Q1036">
        <v>6670</v>
      </c>
      <c r="R1036">
        <v>1121</v>
      </c>
      <c r="S1036">
        <v>7258</v>
      </c>
      <c r="T1036">
        <v>91</v>
      </c>
      <c r="U1036">
        <v>9845</v>
      </c>
      <c r="V1036" s="1">
        <f t="shared" si="48"/>
        <v>0.1988</v>
      </c>
      <c r="W1036" s="1">
        <f t="shared" si="49"/>
        <v>1.61E-2</v>
      </c>
      <c r="X1036" s="1">
        <f t="shared" si="50"/>
        <v>1.1999999999999999E-3</v>
      </c>
    </row>
    <row r="1037" spans="1:24" x14ac:dyDescent="0.25">
      <c r="A1037">
        <v>2017</v>
      </c>
      <c r="B1037">
        <v>11</v>
      </c>
      <c r="C1037" t="s">
        <v>41</v>
      </c>
      <c r="D1037" t="str">
        <f>_xlfn.XLOOKUP(C1037,'Carrier Name Rename'!A:A,'Carrier Name Rename'!B:B)</f>
        <v>United Air Lines Inc.</v>
      </c>
      <c r="E1037" t="s">
        <v>23</v>
      </c>
      <c r="F1037" t="s">
        <v>24</v>
      </c>
      <c r="G1037">
        <v>825</v>
      </c>
      <c r="H1037">
        <v>160</v>
      </c>
      <c r="I1037">
        <v>35.32</v>
      </c>
      <c r="J1037">
        <v>0</v>
      </c>
      <c r="K1037">
        <v>87.99</v>
      </c>
      <c r="L1037">
        <v>0</v>
      </c>
      <c r="M1037">
        <v>36.69</v>
      </c>
      <c r="N1037">
        <v>1</v>
      </c>
      <c r="O1037">
        <v>3</v>
      </c>
      <c r="P1037">
        <v>9485</v>
      </c>
      <c r="Q1037">
        <v>2056</v>
      </c>
      <c r="R1037">
        <v>0</v>
      </c>
      <c r="S1037">
        <v>4940</v>
      </c>
      <c r="T1037">
        <v>0</v>
      </c>
      <c r="U1037">
        <v>2489</v>
      </c>
      <c r="V1037" s="1">
        <f t="shared" si="48"/>
        <v>0.19389999999999999</v>
      </c>
      <c r="W1037" s="1">
        <f t="shared" si="49"/>
        <v>1.1999999999999999E-3</v>
      </c>
      <c r="X1037" s="1">
        <f t="shared" si="50"/>
        <v>3.5999999999999999E-3</v>
      </c>
    </row>
    <row r="1038" spans="1:24" x14ac:dyDescent="0.25">
      <c r="A1038">
        <v>2017</v>
      </c>
      <c r="B1038">
        <v>11</v>
      </c>
      <c r="C1038" t="s">
        <v>51</v>
      </c>
      <c r="D1038" t="str">
        <f>_xlfn.XLOOKUP(C1038,'Carrier Name Rename'!A:A,'Carrier Name Rename'!B:B)</f>
        <v>Virgin America</v>
      </c>
      <c r="E1038" t="s">
        <v>23</v>
      </c>
      <c r="F1038" t="s">
        <v>24</v>
      </c>
      <c r="G1038">
        <v>147</v>
      </c>
      <c r="H1038">
        <v>39</v>
      </c>
      <c r="I1038">
        <v>8.48</v>
      </c>
      <c r="J1038">
        <v>0</v>
      </c>
      <c r="K1038">
        <v>15.78</v>
      </c>
      <c r="L1038">
        <v>0</v>
      </c>
      <c r="M1038">
        <v>14.74</v>
      </c>
      <c r="N1038">
        <v>0</v>
      </c>
      <c r="O1038">
        <v>0</v>
      </c>
      <c r="P1038">
        <v>2183</v>
      </c>
      <c r="Q1038">
        <v>692</v>
      </c>
      <c r="R1038">
        <v>0</v>
      </c>
      <c r="S1038">
        <v>945</v>
      </c>
      <c r="T1038">
        <v>0</v>
      </c>
      <c r="U1038">
        <v>546</v>
      </c>
      <c r="V1038" s="1">
        <f t="shared" si="48"/>
        <v>0.26529999999999998</v>
      </c>
      <c r="W1038" s="1">
        <f t="shared" si="49"/>
        <v>0</v>
      </c>
      <c r="X1038" s="1">
        <f t="shared" si="50"/>
        <v>0</v>
      </c>
    </row>
    <row r="1039" spans="1:24" x14ac:dyDescent="0.25">
      <c r="A1039">
        <v>2017</v>
      </c>
      <c r="B1039">
        <v>11</v>
      </c>
      <c r="C1039" t="s">
        <v>43</v>
      </c>
      <c r="D1039" t="str">
        <f>_xlfn.XLOOKUP(C1039,'Carrier Name Rename'!A:A,'Carrier Name Rename'!B:B)</f>
        <v>Southwest Airlines Co.</v>
      </c>
      <c r="E1039" t="s">
        <v>23</v>
      </c>
      <c r="F1039" t="s">
        <v>24</v>
      </c>
      <c r="G1039">
        <v>994</v>
      </c>
      <c r="H1039">
        <v>190</v>
      </c>
      <c r="I1039">
        <v>63.56</v>
      </c>
      <c r="J1039">
        <v>5.5</v>
      </c>
      <c r="K1039">
        <v>55.99</v>
      </c>
      <c r="L1039">
        <v>0.83</v>
      </c>
      <c r="M1039">
        <v>64.12</v>
      </c>
      <c r="N1039">
        <v>15</v>
      </c>
      <c r="O1039">
        <v>2</v>
      </c>
      <c r="P1039">
        <v>8656</v>
      </c>
      <c r="Q1039">
        <v>2696</v>
      </c>
      <c r="R1039">
        <v>582</v>
      </c>
      <c r="S1039">
        <v>2428</v>
      </c>
      <c r="T1039">
        <v>18</v>
      </c>
      <c r="U1039">
        <v>2932</v>
      </c>
      <c r="V1039" s="1">
        <f t="shared" si="48"/>
        <v>0.19109999999999999</v>
      </c>
      <c r="W1039" s="1">
        <f t="shared" si="49"/>
        <v>1.5100000000000001E-2</v>
      </c>
      <c r="X1039" s="1">
        <f t="shared" si="50"/>
        <v>2E-3</v>
      </c>
    </row>
    <row r="1040" spans="1:24" x14ac:dyDescent="0.25">
      <c r="A1040">
        <v>2017</v>
      </c>
      <c r="B1040">
        <v>10</v>
      </c>
      <c r="C1040" t="s">
        <v>31</v>
      </c>
      <c r="D1040" t="str">
        <f>_xlfn.XLOOKUP(C1040,'Carrier Name Rename'!A:A,'Carrier Name Rename'!B:B)</f>
        <v>American Airlines Inc.</v>
      </c>
      <c r="E1040" t="s">
        <v>23</v>
      </c>
      <c r="F1040" t="s">
        <v>24</v>
      </c>
      <c r="G1040">
        <v>730</v>
      </c>
      <c r="H1040">
        <v>131</v>
      </c>
      <c r="I1040">
        <v>52.71</v>
      </c>
      <c r="J1040">
        <v>0.84</v>
      </c>
      <c r="K1040">
        <v>56.55</v>
      </c>
      <c r="L1040">
        <v>0</v>
      </c>
      <c r="M1040">
        <v>20.9</v>
      </c>
      <c r="N1040">
        <v>1</v>
      </c>
      <c r="O1040">
        <v>0</v>
      </c>
      <c r="P1040">
        <v>5772</v>
      </c>
      <c r="Q1040">
        <v>2879</v>
      </c>
      <c r="R1040">
        <v>42</v>
      </c>
      <c r="S1040">
        <v>1619</v>
      </c>
      <c r="T1040">
        <v>0</v>
      </c>
      <c r="U1040">
        <v>1232</v>
      </c>
      <c r="V1040" s="1">
        <f t="shared" si="48"/>
        <v>0.17949999999999999</v>
      </c>
      <c r="W1040" s="1">
        <f t="shared" si="49"/>
        <v>1.4E-3</v>
      </c>
      <c r="X1040" s="1">
        <f t="shared" si="50"/>
        <v>0</v>
      </c>
    </row>
    <row r="1041" spans="1:24" x14ac:dyDescent="0.25">
      <c r="A1041">
        <v>2017</v>
      </c>
      <c r="B1041">
        <v>10</v>
      </c>
      <c r="C1041" t="s">
        <v>33</v>
      </c>
      <c r="D1041" t="str">
        <f>_xlfn.XLOOKUP(C1041,'Carrier Name Rename'!A:A,'Carrier Name Rename'!B:B)</f>
        <v>Alaska Airlines Inc.</v>
      </c>
      <c r="E1041" t="s">
        <v>23</v>
      </c>
      <c r="F1041" t="s">
        <v>24</v>
      </c>
      <c r="G1041">
        <v>4827</v>
      </c>
      <c r="H1041">
        <v>631</v>
      </c>
      <c r="I1041">
        <v>123.75</v>
      </c>
      <c r="J1041">
        <v>7.15</v>
      </c>
      <c r="K1041">
        <v>349.64</v>
      </c>
      <c r="L1041">
        <v>2</v>
      </c>
      <c r="M1041">
        <v>148.44999999999999</v>
      </c>
      <c r="N1041">
        <v>29</v>
      </c>
      <c r="O1041">
        <v>5</v>
      </c>
      <c r="P1041">
        <v>30797</v>
      </c>
      <c r="Q1041">
        <v>9218</v>
      </c>
      <c r="R1041">
        <v>489</v>
      </c>
      <c r="S1041">
        <v>12000</v>
      </c>
      <c r="T1041">
        <v>54</v>
      </c>
      <c r="U1041">
        <v>9036</v>
      </c>
      <c r="V1041" s="1">
        <f t="shared" si="48"/>
        <v>0.13070000000000001</v>
      </c>
      <c r="W1041" s="1">
        <f t="shared" si="49"/>
        <v>6.0000000000000001E-3</v>
      </c>
      <c r="X1041" s="1">
        <f t="shared" si="50"/>
        <v>1E-3</v>
      </c>
    </row>
    <row r="1042" spans="1:24" x14ac:dyDescent="0.25">
      <c r="A1042">
        <v>2017</v>
      </c>
      <c r="B1042">
        <v>10</v>
      </c>
      <c r="C1042" t="s">
        <v>35</v>
      </c>
      <c r="D1042" t="str">
        <f>_xlfn.XLOOKUP(C1042,'Carrier Name Rename'!A:A,'Carrier Name Rename'!B:B)</f>
        <v>JetBlue Airways</v>
      </c>
      <c r="E1042" t="s">
        <v>23</v>
      </c>
      <c r="F1042" t="s">
        <v>24</v>
      </c>
      <c r="G1042">
        <v>144</v>
      </c>
      <c r="H1042">
        <v>20</v>
      </c>
      <c r="I1042">
        <v>3.76</v>
      </c>
      <c r="J1042">
        <v>0</v>
      </c>
      <c r="K1042">
        <v>11.54</v>
      </c>
      <c r="L1042">
        <v>0.23</v>
      </c>
      <c r="M1042">
        <v>4.47</v>
      </c>
      <c r="N1042">
        <v>2</v>
      </c>
      <c r="O1042">
        <v>0</v>
      </c>
      <c r="P1042">
        <v>758</v>
      </c>
      <c r="Q1042">
        <v>189</v>
      </c>
      <c r="R1042">
        <v>0</v>
      </c>
      <c r="S1042">
        <v>378</v>
      </c>
      <c r="T1042">
        <v>10</v>
      </c>
      <c r="U1042">
        <v>181</v>
      </c>
      <c r="V1042" s="1">
        <f t="shared" si="48"/>
        <v>0.1389</v>
      </c>
      <c r="W1042" s="1">
        <f t="shared" si="49"/>
        <v>1.3899999999999999E-2</v>
      </c>
      <c r="X1042" s="1">
        <f t="shared" si="50"/>
        <v>0</v>
      </c>
    </row>
    <row r="1043" spans="1:24" x14ac:dyDescent="0.25">
      <c r="A1043">
        <v>2017</v>
      </c>
      <c r="B1043">
        <v>10</v>
      </c>
      <c r="C1043" t="s">
        <v>37</v>
      </c>
      <c r="D1043" t="str">
        <f>_xlfn.XLOOKUP(C1043,'Carrier Name Rename'!A:A,'Carrier Name Rename'!B:B)</f>
        <v>Delta Air Lines Inc.</v>
      </c>
      <c r="E1043" t="s">
        <v>23</v>
      </c>
      <c r="F1043" t="s">
        <v>24</v>
      </c>
      <c r="G1043">
        <v>1880</v>
      </c>
      <c r="H1043">
        <v>185</v>
      </c>
      <c r="I1043">
        <v>53.9</v>
      </c>
      <c r="J1043">
        <v>5.74</v>
      </c>
      <c r="K1043">
        <v>75.02</v>
      </c>
      <c r="L1043">
        <v>0</v>
      </c>
      <c r="M1043">
        <v>50.35</v>
      </c>
      <c r="N1043">
        <v>0</v>
      </c>
      <c r="O1043">
        <v>1</v>
      </c>
      <c r="P1043">
        <v>10509</v>
      </c>
      <c r="Q1043">
        <v>4043</v>
      </c>
      <c r="R1043">
        <v>374</v>
      </c>
      <c r="S1043">
        <v>2532</v>
      </c>
      <c r="T1043">
        <v>0</v>
      </c>
      <c r="U1043">
        <v>3560</v>
      </c>
      <c r="V1043" s="1">
        <f t="shared" si="48"/>
        <v>9.8400000000000001E-2</v>
      </c>
      <c r="W1043" s="1">
        <f t="shared" si="49"/>
        <v>0</v>
      </c>
      <c r="X1043" s="1">
        <f t="shared" si="50"/>
        <v>5.0000000000000001E-4</v>
      </c>
    </row>
    <row r="1044" spans="1:24" x14ac:dyDescent="0.25">
      <c r="A1044">
        <v>2017</v>
      </c>
      <c r="B1044">
        <v>10</v>
      </c>
      <c r="C1044" t="s">
        <v>41</v>
      </c>
      <c r="D1044" t="str">
        <f>_xlfn.XLOOKUP(C1044,'Carrier Name Rename'!A:A,'Carrier Name Rename'!B:B)</f>
        <v>United Air Lines Inc.</v>
      </c>
      <c r="E1044" t="s">
        <v>23</v>
      </c>
      <c r="F1044" t="s">
        <v>24</v>
      </c>
      <c r="G1044">
        <v>892</v>
      </c>
      <c r="H1044">
        <v>154</v>
      </c>
      <c r="I1044">
        <v>32.32</v>
      </c>
      <c r="J1044">
        <v>5.73</v>
      </c>
      <c r="K1044">
        <v>66.14</v>
      </c>
      <c r="L1044">
        <v>0</v>
      </c>
      <c r="M1044">
        <v>49.8</v>
      </c>
      <c r="N1044">
        <v>2</v>
      </c>
      <c r="O1044">
        <v>2</v>
      </c>
      <c r="P1044">
        <v>9306</v>
      </c>
      <c r="Q1044">
        <v>2186</v>
      </c>
      <c r="R1044">
        <v>282</v>
      </c>
      <c r="S1044">
        <v>2496</v>
      </c>
      <c r="T1044">
        <v>0</v>
      </c>
      <c r="U1044">
        <v>4342</v>
      </c>
      <c r="V1044" s="1">
        <f t="shared" si="48"/>
        <v>0.1726</v>
      </c>
      <c r="W1044" s="1">
        <f t="shared" si="49"/>
        <v>2.2000000000000001E-3</v>
      </c>
      <c r="X1044" s="1">
        <f t="shared" si="50"/>
        <v>2.2000000000000001E-3</v>
      </c>
    </row>
    <row r="1045" spans="1:24" x14ac:dyDescent="0.25">
      <c r="A1045">
        <v>2017</v>
      </c>
      <c r="B1045">
        <v>10</v>
      </c>
      <c r="C1045" t="s">
        <v>51</v>
      </c>
      <c r="D1045" t="str">
        <f>_xlfn.XLOOKUP(C1045,'Carrier Name Rename'!A:A,'Carrier Name Rename'!B:B)</f>
        <v>Virgin America</v>
      </c>
      <c r="E1045" t="s">
        <v>23</v>
      </c>
      <c r="F1045" t="s">
        <v>24</v>
      </c>
      <c r="G1045">
        <v>186</v>
      </c>
      <c r="H1045">
        <v>57</v>
      </c>
      <c r="I1045">
        <v>3.91</v>
      </c>
      <c r="J1045">
        <v>1</v>
      </c>
      <c r="K1045">
        <v>22.1</v>
      </c>
      <c r="L1045">
        <v>0.1</v>
      </c>
      <c r="M1045">
        <v>29.89</v>
      </c>
      <c r="N1045">
        <v>1</v>
      </c>
      <c r="O1045">
        <v>0</v>
      </c>
      <c r="P1045">
        <v>3000</v>
      </c>
      <c r="Q1045">
        <v>171</v>
      </c>
      <c r="R1045">
        <v>20</v>
      </c>
      <c r="S1045">
        <v>976</v>
      </c>
      <c r="T1045">
        <v>12</v>
      </c>
      <c r="U1045">
        <v>1821</v>
      </c>
      <c r="V1045" s="1">
        <f t="shared" si="48"/>
        <v>0.30649999999999999</v>
      </c>
      <c r="W1045" s="1">
        <f t="shared" si="49"/>
        <v>5.4000000000000003E-3</v>
      </c>
      <c r="X1045" s="1">
        <f t="shared" si="50"/>
        <v>0</v>
      </c>
    </row>
    <row r="1046" spans="1:24" x14ac:dyDescent="0.25">
      <c r="A1046">
        <v>2017</v>
      </c>
      <c r="B1046">
        <v>10</v>
      </c>
      <c r="C1046" t="s">
        <v>43</v>
      </c>
      <c r="D1046" t="str">
        <f>_xlfn.XLOOKUP(C1046,'Carrier Name Rename'!A:A,'Carrier Name Rename'!B:B)</f>
        <v>Southwest Airlines Co.</v>
      </c>
      <c r="E1046" t="s">
        <v>23</v>
      </c>
      <c r="F1046" t="s">
        <v>24</v>
      </c>
      <c r="G1046">
        <v>1041</v>
      </c>
      <c r="H1046">
        <v>177</v>
      </c>
      <c r="I1046">
        <v>53.22</v>
      </c>
      <c r="J1046">
        <v>1.4</v>
      </c>
      <c r="K1046">
        <v>63.02</v>
      </c>
      <c r="L1046">
        <v>0.17</v>
      </c>
      <c r="M1046">
        <v>59.2</v>
      </c>
      <c r="N1046">
        <v>1</v>
      </c>
      <c r="O1046">
        <v>1</v>
      </c>
      <c r="P1046">
        <v>8178</v>
      </c>
      <c r="Q1046">
        <v>2345</v>
      </c>
      <c r="R1046">
        <v>78</v>
      </c>
      <c r="S1046">
        <v>2813</v>
      </c>
      <c r="T1046">
        <v>5</v>
      </c>
      <c r="U1046">
        <v>2937</v>
      </c>
      <c r="V1046" s="1">
        <f t="shared" si="48"/>
        <v>0.17</v>
      </c>
      <c r="W1046" s="1">
        <f t="shared" si="49"/>
        <v>1E-3</v>
      </c>
      <c r="X1046" s="1">
        <f t="shared" si="50"/>
        <v>1E-3</v>
      </c>
    </row>
    <row r="1047" spans="1:24" x14ac:dyDescent="0.25">
      <c r="A1047">
        <v>2017</v>
      </c>
      <c r="B1047">
        <v>10</v>
      </c>
      <c r="C1047" t="s">
        <v>39</v>
      </c>
      <c r="D1047" t="str">
        <f>_xlfn.XLOOKUP(C1047,'Carrier Name Rename'!A:A,'Carrier Name Rename'!B:B)</f>
        <v>Frontier Airlines Inc.</v>
      </c>
      <c r="E1047" t="s">
        <v>23</v>
      </c>
      <c r="F1047" t="s">
        <v>24</v>
      </c>
      <c r="G1047">
        <v>48</v>
      </c>
      <c r="H1047">
        <v>11</v>
      </c>
      <c r="I1047">
        <v>2.82</v>
      </c>
      <c r="J1047">
        <v>0</v>
      </c>
      <c r="K1047">
        <v>4.2300000000000004</v>
      </c>
      <c r="L1047">
        <v>0</v>
      </c>
      <c r="M1047">
        <v>3.95</v>
      </c>
      <c r="N1047">
        <v>0</v>
      </c>
      <c r="O1047">
        <v>1</v>
      </c>
      <c r="P1047">
        <v>360</v>
      </c>
      <c r="Q1047">
        <v>93</v>
      </c>
      <c r="R1047">
        <v>0</v>
      </c>
      <c r="S1047">
        <v>154</v>
      </c>
      <c r="T1047">
        <v>0</v>
      </c>
      <c r="U1047">
        <v>113</v>
      </c>
      <c r="V1047" s="1">
        <f t="shared" si="48"/>
        <v>0.22919999999999999</v>
      </c>
      <c r="W1047" s="1">
        <f t="shared" si="49"/>
        <v>0</v>
      </c>
      <c r="X1047" s="1">
        <f t="shared" si="50"/>
        <v>2.0799999999999999E-2</v>
      </c>
    </row>
    <row r="1048" spans="1:24" x14ac:dyDescent="0.25">
      <c r="A1048">
        <v>2017</v>
      </c>
      <c r="B1048">
        <v>10</v>
      </c>
      <c r="C1048" t="s">
        <v>21</v>
      </c>
      <c r="D1048" t="str">
        <f>_xlfn.XLOOKUP(C1048,'Carrier Name Rename'!A:A,'Carrier Name Rename'!B:B)</f>
        <v>Hawaiian Airlines Inc.</v>
      </c>
      <c r="E1048" t="s">
        <v>23</v>
      </c>
      <c r="F1048" t="s">
        <v>24</v>
      </c>
      <c r="G1048">
        <v>62</v>
      </c>
      <c r="H1048">
        <v>23</v>
      </c>
      <c r="I1048">
        <v>17.010000000000002</v>
      </c>
      <c r="J1048">
        <v>0</v>
      </c>
      <c r="K1048">
        <v>0</v>
      </c>
      <c r="L1048">
        <v>1</v>
      </c>
      <c r="M1048">
        <v>4.99</v>
      </c>
      <c r="N1048">
        <v>0</v>
      </c>
      <c r="O1048">
        <v>1</v>
      </c>
      <c r="P1048">
        <v>927</v>
      </c>
      <c r="Q1048">
        <v>543</v>
      </c>
      <c r="R1048">
        <v>0</v>
      </c>
      <c r="S1048">
        <v>0</v>
      </c>
      <c r="T1048">
        <v>28</v>
      </c>
      <c r="U1048">
        <v>356</v>
      </c>
      <c r="V1048" s="1">
        <f t="shared" si="48"/>
        <v>0.371</v>
      </c>
      <c r="W1048" s="1">
        <f t="shared" si="49"/>
        <v>0</v>
      </c>
      <c r="X1048" s="1">
        <f t="shared" si="50"/>
        <v>1.61E-2</v>
      </c>
    </row>
    <row r="1049" spans="1:24" x14ac:dyDescent="0.25">
      <c r="A1049">
        <v>2017</v>
      </c>
      <c r="B1049">
        <v>10</v>
      </c>
      <c r="C1049" t="s">
        <v>25</v>
      </c>
      <c r="D1049" t="str">
        <f>_xlfn.XLOOKUP(C1049,'Carrier Name Rename'!A:A,'Carrier Name Rename'!B:B)</f>
        <v>Spirit Airlines</v>
      </c>
      <c r="E1049" t="s">
        <v>23</v>
      </c>
      <c r="F1049" t="s">
        <v>24</v>
      </c>
      <c r="G1049">
        <v>146</v>
      </c>
      <c r="H1049">
        <v>27</v>
      </c>
      <c r="I1049">
        <v>4.93</v>
      </c>
      <c r="J1049">
        <v>0</v>
      </c>
      <c r="K1049">
        <v>13.15</v>
      </c>
      <c r="L1049">
        <v>0</v>
      </c>
      <c r="M1049">
        <v>8.92</v>
      </c>
      <c r="N1049">
        <v>0</v>
      </c>
      <c r="O1049">
        <v>1</v>
      </c>
      <c r="P1049">
        <v>1603</v>
      </c>
      <c r="Q1049">
        <v>335</v>
      </c>
      <c r="R1049">
        <v>0</v>
      </c>
      <c r="S1049">
        <v>649</v>
      </c>
      <c r="T1049">
        <v>0</v>
      </c>
      <c r="U1049">
        <v>619</v>
      </c>
      <c r="V1049" s="1">
        <f t="shared" si="48"/>
        <v>0.18490000000000001</v>
      </c>
      <c r="W1049" s="1">
        <f t="shared" si="49"/>
        <v>0</v>
      </c>
      <c r="X1049" s="1">
        <f t="shared" si="50"/>
        <v>6.7999999999999996E-3</v>
      </c>
    </row>
    <row r="1050" spans="1:24" x14ac:dyDescent="0.25">
      <c r="A1050">
        <v>2017</v>
      </c>
      <c r="B1050">
        <v>10</v>
      </c>
      <c r="C1050" t="s">
        <v>27</v>
      </c>
      <c r="D1050" t="str">
        <f>_xlfn.XLOOKUP(C1050,'Carrier Name Rename'!A:A,'Carrier Name Rename'!B:B)</f>
        <v>SkyWest Airlines Inc.</v>
      </c>
      <c r="E1050" t="s">
        <v>23</v>
      </c>
      <c r="F1050" t="s">
        <v>24</v>
      </c>
      <c r="G1050">
        <v>1729</v>
      </c>
      <c r="H1050">
        <v>397</v>
      </c>
      <c r="I1050">
        <v>56.69</v>
      </c>
      <c r="J1050">
        <v>16.45</v>
      </c>
      <c r="K1050">
        <v>161.62</v>
      </c>
      <c r="L1050">
        <v>0</v>
      </c>
      <c r="M1050">
        <v>162.24</v>
      </c>
      <c r="N1050">
        <v>55</v>
      </c>
      <c r="O1050">
        <v>7</v>
      </c>
      <c r="P1050">
        <v>25863</v>
      </c>
      <c r="Q1050">
        <v>5663</v>
      </c>
      <c r="R1050">
        <v>1428</v>
      </c>
      <c r="S1050">
        <v>6201</v>
      </c>
      <c r="T1050">
        <v>0</v>
      </c>
      <c r="U1050">
        <v>12571</v>
      </c>
      <c r="V1050" s="1">
        <f t="shared" si="48"/>
        <v>0.2296</v>
      </c>
      <c r="W1050" s="1">
        <f t="shared" si="49"/>
        <v>3.1800000000000002E-2</v>
      </c>
      <c r="X1050" s="1">
        <f t="shared" si="50"/>
        <v>4.0000000000000001E-3</v>
      </c>
    </row>
    <row r="1051" spans="1:24" x14ac:dyDescent="0.25">
      <c r="A1051">
        <v>2017</v>
      </c>
      <c r="B1051">
        <v>9</v>
      </c>
      <c r="C1051" t="s">
        <v>31</v>
      </c>
      <c r="D1051" t="str">
        <f>_xlfn.XLOOKUP(C1051,'Carrier Name Rename'!A:A,'Carrier Name Rename'!B:B)</f>
        <v>American Airlines Inc.</v>
      </c>
      <c r="E1051" t="s">
        <v>23</v>
      </c>
      <c r="F1051" t="s">
        <v>24</v>
      </c>
      <c r="G1051">
        <v>763</v>
      </c>
      <c r="H1051">
        <v>81</v>
      </c>
      <c r="I1051">
        <v>39.56</v>
      </c>
      <c r="J1051">
        <v>2.08</v>
      </c>
      <c r="K1051">
        <v>20.86</v>
      </c>
      <c r="L1051">
        <v>0</v>
      </c>
      <c r="M1051">
        <v>18.5</v>
      </c>
      <c r="N1051">
        <v>7</v>
      </c>
      <c r="O1051">
        <v>0</v>
      </c>
      <c r="P1051">
        <v>4791</v>
      </c>
      <c r="Q1051">
        <v>2608</v>
      </c>
      <c r="R1051">
        <v>144</v>
      </c>
      <c r="S1051">
        <v>859</v>
      </c>
      <c r="T1051">
        <v>0</v>
      </c>
      <c r="U1051">
        <v>1180</v>
      </c>
      <c r="V1051" s="1">
        <f t="shared" si="48"/>
        <v>0.1062</v>
      </c>
      <c r="W1051" s="1">
        <f t="shared" si="49"/>
        <v>9.1999999999999998E-3</v>
      </c>
      <c r="X1051" s="1">
        <f t="shared" si="50"/>
        <v>0</v>
      </c>
    </row>
    <row r="1052" spans="1:24" x14ac:dyDescent="0.25">
      <c r="A1052">
        <v>2017</v>
      </c>
      <c r="B1052">
        <v>9</v>
      </c>
      <c r="C1052" t="s">
        <v>33</v>
      </c>
      <c r="D1052" t="str">
        <f>_xlfn.XLOOKUP(C1052,'Carrier Name Rename'!A:A,'Carrier Name Rename'!B:B)</f>
        <v>Alaska Airlines Inc.</v>
      </c>
      <c r="E1052" t="s">
        <v>23</v>
      </c>
      <c r="F1052" t="s">
        <v>24</v>
      </c>
      <c r="G1052">
        <v>4882</v>
      </c>
      <c r="H1052">
        <v>573</v>
      </c>
      <c r="I1052">
        <v>127.28</v>
      </c>
      <c r="J1052">
        <v>9.15</v>
      </c>
      <c r="K1052">
        <v>292.02</v>
      </c>
      <c r="L1052">
        <v>0.9</v>
      </c>
      <c r="M1052">
        <v>143.63</v>
      </c>
      <c r="N1052">
        <v>31</v>
      </c>
      <c r="O1052">
        <v>5</v>
      </c>
      <c r="P1052">
        <v>24677</v>
      </c>
      <c r="Q1052">
        <v>8436</v>
      </c>
      <c r="R1052">
        <v>617</v>
      </c>
      <c r="S1052">
        <v>7644</v>
      </c>
      <c r="T1052">
        <v>30</v>
      </c>
      <c r="U1052">
        <v>7950</v>
      </c>
      <c r="V1052" s="1">
        <f t="shared" si="48"/>
        <v>0.1174</v>
      </c>
      <c r="W1052" s="1">
        <f t="shared" si="49"/>
        <v>6.3E-3</v>
      </c>
      <c r="X1052" s="1">
        <f t="shared" si="50"/>
        <v>1E-3</v>
      </c>
    </row>
    <row r="1053" spans="1:24" x14ac:dyDescent="0.25">
      <c r="A1053">
        <v>2017</v>
      </c>
      <c r="B1053">
        <v>9</v>
      </c>
      <c r="C1053" t="s">
        <v>35</v>
      </c>
      <c r="D1053" t="str">
        <f>_xlfn.XLOOKUP(C1053,'Carrier Name Rename'!A:A,'Carrier Name Rename'!B:B)</f>
        <v>JetBlue Airways</v>
      </c>
      <c r="E1053" t="s">
        <v>23</v>
      </c>
      <c r="F1053" t="s">
        <v>24</v>
      </c>
      <c r="G1053">
        <v>158</v>
      </c>
      <c r="H1053">
        <v>23</v>
      </c>
      <c r="I1053">
        <v>7.32</v>
      </c>
      <c r="J1053">
        <v>1.64</v>
      </c>
      <c r="K1053">
        <v>7.06</v>
      </c>
      <c r="L1053">
        <v>0</v>
      </c>
      <c r="M1053">
        <v>6.98</v>
      </c>
      <c r="N1053">
        <v>0</v>
      </c>
      <c r="O1053">
        <v>0</v>
      </c>
      <c r="P1053">
        <v>1512</v>
      </c>
      <c r="Q1053">
        <v>556</v>
      </c>
      <c r="R1053">
        <v>179</v>
      </c>
      <c r="S1053">
        <v>236</v>
      </c>
      <c r="T1053">
        <v>0</v>
      </c>
      <c r="U1053">
        <v>541</v>
      </c>
      <c r="V1053" s="1">
        <f t="shared" si="48"/>
        <v>0.14560000000000001</v>
      </c>
      <c r="W1053" s="1">
        <f t="shared" si="49"/>
        <v>0</v>
      </c>
      <c r="X1053" s="1">
        <f t="shared" si="50"/>
        <v>0</v>
      </c>
    </row>
    <row r="1054" spans="1:24" x14ac:dyDescent="0.25">
      <c r="A1054">
        <v>2017</v>
      </c>
      <c r="B1054">
        <v>9</v>
      </c>
      <c r="C1054" t="s">
        <v>37</v>
      </c>
      <c r="D1054" t="str">
        <f>_xlfn.XLOOKUP(C1054,'Carrier Name Rename'!A:A,'Carrier Name Rename'!B:B)</f>
        <v>Delta Air Lines Inc.</v>
      </c>
      <c r="E1054" t="s">
        <v>23</v>
      </c>
      <c r="F1054" t="s">
        <v>24</v>
      </c>
      <c r="G1054">
        <v>1907</v>
      </c>
      <c r="H1054">
        <v>141</v>
      </c>
      <c r="I1054">
        <v>50.18</v>
      </c>
      <c r="J1054">
        <v>4</v>
      </c>
      <c r="K1054">
        <v>56.9</v>
      </c>
      <c r="L1054">
        <v>0</v>
      </c>
      <c r="M1054">
        <v>29.92</v>
      </c>
      <c r="N1054">
        <v>1</v>
      </c>
      <c r="O1054">
        <v>1</v>
      </c>
      <c r="P1054">
        <v>7425</v>
      </c>
      <c r="Q1054">
        <v>3190</v>
      </c>
      <c r="R1054">
        <v>559</v>
      </c>
      <c r="S1054">
        <v>1480</v>
      </c>
      <c r="T1054">
        <v>0</v>
      </c>
      <c r="U1054">
        <v>2196</v>
      </c>
      <c r="V1054" s="1">
        <f t="shared" si="48"/>
        <v>7.3899999999999993E-2</v>
      </c>
      <c r="W1054" s="1">
        <f t="shared" si="49"/>
        <v>5.0000000000000001E-4</v>
      </c>
      <c r="X1054" s="1">
        <f t="shared" si="50"/>
        <v>5.0000000000000001E-4</v>
      </c>
    </row>
    <row r="1055" spans="1:24" x14ac:dyDescent="0.25">
      <c r="A1055">
        <v>2017</v>
      </c>
      <c r="B1055">
        <v>9</v>
      </c>
      <c r="C1055" t="s">
        <v>39</v>
      </c>
      <c r="D1055" t="str">
        <f>_xlfn.XLOOKUP(C1055,'Carrier Name Rename'!A:A,'Carrier Name Rename'!B:B)</f>
        <v>Frontier Airlines Inc.</v>
      </c>
      <c r="E1055" t="s">
        <v>23</v>
      </c>
      <c r="F1055" t="s">
        <v>24</v>
      </c>
      <c r="G1055">
        <v>78</v>
      </c>
      <c r="H1055">
        <v>6</v>
      </c>
      <c r="I1055">
        <v>1</v>
      </c>
      <c r="J1055">
        <v>0</v>
      </c>
      <c r="K1055">
        <v>3.06</v>
      </c>
      <c r="L1055">
        <v>0</v>
      </c>
      <c r="M1055">
        <v>1.94</v>
      </c>
      <c r="N1055">
        <v>0</v>
      </c>
      <c r="O1055">
        <v>0</v>
      </c>
      <c r="P1055">
        <v>307</v>
      </c>
      <c r="Q1055">
        <v>36</v>
      </c>
      <c r="R1055">
        <v>0</v>
      </c>
      <c r="S1055">
        <v>123</v>
      </c>
      <c r="T1055">
        <v>0</v>
      </c>
      <c r="U1055">
        <v>148</v>
      </c>
      <c r="V1055" s="1">
        <f t="shared" si="48"/>
        <v>7.6899999999999996E-2</v>
      </c>
      <c r="W1055" s="1">
        <f t="shared" si="49"/>
        <v>0</v>
      </c>
      <c r="X1055" s="1">
        <f t="shared" si="50"/>
        <v>0</v>
      </c>
    </row>
    <row r="1056" spans="1:24" x14ac:dyDescent="0.25">
      <c r="A1056">
        <v>2017</v>
      </c>
      <c r="B1056">
        <v>9</v>
      </c>
      <c r="C1056" t="s">
        <v>21</v>
      </c>
      <c r="D1056" t="str">
        <f>_xlfn.XLOOKUP(C1056,'Carrier Name Rename'!A:A,'Carrier Name Rename'!B:B)</f>
        <v>Hawaiian Airlines Inc.</v>
      </c>
      <c r="E1056" t="s">
        <v>23</v>
      </c>
      <c r="F1056" t="s">
        <v>24</v>
      </c>
      <c r="G1056">
        <v>60</v>
      </c>
      <c r="H1056">
        <v>8</v>
      </c>
      <c r="I1056">
        <v>5.88</v>
      </c>
      <c r="J1056">
        <v>0</v>
      </c>
      <c r="K1056">
        <v>0</v>
      </c>
      <c r="L1056">
        <v>0</v>
      </c>
      <c r="M1056">
        <v>2.12</v>
      </c>
      <c r="N1056">
        <v>0</v>
      </c>
      <c r="O1056">
        <v>0</v>
      </c>
      <c r="P1056">
        <v>214</v>
      </c>
      <c r="Q1056">
        <v>167</v>
      </c>
      <c r="R1056">
        <v>0</v>
      </c>
      <c r="S1056">
        <v>0</v>
      </c>
      <c r="T1056">
        <v>0</v>
      </c>
      <c r="U1056">
        <v>47</v>
      </c>
      <c r="V1056" s="1">
        <f t="shared" si="48"/>
        <v>0.1333</v>
      </c>
      <c r="W1056" s="1">
        <f t="shared" si="49"/>
        <v>0</v>
      </c>
      <c r="X1056" s="1">
        <f t="shared" si="50"/>
        <v>0</v>
      </c>
    </row>
    <row r="1057" spans="1:24" x14ac:dyDescent="0.25">
      <c r="A1057">
        <v>2017</v>
      </c>
      <c r="B1057">
        <v>9</v>
      </c>
      <c r="C1057" t="s">
        <v>25</v>
      </c>
      <c r="D1057" t="str">
        <f>_xlfn.XLOOKUP(C1057,'Carrier Name Rename'!A:A,'Carrier Name Rename'!B:B)</f>
        <v>Spirit Airlines</v>
      </c>
      <c r="E1057" t="s">
        <v>23</v>
      </c>
      <c r="F1057" t="s">
        <v>24</v>
      </c>
      <c r="G1057">
        <v>155</v>
      </c>
      <c r="H1057">
        <v>27</v>
      </c>
      <c r="I1057">
        <v>10.88</v>
      </c>
      <c r="J1057">
        <v>0</v>
      </c>
      <c r="K1057">
        <v>8.74</v>
      </c>
      <c r="L1057">
        <v>0</v>
      </c>
      <c r="M1057">
        <v>7.38</v>
      </c>
      <c r="N1057">
        <v>7</v>
      </c>
      <c r="O1057">
        <v>0</v>
      </c>
      <c r="P1057">
        <v>1578</v>
      </c>
      <c r="Q1057">
        <v>734</v>
      </c>
      <c r="R1057">
        <v>0</v>
      </c>
      <c r="S1057">
        <v>336</v>
      </c>
      <c r="T1057">
        <v>0</v>
      </c>
      <c r="U1057">
        <v>508</v>
      </c>
      <c r="V1057" s="1">
        <f t="shared" si="48"/>
        <v>0.17419999999999999</v>
      </c>
      <c r="W1057" s="1">
        <f t="shared" si="49"/>
        <v>4.5199999999999997E-2</v>
      </c>
      <c r="X1057" s="1">
        <f t="shared" si="50"/>
        <v>0</v>
      </c>
    </row>
    <row r="1058" spans="1:24" x14ac:dyDescent="0.25">
      <c r="A1058">
        <v>2017</v>
      </c>
      <c r="B1058">
        <v>9</v>
      </c>
      <c r="C1058" t="s">
        <v>27</v>
      </c>
      <c r="D1058" t="str">
        <f>_xlfn.XLOOKUP(C1058,'Carrier Name Rename'!A:A,'Carrier Name Rename'!B:B)</f>
        <v>SkyWest Airlines Inc.</v>
      </c>
      <c r="E1058" t="s">
        <v>23</v>
      </c>
      <c r="F1058" t="s">
        <v>24</v>
      </c>
      <c r="G1058">
        <v>1837</v>
      </c>
      <c r="H1058">
        <v>250</v>
      </c>
      <c r="I1058">
        <v>31.85</v>
      </c>
      <c r="J1058">
        <v>3.9</v>
      </c>
      <c r="K1058">
        <v>116.03</v>
      </c>
      <c r="L1058">
        <v>0.3</v>
      </c>
      <c r="M1058">
        <v>97.93</v>
      </c>
      <c r="N1058">
        <v>8</v>
      </c>
      <c r="O1058">
        <v>2</v>
      </c>
      <c r="P1058">
        <v>12550</v>
      </c>
      <c r="Q1058">
        <v>3307</v>
      </c>
      <c r="R1058">
        <v>153</v>
      </c>
      <c r="S1058">
        <v>3250</v>
      </c>
      <c r="T1058">
        <v>8</v>
      </c>
      <c r="U1058">
        <v>5832</v>
      </c>
      <c r="V1058" s="1">
        <f t="shared" si="48"/>
        <v>0.1361</v>
      </c>
      <c r="W1058" s="1">
        <f t="shared" si="49"/>
        <v>4.4000000000000003E-3</v>
      </c>
      <c r="X1058" s="1">
        <f t="shared" si="50"/>
        <v>1.1000000000000001E-3</v>
      </c>
    </row>
    <row r="1059" spans="1:24" x14ac:dyDescent="0.25">
      <c r="A1059">
        <v>2017</v>
      </c>
      <c r="B1059">
        <v>9</v>
      </c>
      <c r="C1059" t="s">
        <v>41</v>
      </c>
      <c r="D1059" t="str">
        <f>_xlfn.XLOOKUP(C1059,'Carrier Name Rename'!A:A,'Carrier Name Rename'!B:B)</f>
        <v>United Air Lines Inc.</v>
      </c>
      <c r="E1059" t="s">
        <v>23</v>
      </c>
      <c r="F1059" t="s">
        <v>24</v>
      </c>
      <c r="G1059">
        <v>892</v>
      </c>
      <c r="H1059">
        <v>111</v>
      </c>
      <c r="I1059">
        <v>33.14</v>
      </c>
      <c r="J1059">
        <v>3.45</v>
      </c>
      <c r="K1059">
        <v>35.44</v>
      </c>
      <c r="L1059">
        <v>0</v>
      </c>
      <c r="M1059">
        <v>38.97</v>
      </c>
      <c r="N1059">
        <v>22</v>
      </c>
      <c r="O1059">
        <v>0</v>
      </c>
      <c r="P1059">
        <v>5933</v>
      </c>
      <c r="Q1059">
        <v>2185</v>
      </c>
      <c r="R1059">
        <v>171</v>
      </c>
      <c r="S1059">
        <v>1067</v>
      </c>
      <c r="T1059">
        <v>0</v>
      </c>
      <c r="U1059">
        <v>2510</v>
      </c>
      <c r="V1059" s="1">
        <f t="shared" si="48"/>
        <v>0.1244</v>
      </c>
      <c r="W1059" s="1">
        <f t="shared" si="49"/>
        <v>2.47E-2</v>
      </c>
      <c r="X1059" s="1">
        <f t="shared" si="50"/>
        <v>0</v>
      </c>
    </row>
    <row r="1060" spans="1:24" x14ac:dyDescent="0.25">
      <c r="A1060">
        <v>2017</v>
      </c>
      <c r="B1060">
        <v>9</v>
      </c>
      <c r="C1060" t="s">
        <v>51</v>
      </c>
      <c r="D1060" t="str">
        <f>_xlfn.XLOOKUP(C1060,'Carrier Name Rename'!A:A,'Carrier Name Rename'!B:B)</f>
        <v>Virgin America</v>
      </c>
      <c r="E1060" t="s">
        <v>23</v>
      </c>
      <c r="F1060" t="s">
        <v>24</v>
      </c>
      <c r="G1060">
        <v>144</v>
      </c>
      <c r="H1060">
        <v>34</v>
      </c>
      <c r="I1060">
        <v>3.01</v>
      </c>
      <c r="J1060">
        <v>0</v>
      </c>
      <c r="K1060">
        <v>8.2200000000000006</v>
      </c>
      <c r="L1060">
        <v>0</v>
      </c>
      <c r="M1060">
        <v>22.77</v>
      </c>
      <c r="N1060">
        <v>0</v>
      </c>
      <c r="O1060">
        <v>0</v>
      </c>
      <c r="P1060">
        <v>1508</v>
      </c>
      <c r="Q1060">
        <v>106</v>
      </c>
      <c r="R1060">
        <v>0</v>
      </c>
      <c r="S1060">
        <v>312</v>
      </c>
      <c r="T1060">
        <v>0</v>
      </c>
      <c r="U1060">
        <v>1090</v>
      </c>
      <c r="V1060" s="1">
        <f t="shared" si="48"/>
        <v>0.2361</v>
      </c>
      <c r="W1060" s="1">
        <f t="shared" si="49"/>
        <v>0</v>
      </c>
      <c r="X1060" s="1">
        <f t="shared" si="50"/>
        <v>0</v>
      </c>
    </row>
    <row r="1061" spans="1:24" x14ac:dyDescent="0.25">
      <c r="A1061">
        <v>2017</v>
      </c>
      <c r="B1061">
        <v>9</v>
      </c>
      <c r="C1061" t="s">
        <v>43</v>
      </c>
      <c r="D1061" t="str">
        <f>_xlfn.XLOOKUP(C1061,'Carrier Name Rename'!A:A,'Carrier Name Rename'!B:B)</f>
        <v>Southwest Airlines Co.</v>
      </c>
      <c r="E1061" t="s">
        <v>23</v>
      </c>
      <c r="F1061" t="s">
        <v>24</v>
      </c>
      <c r="G1061">
        <v>1065</v>
      </c>
      <c r="H1061">
        <v>175</v>
      </c>
      <c r="I1061">
        <v>56.99</v>
      </c>
      <c r="J1061">
        <v>0.16</v>
      </c>
      <c r="K1061">
        <v>37.57</v>
      </c>
      <c r="L1061">
        <v>0</v>
      </c>
      <c r="M1061">
        <v>80.290000000000006</v>
      </c>
      <c r="N1061">
        <v>1</v>
      </c>
      <c r="O1061">
        <v>0</v>
      </c>
      <c r="P1061">
        <v>7139</v>
      </c>
      <c r="Q1061">
        <v>2354</v>
      </c>
      <c r="R1061">
        <v>12</v>
      </c>
      <c r="S1061">
        <v>998</v>
      </c>
      <c r="T1061">
        <v>0</v>
      </c>
      <c r="U1061">
        <v>3775</v>
      </c>
      <c r="V1061" s="1">
        <f t="shared" si="48"/>
        <v>0.1643</v>
      </c>
      <c r="W1061" s="1">
        <f t="shared" si="49"/>
        <v>8.9999999999999998E-4</v>
      </c>
      <c r="X1061" s="1">
        <f t="shared" si="50"/>
        <v>0</v>
      </c>
    </row>
    <row r="1062" spans="1:24" x14ac:dyDescent="0.25">
      <c r="A1062">
        <v>2017</v>
      </c>
      <c r="B1062">
        <v>8</v>
      </c>
      <c r="C1062" t="s">
        <v>31</v>
      </c>
      <c r="D1062" t="str">
        <f>_xlfn.XLOOKUP(C1062,'Carrier Name Rename'!A:A,'Carrier Name Rename'!B:B)</f>
        <v>American Airlines Inc.</v>
      </c>
      <c r="E1062" t="s">
        <v>23</v>
      </c>
      <c r="F1062" t="s">
        <v>24</v>
      </c>
      <c r="G1062">
        <v>949</v>
      </c>
      <c r="H1062">
        <v>255</v>
      </c>
      <c r="I1062">
        <v>79.62</v>
      </c>
      <c r="J1062">
        <v>9.82</v>
      </c>
      <c r="K1062">
        <v>93.5</v>
      </c>
      <c r="L1062">
        <v>1.45</v>
      </c>
      <c r="M1062">
        <v>70.61</v>
      </c>
      <c r="N1062">
        <v>11</v>
      </c>
      <c r="O1062">
        <v>1</v>
      </c>
      <c r="P1062">
        <v>15129</v>
      </c>
      <c r="Q1062">
        <v>5158</v>
      </c>
      <c r="R1062">
        <v>693</v>
      </c>
      <c r="S1062">
        <v>4332</v>
      </c>
      <c r="T1062">
        <v>57</v>
      </c>
      <c r="U1062">
        <v>4889</v>
      </c>
      <c r="V1062" s="1">
        <f t="shared" si="48"/>
        <v>0.26869999999999999</v>
      </c>
      <c r="W1062" s="1">
        <f t="shared" si="49"/>
        <v>1.1599999999999999E-2</v>
      </c>
      <c r="X1062" s="1">
        <f t="shared" si="50"/>
        <v>1.1000000000000001E-3</v>
      </c>
    </row>
    <row r="1063" spans="1:24" x14ac:dyDescent="0.25">
      <c r="A1063">
        <v>2017</v>
      </c>
      <c r="B1063">
        <v>8</v>
      </c>
      <c r="C1063" t="s">
        <v>33</v>
      </c>
      <c r="D1063" t="str">
        <f>_xlfn.XLOOKUP(C1063,'Carrier Name Rename'!A:A,'Carrier Name Rename'!B:B)</f>
        <v>Alaska Airlines Inc.</v>
      </c>
      <c r="E1063" t="s">
        <v>23</v>
      </c>
      <c r="F1063" t="s">
        <v>24</v>
      </c>
      <c r="G1063">
        <v>5338</v>
      </c>
      <c r="H1063">
        <v>1060</v>
      </c>
      <c r="I1063">
        <v>158.19</v>
      </c>
      <c r="J1063">
        <v>22.83</v>
      </c>
      <c r="K1063">
        <v>591.42999999999995</v>
      </c>
      <c r="L1063">
        <v>6.07</v>
      </c>
      <c r="M1063">
        <v>281.47000000000003</v>
      </c>
      <c r="N1063">
        <v>52</v>
      </c>
      <c r="O1063">
        <v>2</v>
      </c>
      <c r="P1063">
        <v>47170</v>
      </c>
      <c r="Q1063">
        <v>9889</v>
      </c>
      <c r="R1063">
        <v>1292</v>
      </c>
      <c r="S1063">
        <v>21132</v>
      </c>
      <c r="T1063">
        <v>285</v>
      </c>
      <c r="U1063">
        <v>14572</v>
      </c>
      <c r="V1063" s="1">
        <f t="shared" si="48"/>
        <v>0.1986</v>
      </c>
      <c r="W1063" s="1">
        <f t="shared" si="49"/>
        <v>9.7000000000000003E-3</v>
      </c>
      <c r="X1063" s="1">
        <f t="shared" si="50"/>
        <v>4.0000000000000002E-4</v>
      </c>
    </row>
    <row r="1064" spans="1:24" x14ac:dyDescent="0.25">
      <c r="A1064">
        <v>2017</v>
      </c>
      <c r="B1064">
        <v>8</v>
      </c>
      <c r="C1064" t="s">
        <v>35</v>
      </c>
      <c r="D1064" t="str">
        <f>_xlfn.XLOOKUP(C1064,'Carrier Name Rename'!A:A,'Carrier Name Rename'!B:B)</f>
        <v>JetBlue Airways</v>
      </c>
      <c r="E1064" t="s">
        <v>23</v>
      </c>
      <c r="F1064" t="s">
        <v>24</v>
      </c>
      <c r="G1064">
        <v>235</v>
      </c>
      <c r="H1064">
        <v>59</v>
      </c>
      <c r="I1064">
        <v>14.51</v>
      </c>
      <c r="J1064">
        <v>1.23</v>
      </c>
      <c r="K1064">
        <v>28.4</v>
      </c>
      <c r="L1064">
        <v>0.21</v>
      </c>
      <c r="M1064">
        <v>14.65</v>
      </c>
      <c r="N1064">
        <v>2</v>
      </c>
      <c r="O1064">
        <v>2</v>
      </c>
      <c r="P1064">
        <v>3768</v>
      </c>
      <c r="Q1064">
        <v>1232</v>
      </c>
      <c r="R1064">
        <v>119</v>
      </c>
      <c r="S1064">
        <v>1382</v>
      </c>
      <c r="T1064">
        <v>27</v>
      </c>
      <c r="U1064">
        <v>1008</v>
      </c>
      <c r="V1064" s="1">
        <f t="shared" si="48"/>
        <v>0.25109999999999999</v>
      </c>
      <c r="W1064" s="1">
        <f t="shared" si="49"/>
        <v>8.5000000000000006E-3</v>
      </c>
      <c r="X1064" s="1">
        <f t="shared" si="50"/>
        <v>8.5000000000000006E-3</v>
      </c>
    </row>
    <row r="1065" spans="1:24" x14ac:dyDescent="0.25">
      <c r="A1065">
        <v>2017</v>
      </c>
      <c r="B1065">
        <v>8</v>
      </c>
      <c r="C1065" t="s">
        <v>37</v>
      </c>
      <c r="D1065" t="str">
        <f>_xlfn.XLOOKUP(C1065,'Carrier Name Rename'!A:A,'Carrier Name Rename'!B:B)</f>
        <v>Delta Air Lines Inc.</v>
      </c>
      <c r="E1065" t="s">
        <v>23</v>
      </c>
      <c r="F1065" t="s">
        <v>24</v>
      </c>
      <c r="G1065">
        <v>2501</v>
      </c>
      <c r="H1065">
        <v>345</v>
      </c>
      <c r="I1065">
        <v>81.22</v>
      </c>
      <c r="J1065">
        <v>10.66</v>
      </c>
      <c r="K1065">
        <v>160</v>
      </c>
      <c r="L1065">
        <v>1</v>
      </c>
      <c r="M1065">
        <v>92.11</v>
      </c>
      <c r="N1065">
        <v>1</v>
      </c>
      <c r="O1065">
        <v>1</v>
      </c>
      <c r="P1065">
        <v>15282</v>
      </c>
      <c r="Q1065">
        <v>5002</v>
      </c>
      <c r="R1065">
        <v>376</v>
      </c>
      <c r="S1065">
        <v>5352</v>
      </c>
      <c r="T1065">
        <v>29</v>
      </c>
      <c r="U1065">
        <v>4523</v>
      </c>
      <c r="V1065" s="1">
        <f t="shared" si="48"/>
        <v>0.13789999999999999</v>
      </c>
      <c r="W1065" s="1">
        <f t="shared" si="49"/>
        <v>4.0000000000000002E-4</v>
      </c>
      <c r="X1065" s="1">
        <f t="shared" si="50"/>
        <v>4.0000000000000002E-4</v>
      </c>
    </row>
    <row r="1066" spans="1:24" x14ac:dyDescent="0.25">
      <c r="A1066">
        <v>2017</v>
      </c>
      <c r="B1066">
        <v>8</v>
      </c>
      <c r="C1066" t="s">
        <v>39</v>
      </c>
      <c r="D1066" t="str">
        <f>_xlfn.XLOOKUP(C1066,'Carrier Name Rename'!A:A,'Carrier Name Rename'!B:B)</f>
        <v>Frontier Airlines Inc.</v>
      </c>
      <c r="E1066" t="s">
        <v>23</v>
      </c>
      <c r="F1066" t="s">
        <v>24</v>
      </c>
      <c r="G1066">
        <v>86</v>
      </c>
      <c r="H1066">
        <v>21</v>
      </c>
      <c r="I1066">
        <v>2.37</v>
      </c>
      <c r="J1066">
        <v>0</v>
      </c>
      <c r="K1066">
        <v>11.87</v>
      </c>
      <c r="L1066">
        <v>0</v>
      </c>
      <c r="M1066">
        <v>6.76</v>
      </c>
      <c r="N1066">
        <v>0</v>
      </c>
      <c r="O1066">
        <v>0</v>
      </c>
      <c r="P1066">
        <v>1610</v>
      </c>
      <c r="Q1066">
        <v>142</v>
      </c>
      <c r="R1066">
        <v>0</v>
      </c>
      <c r="S1066">
        <v>483</v>
      </c>
      <c r="T1066">
        <v>0</v>
      </c>
      <c r="U1066">
        <v>985</v>
      </c>
      <c r="V1066" s="1">
        <f t="shared" si="48"/>
        <v>0.2442</v>
      </c>
      <c r="W1066" s="1">
        <f t="shared" si="49"/>
        <v>0</v>
      </c>
      <c r="X1066" s="1">
        <f t="shared" si="50"/>
        <v>0</v>
      </c>
    </row>
    <row r="1067" spans="1:24" x14ac:dyDescent="0.25">
      <c r="A1067">
        <v>2017</v>
      </c>
      <c r="B1067">
        <v>8</v>
      </c>
      <c r="C1067" t="s">
        <v>21</v>
      </c>
      <c r="D1067" t="str">
        <f>_xlfn.XLOOKUP(C1067,'Carrier Name Rename'!A:A,'Carrier Name Rename'!B:B)</f>
        <v>Hawaiian Airlines Inc.</v>
      </c>
      <c r="E1067" t="s">
        <v>23</v>
      </c>
      <c r="F1067" t="s">
        <v>24</v>
      </c>
      <c r="G1067">
        <v>62</v>
      </c>
      <c r="H1067">
        <v>15</v>
      </c>
      <c r="I1067">
        <v>10.94</v>
      </c>
      <c r="J1067">
        <v>0</v>
      </c>
      <c r="K1067">
        <v>0</v>
      </c>
      <c r="L1067">
        <v>0</v>
      </c>
      <c r="M1067">
        <v>4.0599999999999996</v>
      </c>
      <c r="N1067">
        <v>0</v>
      </c>
      <c r="O1067">
        <v>0</v>
      </c>
      <c r="P1067">
        <v>642</v>
      </c>
      <c r="Q1067">
        <v>429</v>
      </c>
      <c r="R1067">
        <v>0</v>
      </c>
      <c r="S1067">
        <v>0</v>
      </c>
      <c r="T1067">
        <v>0</v>
      </c>
      <c r="U1067">
        <v>213</v>
      </c>
      <c r="V1067" s="1">
        <f t="shared" si="48"/>
        <v>0.2419</v>
      </c>
      <c r="W1067" s="1">
        <f t="shared" si="49"/>
        <v>0</v>
      </c>
      <c r="X1067" s="1">
        <f t="shared" si="50"/>
        <v>0</v>
      </c>
    </row>
    <row r="1068" spans="1:24" x14ac:dyDescent="0.25">
      <c r="A1068">
        <v>2017</v>
      </c>
      <c r="B1068">
        <v>8</v>
      </c>
      <c r="C1068" t="s">
        <v>25</v>
      </c>
      <c r="D1068" t="str">
        <f>_xlfn.XLOOKUP(C1068,'Carrier Name Rename'!A:A,'Carrier Name Rename'!B:B)</f>
        <v>Spirit Airlines</v>
      </c>
      <c r="E1068" t="s">
        <v>23</v>
      </c>
      <c r="F1068" t="s">
        <v>24</v>
      </c>
      <c r="G1068">
        <v>217</v>
      </c>
      <c r="H1068">
        <v>41</v>
      </c>
      <c r="I1068">
        <v>4.9000000000000004</v>
      </c>
      <c r="J1068">
        <v>0.67</v>
      </c>
      <c r="K1068">
        <v>27.35</v>
      </c>
      <c r="L1068">
        <v>0</v>
      </c>
      <c r="M1068">
        <v>8.07</v>
      </c>
      <c r="N1068">
        <v>7</v>
      </c>
      <c r="O1068">
        <v>0</v>
      </c>
      <c r="P1068">
        <v>2074</v>
      </c>
      <c r="Q1068">
        <v>288</v>
      </c>
      <c r="R1068">
        <v>56</v>
      </c>
      <c r="S1068">
        <v>1305</v>
      </c>
      <c r="T1068">
        <v>0</v>
      </c>
      <c r="U1068">
        <v>425</v>
      </c>
      <c r="V1068" s="1">
        <f t="shared" si="48"/>
        <v>0.18890000000000001</v>
      </c>
      <c r="W1068" s="1">
        <f t="shared" si="49"/>
        <v>3.2300000000000002E-2</v>
      </c>
      <c r="X1068" s="1">
        <f t="shared" si="50"/>
        <v>0</v>
      </c>
    </row>
    <row r="1069" spans="1:24" x14ac:dyDescent="0.25">
      <c r="A1069">
        <v>2017</v>
      </c>
      <c r="B1069">
        <v>8</v>
      </c>
      <c r="C1069" t="s">
        <v>27</v>
      </c>
      <c r="D1069" t="str">
        <f>_xlfn.XLOOKUP(C1069,'Carrier Name Rename'!A:A,'Carrier Name Rename'!B:B)</f>
        <v>SkyWest Airlines Inc.</v>
      </c>
      <c r="E1069" t="s">
        <v>23</v>
      </c>
      <c r="F1069" t="s">
        <v>24</v>
      </c>
      <c r="G1069">
        <v>1610</v>
      </c>
      <c r="H1069">
        <v>384</v>
      </c>
      <c r="I1069">
        <v>47.82</v>
      </c>
      <c r="J1069">
        <v>49.67</v>
      </c>
      <c r="K1069">
        <v>122.41</v>
      </c>
      <c r="L1069">
        <v>0</v>
      </c>
      <c r="M1069">
        <v>164.1</v>
      </c>
      <c r="N1069">
        <v>1</v>
      </c>
      <c r="O1069">
        <v>0</v>
      </c>
      <c r="P1069">
        <v>23222</v>
      </c>
      <c r="Q1069">
        <v>7833</v>
      </c>
      <c r="R1069">
        <v>2065</v>
      </c>
      <c r="S1069">
        <v>4387</v>
      </c>
      <c r="T1069">
        <v>0</v>
      </c>
      <c r="U1069">
        <v>8937</v>
      </c>
      <c r="V1069" s="1">
        <f t="shared" si="48"/>
        <v>0.23849999999999999</v>
      </c>
      <c r="W1069" s="1">
        <f t="shared" si="49"/>
        <v>5.9999999999999995E-4</v>
      </c>
      <c r="X1069" s="1">
        <f t="shared" si="50"/>
        <v>0</v>
      </c>
    </row>
    <row r="1070" spans="1:24" x14ac:dyDescent="0.25">
      <c r="A1070">
        <v>2017</v>
      </c>
      <c r="B1070">
        <v>8</v>
      </c>
      <c r="C1070" t="s">
        <v>41</v>
      </c>
      <c r="D1070" t="str">
        <f>_xlfn.XLOOKUP(C1070,'Carrier Name Rename'!A:A,'Carrier Name Rename'!B:B)</f>
        <v>United Air Lines Inc.</v>
      </c>
      <c r="E1070" t="s">
        <v>23</v>
      </c>
      <c r="F1070" t="s">
        <v>24</v>
      </c>
      <c r="G1070">
        <v>1068</v>
      </c>
      <c r="H1070">
        <v>276</v>
      </c>
      <c r="I1070">
        <v>57.57</v>
      </c>
      <c r="J1070">
        <v>15.57</v>
      </c>
      <c r="K1070">
        <v>126.13</v>
      </c>
      <c r="L1070">
        <v>0</v>
      </c>
      <c r="M1070">
        <v>76.73</v>
      </c>
      <c r="N1070">
        <v>37</v>
      </c>
      <c r="O1070">
        <v>0</v>
      </c>
      <c r="P1070">
        <v>16737</v>
      </c>
      <c r="Q1070">
        <v>3314</v>
      </c>
      <c r="R1070">
        <v>1679</v>
      </c>
      <c r="S1070">
        <v>5340</v>
      </c>
      <c r="T1070">
        <v>0</v>
      </c>
      <c r="U1070">
        <v>6404</v>
      </c>
      <c r="V1070" s="1">
        <f t="shared" si="48"/>
        <v>0.25840000000000002</v>
      </c>
      <c r="W1070" s="1">
        <f t="shared" si="49"/>
        <v>3.4599999999999999E-2</v>
      </c>
      <c r="X1070" s="1">
        <f t="shared" si="50"/>
        <v>0</v>
      </c>
    </row>
    <row r="1071" spans="1:24" x14ac:dyDescent="0.25">
      <c r="A1071">
        <v>2017</v>
      </c>
      <c r="B1071">
        <v>8</v>
      </c>
      <c r="C1071" t="s">
        <v>51</v>
      </c>
      <c r="D1071" t="str">
        <f>_xlfn.XLOOKUP(C1071,'Carrier Name Rename'!A:A,'Carrier Name Rename'!B:B)</f>
        <v>Virgin America</v>
      </c>
      <c r="E1071" t="s">
        <v>23</v>
      </c>
      <c r="F1071" t="s">
        <v>24</v>
      </c>
      <c r="G1071">
        <v>218</v>
      </c>
      <c r="H1071">
        <v>99</v>
      </c>
      <c r="I1071">
        <v>11.64</v>
      </c>
      <c r="J1071">
        <v>0.18</v>
      </c>
      <c r="K1071">
        <v>55.06</v>
      </c>
      <c r="L1071">
        <v>0</v>
      </c>
      <c r="M1071">
        <v>32.130000000000003</v>
      </c>
      <c r="N1071">
        <v>1</v>
      </c>
      <c r="O1071">
        <v>0</v>
      </c>
      <c r="P1071">
        <v>4968</v>
      </c>
      <c r="Q1071">
        <v>820</v>
      </c>
      <c r="R1071">
        <v>7</v>
      </c>
      <c r="S1071">
        <v>2595</v>
      </c>
      <c r="T1071">
        <v>0</v>
      </c>
      <c r="U1071">
        <v>1546</v>
      </c>
      <c r="V1071" s="1">
        <f t="shared" si="48"/>
        <v>0.4541</v>
      </c>
      <c r="W1071" s="1">
        <f t="shared" si="49"/>
        <v>4.5999999999999999E-3</v>
      </c>
      <c r="X1071" s="1">
        <f t="shared" si="50"/>
        <v>0</v>
      </c>
    </row>
    <row r="1072" spans="1:24" x14ac:dyDescent="0.25">
      <c r="A1072">
        <v>2017</v>
      </c>
      <c r="B1072">
        <v>8</v>
      </c>
      <c r="C1072" t="s">
        <v>43</v>
      </c>
      <c r="D1072" t="str">
        <f>_xlfn.XLOOKUP(C1072,'Carrier Name Rename'!A:A,'Carrier Name Rename'!B:B)</f>
        <v>Southwest Airlines Co.</v>
      </c>
      <c r="E1072" t="s">
        <v>23</v>
      </c>
      <c r="F1072" t="s">
        <v>24</v>
      </c>
      <c r="G1072">
        <v>1298</v>
      </c>
      <c r="H1072">
        <v>464</v>
      </c>
      <c r="I1072">
        <v>119.31</v>
      </c>
      <c r="J1072">
        <v>17.899999999999999</v>
      </c>
      <c r="K1072">
        <v>144.33000000000001</v>
      </c>
      <c r="L1072">
        <v>0.03</v>
      </c>
      <c r="M1072">
        <v>182.44</v>
      </c>
      <c r="N1072">
        <v>4</v>
      </c>
      <c r="O1072">
        <v>0</v>
      </c>
      <c r="P1072">
        <v>20743</v>
      </c>
      <c r="Q1072">
        <v>5212</v>
      </c>
      <c r="R1072">
        <v>1180</v>
      </c>
      <c r="S1072">
        <v>5526</v>
      </c>
      <c r="T1072">
        <v>2</v>
      </c>
      <c r="U1072">
        <v>8823</v>
      </c>
      <c r="V1072" s="1">
        <f t="shared" si="48"/>
        <v>0.35749999999999998</v>
      </c>
      <c r="W1072" s="1">
        <f t="shared" si="49"/>
        <v>3.0999999999999999E-3</v>
      </c>
      <c r="X1072" s="1">
        <f t="shared" si="50"/>
        <v>0</v>
      </c>
    </row>
    <row r="1073" spans="1:24" x14ac:dyDescent="0.25">
      <c r="A1073">
        <v>2017</v>
      </c>
      <c r="B1073">
        <v>7</v>
      </c>
      <c r="C1073" t="s">
        <v>37</v>
      </c>
      <c r="D1073" t="str">
        <f>_xlfn.XLOOKUP(C1073,'Carrier Name Rename'!A:A,'Carrier Name Rename'!B:B)</f>
        <v>Delta Air Lines Inc.</v>
      </c>
      <c r="E1073" t="s">
        <v>23</v>
      </c>
      <c r="F1073" t="s">
        <v>24</v>
      </c>
      <c r="G1073">
        <v>2317</v>
      </c>
      <c r="H1073">
        <v>262</v>
      </c>
      <c r="I1073">
        <v>88.96</v>
      </c>
      <c r="J1073">
        <v>12.7</v>
      </c>
      <c r="K1073">
        <v>86.61</v>
      </c>
      <c r="L1073">
        <v>1.82</v>
      </c>
      <c r="M1073">
        <v>71.91</v>
      </c>
      <c r="N1073">
        <v>0</v>
      </c>
      <c r="O1073">
        <v>2</v>
      </c>
      <c r="P1073">
        <v>14157</v>
      </c>
      <c r="Q1073">
        <v>4235</v>
      </c>
      <c r="R1073">
        <v>2412</v>
      </c>
      <c r="S1073">
        <v>2835</v>
      </c>
      <c r="T1073">
        <v>60</v>
      </c>
      <c r="U1073">
        <v>4615</v>
      </c>
      <c r="V1073" s="1">
        <f t="shared" si="48"/>
        <v>0.11310000000000001</v>
      </c>
      <c r="W1073" s="1">
        <f t="shared" si="49"/>
        <v>0</v>
      </c>
      <c r="X1073" s="1">
        <f t="shared" si="50"/>
        <v>8.9999999999999998E-4</v>
      </c>
    </row>
    <row r="1074" spans="1:24" x14ac:dyDescent="0.25">
      <c r="A1074">
        <v>2017</v>
      </c>
      <c r="B1074">
        <v>7</v>
      </c>
      <c r="C1074" t="s">
        <v>39</v>
      </c>
      <c r="D1074" t="str">
        <f>_xlfn.XLOOKUP(C1074,'Carrier Name Rename'!A:A,'Carrier Name Rename'!B:B)</f>
        <v>Frontier Airlines Inc.</v>
      </c>
      <c r="E1074" t="s">
        <v>23</v>
      </c>
      <c r="F1074" t="s">
        <v>24</v>
      </c>
      <c r="G1074">
        <v>98</v>
      </c>
      <c r="H1074">
        <v>18</v>
      </c>
      <c r="I1074">
        <v>3.92</v>
      </c>
      <c r="J1074">
        <v>0</v>
      </c>
      <c r="K1074">
        <v>6.02</v>
      </c>
      <c r="L1074">
        <v>0</v>
      </c>
      <c r="M1074">
        <v>8.06</v>
      </c>
      <c r="N1074">
        <v>0</v>
      </c>
      <c r="O1074">
        <v>0</v>
      </c>
      <c r="P1074">
        <v>864</v>
      </c>
      <c r="Q1074">
        <v>194</v>
      </c>
      <c r="R1074">
        <v>0</v>
      </c>
      <c r="S1074">
        <v>314</v>
      </c>
      <c r="T1074">
        <v>0</v>
      </c>
      <c r="U1074">
        <v>356</v>
      </c>
      <c r="V1074" s="1">
        <f t="shared" si="48"/>
        <v>0.1837</v>
      </c>
      <c r="W1074" s="1">
        <f t="shared" si="49"/>
        <v>0</v>
      </c>
      <c r="X1074" s="1">
        <f t="shared" si="50"/>
        <v>0</v>
      </c>
    </row>
    <row r="1075" spans="1:24" x14ac:dyDescent="0.25">
      <c r="A1075">
        <v>2017</v>
      </c>
      <c r="B1075">
        <v>7</v>
      </c>
      <c r="C1075" t="s">
        <v>21</v>
      </c>
      <c r="D1075" t="str">
        <f>_xlfn.XLOOKUP(C1075,'Carrier Name Rename'!A:A,'Carrier Name Rename'!B:B)</f>
        <v>Hawaiian Airlines Inc.</v>
      </c>
      <c r="E1075" t="s">
        <v>23</v>
      </c>
      <c r="F1075" t="s">
        <v>24</v>
      </c>
      <c r="G1075">
        <v>62</v>
      </c>
      <c r="H1075">
        <v>16</v>
      </c>
      <c r="I1075">
        <v>10.34</v>
      </c>
      <c r="J1075">
        <v>0</v>
      </c>
      <c r="K1075">
        <v>0</v>
      </c>
      <c r="L1075">
        <v>0</v>
      </c>
      <c r="M1075">
        <v>5.66</v>
      </c>
      <c r="N1075">
        <v>0</v>
      </c>
      <c r="O1075">
        <v>0</v>
      </c>
      <c r="P1075">
        <v>670</v>
      </c>
      <c r="Q1075">
        <v>394</v>
      </c>
      <c r="R1075">
        <v>0</v>
      </c>
      <c r="S1075">
        <v>0</v>
      </c>
      <c r="T1075">
        <v>0</v>
      </c>
      <c r="U1075">
        <v>276</v>
      </c>
      <c r="V1075" s="1">
        <f t="shared" si="48"/>
        <v>0.2581</v>
      </c>
      <c r="W1075" s="1">
        <f t="shared" si="49"/>
        <v>0</v>
      </c>
      <c r="X1075" s="1">
        <f t="shared" si="50"/>
        <v>0</v>
      </c>
    </row>
    <row r="1076" spans="1:24" x14ac:dyDescent="0.25">
      <c r="A1076">
        <v>2017</v>
      </c>
      <c r="B1076">
        <v>7</v>
      </c>
      <c r="C1076" t="s">
        <v>25</v>
      </c>
      <c r="D1076" t="str">
        <f>_xlfn.XLOOKUP(C1076,'Carrier Name Rename'!A:A,'Carrier Name Rename'!B:B)</f>
        <v>Spirit Airlines</v>
      </c>
      <c r="E1076" t="s">
        <v>23</v>
      </c>
      <c r="F1076" t="s">
        <v>24</v>
      </c>
      <c r="G1076">
        <v>217</v>
      </c>
      <c r="H1076">
        <v>41</v>
      </c>
      <c r="I1076">
        <v>7.19</v>
      </c>
      <c r="J1076">
        <v>0</v>
      </c>
      <c r="K1076">
        <v>27.3</v>
      </c>
      <c r="L1076">
        <v>0</v>
      </c>
      <c r="M1076">
        <v>6.51</v>
      </c>
      <c r="N1076">
        <v>1</v>
      </c>
      <c r="O1076">
        <v>0</v>
      </c>
      <c r="P1076">
        <v>2452</v>
      </c>
      <c r="Q1076">
        <v>520</v>
      </c>
      <c r="R1076">
        <v>0</v>
      </c>
      <c r="S1076">
        <v>1462</v>
      </c>
      <c r="T1076">
        <v>0</v>
      </c>
      <c r="U1076">
        <v>470</v>
      </c>
      <c r="V1076" s="1">
        <f t="shared" si="48"/>
        <v>0.18890000000000001</v>
      </c>
      <c r="W1076" s="1">
        <f t="shared" si="49"/>
        <v>4.5999999999999999E-3</v>
      </c>
      <c r="X1076" s="1">
        <f t="shared" si="50"/>
        <v>0</v>
      </c>
    </row>
    <row r="1077" spans="1:24" x14ac:dyDescent="0.25">
      <c r="A1077">
        <v>2017</v>
      </c>
      <c r="B1077">
        <v>7</v>
      </c>
      <c r="C1077" t="s">
        <v>31</v>
      </c>
      <c r="D1077" t="str">
        <f>_xlfn.XLOOKUP(C1077,'Carrier Name Rename'!A:A,'Carrier Name Rename'!B:B)</f>
        <v>American Airlines Inc.</v>
      </c>
      <c r="E1077" t="s">
        <v>23</v>
      </c>
      <c r="F1077" t="s">
        <v>24</v>
      </c>
      <c r="G1077">
        <v>980</v>
      </c>
      <c r="H1077">
        <v>260</v>
      </c>
      <c r="I1077">
        <v>83.15</v>
      </c>
      <c r="J1077">
        <v>22.41</v>
      </c>
      <c r="K1077">
        <v>63.84</v>
      </c>
      <c r="L1077">
        <v>0.95</v>
      </c>
      <c r="M1077">
        <v>89.65</v>
      </c>
      <c r="N1077">
        <v>15</v>
      </c>
      <c r="O1077">
        <v>0</v>
      </c>
      <c r="P1077">
        <v>14899</v>
      </c>
      <c r="Q1077">
        <v>4779</v>
      </c>
      <c r="R1077">
        <v>1776</v>
      </c>
      <c r="S1077">
        <v>2886</v>
      </c>
      <c r="T1077">
        <v>35</v>
      </c>
      <c r="U1077">
        <v>5423</v>
      </c>
      <c r="V1077" s="1">
        <f t="shared" si="48"/>
        <v>0.26529999999999998</v>
      </c>
      <c r="W1077" s="1">
        <f t="shared" si="49"/>
        <v>1.5299999999999999E-2</v>
      </c>
      <c r="X1077" s="1">
        <f t="shared" si="50"/>
        <v>0</v>
      </c>
    </row>
    <row r="1078" spans="1:24" x14ac:dyDescent="0.25">
      <c r="A1078">
        <v>2017</v>
      </c>
      <c r="B1078">
        <v>7</v>
      </c>
      <c r="C1078" t="s">
        <v>33</v>
      </c>
      <c r="D1078" t="str">
        <f>_xlfn.XLOOKUP(C1078,'Carrier Name Rename'!A:A,'Carrier Name Rename'!B:B)</f>
        <v>Alaska Airlines Inc.</v>
      </c>
      <c r="E1078" t="s">
        <v>23</v>
      </c>
      <c r="F1078" t="s">
        <v>24</v>
      </c>
      <c r="G1078">
        <v>5364</v>
      </c>
      <c r="H1078">
        <v>805</v>
      </c>
      <c r="I1078">
        <v>175.29</v>
      </c>
      <c r="J1078">
        <v>31.55</v>
      </c>
      <c r="K1078">
        <v>358.47</v>
      </c>
      <c r="L1078">
        <v>10.46</v>
      </c>
      <c r="M1078">
        <v>229.23</v>
      </c>
      <c r="N1078">
        <v>21</v>
      </c>
      <c r="O1078">
        <v>4</v>
      </c>
      <c r="P1078">
        <v>38314</v>
      </c>
      <c r="Q1078">
        <v>11318</v>
      </c>
      <c r="R1078">
        <v>2858</v>
      </c>
      <c r="S1078">
        <v>11128</v>
      </c>
      <c r="T1078">
        <v>300</v>
      </c>
      <c r="U1078">
        <v>12710</v>
      </c>
      <c r="V1078" s="1">
        <f t="shared" si="48"/>
        <v>0.15010000000000001</v>
      </c>
      <c r="W1078" s="1">
        <f t="shared" si="49"/>
        <v>3.8999999999999998E-3</v>
      </c>
      <c r="X1078" s="1">
        <f t="shared" si="50"/>
        <v>6.9999999999999999E-4</v>
      </c>
    </row>
    <row r="1079" spans="1:24" x14ac:dyDescent="0.25">
      <c r="A1079">
        <v>2017</v>
      </c>
      <c r="B1079">
        <v>7</v>
      </c>
      <c r="C1079" t="s">
        <v>35</v>
      </c>
      <c r="D1079" t="str">
        <f>_xlfn.XLOOKUP(C1079,'Carrier Name Rename'!A:A,'Carrier Name Rename'!B:B)</f>
        <v>JetBlue Airways</v>
      </c>
      <c r="E1079" t="s">
        <v>23</v>
      </c>
      <c r="F1079" t="s">
        <v>24</v>
      </c>
      <c r="G1079">
        <v>243</v>
      </c>
      <c r="H1079">
        <v>80</v>
      </c>
      <c r="I1079">
        <v>30.95</v>
      </c>
      <c r="J1079">
        <v>0.03</v>
      </c>
      <c r="K1079">
        <v>22.94</v>
      </c>
      <c r="L1079">
        <v>0.38</v>
      </c>
      <c r="M1079">
        <v>25.71</v>
      </c>
      <c r="N1079">
        <v>1</v>
      </c>
      <c r="O1079">
        <v>1</v>
      </c>
      <c r="P1079">
        <v>5489</v>
      </c>
      <c r="Q1079">
        <v>2369</v>
      </c>
      <c r="R1079">
        <v>3</v>
      </c>
      <c r="S1079">
        <v>1072</v>
      </c>
      <c r="T1079">
        <v>18</v>
      </c>
      <c r="U1079">
        <v>2027</v>
      </c>
      <c r="V1079" s="1">
        <f t="shared" si="48"/>
        <v>0.32919999999999999</v>
      </c>
      <c r="W1079" s="1">
        <f t="shared" si="49"/>
        <v>4.1000000000000003E-3</v>
      </c>
      <c r="X1079" s="1">
        <f t="shared" si="50"/>
        <v>4.1000000000000003E-3</v>
      </c>
    </row>
    <row r="1080" spans="1:24" x14ac:dyDescent="0.25">
      <c r="A1080">
        <v>2017</v>
      </c>
      <c r="B1080">
        <v>7</v>
      </c>
      <c r="C1080" t="s">
        <v>27</v>
      </c>
      <c r="D1080" t="str">
        <f>_xlfn.XLOOKUP(C1080,'Carrier Name Rename'!A:A,'Carrier Name Rename'!B:B)</f>
        <v>SkyWest Airlines Inc.</v>
      </c>
      <c r="E1080" t="s">
        <v>23</v>
      </c>
      <c r="F1080" t="s">
        <v>24</v>
      </c>
      <c r="G1080">
        <v>1633</v>
      </c>
      <c r="H1080">
        <v>232</v>
      </c>
      <c r="I1080">
        <v>39.39</v>
      </c>
      <c r="J1080">
        <v>19.329999999999998</v>
      </c>
      <c r="K1080">
        <v>75.739999999999995</v>
      </c>
      <c r="L1080">
        <v>0.5</v>
      </c>
      <c r="M1080">
        <v>97.05</v>
      </c>
      <c r="N1080">
        <v>3</v>
      </c>
      <c r="O1080">
        <v>0</v>
      </c>
      <c r="P1080">
        <v>14002</v>
      </c>
      <c r="Q1080">
        <v>5848</v>
      </c>
      <c r="R1080">
        <v>577</v>
      </c>
      <c r="S1080">
        <v>2143</v>
      </c>
      <c r="T1080">
        <v>19</v>
      </c>
      <c r="U1080">
        <v>5415</v>
      </c>
      <c r="V1080" s="1">
        <f t="shared" si="48"/>
        <v>0.1421</v>
      </c>
      <c r="W1080" s="1">
        <f t="shared" si="49"/>
        <v>1.8E-3</v>
      </c>
      <c r="X1080" s="1">
        <f t="shared" si="50"/>
        <v>0</v>
      </c>
    </row>
    <row r="1081" spans="1:24" x14ac:dyDescent="0.25">
      <c r="A1081">
        <v>2017</v>
      </c>
      <c r="B1081">
        <v>7</v>
      </c>
      <c r="C1081" t="s">
        <v>41</v>
      </c>
      <c r="D1081" t="str">
        <f>_xlfn.XLOOKUP(C1081,'Carrier Name Rename'!A:A,'Carrier Name Rename'!B:B)</f>
        <v>United Air Lines Inc.</v>
      </c>
      <c r="E1081" t="s">
        <v>23</v>
      </c>
      <c r="F1081" t="s">
        <v>24</v>
      </c>
      <c r="G1081">
        <v>990</v>
      </c>
      <c r="H1081">
        <v>185</v>
      </c>
      <c r="I1081">
        <v>44.51</v>
      </c>
      <c r="J1081">
        <v>12.89</v>
      </c>
      <c r="K1081">
        <v>53.86</v>
      </c>
      <c r="L1081">
        <v>0</v>
      </c>
      <c r="M1081">
        <v>73.739999999999995</v>
      </c>
      <c r="N1081">
        <v>3</v>
      </c>
      <c r="O1081">
        <v>1</v>
      </c>
      <c r="P1081">
        <v>11687</v>
      </c>
      <c r="Q1081">
        <v>3078</v>
      </c>
      <c r="R1081">
        <v>821</v>
      </c>
      <c r="S1081">
        <v>2133</v>
      </c>
      <c r="T1081">
        <v>0</v>
      </c>
      <c r="U1081">
        <v>5655</v>
      </c>
      <c r="V1081" s="1">
        <f t="shared" si="48"/>
        <v>0.18690000000000001</v>
      </c>
      <c r="W1081" s="1">
        <f t="shared" si="49"/>
        <v>3.0000000000000001E-3</v>
      </c>
      <c r="X1081" s="1">
        <f t="shared" si="50"/>
        <v>1E-3</v>
      </c>
    </row>
    <row r="1082" spans="1:24" x14ac:dyDescent="0.25">
      <c r="A1082">
        <v>2017</v>
      </c>
      <c r="B1082">
        <v>7</v>
      </c>
      <c r="C1082" t="s">
        <v>51</v>
      </c>
      <c r="D1082" t="str">
        <f>_xlfn.XLOOKUP(C1082,'Carrier Name Rename'!A:A,'Carrier Name Rename'!B:B)</f>
        <v>Virgin America</v>
      </c>
      <c r="E1082" t="s">
        <v>23</v>
      </c>
      <c r="F1082" t="s">
        <v>24</v>
      </c>
      <c r="G1082">
        <v>227</v>
      </c>
      <c r="H1082">
        <v>62</v>
      </c>
      <c r="I1082">
        <v>6.39</v>
      </c>
      <c r="J1082">
        <v>0.74</v>
      </c>
      <c r="K1082">
        <v>33.58</v>
      </c>
      <c r="L1082">
        <v>0</v>
      </c>
      <c r="M1082">
        <v>21.3</v>
      </c>
      <c r="N1082">
        <v>0</v>
      </c>
      <c r="O1082">
        <v>0</v>
      </c>
      <c r="P1082">
        <v>2809</v>
      </c>
      <c r="Q1082">
        <v>352</v>
      </c>
      <c r="R1082">
        <v>21</v>
      </c>
      <c r="S1082">
        <v>1244</v>
      </c>
      <c r="T1082">
        <v>0</v>
      </c>
      <c r="U1082">
        <v>1192</v>
      </c>
      <c r="V1082" s="1">
        <f t="shared" si="48"/>
        <v>0.27310000000000001</v>
      </c>
      <c r="W1082" s="1">
        <f t="shared" si="49"/>
        <v>0</v>
      </c>
      <c r="X1082" s="1">
        <f t="shared" si="50"/>
        <v>0</v>
      </c>
    </row>
    <row r="1083" spans="1:24" x14ac:dyDescent="0.25">
      <c r="A1083">
        <v>2017</v>
      </c>
      <c r="B1083">
        <v>7</v>
      </c>
      <c r="C1083" t="s">
        <v>43</v>
      </c>
      <c r="D1083" t="str">
        <f>_xlfn.XLOOKUP(C1083,'Carrier Name Rename'!A:A,'Carrier Name Rename'!B:B)</f>
        <v>Southwest Airlines Co.</v>
      </c>
      <c r="E1083" t="s">
        <v>23</v>
      </c>
      <c r="F1083" t="s">
        <v>24</v>
      </c>
      <c r="G1083">
        <v>1263</v>
      </c>
      <c r="H1083">
        <v>293</v>
      </c>
      <c r="I1083">
        <v>90.41</v>
      </c>
      <c r="J1083">
        <v>5.09</v>
      </c>
      <c r="K1083">
        <v>74.13</v>
      </c>
      <c r="L1083">
        <v>0</v>
      </c>
      <c r="M1083">
        <v>123.37</v>
      </c>
      <c r="N1083">
        <v>0</v>
      </c>
      <c r="O1083">
        <v>2</v>
      </c>
      <c r="P1083">
        <v>12265</v>
      </c>
      <c r="Q1083">
        <v>3321</v>
      </c>
      <c r="R1083">
        <v>371</v>
      </c>
      <c r="S1083">
        <v>2583</v>
      </c>
      <c r="T1083">
        <v>0</v>
      </c>
      <c r="U1083">
        <v>5990</v>
      </c>
      <c r="V1083" s="1">
        <f t="shared" si="48"/>
        <v>0.23200000000000001</v>
      </c>
      <c r="W1083" s="1">
        <f t="shared" si="49"/>
        <v>0</v>
      </c>
      <c r="X1083" s="1">
        <f t="shared" si="50"/>
        <v>1.6000000000000001E-3</v>
      </c>
    </row>
    <row r="1084" spans="1:24" x14ac:dyDescent="0.25">
      <c r="A1084">
        <v>2017</v>
      </c>
      <c r="B1084">
        <v>6</v>
      </c>
      <c r="C1084" t="s">
        <v>31</v>
      </c>
      <c r="D1084" t="str">
        <f>_xlfn.XLOOKUP(C1084,'Carrier Name Rename'!A:A,'Carrier Name Rename'!B:B)</f>
        <v>American Airlines Inc.</v>
      </c>
      <c r="E1084" t="s">
        <v>23</v>
      </c>
      <c r="F1084" t="s">
        <v>24</v>
      </c>
      <c r="G1084">
        <v>922</v>
      </c>
      <c r="H1084">
        <v>279</v>
      </c>
      <c r="I1084">
        <v>77.19</v>
      </c>
      <c r="J1084">
        <v>14.29</v>
      </c>
      <c r="K1084">
        <v>103.79</v>
      </c>
      <c r="L1084">
        <v>0.27</v>
      </c>
      <c r="M1084">
        <v>83.45</v>
      </c>
      <c r="N1084">
        <v>18</v>
      </c>
      <c r="O1084">
        <v>1</v>
      </c>
      <c r="P1084">
        <v>16657</v>
      </c>
      <c r="Q1084">
        <v>5238</v>
      </c>
      <c r="R1084">
        <v>1058</v>
      </c>
      <c r="S1084">
        <v>3998</v>
      </c>
      <c r="T1084">
        <v>34</v>
      </c>
      <c r="U1084">
        <v>6329</v>
      </c>
      <c r="V1084" s="1">
        <f t="shared" si="48"/>
        <v>0.30259999999999998</v>
      </c>
      <c r="W1084" s="1">
        <f t="shared" si="49"/>
        <v>1.95E-2</v>
      </c>
      <c r="X1084" s="1">
        <f t="shared" si="50"/>
        <v>1.1000000000000001E-3</v>
      </c>
    </row>
    <row r="1085" spans="1:24" x14ac:dyDescent="0.25">
      <c r="A1085">
        <v>2017</v>
      </c>
      <c r="B1085">
        <v>6</v>
      </c>
      <c r="C1085" t="s">
        <v>33</v>
      </c>
      <c r="D1085" t="str">
        <f>_xlfn.XLOOKUP(C1085,'Carrier Name Rename'!A:A,'Carrier Name Rename'!B:B)</f>
        <v>Alaska Airlines Inc.</v>
      </c>
      <c r="E1085" t="s">
        <v>23</v>
      </c>
      <c r="F1085" t="s">
        <v>24</v>
      </c>
      <c r="G1085">
        <v>5150</v>
      </c>
      <c r="H1085">
        <v>908</v>
      </c>
      <c r="I1085">
        <v>146.74</v>
      </c>
      <c r="J1085">
        <v>18.43</v>
      </c>
      <c r="K1085">
        <v>477.02</v>
      </c>
      <c r="L1085">
        <v>4.84</v>
      </c>
      <c r="M1085">
        <v>260.97000000000003</v>
      </c>
      <c r="N1085">
        <v>32</v>
      </c>
      <c r="O1085">
        <v>7</v>
      </c>
      <c r="P1085">
        <v>43881</v>
      </c>
      <c r="Q1085">
        <v>9825</v>
      </c>
      <c r="R1085">
        <v>1271</v>
      </c>
      <c r="S1085">
        <v>17980</v>
      </c>
      <c r="T1085">
        <v>122</v>
      </c>
      <c r="U1085">
        <v>14683</v>
      </c>
      <c r="V1085" s="1">
        <f t="shared" si="48"/>
        <v>0.17630000000000001</v>
      </c>
      <c r="W1085" s="1">
        <f t="shared" si="49"/>
        <v>6.1999999999999998E-3</v>
      </c>
      <c r="X1085" s="1">
        <f t="shared" si="50"/>
        <v>1.4E-3</v>
      </c>
    </row>
    <row r="1086" spans="1:24" x14ac:dyDescent="0.25">
      <c r="A1086">
        <v>2017</v>
      </c>
      <c r="B1086">
        <v>6</v>
      </c>
      <c r="C1086" t="s">
        <v>35</v>
      </c>
      <c r="D1086" t="str">
        <f>_xlfn.XLOOKUP(C1086,'Carrier Name Rename'!A:A,'Carrier Name Rename'!B:B)</f>
        <v>JetBlue Airways</v>
      </c>
      <c r="E1086" t="s">
        <v>23</v>
      </c>
      <c r="F1086" t="s">
        <v>24</v>
      </c>
      <c r="G1086">
        <v>214</v>
      </c>
      <c r="H1086">
        <v>69</v>
      </c>
      <c r="I1086">
        <v>20.399999999999999</v>
      </c>
      <c r="J1086">
        <v>0</v>
      </c>
      <c r="K1086">
        <v>20.399999999999999</v>
      </c>
      <c r="L1086">
        <v>0</v>
      </c>
      <c r="M1086">
        <v>28.19</v>
      </c>
      <c r="N1086">
        <v>3</v>
      </c>
      <c r="O1086">
        <v>0</v>
      </c>
      <c r="P1086">
        <v>4839</v>
      </c>
      <c r="Q1086">
        <v>1411</v>
      </c>
      <c r="R1086">
        <v>0</v>
      </c>
      <c r="S1086">
        <v>939</v>
      </c>
      <c r="T1086">
        <v>0</v>
      </c>
      <c r="U1086">
        <v>2489</v>
      </c>
      <c r="V1086" s="1">
        <f t="shared" si="48"/>
        <v>0.32240000000000002</v>
      </c>
      <c r="W1086" s="1">
        <f t="shared" si="49"/>
        <v>1.4E-2</v>
      </c>
      <c r="X1086" s="1">
        <f t="shared" si="50"/>
        <v>0</v>
      </c>
    </row>
    <row r="1087" spans="1:24" x14ac:dyDescent="0.25">
      <c r="A1087">
        <v>2017</v>
      </c>
      <c r="B1087">
        <v>6</v>
      </c>
      <c r="C1087" t="s">
        <v>37</v>
      </c>
      <c r="D1087" t="str">
        <f>_xlfn.XLOOKUP(C1087,'Carrier Name Rename'!A:A,'Carrier Name Rename'!B:B)</f>
        <v>Delta Air Lines Inc.</v>
      </c>
      <c r="E1087" t="s">
        <v>23</v>
      </c>
      <c r="F1087" t="s">
        <v>24</v>
      </c>
      <c r="G1087">
        <v>2046</v>
      </c>
      <c r="H1087">
        <v>308</v>
      </c>
      <c r="I1087">
        <v>80.16</v>
      </c>
      <c r="J1087">
        <v>6.82</v>
      </c>
      <c r="K1087">
        <v>139.24</v>
      </c>
      <c r="L1087">
        <v>1</v>
      </c>
      <c r="M1087">
        <v>80.78</v>
      </c>
      <c r="N1087">
        <v>2</v>
      </c>
      <c r="O1087">
        <v>0</v>
      </c>
      <c r="P1087">
        <v>14565</v>
      </c>
      <c r="Q1087">
        <v>5170</v>
      </c>
      <c r="R1087">
        <v>505</v>
      </c>
      <c r="S1087">
        <v>4309</v>
      </c>
      <c r="T1087">
        <v>52</v>
      </c>
      <c r="U1087">
        <v>4529</v>
      </c>
      <c r="V1087" s="1">
        <f t="shared" si="48"/>
        <v>0.15049999999999999</v>
      </c>
      <c r="W1087" s="1">
        <f t="shared" si="49"/>
        <v>1E-3</v>
      </c>
      <c r="X1087" s="1">
        <f t="shared" si="50"/>
        <v>0</v>
      </c>
    </row>
    <row r="1088" spans="1:24" x14ac:dyDescent="0.25">
      <c r="A1088">
        <v>2017</v>
      </c>
      <c r="B1088">
        <v>6</v>
      </c>
      <c r="C1088" t="s">
        <v>39</v>
      </c>
      <c r="D1088" t="str">
        <f>_xlfn.XLOOKUP(C1088,'Carrier Name Rename'!A:A,'Carrier Name Rename'!B:B)</f>
        <v>Frontier Airlines Inc.</v>
      </c>
      <c r="E1088" t="s">
        <v>23</v>
      </c>
      <c r="F1088" t="s">
        <v>24</v>
      </c>
      <c r="G1088">
        <v>94</v>
      </c>
      <c r="H1088">
        <v>32</v>
      </c>
      <c r="I1088">
        <v>11.02</v>
      </c>
      <c r="J1088">
        <v>0.23</v>
      </c>
      <c r="K1088">
        <v>13.36</v>
      </c>
      <c r="L1088">
        <v>0</v>
      </c>
      <c r="M1088">
        <v>7.39</v>
      </c>
      <c r="N1088">
        <v>0</v>
      </c>
      <c r="O1088">
        <v>0</v>
      </c>
      <c r="P1088">
        <v>1611</v>
      </c>
      <c r="Q1088">
        <v>635</v>
      </c>
      <c r="R1088">
        <v>13</v>
      </c>
      <c r="S1088">
        <v>478</v>
      </c>
      <c r="T1088">
        <v>0</v>
      </c>
      <c r="U1088">
        <v>485</v>
      </c>
      <c r="V1088" s="1">
        <f t="shared" si="48"/>
        <v>0.34039999999999998</v>
      </c>
      <c r="W1088" s="1">
        <f t="shared" si="49"/>
        <v>0</v>
      </c>
      <c r="X1088" s="1">
        <f t="shared" si="50"/>
        <v>0</v>
      </c>
    </row>
    <row r="1089" spans="1:24" x14ac:dyDescent="0.25">
      <c r="A1089">
        <v>2017</v>
      </c>
      <c r="B1089">
        <v>6</v>
      </c>
      <c r="C1089" t="s">
        <v>21</v>
      </c>
      <c r="D1089" t="str">
        <f>_xlfn.XLOOKUP(C1089,'Carrier Name Rename'!A:A,'Carrier Name Rename'!B:B)</f>
        <v>Hawaiian Airlines Inc.</v>
      </c>
      <c r="E1089" t="s">
        <v>23</v>
      </c>
      <c r="F1089" t="s">
        <v>24</v>
      </c>
      <c r="G1089">
        <v>60</v>
      </c>
      <c r="H1089">
        <v>27</v>
      </c>
      <c r="I1089">
        <v>20.67</v>
      </c>
      <c r="J1089">
        <v>0</v>
      </c>
      <c r="K1089">
        <v>1.18</v>
      </c>
      <c r="L1089">
        <v>0</v>
      </c>
      <c r="M1089">
        <v>5.15</v>
      </c>
      <c r="N1089">
        <v>0</v>
      </c>
      <c r="O1089">
        <v>0</v>
      </c>
      <c r="P1089">
        <v>823</v>
      </c>
      <c r="Q1089">
        <v>661</v>
      </c>
      <c r="R1089">
        <v>0</v>
      </c>
      <c r="S1089">
        <v>28</v>
      </c>
      <c r="T1089">
        <v>0</v>
      </c>
      <c r="U1089">
        <v>134</v>
      </c>
      <c r="V1089" s="1">
        <f t="shared" si="48"/>
        <v>0.45</v>
      </c>
      <c r="W1089" s="1">
        <f t="shared" si="49"/>
        <v>0</v>
      </c>
      <c r="X1089" s="1">
        <f t="shared" si="50"/>
        <v>0</v>
      </c>
    </row>
    <row r="1090" spans="1:24" x14ac:dyDescent="0.25">
      <c r="A1090">
        <v>2017</v>
      </c>
      <c r="B1090">
        <v>6</v>
      </c>
      <c r="C1090" t="s">
        <v>25</v>
      </c>
      <c r="D1090" t="str">
        <f>_xlfn.XLOOKUP(C1090,'Carrier Name Rename'!A:A,'Carrier Name Rename'!B:B)</f>
        <v>Spirit Airlines</v>
      </c>
      <c r="E1090" t="s">
        <v>23</v>
      </c>
      <c r="F1090" t="s">
        <v>24</v>
      </c>
      <c r="G1090">
        <v>210</v>
      </c>
      <c r="H1090">
        <v>64</v>
      </c>
      <c r="I1090">
        <v>14.59</v>
      </c>
      <c r="J1090">
        <v>0.63</v>
      </c>
      <c r="K1090">
        <v>32.79</v>
      </c>
      <c r="L1090">
        <v>0</v>
      </c>
      <c r="M1090">
        <v>16</v>
      </c>
      <c r="N1090">
        <v>3</v>
      </c>
      <c r="O1090">
        <v>1</v>
      </c>
      <c r="P1090">
        <v>3500</v>
      </c>
      <c r="Q1090">
        <v>936</v>
      </c>
      <c r="R1090">
        <v>35</v>
      </c>
      <c r="S1090">
        <v>1359</v>
      </c>
      <c r="T1090">
        <v>0</v>
      </c>
      <c r="U1090">
        <v>1170</v>
      </c>
      <c r="V1090" s="1">
        <f t="shared" si="48"/>
        <v>0.30480000000000002</v>
      </c>
      <c r="W1090" s="1">
        <f t="shared" si="49"/>
        <v>1.43E-2</v>
      </c>
      <c r="X1090" s="1">
        <f t="shared" si="50"/>
        <v>4.7999999999999996E-3</v>
      </c>
    </row>
    <row r="1091" spans="1:24" x14ac:dyDescent="0.25">
      <c r="A1091">
        <v>2017</v>
      </c>
      <c r="B1091">
        <v>6</v>
      </c>
      <c r="C1091" t="s">
        <v>27</v>
      </c>
      <c r="D1091" t="str">
        <f>_xlfn.XLOOKUP(C1091,'Carrier Name Rename'!A:A,'Carrier Name Rename'!B:B)</f>
        <v>SkyWest Airlines Inc.</v>
      </c>
      <c r="E1091" t="s">
        <v>23</v>
      </c>
      <c r="F1091" t="s">
        <v>24</v>
      </c>
      <c r="G1091">
        <v>1496</v>
      </c>
      <c r="H1091">
        <v>259</v>
      </c>
      <c r="I1091">
        <v>28.98</v>
      </c>
      <c r="J1091">
        <v>33.799999999999997</v>
      </c>
      <c r="K1091">
        <v>93.04</v>
      </c>
      <c r="L1091">
        <v>1</v>
      </c>
      <c r="M1091">
        <v>102.19</v>
      </c>
      <c r="N1091">
        <v>0</v>
      </c>
      <c r="O1091">
        <v>0</v>
      </c>
      <c r="P1091">
        <v>13269</v>
      </c>
      <c r="Q1091">
        <v>2480</v>
      </c>
      <c r="R1091">
        <v>1506</v>
      </c>
      <c r="S1091">
        <v>2894</v>
      </c>
      <c r="T1091">
        <v>15</v>
      </c>
      <c r="U1091">
        <v>6374</v>
      </c>
      <c r="V1091" s="1">
        <f t="shared" ref="V1091:V1154" si="51">ROUND(H1091/G1091,4)</f>
        <v>0.1731</v>
      </c>
      <c r="W1091" s="1">
        <f t="shared" ref="W1091:W1154" si="52">ROUND(N1091/G1091,4)</f>
        <v>0</v>
      </c>
      <c r="X1091" s="1">
        <f t="shared" ref="X1091:X1154" si="53">ROUND(O1091/G1091,4)</f>
        <v>0</v>
      </c>
    </row>
    <row r="1092" spans="1:24" x14ac:dyDescent="0.25">
      <c r="A1092">
        <v>2017</v>
      </c>
      <c r="B1092">
        <v>6</v>
      </c>
      <c r="C1092" t="s">
        <v>41</v>
      </c>
      <c r="D1092" t="str">
        <f>_xlfn.XLOOKUP(C1092,'Carrier Name Rename'!A:A,'Carrier Name Rename'!B:B)</f>
        <v>United Air Lines Inc.</v>
      </c>
      <c r="E1092" t="s">
        <v>23</v>
      </c>
      <c r="F1092" t="s">
        <v>24</v>
      </c>
      <c r="G1092">
        <v>946</v>
      </c>
      <c r="H1092">
        <v>207</v>
      </c>
      <c r="I1092">
        <v>40.61</v>
      </c>
      <c r="J1092">
        <v>8.6</v>
      </c>
      <c r="K1092">
        <v>88.03</v>
      </c>
      <c r="L1092">
        <v>0</v>
      </c>
      <c r="M1092">
        <v>69.760000000000005</v>
      </c>
      <c r="N1092">
        <v>2</v>
      </c>
      <c r="O1092">
        <v>2</v>
      </c>
      <c r="P1092">
        <v>12972</v>
      </c>
      <c r="Q1092">
        <v>2406</v>
      </c>
      <c r="R1092">
        <v>972</v>
      </c>
      <c r="S1092">
        <v>3873</v>
      </c>
      <c r="T1092">
        <v>0</v>
      </c>
      <c r="U1092">
        <v>5721</v>
      </c>
      <c r="V1092" s="1">
        <f t="shared" si="51"/>
        <v>0.21879999999999999</v>
      </c>
      <c r="W1092" s="1">
        <f t="shared" si="52"/>
        <v>2.0999999999999999E-3</v>
      </c>
      <c r="X1092" s="1">
        <f t="shared" si="53"/>
        <v>2.0999999999999999E-3</v>
      </c>
    </row>
    <row r="1093" spans="1:24" x14ac:dyDescent="0.25">
      <c r="A1093">
        <v>2017</v>
      </c>
      <c r="B1093">
        <v>6</v>
      </c>
      <c r="C1093" t="s">
        <v>51</v>
      </c>
      <c r="D1093" t="str">
        <f>_xlfn.XLOOKUP(C1093,'Carrier Name Rename'!A:A,'Carrier Name Rename'!B:B)</f>
        <v>Virgin America</v>
      </c>
      <c r="E1093" t="s">
        <v>23</v>
      </c>
      <c r="F1093" t="s">
        <v>24</v>
      </c>
      <c r="G1093">
        <v>224</v>
      </c>
      <c r="H1093">
        <v>80</v>
      </c>
      <c r="I1093">
        <v>14.66</v>
      </c>
      <c r="J1093">
        <v>1.84</v>
      </c>
      <c r="K1093">
        <v>31.65</v>
      </c>
      <c r="L1093">
        <v>0.78</v>
      </c>
      <c r="M1093">
        <v>31.07</v>
      </c>
      <c r="N1093">
        <v>3</v>
      </c>
      <c r="O1093">
        <v>0</v>
      </c>
      <c r="P1093">
        <v>3658</v>
      </c>
      <c r="Q1093">
        <v>462</v>
      </c>
      <c r="R1093">
        <v>50</v>
      </c>
      <c r="S1093">
        <v>1378</v>
      </c>
      <c r="T1093">
        <v>31</v>
      </c>
      <c r="U1093">
        <v>1737</v>
      </c>
      <c r="V1093" s="1">
        <f t="shared" si="51"/>
        <v>0.35709999999999997</v>
      </c>
      <c r="W1093" s="1">
        <f t="shared" si="52"/>
        <v>1.34E-2</v>
      </c>
      <c r="X1093" s="1">
        <f t="shared" si="53"/>
        <v>0</v>
      </c>
    </row>
    <row r="1094" spans="1:24" x14ac:dyDescent="0.25">
      <c r="A1094">
        <v>2017</v>
      </c>
      <c r="B1094">
        <v>6</v>
      </c>
      <c r="C1094" t="s">
        <v>43</v>
      </c>
      <c r="D1094" t="str">
        <f>_xlfn.XLOOKUP(C1094,'Carrier Name Rename'!A:A,'Carrier Name Rename'!B:B)</f>
        <v>Southwest Airlines Co.</v>
      </c>
      <c r="E1094" t="s">
        <v>23</v>
      </c>
      <c r="F1094" t="s">
        <v>24</v>
      </c>
      <c r="G1094">
        <v>1196</v>
      </c>
      <c r="H1094">
        <v>439</v>
      </c>
      <c r="I1094">
        <v>126.99</v>
      </c>
      <c r="J1094">
        <v>19.510000000000002</v>
      </c>
      <c r="K1094">
        <v>140.41</v>
      </c>
      <c r="L1094">
        <v>0.21</v>
      </c>
      <c r="M1094">
        <v>151.88</v>
      </c>
      <c r="N1094">
        <v>1</v>
      </c>
      <c r="O1094">
        <v>2</v>
      </c>
      <c r="P1094">
        <v>19115</v>
      </c>
      <c r="Q1094">
        <v>5192</v>
      </c>
      <c r="R1094">
        <v>1266</v>
      </c>
      <c r="S1094">
        <v>5745</v>
      </c>
      <c r="T1094">
        <v>5</v>
      </c>
      <c r="U1094">
        <v>6907</v>
      </c>
      <c r="V1094" s="1">
        <f t="shared" si="51"/>
        <v>0.36709999999999998</v>
      </c>
      <c r="W1094" s="1">
        <f t="shared" si="52"/>
        <v>8.0000000000000004E-4</v>
      </c>
      <c r="X1094" s="1">
        <f t="shared" si="53"/>
        <v>1.6999999999999999E-3</v>
      </c>
    </row>
    <row r="1095" spans="1:24" x14ac:dyDescent="0.25">
      <c r="A1095">
        <v>2017</v>
      </c>
      <c r="B1095">
        <v>5</v>
      </c>
      <c r="C1095" t="s">
        <v>31</v>
      </c>
      <c r="D1095" t="str">
        <f>_xlfn.XLOOKUP(C1095,'Carrier Name Rename'!A:A,'Carrier Name Rename'!B:B)</f>
        <v>American Airlines Inc.</v>
      </c>
      <c r="E1095" t="s">
        <v>23</v>
      </c>
      <c r="F1095" t="s">
        <v>24</v>
      </c>
      <c r="G1095">
        <v>731</v>
      </c>
      <c r="H1095">
        <v>147</v>
      </c>
      <c r="I1095">
        <v>49.25</v>
      </c>
      <c r="J1095">
        <v>2.96</v>
      </c>
      <c r="K1095">
        <v>50.08</v>
      </c>
      <c r="L1095">
        <v>1.53</v>
      </c>
      <c r="M1095">
        <v>43.18</v>
      </c>
      <c r="N1095">
        <v>4</v>
      </c>
      <c r="O1095">
        <v>1</v>
      </c>
      <c r="P1095">
        <v>7026</v>
      </c>
      <c r="Q1095">
        <v>2688</v>
      </c>
      <c r="R1095">
        <v>124</v>
      </c>
      <c r="S1095">
        <v>1911</v>
      </c>
      <c r="T1095">
        <v>85</v>
      </c>
      <c r="U1095">
        <v>2218</v>
      </c>
      <c r="V1095" s="1">
        <f t="shared" si="51"/>
        <v>0.2011</v>
      </c>
      <c r="W1095" s="1">
        <f t="shared" si="52"/>
        <v>5.4999999999999997E-3</v>
      </c>
      <c r="X1095" s="1">
        <f t="shared" si="53"/>
        <v>1.4E-3</v>
      </c>
    </row>
    <row r="1096" spans="1:24" x14ac:dyDescent="0.25">
      <c r="A1096">
        <v>2017</v>
      </c>
      <c r="B1096">
        <v>5</v>
      </c>
      <c r="C1096" t="s">
        <v>33</v>
      </c>
      <c r="D1096" t="str">
        <f>_xlfn.XLOOKUP(C1096,'Carrier Name Rename'!A:A,'Carrier Name Rename'!B:B)</f>
        <v>Alaska Airlines Inc.</v>
      </c>
      <c r="E1096" t="s">
        <v>23</v>
      </c>
      <c r="F1096" t="s">
        <v>24</v>
      </c>
      <c r="G1096">
        <v>5168</v>
      </c>
      <c r="H1096">
        <v>882</v>
      </c>
      <c r="I1096">
        <v>150.4</v>
      </c>
      <c r="J1096">
        <v>14.12</v>
      </c>
      <c r="K1096">
        <v>460.14</v>
      </c>
      <c r="L1096">
        <v>7.87</v>
      </c>
      <c r="M1096">
        <v>249.47</v>
      </c>
      <c r="N1096">
        <v>35</v>
      </c>
      <c r="O1096">
        <v>6</v>
      </c>
      <c r="P1096">
        <v>39843</v>
      </c>
      <c r="Q1096">
        <v>8642</v>
      </c>
      <c r="R1096">
        <v>1489</v>
      </c>
      <c r="S1096">
        <v>15113</v>
      </c>
      <c r="T1096">
        <v>224</v>
      </c>
      <c r="U1096">
        <v>14375</v>
      </c>
      <c r="V1096" s="1">
        <f t="shared" si="51"/>
        <v>0.17069999999999999</v>
      </c>
      <c r="W1096" s="1">
        <f t="shared" si="52"/>
        <v>6.7999999999999996E-3</v>
      </c>
      <c r="X1096" s="1">
        <f t="shared" si="53"/>
        <v>1.1999999999999999E-3</v>
      </c>
    </row>
    <row r="1097" spans="1:24" x14ac:dyDescent="0.25">
      <c r="A1097">
        <v>2017</v>
      </c>
      <c r="B1097">
        <v>5</v>
      </c>
      <c r="C1097" t="s">
        <v>35</v>
      </c>
      <c r="D1097" t="str">
        <f>_xlfn.XLOOKUP(C1097,'Carrier Name Rename'!A:A,'Carrier Name Rename'!B:B)</f>
        <v>JetBlue Airways</v>
      </c>
      <c r="E1097" t="s">
        <v>23</v>
      </c>
      <c r="F1097" t="s">
        <v>24</v>
      </c>
      <c r="G1097">
        <v>152</v>
      </c>
      <c r="H1097">
        <v>35</v>
      </c>
      <c r="I1097">
        <v>12.89</v>
      </c>
      <c r="J1097">
        <v>0</v>
      </c>
      <c r="K1097">
        <v>10.42</v>
      </c>
      <c r="L1097">
        <v>0</v>
      </c>
      <c r="M1097">
        <v>11.69</v>
      </c>
      <c r="N1097">
        <v>1</v>
      </c>
      <c r="O1097">
        <v>2</v>
      </c>
      <c r="P1097">
        <v>1901</v>
      </c>
      <c r="Q1097">
        <v>640</v>
      </c>
      <c r="R1097">
        <v>0</v>
      </c>
      <c r="S1097">
        <v>370</v>
      </c>
      <c r="T1097">
        <v>0</v>
      </c>
      <c r="U1097">
        <v>891</v>
      </c>
      <c r="V1097" s="1">
        <f t="shared" si="51"/>
        <v>0.2303</v>
      </c>
      <c r="W1097" s="1">
        <f t="shared" si="52"/>
        <v>6.6E-3</v>
      </c>
      <c r="X1097" s="1">
        <f t="shared" si="53"/>
        <v>1.32E-2</v>
      </c>
    </row>
    <row r="1098" spans="1:24" x14ac:dyDescent="0.25">
      <c r="A1098">
        <v>2017</v>
      </c>
      <c r="B1098">
        <v>5</v>
      </c>
      <c r="C1098" t="s">
        <v>37</v>
      </c>
      <c r="D1098" t="str">
        <f>_xlfn.XLOOKUP(C1098,'Carrier Name Rename'!A:A,'Carrier Name Rename'!B:B)</f>
        <v>Delta Air Lines Inc.</v>
      </c>
      <c r="E1098" t="s">
        <v>23</v>
      </c>
      <c r="F1098" t="s">
        <v>24</v>
      </c>
      <c r="G1098">
        <v>1687</v>
      </c>
      <c r="H1098">
        <v>251</v>
      </c>
      <c r="I1098">
        <v>91.44</v>
      </c>
      <c r="J1098">
        <v>3.72</v>
      </c>
      <c r="K1098">
        <v>80.489999999999995</v>
      </c>
      <c r="L1098">
        <v>0</v>
      </c>
      <c r="M1098">
        <v>75.349999999999994</v>
      </c>
      <c r="N1098">
        <v>1</v>
      </c>
      <c r="O1098">
        <v>2</v>
      </c>
      <c r="P1098">
        <v>12837</v>
      </c>
      <c r="Q1098">
        <v>4707</v>
      </c>
      <c r="R1098">
        <v>164</v>
      </c>
      <c r="S1098">
        <v>3259</v>
      </c>
      <c r="T1098">
        <v>0</v>
      </c>
      <c r="U1098">
        <v>4707</v>
      </c>
      <c r="V1098" s="1">
        <f t="shared" si="51"/>
        <v>0.14879999999999999</v>
      </c>
      <c r="W1098" s="1">
        <f t="shared" si="52"/>
        <v>5.9999999999999995E-4</v>
      </c>
      <c r="X1098" s="1">
        <f t="shared" si="53"/>
        <v>1.1999999999999999E-3</v>
      </c>
    </row>
    <row r="1099" spans="1:24" x14ac:dyDescent="0.25">
      <c r="A1099">
        <v>2017</v>
      </c>
      <c r="B1099">
        <v>5</v>
      </c>
      <c r="C1099" t="s">
        <v>39</v>
      </c>
      <c r="D1099" t="str">
        <f>_xlfn.XLOOKUP(C1099,'Carrier Name Rename'!A:A,'Carrier Name Rename'!B:B)</f>
        <v>Frontier Airlines Inc.</v>
      </c>
      <c r="E1099" t="s">
        <v>23</v>
      </c>
      <c r="F1099" t="s">
        <v>24</v>
      </c>
      <c r="G1099">
        <v>97</v>
      </c>
      <c r="H1099">
        <v>25</v>
      </c>
      <c r="I1099">
        <v>5.58</v>
      </c>
      <c r="J1099">
        <v>0.61</v>
      </c>
      <c r="K1099">
        <v>11.24</v>
      </c>
      <c r="L1099">
        <v>0</v>
      </c>
      <c r="M1099">
        <v>7.57</v>
      </c>
      <c r="N1099">
        <v>0</v>
      </c>
      <c r="O1099">
        <v>0</v>
      </c>
      <c r="P1099">
        <v>1817</v>
      </c>
      <c r="Q1099">
        <v>299</v>
      </c>
      <c r="R1099">
        <v>75</v>
      </c>
      <c r="S1099">
        <v>490</v>
      </c>
      <c r="T1099">
        <v>0</v>
      </c>
      <c r="U1099">
        <v>953</v>
      </c>
      <c r="V1099" s="1">
        <f t="shared" si="51"/>
        <v>0.25769999999999998</v>
      </c>
      <c r="W1099" s="1">
        <f t="shared" si="52"/>
        <v>0</v>
      </c>
      <c r="X1099" s="1">
        <f t="shared" si="53"/>
        <v>0</v>
      </c>
    </row>
    <row r="1100" spans="1:24" x14ac:dyDescent="0.25">
      <c r="A1100">
        <v>2017</v>
      </c>
      <c r="B1100">
        <v>5</v>
      </c>
      <c r="C1100" t="s">
        <v>21</v>
      </c>
      <c r="D1100" t="str">
        <f>_xlfn.XLOOKUP(C1100,'Carrier Name Rename'!A:A,'Carrier Name Rename'!B:B)</f>
        <v>Hawaiian Airlines Inc.</v>
      </c>
      <c r="E1100" t="s">
        <v>23</v>
      </c>
      <c r="F1100" t="s">
        <v>24</v>
      </c>
      <c r="G1100">
        <v>62</v>
      </c>
      <c r="H1100">
        <v>37</v>
      </c>
      <c r="I1100">
        <v>27.41</v>
      </c>
      <c r="J1100">
        <v>0</v>
      </c>
      <c r="K1100">
        <v>0.76</v>
      </c>
      <c r="L1100">
        <v>0</v>
      </c>
      <c r="M1100">
        <v>8.83</v>
      </c>
      <c r="N1100">
        <v>0</v>
      </c>
      <c r="O1100">
        <v>0</v>
      </c>
      <c r="P1100">
        <v>1394</v>
      </c>
      <c r="Q1100">
        <v>905</v>
      </c>
      <c r="R1100">
        <v>0</v>
      </c>
      <c r="S1100">
        <v>35</v>
      </c>
      <c r="T1100">
        <v>0</v>
      </c>
      <c r="U1100">
        <v>454</v>
      </c>
      <c r="V1100" s="1">
        <f t="shared" si="51"/>
        <v>0.5968</v>
      </c>
      <c r="W1100" s="1">
        <f t="shared" si="52"/>
        <v>0</v>
      </c>
      <c r="X1100" s="1">
        <f t="shared" si="53"/>
        <v>0</v>
      </c>
    </row>
    <row r="1101" spans="1:24" x14ac:dyDescent="0.25">
      <c r="A1101">
        <v>2017</v>
      </c>
      <c r="B1101">
        <v>5</v>
      </c>
      <c r="C1101" t="s">
        <v>25</v>
      </c>
      <c r="D1101" t="str">
        <f>_xlfn.XLOOKUP(C1101,'Carrier Name Rename'!A:A,'Carrier Name Rename'!B:B)</f>
        <v>Spirit Airlines</v>
      </c>
      <c r="E1101" t="s">
        <v>23</v>
      </c>
      <c r="F1101" t="s">
        <v>24</v>
      </c>
      <c r="G1101">
        <v>169</v>
      </c>
      <c r="H1101">
        <v>58</v>
      </c>
      <c r="I1101">
        <v>10.11</v>
      </c>
      <c r="J1101">
        <v>0</v>
      </c>
      <c r="K1101">
        <v>39.700000000000003</v>
      </c>
      <c r="L1101">
        <v>0</v>
      </c>
      <c r="M1101">
        <v>8.19</v>
      </c>
      <c r="N1101">
        <v>7</v>
      </c>
      <c r="O1101">
        <v>0</v>
      </c>
      <c r="P1101">
        <v>3748</v>
      </c>
      <c r="Q1101">
        <v>859</v>
      </c>
      <c r="R1101">
        <v>0</v>
      </c>
      <c r="S1101">
        <v>2309</v>
      </c>
      <c r="T1101">
        <v>0</v>
      </c>
      <c r="U1101">
        <v>580</v>
      </c>
      <c r="V1101" s="1">
        <f t="shared" si="51"/>
        <v>0.34320000000000001</v>
      </c>
      <c r="W1101" s="1">
        <f t="shared" si="52"/>
        <v>4.1399999999999999E-2</v>
      </c>
      <c r="X1101" s="1">
        <f t="shared" si="53"/>
        <v>0</v>
      </c>
    </row>
    <row r="1102" spans="1:24" x14ac:dyDescent="0.25">
      <c r="A1102">
        <v>2017</v>
      </c>
      <c r="B1102">
        <v>5</v>
      </c>
      <c r="C1102" t="s">
        <v>27</v>
      </c>
      <c r="D1102" t="str">
        <f>_xlfn.XLOOKUP(C1102,'Carrier Name Rename'!A:A,'Carrier Name Rename'!B:B)</f>
        <v>SkyWest Airlines Inc.</v>
      </c>
      <c r="E1102" t="s">
        <v>23</v>
      </c>
      <c r="F1102" t="s">
        <v>24</v>
      </c>
      <c r="G1102">
        <v>1463</v>
      </c>
      <c r="H1102">
        <v>226</v>
      </c>
      <c r="I1102">
        <v>25.9</v>
      </c>
      <c r="J1102">
        <v>13.56</v>
      </c>
      <c r="K1102">
        <v>77.489999999999995</v>
      </c>
      <c r="L1102">
        <v>0</v>
      </c>
      <c r="M1102">
        <v>109.05</v>
      </c>
      <c r="N1102">
        <v>2</v>
      </c>
      <c r="O1102">
        <v>3</v>
      </c>
      <c r="P1102">
        <v>13171</v>
      </c>
      <c r="Q1102">
        <v>2420</v>
      </c>
      <c r="R1102">
        <v>794</v>
      </c>
      <c r="S1102">
        <v>2846</v>
      </c>
      <c r="T1102">
        <v>0</v>
      </c>
      <c r="U1102">
        <v>7111</v>
      </c>
      <c r="V1102" s="1">
        <f t="shared" si="51"/>
        <v>0.1545</v>
      </c>
      <c r="W1102" s="1">
        <f t="shared" si="52"/>
        <v>1.4E-3</v>
      </c>
      <c r="X1102" s="1">
        <f t="shared" si="53"/>
        <v>2.0999999999999999E-3</v>
      </c>
    </row>
    <row r="1103" spans="1:24" x14ac:dyDescent="0.25">
      <c r="A1103">
        <v>2017</v>
      </c>
      <c r="B1103">
        <v>5</v>
      </c>
      <c r="C1103" t="s">
        <v>41</v>
      </c>
      <c r="D1103" t="str">
        <f>_xlfn.XLOOKUP(C1103,'Carrier Name Rename'!A:A,'Carrier Name Rename'!B:B)</f>
        <v>United Air Lines Inc.</v>
      </c>
      <c r="E1103" t="s">
        <v>23</v>
      </c>
      <c r="F1103" t="s">
        <v>24</v>
      </c>
      <c r="G1103">
        <v>846</v>
      </c>
      <c r="H1103">
        <v>138</v>
      </c>
      <c r="I1103">
        <v>40.78</v>
      </c>
      <c r="J1103">
        <v>2.82</v>
      </c>
      <c r="K1103">
        <v>50.9</v>
      </c>
      <c r="L1103">
        <v>0</v>
      </c>
      <c r="M1103">
        <v>43.51</v>
      </c>
      <c r="N1103">
        <v>0</v>
      </c>
      <c r="O1103">
        <v>0</v>
      </c>
      <c r="P1103">
        <v>8075</v>
      </c>
      <c r="Q1103">
        <v>2076</v>
      </c>
      <c r="R1103">
        <v>193</v>
      </c>
      <c r="S1103">
        <v>2135</v>
      </c>
      <c r="T1103">
        <v>0</v>
      </c>
      <c r="U1103">
        <v>3671</v>
      </c>
      <c r="V1103" s="1">
        <f t="shared" si="51"/>
        <v>0.16309999999999999</v>
      </c>
      <c r="W1103" s="1">
        <f t="shared" si="52"/>
        <v>0</v>
      </c>
      <c r="X1103" s="1">
        <f t="shared" si="53"/>
        <v>0</v>
      </c>
    </row>
    <row r="1104" spans="1:24" x14ac:dyDescent="0.25">
      <c r="A1104">
        <v>2017</v>
      </c>
      <c r="B1104">
        <v>5</v>
      </c>
      <c r="C1104" t="s">
        <v>51</v>
      </c>
      <c r="D1104" t="str">
        <f>_xlfn.XLOOKUP(C1104,'Carrier Name Rename'!A:A,'Carrier Name Rename'!B:B)</f>
        <v>Virgin America</v>
      </c>
      <c r="E1104" t="s">
        <v>23</v>
      </c>
      <c r="F1104" t="s">
        <v>24</v>
      </c>
      <c r="G1104">
        <v>198</v>
      </c>
      <c r="H1104">
        <v>78</v>
      </c>
      <c r="I1104">
        <v>12.15</v>
      </c>
      <c r="J1104">
        <v>5.0599999999999996</v>
      </c>
      <c r="K1104">
        <v>22.07</v>
      </c>
      <c r="L1104">
        <v>0</v>
      </c>
      <c r="M1104">
        <v>38.71</v>
      </c>
      <c r="N1104">
        <v>7</v>
      </c>
      <c r="O1104">
        <v>0</v>
      </c>
      <c r="P1104">
        <v>3840</v>
      </c>
      <c r="Q1104">
        <v>406</v>
      </c>
      <c r="R1104">
        <v>111</v>
      </c>
      <c r="S1104">
        <v>889</v>
      </c>
      <c r="T1104">
        <v>0</v>
      </c>
      <c r="U1104">
        <v>2434</v>
      </c>
      <c r="V1104" s="1">
        <f t="shared" si="51"/>
        <v>0.39389999999999997</v>
      </c>
      <c r="W1104" s="1">
        <f t="shared" si="52"/>
        <v>3.5400000000000001E-2</v>
      </c>
      <c r="X1104" s="1">
        <f t="shared" si="53"/>
        <v>0</v>
      </c>
    </row>
    <row r="1105" spans="1:24" x14ac:dyDescent="0.25">
      <c r="A1105">
        <v>2017</v>
      </c>
      <c r="B1105">
        <v>5</v>
      </c>
      <c r="C1105" t="s">
        <v>43</v>
      </c>
      <c r="D1105" t="str">
        <f>_xlfn.XLOOKUP(C1105,'Carrier Name Rename'!A:A,'Carrier Name Rename'!B:B)</f>
        <v>Southwest Airlines Co.</v>
      </c>
      <c r="E1105" t="s">
        <v>23</v>
      </c>
      <c r="F1105" t="s">
        <v>24</v>
      </c>
      <c r="G1105">
        <v>948</v>
      </c>
      <c r="H1105">
        <v>288</v>
      </c>
      <c r="I1105">
        <v>89.32</v>
      </c>
      <c r="J1105">
        <v>2.86</v>
      </c>
      <c r="K1105">
        <v>70.25</v>
      </c>
      <c r="L1105">
        <v>0</v>
      </c>
      <c r="M1105">
        <v>125.57</v>
      </c>
      <c r="N1105">
        <v>0</v>
      </c>
      <c r="O1105">
        <v>0</v>
      </c>
      <c r="P1105">
        <v>12041</v>
      </c>
      <c r="Q1105">
        <v>3521</v>
      </c>
      <c r="R1105">
        <v>362</v>
      </c>
      <c r="S1105">
        <v>2386</v>
      </c>
      <c r="T1105">
        <v>0</v>
      </c>
      <c r="U1105">
        <v>5772</v>
      </c>
      <c r="V1105" s="1">
        <f t="shared" si="51"/>
        <v>0.30380000000000001</v>
      </c>
      <c r="W1105" s="1">
        <f t="shared" si="52"/>
        <v>0</v>
      </c>
      <c r="X1105" s="1">
        <f t="shared" si="53"/>
        <v>0</v>
      </c>
    </row>
    <row r="1106" spans="1:24" x14ac:dyDescent="0.25">
      <c r="A1106">
        <v>2017</v>
      </c>
      <c r="B1106">
        <v>4</v>
      </c>
      <c r="C1106" t="s">
        <v>31</v>
      </c>
      <c r="D1106" t="str">
        <f>_xlfn.XLOOKUP(C1106,'Carrier Name Rename'!A:A,'Carrier Name Rename'!B:B)</f>
        <v>American Airlines Inc.</v>
      </c>
      <c r="E1106" t="s">
        <v>23</v>
      </c>
      <c r="F1106" t="s">
        <v>24</v>
      </c>
      <c r="G1106">
        <v>596</v>
      </c>
      <c r="H1106">
        <v>179</v>
      </c>
      <c r="I1106">
        <v>55.15</v>
      </c>
      <c r="J1106">
        <v>1.45</v>
      </c>
      <c r="K1106">
        <v>67.459999999999994</v>
      </c>
      <c r="L1106">
        <v>0.28999999999999998</v>
      </c>
      <c r="M1106">
        <v>54.64</v>
      </c>
      <c r="N1106">
        <v>3</v>
      </c>
      <c r="O1106">
        <v>1</v>
      </c>
      <c r="P1106">
        <v>9392</v>
      </c>
      <c r="Q1106">
        <v>2964</v>
      </c>
      <c r="R1106">
        <v>78</v>
      </c>
      <c r="S1106">
        <v>2404</v>
      </c>
      <c r="T1106">
        <v>23</v>
      </c>
      <c r="U1106">
        <v>3923</v>
      </c>
      <c r="V1106" s="1">
        <f t="shared" si="51"/>
        <v>0.30030000000000001</v>
      </c>
      <c r="W1106" s="1">
        <f t="shared" si="52"/>
        <v>5.0000000000000001E-3</v>
      </c>
      <c r="X1106" s="1">
        <f t="shared" si="53"/>
        <v>1.6999999999999999E-3</v>
      </c>
    </row>
    <row r="1107" spans="1:24" x14ac:dyDescent="0.25">
      <c r="A1107">
        <v>2017</v>
      </c>
      <c r="B1107">
        <v>4</v>
      </c>
      <c r="C1107" t="s">
        <v>33</v>
      </c>
      <c r="D1107" t="str">
        <f>_xlfn.XLOOKUP(C1107,'Carrier Name Rename'!A:A,'Carrier Name Rename'!B:B)</f>
        <v>Alaska Airlines Inc.</v>
      </c>
      <c r="E1107" t="s">
        <v>23</v>
      </c>
      <c r="F1107" t="s">
        <v>24</v>
      </c>
      <c r="G1107">
        <v>4843</v>
      </c>
      <c r="H1107">
        <v>857</v>
      </c>
      <c r="I1107">
        <v>170.07</v>
      </c>
      <c r="J1107">
        <v>5.96</v>
      </c>
      <c r="K1107">
        <v>391.43</v>
      </c>
      <c r="L1107">
        <v>2.0099999999999998</v>
      </c>
      <c r="M1107">
        <v>287.52999999999997</v>
      </c>
      <c r="N1107">
        <v>27</v>
      </c>
      <c r="O1107">
        <v>4</v>
      </c>
      <c r="P1107">
        <v>38842</v>
      </c>
      <c r="Q1107">
        <v>10613</v>
      </c>
      <c r="R1107">
        <v>332</v>
      </c>
      <c r="S1107">
        <v>11247</v>
      </c>
      <c r="T1107">
        <v>58</v>
      </c>
      <c r="U1107">
        <v>16592</v>
      </c>
      <c r="V1107" s="1">
        <f t="shared" si="51"/>
        <v>0.17699999999999999</v>
      </c>
      <c r="W1107" s="1">
        <f t="shared" si="52"/>
        <v>5.5999999999999999E-3</v>
      </c>
      <c r="X1107" s="1">
        <f t="shared" si="53"/>
        <v>8.0000000000000004E-4</v>
      </c>
    </row>
    <row r="1108" spans="1:24" x14ac:dyDescent="0.25">
      <c r="A1108">
        <v>2017</v>
      </c>
      <c r="B1108">
        <v>4</v>
      </c>
      <c r="C1108" t="s">
        <v>35</v>
      </c>
      <c r="D1108" t="str">
        <f>_xlfn.XLOOKUP(C1108,'Carrier Name Rename'!A:A,'Carrier Name Rename'!B:B)</f>
        <v>JetBlue Airways</v>
      </c>
      <c r="E1108" t="s">
        <v>23</v>
      </c>
      <c r="F1108" t="s">
        <v>24</v>
      </c>
      <c r="G1108">
        <v>140</v>
      </c>
      <c r="H1108">
        <v>25</v>
      </c>
      <c r="I1108">
        <v>5.38</v>
      </c>
      <c r="J1108">
        <v>0.51</v>
      </c>
      <c r="K1108">
        <v>7.66</v>
      </c>
      <c r="L1108">
        <v>0</v>
      </c>
      <c r="M1108">
        <v>11.45</v>
      </c>
      <c r="N1108">
        <v>0</v>
      </c>
      <c r="O1108">
        <v>0</v>
      </c>
      <c r="P1108">
        <v>1377</v>
      </c>
      <c r="Q1108">
        <v>290</v>
      </c>
      <c r="R1108">
        <v>35</v>
      </c>
      <c r="S1108">
        <v>263</v>
      </c>
      <c r="T1108">
        <v>0</v>
      </c>
      <c r="U1108">
        <v>789</v>
      </c>
      <c r="V1108" s="1">
        <f t="shared" si="51"/>
        <v>0.17860000000000001</v>
      </c>
      <c r="W1108" s="1">
        <f t="shared" si="52"/>
        <v>0</v>
      </c>
      <c r="X1108" s="1">
        <f t="shared" si="53"/>
        <v>0</v>
      </c>
    </row>
    <row r="1109" spans="1:24" x14ac:dyDescent="0.25">
      <c r="A1109">
        <v>2017</v>
      </c>
      <c r="B1109">
        <v>4</v>
      </c>
      <c r="C1109" t="s">
        <v>37</v>
      </c>
      <c r="D1109" t="str">
        <f>_xlfn.XLOOKUP(C1109,'Carrier Name Rename'!A:A,'Carrier Name Rename'!B:B)</f>
        <v>Delta Air Lines Inc.</v>
      </c>
      <c r="E1109" t="s">
        <v>23</v>
      </c>
      <c r="F1109" t="s">
        <v>24</v>
      </c>
      <c r="G1109">
        <v>1517</v>
      </c>
      <c r="H1109">
        <v>276</v>
      </c>
      <c r="I1109">
        <v>113.74</v>
      </c>
      <c r="J1109">
        <v>20.54</v>
      </c>
      <c r="K1109">
        <v>54.64</v>
      </c>
      <c r="L1109">
        <v>0</v>
      </c>
      <c r="M1109">
        <v>87.08</v>
      </c>
      <c r="N1109">
        <v>18</v>
      </c>
      <c r="O1109">
        <v>0</v>
      </c>
      <c r="P1109">
        <v>23938</v>
      </c>
      <c r="Q1109">
        <v>11462</v>
      </c>
      <c r="R1109">
        <v>3306</v>
      </c>
      <c r="S1109">
        <v>1733</v>
      </c>
      <c r="T1109">
        <v>0</v>
      </c>
      <c r="U1109">
        <v>7437</v>
      </c>
      <c r="V1109" s="1">
        <f t="shared" si="51"/>
        <v>0.18190000000000001</v>
      </c>
      <c r="W1109" s="1">
        <f t="shared" si="52"/>
        <v>1.1900000000000001E-2</v>
      </c>
      <c r="X1109" s="1">
        <f t="shared" si="53"/>
        <v>0</v>
      </c>
    </row>
    <row r="1110" spans="1:24" x14ac:dyDescent="0.25">
      <c r="A1110">
        <v>2017</v>
      </c>
      <c r="B1110">
        <v>4</v>
      </c>
      <c r="C1110" t="s">
        <v>39</v>
      </c>
      <c r="D1110" t="str">
        <f>_xlfn.XLOOKUP(C1110,'Carrier Name Rename'!A:A,'Carrier Name Rename'!B:B)</f>
        <v>Frontier Airlines Inc.</v>
      </c>
      <c r="E1110" t="s">
        <v>23</v>
      </c>
      <c r="F1110" t="s">
        <v>24</v>
      </c>
      <c r="G1110">
        <v>74</v>
      </c>
      <c r="H1110">
        <v>8</v>
      </c>
      <c r="I1110">
        <v>2.08</v>
      </c>
      <c r="J1110">
        <v>0</v>
      </c>
      <c r="K1110">
        <v>2.59</v>
      </c>
      <c r="L1110">
        <v>0</v>
      </c>
      <c r="M1110">
        <v>3.33</v>
      </c>
      <c r="N1110">
        <v>0</v>
      </c>
      <c r="O1110">
        <v>1</v>
      </c>
      <c r="P1110">
        <v>629</v>
      </c>
      <c r="Q1110">
        <v>83</v>
      </c>
      <c r="R1110">
        <v>0</v>
      </c>
      <c r="S1110">
        <v>84</v>
      </c>
      <c r="T1110">
        <v>0</v>
      </c>
      <c r="U1110">
        <v>462</v>
      </c>
      <c r="V1110" s="1">
        <f t="shared" si="51"/>
        <v>0.1081</v>
      </c>
      <c r="W1110" s="1">
        <f t="shared" si="52"/>
        <v>0</v>
      </c>
      <c r="X1110" s="1">
        <f t="shared" si="53"/>
        <v>1.35E-2</v>
      </c>
    </row>
    <row r="1111" spans="1:24" x14ac:dyDescent="0.25">
      <c r="A1111">
        <v>2017</v>
      </c>
      <c r="B1111">
        <v>4</v>
      </c>
      <c r="C1111" t="s">
        <v>21</v>
      </c>
      <c r="D1111" t="str">
        <f>_xlfn.XLOOKUP(C1111,'Carrier Name Rename'!A:A,'Carrier Name Rename'!B:B)</f>
        <v>Hawaiian Airlines Inc.</v>
      </c>
      <c r="E1111" t="s">
        <v>23</v>
      </c>
      <c r="F1111" t="s">
        <v>24</v>
      </c>
      <c r="G1111">
        <v>60</v>
      </c>
      <c r="H1111">
        <v>14</v>
      </c>
      <c r="I1111">
        <v>9.7100000000000009</v>
      </c>
      <c r="J1111">
        <v>0</v>
      </c>
      <c r="K1111">
        <v>0.91</v>
      </c>
      <c r="L1111">
        <v>0</v>
      </c>
      <c r="M1111">
        <v>3.38</v>
      </c>
      <c r="N1111">
        <v>0</v>
      </c>
      <c r="O1111">
        <v>0</v>
      </c>
      <c r="P1111">
        <v>344</v>
      </c>
      <c r="Q1111">
        <v>252</v>
      </c>
      <c r="R1111">
        <v>0</v>
      </c>
      <c r="S1111">
        <v>20</v>
      </c>
      <c r="T1111">
        <v>0</v>
      </c>
      <c r="U1111">
        <v>72</v>
      </c>
      <c r="V1111" s="1">
        <f t="shared" si="51"/>
        <v>0.23330000000000001</v>
      </c>
      <c r="W1111" s="1">
        <f t="shared" si="52"/>
        <v>0</v>
      </c>
      <c r="X1111" s="1">
        <f t="shared" si="53"/>
        <v>0</v>
      </c>
    </row>
    <row r="1112" spans="1:24" x14ac:dyDescent="0.25">
      <c r="A1112">
        <v>2017</v>
      </c>
      <c r="B1112">
        <v>4</v>
      </c>
      <c r="C1112" t="s">
        <v>25</v>
      </c>
      <c r="D1112" t="str">
        <f>_xlfn.XLOOKUP(C1112,'Carrier Name Rename'!A:A,'Carrier Name Rename'!B:B)</f>
        <v>Spirit Airlines</v>
      </c>
      <c r="E1112" t="s">
        <v>23</v>
      </c>
      <c r="F1112" t="s">
        <v>24</v>
      </c>
      <c r="G1112">
        <v>124</v>
      </c>
      <c r="H1112">
        <v>37</v>
      </c>
      <c r="I1112">
        <v>6.53</v>
      </c>
      <c r="J1112">
        <v>0</v>
      </c>
      <c r="K1112">
        <v>19.8</v>
      </c>
      <c r="L1112">
        <v>0</v>
      </c>
      <c r="M1112">
        <v>10.67</v>
      </c>
      <c r="N1112">
        <v>1</v>
      </c>
      <c r="O1112">
        <v>0</v>
      </c>
      <c r="P1112">
        <v>2094</v>
      </c>
      <c r="Q1112">
        <v>482</v>
      </c>
      <c r="R1112">
        <v>0</v>
      </c>
      <c r="S1112">
        <v>765</v>
      </c>
      <c r="T1112">
        <v>0</v>
      </c>
      <c r="U1112">
        <v>847</v>
      </c>
      <c r="V1112" s="1">
        <f t="shared" si="51"/>
        <v>0.2984</v>
      </c>
      <c r="W1112" s="1">
        <f t="shared" si="52"/>
        <v>8.0999999999999996E-3</v>
      </c>
      <c r="X1112" s="1">
        <f t="shared" si="53"/>
        <v>0</v>
      </c>
    </row>
    <row r="1113" spans="1:24" x14ac:dyDescent="0.25">
      <c r="A1113">
        <v>2017</v>
      </c>
      <c r="B1113">
        <v>4</v>
      </c>
      <c r="C1113" t="s">
        <v>27</v>
      </c>
      <c r="D1113" t="str">
        <f>_xlfn.XLOOKUP(C1113,'Carrier Name Rename'!A:A,'Carrier Name Rename'!B:B)</f>
        <v>SkyWest Airlines Inc.</v>
      </c>
      <c r="E1113" t="s">
        <v>23</v>
      </c>
      <c r="F1113" t="s">
        <v>24</v>
      </c>
      <c r="G1113">
        <v>1528</v>
      </c>
      <c r="H1113">
        <v>202</v>
      </c>
      <c r="I1113">
        <v>26.61</v>
      </c>
      <c r="J1113">
        <v>3.37</v>
      </c>
      <c r="K1113">
        <v>62.6</v>
      </c>
      <c r="L1113">
        <v>0</v>
      </c>
      <c r="M1113">
        <v>109.42</v>
      </c>
      <c r="N1113">
        <v>6</v>
      </c>
      <c r="O1113">
        <v>0</v>
      </c>
      <c r="P1113">
        <v>11471</v>
      </c>
      <c r="Q1113">
        <v>2859</v>
      </c>
      <c r="R1113">
        <v>125</v>
      </c>
      <c r="S1113">
        <v>1915</v>
      </c>
      <c r="T1113">
        <v>0</v>
      </c>
      <c r="U1113">
        <v>6572</v>
      </c>
      <c r="V1113" s="1">
        <f t="shared" si="51"/>
        <v>0.13220000000000001</v>
      </c>
      <c r="W1113" s="1">
        <f t="shared" si="52"/>
        <v>3.8999999999999998E-3</v>
      </c>
      <c r="X1113" s="1">
        <f t="shared" si="53"/>
        <v>0</v>
      </c>
    </row>
    <row r="1114" spans="1:24" x14ac:dyDescent="0.25">
      <c r="A1114">
        <v>2017</v>
      </c>
      <c r="B1114">
        <v>4</v>
      </c>
      <c r="C1114" t="s">
        <v>41</v>
      </c>
      <c r="D1114" t="str">
        <f>_xlfn.XLOOKUP(C1114,'Carrier Name Rename'!A:A,'Carrier Name Rename'!B:B)</f>
        <v>United Air Lines Inc.</v>
      </c>
      <c r="E1114" t="s">
        <v>23</v>
      </c>
      <c r="F1114" t="s">
        <v>24</v>
      </c>
      <c r="G1114">
        <v>672</v>
      </c>
      <c r="H1114">
        <v>130</v>
      </c>
      <c r="I1114">
        <v>42.74</v>
      </c>
      <c r="J1114">
        <v>2.19</v>
      </c>
      <c r="K1114">
        <v>40.36</v>
      </c>
      <c r="L1114">
        <v>0</v>
      </c>
      <c r="M1114">
        <v>44.71</v>
      </c>
      <c r="N1114">
        <v>0</v>
      </c>
      <c r="O1114">
        <v>0</v>
      </c>
      <c r="P1114">
        <v>6926</v>
      </c>
      <c r="Q1114">
        <v>2375</v>
      </c>
      <c r="R1114">
        <v>80</v>
      </c>
      <c r="S1114">
        <v>1281</v>
      </c>
      <c r="T1114">
        <v>0</v>
      </c>
      <c r="U1114">
        <v>3190</v>
      </c>
      <c r="V1114" s="1">
        <f t="shared" si="51"/>
        <v>0.19350000000000001</v>
      </c>
      <c r="W1114" s="1">
        <f t="shared" si="52"/>
        <v>0</v>
      </c>
      <c r="X1114" s="1">
        <f t="shared" si="53"/>
        <v>0</v>
      </c>
    </row>
    <row r="1115" spans="1:24" x14ac:dyDescent="0.25">
      <c r="A1115">
        <v>2017</v>
      </c>
      <c r="B1115">
        <v>4</v>
      </c>
      <c r="C1115" t="s">
        <v>51</v>
      </c>
      <c r="D1115" t="str">
        <f>_xlfn.XLOOKUP(C1115,'Carrier Name Rename'!A:A,'Carrier Name Rename'!B:B)</f>
        <v>Virgin America</v>
      </c>
      <c r="E1115" t="s">
        <v>23</v>
      </c>
      <c r="F1115" t="s">
        <v>24</v>
      </c>
      <c r="G1115">
        <v>194</v>
      </c>
      <c r="H1115">
        <v>54</v>
      </c>
      <c r="I1115">
        <v>6.9</v>
      </c>
      <c r="J1115">
        <v>4.5999999999999996</v>
      </c>
      <c r="K1115">
        <v>12.51</v>
      </c>
      <c r="L1115">
        <v>0.65</v>
      </c>
      <c r="M1115">
        <v>29.34</v>
      </c>
      <c r="N1115">
        <v>4</v>
      </c>
      <c r="O1115">
        <v>0</v>
      </c>
      <c r="P1115">
        <v>2785</v>
      </c>
      <c r="Q1115">
        <v>240</v>
      </c>
      <c r="R1115">
        <v>122</v>
      </c>
      <c r="S1115">
        <v>427</v>
      </c>
      <c r="T1115">
        <v>11</v>
      </c>
      <c r="U1115">
        <v>1985</v>
      </c>
      <c r="V1115" s="1">
        <f t="shared" si="51"/>
        <v>0.27839999999999998</v>
      </c>
      <c r="W1115" s="1">
        <f t="shared" si="52"/>
        <v>2.06E-2</v>
      </c>
      <c r="X1115" s="1">
        <f t="shared" si="53"/>
        <v>0</v>
      </c>
    </row>
    <row r="1116" spans="1:24" x14ac:dyDescent="0.25">
      <c r="A1116">
        <v>2017</v>
      </c>
      <c r="B1116">
        <v>4</v>
      </c>
      <c r="C1116" t="s">
        <v>43</v>
      </c>
      <c r="D1116" t="str">
        <f>_xlfn.XLOOKUP(C1116,'Carrier Name Rename'!A:A,'Carrier Name Rename'!B:B)</f>
        <v>Southwest Airlines Co.</v>
      </c>
      <c r="E1116" t="s">
        <v>23</v>
      </c>
      <c r="F1116" t="s">
        <v>24</v>
      </c>
      <c r="G1116">
        <v>857</v>
      </c>
      <c r="H1116">
        <v>246</v>
      </c>
      <c r="I1116">
        <v>66.819999999999993</v>
      </c>
      <c r="J1116">
        <v>1.49</v>
      </c>
      <c r="K1116">
        <v>72.34</v>
      </c>
      <c r="L1116">
        <v>0.09</v>
      </c>
      <c r="M1116">
        <v>105.27</v>
      </c>
      <c r="N1116">
        <v>0</v>
      </c>
      <c r="O1116">
        <v>1</v>
      </c>
      <c r="P1116">
        <v>10849</v>
      </c>
      <c r="Q1116">
        <v>2754</v>
      </c>
      <c r="R1116">
        <v>50</v>
      </c>
      <c r="S1116">
        <v>2077</v>
      </c>
      <c r="T1116">
        <v>5</v>
      </c>
      <c r="U1116">
        <v>5963</v>
      </c>
      <c r="V1116" s="1">
        <f t="shared" si="51"/>
        <v>0.28699999999999998</v>
      </c>
      <c r="W1116" s="1">
        <f t="shared" si="52"/>
        <v>0</v>
      </c>
      <c r="X1116" s="1">
        <f t="shared" si="53"/>
        <v>1.1999999999999999E-3</v>
      </c>
    </row>
    <row r="1117" spans="1:24" x14ac:dyDescent="0.25">
      <c r="A1117">
        <v>2017</v>
      </c>
      <c r="B1117">
        <v>3</v>
      </c>
      <c r="C1117" t="s">
        <v>31</v>
      </c>
      <c r="D1117" t="str">
        <f>_xlfn.XLOOKUP(C1117,'Carrier Name Rename'!A:A,'Carrier Name Rename'!B:B)</f>
        <v>American Airlines Inc.</v>
      </c>
      <c r="E1117" t="s">
        <v>23</v>
      </c>
      <c r="F1117" t="s">
        <v>24</v>
      </c>
      <c r="G1117">
        <v>626</v>
      </c>
      <c r="H1117">
        <v>149</v>
      </c>
      <c r="I1117">
        <v>36.92</v>
      </c>
      <c r="J1117">
        <v>2.29</v>
      </c>
      <c r="K1117">
        <v>60.35</v>
      </c>
      <c r="L1117">
        <v>0.73</v>
      </c>
      <c r="M1117">
        <v>48.71</v>
      </c>
      <c r="N1117">
        <v>1</v>
      </c>
      <c r="O1117">
        <v>4</v>
      </c>
      <c r="P1117">
        <v>7497</v>
      </c>
      <c r="Q1117">
        <v>2418</v>
      </c>
      <c r="R1117">
        <v>218</v>
      </c>
      <c r="S1117">
        <v>1848</v>
      </c>
      <c r="T1117">
        <v>29</v>
      </c>
      <c r="U1117">
        <v>2984</v>
      </c>
      <c r="V1117" s="1">
        <f t="shared" si="51"/>
        <v>0.23799999999999999</v>
      </c>
      <c r="W1117" s="1">
        <f t="shared" si="52"/>
        <v>1.6000000000000001E-3</v>
      </c>
      <c r="X1117" s="1">
        <f t="shared" si="53"/>
        <v>6.4000000000000003E-3</v>
      </c>
    </row>
    <row r="1118" spans="1:24" x14ac:dyDescent="0.25">
      <c r="A1118">
        <v>2017</v>
      </c>
      <c r="B1118">
        <v>3</v>
      </c>
      <c r="C1118" t="s">
        <v>33</v>
      </c>
      <c r="D1118" t="str">
        <f>_xlfn.XLOOKUP(C1118,'Carrier Name Rename'!A:A,'Carrier Name Rename'!B:B)</f>
        <v>Alaska Airlines Inc.</v>
      </c>
      <c r="E1118" t="s">
        <v>23</v>
      </c>
      <c r="F1118" t="s">
        <v>24</v>
      </c>
      <c r="G1118">
        <v>4850</v>
      </c>
      <c r="H1118">
        <v>973</v>
      </c>
      <c r="I1118">
        <v>171.75</v>
      </c>
      <c r="J1118">
        <v>12.31</v>
      </c>
      <c r="K1118">
        <v>498.08</v>
      </c>
      <c r="L1118">
        <v>5.57</v>
      </c>
      <c r="M1118">
        <v>285.29000000000002</v>
      </c>
      <c r="N1118">
        <v>27</v>
      </c>
      <c r="O1118">
        <v>5</v>
      </c>
      <c r="P1118">
        <v>43686</v>
      </c>
      <c r="Q1118">
        <v>9705</v>
      </c>
      <c r="R1118">
        <v>1145</v>
      </c>
      <c r="S1118">
        <v>14630</v>
      </c>
      <c r="T1118">
        <v>249</v>
      </c>
      <c r="U1118">
        <v>17957</v>
      </c>
      <c r="V1118" s="1">
        <f t="shared" si="51"/>
        <v>0.2006</v>
      </c>
      <c r="W1118" s="1">
        <f t="shared" si="52"/>
        <v>5.5999999999999999E-3</v>
      </c>
      <c r="X1118" s="1">
        <f t="shared" si="53"/>
        <v>1E-3</v>
      </c>
    </row>
    <row r="1119" spans="1:24" x14ac:dyDescent="0.25">
      <c r="A1119">
        <v>2017</v>
      </c>
      <c r="B1119">
        <v>3</v>
      </c>
      <c r="C1119" t="s">
        <v>35</v>
      </c>
      <c r="D1119" t="str">
        <f>_xlfn.XLOOKUP(C1119,'Carrier Name Rename'!A:A,'Carrier Name Rename'!B:B)</f>
        <v>JetBlue Airways</v>
      </c>
      <c r="E1119" t="s">
        <v>23</v>
      </c>
      <c r="F1119" t="s">
        <v>24</v>
      </c>
      <c r="G1119">
        <v>142</v>
      </c>
      <c r="H1119">
        <v>37</v>
      </c>
      <c r="I1119">
        <v>11.77</v>
      </c>
      <c r="J1119">
        <v>0</v>
      </c>
      <c r="K1119">
        <v>12.34</v>
      </c>
      <c r="L1119">
        <v>0</v>
      </c>
      <c r="M1119">
        <v>12.89</v>
      </c>
      <c r="N1119">
        <v>3</v>
      </c>
      <c r="O1119">
        <v>1</v>
      </c>
      <c r="P1119">
        <v>2107</v>
      </c>
      <c r="Q1119">
        <v>676</v>
      </c>
      <c r="R1119">
        <v>0</v>
      </c>
      <c r="S1119">
        <v>451</v>
      </c>
      <c r="T1119">
        <v>0</v>
      </c>
      <c r="U1119">
        <v>980</v>
      </c>
      <c r="V1119" s="1">
        <f t="shared" si="51"/>
        <v>0.2606</v>
      </c>
      <c r="W1119" s="1">
        <f t="shared" si="52"/>
        <v>2.1100000000000001E-2</v>
      </c>
      <c r="X1119" s="1">
        <f t="shared" si="53"/>
        <v>7.0000000000000001E-3</v>
      </c>
    </row>
    <row r="1120" spans="1:24" x14ac:dyDescent="0.25">
      <c r="A1120">
        <v>2017</v>
      </c>
      <c r="B1120">
        <v>3</v>
      </c>
      <c r="C1120" t="s">
        <v>37</v>
      </c>
      <c r="D1120" t="str">
        <f>_xlfn.XLOOKUP(C1120,'Carrier Name Rename'!A:A,'Carrier Name Rename'!B:B)</f>
        <v>Delta Air Lines Inc.</v>
      </c>
      <c r="E1120" t="s">
        <v>23</v>
      </c>
      <c r="F1120" t="s">
        <v>24</v>
      </c>
      <c r="G1120">
        <v>1518</v>
      </c>
      <c r="H1120">
        <v>218</v>
      </c>
      <c r="I1120">
        <v>74.540000000000006</v>
      </c>
      <c r="J1120">
        <v>5.35</v>
      </c>
      <c r="K1120">
        <v>76.510000000000005</v>
      </c>
      <c r="L1120">
        <v>0</v>
      </c>
      <c r="M1120">
        <v>61.59</v>
      </c>
      <c r="N1120">
        <v>2</v>
      </c>
      <c r="O1120">
        <v>2</v>
      </c>
      <c r="P1120">
        <v>14522</v>
      </c>
      <c r="Q1120">
        <v>8229</v>
      </c>
      <c r="R1120">
        <v>477</v>
      </c>
      <c r="S1120">
        <v>2445</v>
      </c>
      <c r="T1120">
        <v>0</v>
      </c>
      <c r="U1120">
        <v>3371</v>
      </c>
      <c r="V1120" s="1">
        <f t="shared" si="51"/>
        <v>0.14360000000000001</v>
      </c>
      <c r="W1120" s="1">
        <f t="shared" si="52"/>
        <v>1.2999999999999999E-3</v>
      </c>
      <c r="X1120" s="1">
        <f t="shared" si="53"/>
        <v>1.2999999999999999E-3</v>
      </c>
    </row>
    <row r="1121" spans="1:24" x14ac:dyDescent="0.25">
      <c r="A1121">
        <v>2017</v>
      </c>
      <c r="B1121">
        <v>3</v>
      </c>
      <c r="C1121" t="s">
        <v>39</v>
      </c>
      <c r="D1121" t="str">
        <f>_xlfn.XLOOKUP(C1121,'Carrier Name Rename'!A:A,'Carrier Name Rename'!B:B)</f>
        <v>Frontier Airlines Inc.</v>
      </c>
      <c r="E1121" t="s">
        <v>23</v>
      </c>
      <c r="F1121" t="s">
        <v>24</v>
      </c>
      <c r="G1121">
        <v>67</v>
      </c>
      <c r="H1121">
        <v>17</v>
      </c>
      <c r="I1121">
        <v>5.22</v>
      </c>
      <c r="J1121">
        <v>0</v>
      </c>
      <c r="K1121">
        <v>7.72</v>
      </c>
      <c r="L1121">
        <v>0</v>
      </c>
      <c r="M1121">
        <v>4.0599999999999996</v>
      </c>
      <c r="N1121">
        <v>2</v>
      </c>
      <c r="O1121">
        <v>0</v>
      </c>
      <c r="P1121">
        <v>954</v>
      </c>
      <c r="Q1121">
        <v>393</v>
      </c>
      <c r="R1121">
        <v>0</v>
      </c>
      <c r="S1121">
        <v>238</v>
      </c>
      <c r="T1121">
        <v>0</v>
      </c>
      <c r="U1121">
        <v>323</v>
      </c>
      <c r="V1121" s="1">
        <f t="shared" si="51"/>
        <v>0.25369999999999998</v>
      </c>
      <c r="W1121" s="1">
        <f t="shared" si="52"/>
        <v>2.9899999999999999E-2</v>
      </c>
      <c r="X1121" s="1">
        <f t="shared" si="53"/>
        <v>0</v>
      </c>
    </row>
    <row r="1122" spans="1:24" x14ac:dyDescent="0.25">
      <c r="A1122">
        <v>2017</v>
      </c>
      <c r="B1122">
        <v>3</v>
      </c>
      <c r="C1122" t="s">
        <v>21</v>
      </c>
      <c r="D1122" t="str">
        <f>_xlfn.XLOOKUP(C1122,'Carrier Name Rename'!A:A,'Carrier Name Rename'!B:B)</f>
        <v>Hawaiian Airlines Inc.</v>
      </c>
      <c r="E1122" t="s">
        <v>23</v>
      </c>
      <c r="F1122" t="s">
        <v>24</v>
      </c>
      <c r="G1122">
        <v>62</v>
      </c>
      <c r="H1122">
        <v>32</v>
      </c>
      <c r="I1122">
        <v>21.72</v>
      </c>
      <c r="J1122">
        <v>0</v>
      </c>
      <c r="K1122">
        <v>0</v>
      </c>
      <c r="L1122">
        <v>0</v>
      </c>
      <c r="M1122">
        <v>10.28</v>
      </c>
      <c r="N1122">
        <v>0</v>
      </c>
      <c r="O1122">
        <v>0</v>
      </c>
      <c r="P1122">
        <v>1172</v>
      </c>
      <c r="Q1122">
        <v>746</v>
      </c>
      <c r="R1122">
        <v>0</v>
      </c>
      <c r="S1122">
        <v>0</v>
      </c>
      <c r="T1122">
        <v>0</v>
      </c>
      <c r="U1122">
        <v>426</v>
      </c>
      <c r="V1122" s="1">
        <f t="shared" si="51"/>
        <v>0.5161</v>
      </c>
      <c r="W1122" s="1">
        <f t="shared" si="52"/>
        <v>0</v>
      </c>
      <c r="X1122" s="1">
        <f t="shared" si="53"/>
        <v>0</v>
      </c>
    </row>
    <row r="1123" spans="1:24" x14ac:dyDescent="0.25">
      <c r="A1123">
        <v>2017</v>
      </c>
      <c r="B1123">
        <v>3</v>
      </c>
      <c r="C1123" t="s">
        <v>25</v>
      </c>
      <c r="D1123" t="str">
        <f>_xlfn.XLOOKUP(C1123,'Carrier Name Rename'!A:A,'Carrier Name Rename'!B:B)</f>
        <v>Spirit Airlines</v>
      </c>
      <c r="E1123" t="s">
        <v>23</v>
      </c>
      <c r="F1123" t="s">
        <v>24</v>
      </c>
      <c r="G1123">
        <v>124</v>
      </c>
      <c r="H1123">
        <v>32</v>
      </c>
      <c r="I1123">
        <v>6.47</v>
      </c>
      <c r="J1123">
        <v>0</v>
      </c>
      <c r="K1123">
        <v>17.45</v>
      </c>
      <c r="L1123">
        <v>0</v>
      </c>
      <c r="M1123">
        <v>8.08</v>
      </c>
      <c r="N1123">
        <v>2</v>
      </c>
      <c r="O1123">
        <v>0</v>
      </c>
      <c r="P1123">
        <v>1795</v>
      </c>
      <c r="Q1123">
        <v>617</v>
      </c>
      <c r="R1123">
        <v>0</v>
      </c>
      <c r="S1123">
        <v>741</v>
      </c>
      <c r="T1123">
        <v>0</v>
      </c>
      <c r="U1123">
        <v>437</v>
      </c>
      <c r="V1123" s="1">
        <f t="shared" si="51"/>
        <v>0.2581</v>
      </c>
      <c r="W1123" s="1">
        <f t="shared" si="52"/>
        <v>1.61E-2</v>
      </c>
      <c r="X1123" s="1">
        <f t="shared" si="53"/>
        <v>0</v>
      </c>
    </row>
    <row r="1124" spans="1:24" x14ac:dyDescent="0.25">
      <c r="A1124">
        <v>2017</v>
      </c>
      <c r="B1124">
        <v>3</v>
      </c>
      <c r="C1124" t="s">
        <v>27</v>
      </c>
      <c r="D1124" t="str">
        <f>_xlfn.XLOOKUP(C1124,'Carrier Name Rename'!A:A,'Carrier Name Rename'!B:B)</f>
        <v>SkyWest Airlines Inc.</v>
      </c>
      <c r="E1124" t="s">
        <v>23</v>
      </c>
      <c r="F1124" t="s">
        <v>24</v>
      </c>
      <c r="G1124">
        <v>1571</v>
      </c>
      <c r="H1124">
        <v>275</v>
      </c>
      <c r="I1124">
        <v>37.15</v>
      </c>
      <c r="J1124">
        <v>5.42</v>
      </c>
      <c r="K1124">
        <v>104.87</v>
      </c>
      <c r="L1124">
        <v>0</v>
      </c>
      <c r="M1124">
        <v>127.56</v>
      </c>
      <c r="N1124">
        <v>4</v>
      </c>
      <c r="O1124">
        <v>2</v>
      </c>
      <c r="P1124">
        <v>15067</v>
      </c>
      <c r="Q1124">
        <v>2478</v>
      </c>
      <c r="R1124">
        <v>234</v>
      </c>
      <c r="S1124">
        <v>3237</v>
      </c>
      <c r="T1124">
        <v>0</v>
      </c>
      <c r="U1124">
        <v>9118</v>
      </c>
      <c r="V1124" s="1">
        <f t="shared" si="51"/>
        <v>0.17499999999999999</v>
      </c>
      <c r="W1124" s="1">
        <f t="shared" si="52"/>
        <v>2.5000000000000001E-3</v>
      </c>
      <c r="X1124" s="1">
        <f t="shared" si="53"/>
        <v>1.2999999999999999E-3</v>
      </c>
    </row>
    <row r="1125" spans="1:24" x14ac:dyDescent="0.25">
      <c r="A1125">
        <v>2017</v>
      </c>
      <c r="B1125">
        <v>3</v>
      </c>
      <c r="C1125" t="s">
        <v>41</v>
      </c>
      <c r="D1125" t="str">
        <f>_xlfn.XLOOKUP(C1125,'Carrier Name Rename'!A:A,'Carrier Name Rename'!B:B)</f>
        <v>United Air Lines Inc.</v>
      </c>
      <c r="E1125" t="s">
        <v>23</v>
      </c>
      <c r="F1125" t="s">
        <v>24</v>
      </c>
      <c r="G1125">
        <v>690</v>
      </c>
      <c r="H1125">
        <v>131</v>
      </c>
      <c r="I1125">
        <v>34.65</v>
      </c>
      <c r="J1125">
        <v>3.56</v>
      </c>
      <c r="K1125">
        <v>51.71</v>
      </c>
      <c r="L1125">
        <v>0</v>
      </c>
      <c r="M1125">
        <v>41.09</v>
      </c>
      <c r="N1125">
        <v>4</v>
      </c>
      <c r="O1125">
        <v>0</v>
      </c>
      <c r="P1125">
        <v>6886</v>
      </c>
      <c r="Q1125">
        <v>1991</v>
      </c>
      <c r="R1125">
        <v>297</v>
      </c>
      <c r="S1125">
        <v>1727</v>
      </c>
      <c r="T1125">
        <v>0</v>
      </c>
      <c r="U1125">
        <v>2871</v>
      </c>
      <c r="V1125" s="1">
        <f t="shared" si="51"/>
        <v>0.18990000000000001</v>
      </c>
      <c r="W1125" s="1">
        <f t="shared" si="52"/>
        <v>5.7999999999999996E-3</v>
      </c>
      <c r="X1125" s="1">
        <f t="shared" si="53"/>
        <v>0</v>
      </c>
    </row>
    <row r="1126" spans="1:24" x14ac:dyDescent="0.25">
      <c r="A1126">
        <v>2017</v>
      </c>
      <c r="B1126">
        <v>3</v>
      </c>
      <c r="C1126" t="s">
        <v>51</v>
      </c>
      <c r="D1126" t="str">
        <f>_xlfn.XLOOKUP(C1126,'Carrier Name Rename'!A:A,'Carrier Name Rename'!B:B)</f>
        <v>Virgin America</v>
      </c>
      <c r="E1126" t="s">
        <v>23</v>
      </c>
      <c r="F1126" t="s">
        <v>24</v>
      </c>
      <c r="G1126">
        <v>196</v>
      </c>
      <c r="H1126">
        <v>41</v>
      </c>
      <c r="I1126">
        <v>8.0399999999999991</v>
      </c>
      <c r="J1126">
        <v>5.48</v>
      </c>
      <c r="K1126">
        <v>7.08</v>
      </c>
      <c r="L1126">
        <v>0</v>
      </c>
      <c r="M1126">
        <v>20.399999999999999</v>
      </c>
      <c r="N1126">
        <v>1</v>
      </c>
      <c r="O1126">
        <v>0</v>
      </c>
      <c r="P1126">
        <v>1890</v>
      </c>
      <c r="Q1126">
        <v>383</v>
      </c>
      <c r="R1126">
        <v>182</v>
      </c>
      <c r="S1126">
        <v>188</v>
      </c>
      <c r="T1126">
        <v>0</v>
      </c>
      <c r="U1126">
        <v>1137</v>
      </c>
      <c r="V1126" s="1">
        <f t="shared" si="51"/>
        <v>0.2092</v>
      </c>
      <c r="W1126" s="1">
        <f t="shared" si="52"/>
        <v>5.1000000000000004E-3</v>
      </c>
      <c r="X1126" s="1">
        <f t="shared" si="53"/>
        <v>0</v>
      </c>
    </row>
    <row r="1127" spans="1:24" x14ac:dyDescent="0.25">
      <c r="A1127">
        <v>2017</v>
      </c>
      <c r="B1127">
        <v>3</v>
      </c>
      <c r="C1127" t="s">
        <v>43</v>
      </c>
      <c r="D1127" t="str">
        <f>_xlfn.XLOOKUP(C1127,'Carrier Name Rename'!A:A,'Carrier Name Rename'!B:B)</f>
        <v>Southwest Airlines Co.</v>
      </c>
      <c r="E1127" t="s">
        <v>23</v>
      </c>
      <c r="F1127" t="s">
        <v>24</v>
      </c>
      <c r="G1127">
        <v>858</v>
      </c>
      <c r="H1127">
        <v>231</v>
      </c>
      <c r="I1127">
        <v>51.24</v>
      </c>
      <c r="J1127">
        <v>2.69</v>
      </c>
      <c r="K1127">
        <v>80.989999999999995</v>
      </c>
      <c r="L1127">
        <v>0</v>
      </c>
      <c r="M1127">
        <v>96.08</v>
      </c>
      <c r="N1127">
        <v>4</v>
      </c>
      <c r="O1127">
        <v>1</v>
      </c>
      <c r="P1127">
        <v>9783</v>
      </c>
      <c r="Q1127">
        <v>2095</v>
      </c>
      <c r="R1127">
        <v>407</v>
      </c>
      <c r="S1127">
        <v>2554</v>
      </c>
      <c r="T1127">
        <v>0</v>
      </c>
      <c r="U1127">
        <v>4727</v>
      </c>
      <c r="V1127" s="1">
        <f t="shared" si="51"/>
        <v>0.26919999999999999</v>
      </c>
      <c r="W1127" s="1">
        <f t="shared" si="52"/>
        <v>4.7000000000000002E-3</v>
      </c>
      <c r="X1127" s="1">
        <f t="shared" si="53"/>
        <v>1.1999999999999999E-3</v>
      </c>
    </row>
    <row r="1128" spans="1:24" x14ac:dyDescent="0.25">
      <c r="A1128">
        <v>2017</v>
      </c>
      <c r="B1128">
        <v>2</v>
      </c>
      <c r="C1128" t="s">
        <v>39</v>
      </c>
      <c r="D1128" t="str">
        <f>_xlfn.XLOOKUP(C1128,'Carrier Name Rename'!A:A,'Carrier Name Rename'!B:B)</f>
        <v>Frontier Airlines Inc.</v>
      </c>
      <c r="E1128" t="s">
        <v>23</v>
      </c>
      <c r="F1128" t="s">
        <v>24</v>
      </c>
      <c r="G1128">
        <v>56</v>
      </c>
      <c r="H1128">
        <v>11</v>
      </c>
      <c r="I1128">
        <v>3.12</v>
      </c>
      <c r="J1128">
        <v>0</v>
      </c>
      <c r="K1128">
        <v>5.2</v>
      </c>
      <c r="L1128">
        <v>0</v>
      </c>
      <c r="M1128">
        <v>2.68</v>
      </c>
      <c r="N1128">
        <v>0</v>
      </c>
      <c r="O1128">
        <v>0</v>
      </c>
      <c r="P1128">
        <v>661</v>
      </c>
      <c r="Q1128">
        <v>153</v>
      </c>
      <c r="R1128">
        <v>0</v>
      </c>
      <c r="S1128">
        <v>256</v>
      </c>
      <c r="T1128">
        <v>0</v>
      </c>
      <c r="U1128">
        <v>252</v>
      </c>
      <c r="V1128" s="1">
        <f t="shared" si="51"/>
        <v>0.19639999999999999</v>
      </c>
      <c r="W1128" s="1">
        <f t="shared" si="52"/>
        <v>0</v>
      </c>
      <c r="X1128" s="1">
        <f t="shared" si="53"/>
        <v>0</v>
      </c>
    </row>
    <row r="1129" spans="1:24" x14ac:dyDescent="0.25">
      <c r="A1129">
        <v>2017</v>
      </c>
      <c r="B1129">
        <v>2</v>
      </c>
      <c r="C1129" t="s">
        <v>21</v>
      </c>
      <c r="D1129" t="str">
        <f>_xlfn.XLOOKUP(C1129,'Carrier Name Rename'!A:A,'Carrier Name Rename'!B:B)</f>
        <v>Hawaiian Airlines Inc.</v>
      </c>
      <c r="E1129" t="s">
        <v>23</v>
      </c>
      <c r="F1129" t="s">
        <v>24</v>
      </c>
      <c r="G1129">
        <v>56</v>
      </c>
      <c r="H1129">
        <v>20</v>
      </c>
      <c r="I1129">
        <v>13.35</v>
      </c>
      <c r="J1129">
        <v>1</v>
      </c>
      <c r="K1129">
        <v>0</v>
      </c>
      <c r="L1129">
        <v>0</v>
      </c>
      <c r="M1129">
        <v>5.65</v>
      </c>
      <c r="N1129">
        <v>0</v>
      </c>
      <c r="O1129">
        <v>0</v>
      </c>
      <c r="P1129">
        <v>1250</v>
      </c>
      <c r="Q1129">
        <v>646</v>
      </c>
      <c r="R1129">
        <v>38</v>
      </c>
      <c r="S1129">
        <v>0</v>
      </c>
      <c r="T1129">
        <v>0</v>
      </c>
      <c r="U1129">
        <v>566</v>
      </c>
      <c r="V1129" s="1">
        <f t="shared" si="51"/>
        <v>0.35709999999999997</v>
      </c>
      <c r="W1129" s="1">
        <f t="shared" si="52"/>
        <v>0</v>
      </c>
      <c r="X1129" s="1">
        <f t="shared" si="53"/>
        <v>0</v>
      </c>
    </row>
    <row r="1130" spans="1:24" x14ac:dyDescent="0.25">
      <c r="A1130">
        <v>2017</v>
      </c>
      <c r="B1130">
        <v>2</v>
      </c>
      <c r="C1130" t="s">
        <v>25</v>
      </c>
      <c r="D1130" t="str">
        <f>_xlfn.XLOOKUP(C1130,'Carrier Name Rename'!A:A,'Carrier Name Rename'!B:B)</f>
        <v>Spirit Airlines</v>
      </c>
      <c r="E1130" t="s">
        <v>23</v>
      </c>
      <c r="F1130" t="s">
        <v>24</v>
      </c>
      <c r="G1130">
        <v>112</v>
      </c>
      <c r="H1130">
        <v>22</v>
      </c>
      <c r="I1130">
        <v>5.4</v>
      </c>
      <c r="J1130">
        <v>0</v>
      </c>
      <c r="K1130">
        <v>10.02</v>
      </c>
      <c r="L1130">
        <v>0</v>
      </c>
      <c r="M1130">
        <v>6.58</v>
      </c>
      <c r="N1130">
        <v>1</v>
      </c>
      <c r="O1130">
        <v>0</v>
      </c>
      <c r="P1130">
        <v>1546</v>
      </c>
      <c r="Q1130">
        <v>500</v>
      </c>
      <c r="R1130">
        <v>0</v>
      </c>
      <c r="S1130">
        <v>772</v>
      </c>
      <c r="T1130">
        <v>0</v>
      </c>
      <c r="U1130">
        <v>274</v>
      </c>
      <c r="V1130" s="1">
        <f t="shared" si="51"/>
        <v>0.19639999999999999</v>
      </c>
      <c r="W1130" s="1">
        <f t="shared" si="52"/>
        <v>8.8999999999999999E-3</v>
      </c>
      <c r="X1130" s="1">
        <f t="shared" si="53"/>
        <v>0</v>
      </c>
    </row>
    <row r="1131" spans="1:24" x14ac:dyDescent="0.25">
      <c r="A1131">
        <v>2017</v>
      </c>
      <c r="B1131">
        <v>2</v>
      </c>
      <c r="C1131" t="s">
        <v>27</v>
      </c>
      <c r="D1131" t="str">
        <f>_xlfn.XLOOKUP(C1131,'Carrier Name Rename'!A:A,'Carrier Name Rename'!B:B)</f>
        <v>SkyWest Airlines Inc.</v>
      </c>
      <c r="E1131" t="s">
        <v>23</v>
      </c>
      <c r="F1131" t="s">
        <v>24</v>
      </c>
      <c r="G1131">
        <v>1501</v>
      </c>
      <c r="H1131">
        <v>308</v>
      </c>
      <c r="I1131">
        <v>47.48</v>
      </c>
      <c r="J1131">
        <v>8.07</v>
      </c>
      <c r="K1131">
        <v>97.56</v>
      </c>
      <c r="L1131">
        <v>0</v>
      </c>
      <c r="M1131">
        <v>154.88999999999999</v>
      </c>
      <c r="N1131">
        <v>39</v>
      </c>
      <c r="O1131">
        <v>0</v>
      </c>
      <c r="P1131">
        <v>27402</v>
      </c>
      <c r="Q1131">
        <v>6791</v>
      </c>
      <c r="R1131">
        <v>919</v>
      </c>
      <c r="S1131">
        <v>4748</v>
      </c>
      <c r="T1131">
        <v>0</v>
      </c>
      <c r="U1131">
        <v>14944</v>
      </c>
      <c r="V1131" s="1">
        <f t="shared" si="51"/>
        <v>0.20519999999999999</v>
      </c>
      <c r="W1131" s="1">
        <f t="shared" si="52"/>
        <v>2.5999999999999999E-2</v>
      </c>
      <c r="X1131" s="1">
        <f t="shared" si="53"/>
        <v>0</v>
      </c>
    </row>
    <row r="1132" spans="1:24" x14ac:dyDescent="0.25">
      <c r="A1132">
        <v>2017</v>
      </c>
      <c r="B1132">
        <v>2</v>
      </c>
      <c r="C1132" t="s">
        <v>41</v>
      </c>
      <c r="D1132" t="str">
        <f>_xlfn.XLOOKUP(C1132,'Carrier Name Rename'!A:A,'Carrier Name Rename'!B:B)</f>
        <v>United Air Lines Inc.</v>
      </c>
      <c r="E1132" t="s">
        <v>23</v>
      </c>
      <c r="F1132" t="s">
        <v>24</v>
      </c>
      <c r="G1132">
        <v>482</v>
      </c>
      <c r="H1132">
        <v>89</v>
      </c>
      <c r="I1132">
        <v>28.15</v>
      </c>
      <c r="J1132">
        <v>1.49</v>
      </c>
      <c r="K1132">
        <v>27.63</v>
      </c>
      <c r="L1132">
        <v>0</v>
      </c>
      <c r="M1132">
        <v>31.72</v>
      </c>
      <c r="N1132">
        <v>1</v>
      </c>
      <c r="O1132">
        <v>3</v>
      </c>
      <c r="P1132">
        <v>5907</v>
      </c>
      <c r="Q1132">
        <v>1587</v>
      </c>
      <c r="R1132">
        <v>153</v>
      </c>
      <c r="S1132">
        <v>1977</v>
      </c>
      <c r="T1132">
        <v>0</v>
      </c>
      <c r="U1132">
        <v>2190</v>
      </c>
      <c r="V1132" s="1">
        <f t="shared" si="51"/>
        <v>0.18459999999999999</v>
      </c>
      <c r="W1132" s="1">
        <f t="shared" si="52"/>
        <v>2.0999999999999999E-3</v>
      </c>
      <c r="X1132" s="1">
        <f t="shared" si="53"/>
        <v>6.1999999999999998E-3</v>
      </c>
    </row>
    <row r="1133" spans="1:24" x14ac:dyDescent="0.25">
      <c r="A1133">
        <v>2017</v>
      </c>
      <c r="B1133">
        <v>2</v>
      </c>
      <c r="C1133" t="s">
        <v>51</v>
      </c>
      <c r="D1133" t="str">
        <f>_xlfn.XLOOKUP(C1133,'Carrier Name Rename'!A:A,'Carrier Name Rename'!B:B)</f>
        <v>Virgin America</v>
      </c>
      <c r="E1133" t="s">
        <v>23</v>
      </c>
      <c r="F1133" t="s">
        <v>24</v>
      </c>
      <c r="G1133">
        <v>168</v>
      </c>
      <c r="H1133">
        <v>39</v>
      </c>
      <c r="I1133">
        <v>7.41</v>
      </c>
      <c r="J1133">
        <v>0.5</v>
      </c>
      <c r="K1133">
        <v>9.6199999999999992</v>
      </c>
      <c r="L1133">
        <v>0</v>
      </c>
      <c r="M1133">
        <v>21.46</v>
      </c>
      <c r="N1133">
        <v>8</v>
      </c>
      <c r="O1133">
        <v>0</v>
      </c>
      <c r="P1133">
        <v>2726</v>
      </c>
      <c r="Q1133">
        <v>486</v>
      </c>
      <c r="R1133">
        <v>14</v>
      </c>
      <c r="S1133">
        <v>769</v>
      </c>
      <c r="T1133">
        <v>0</v>
      </c>
      <c r="U1133">
        <v>1457</v>
      </c>
      <c r="V1133" s="1">
        <f t="shared" si="51"/>
        <v>0.2321</v>
      </c>
      <c r="W1133" s="1">
        <f t="shared" si="52"/>
        <v>4.7600000000000003E-2</v>
      </c>
      <c r="X1133" s="1">
        <f t="shared" si="53"/>
        <v>0</v>
      </c>
    </row>
    <row r="1134" spans="1:24" x14ac:dyDescent="0.25">
      <c r="A1134">
        <v>2017</v>
      </c>
      <c r="B1134">
        <v>2</v>
      </c>
      <c r="C1134" t="s">
        <v>31</v>
      </c>
      <c r="D1134" t="str">
        <f>_xlfn.XLOOKUP(C1134,'Carrier Name Rename'!A:A,'Carrier Name Rename'!B:B)</f>
        <v>American Airlines Inc.</v>
      </c>
      <c r="E1134" t="s">
        <v>23</v>
      </c>
      <c r="F1134" t="s">
        <v>24</v>
      </c>
      <c r="G1134">
        <v>539</v>
      </c>
      <c r="H1134">
        <v>114</v>
      </c>
      <c r="I1134">
        <v>29.75</v>
      </c>
      <c r="J1134">
        <v>0.48</v>
      </c>
      <c r="K1134">
        <v>54.73</v>
      </c>
      <c r="L1134">
        <v>0</v>
      </c>
      <c r="M1134">
        <v>29.03</v>
      </c>
      <c r="N1134">
        <v>1</v>
      </c>
      <c r="O1134">
        <v>2</v>
      </c>
      <c r="P1134">
        <v>5730</v>
      </c>
      <c r="Q1134">
        <v>1550</v>
      </c>
      <c r="R1134">
        <v>43</v>
      </c>
      <c r="S1134">
        <v>2023</v>
      </c>
      <c r="T1134">
        <v>0</v>
      </c>
      <c r="U1134">
        <v>2114</v>
      </c>
      <c r="V1134" s="1">
        <f t="shared" si="51"/>
        <v>0.21149999999999999</v>
      </c>
      <c r="W1134" s="1">
        <f t="shared" si="52"/>
        <v>1.9E-3</v>
      </c>
      <c r="X1134" s="1">
        <f t="shared" si="53"/>
        <v>3.7000000000000002E-3</v>
      </c>
    </row>
    <row r="1135" spans="1:24" x14ac:dyDescent="0.25">
      <c r="A1135">
        <v>2017</v>
      </c>
      <c r="B1135">
        <v>2</v>
      </c>
      <c r="C1135" t="s">
        <v>33</v>
      </c>
      <c r="D1135" t="str">
        <f>_xlfn.XLOOKUP(C1135,'Carrier Name Rename'!A:A,'Carrier Name Rename'!B:B)</f>
        <v>Alaska Airlines Inc.</v>
      </c>
      <c r="E1135" t="s">
        <v>23</v>
      </c>
      <c r="F1135" t="s">
        <v>24</v>
      </c>
      <c r="G1135">
        <v>4225</v>
      </c>
      <c r="H1135">
        <v>795</v>
      </c>
      <c r="I1135">
        <v>143.78</v>
      </c>
      <c r="J1135">
        <v>21.97</v>
      </c>
      <c r="K1135">
        <v>340.67</v>
      </c>
      <c r="L1135">
        <v>2.14</v>
      </c>
      <c r="M1135">
        <v>286.45</v>
      </c>
      <c r="N1135">
        <v>115</v>
      </c>
      <c r="O1135">
        <v>5</v>
      </c>
      <c r="P1135">
        <v>47987</v>
      </c>
      <c r="Q1135">
        <v>9464</v>
      </c>
      <c r="R1135">
        <v>2911</v>
      </c>
      <c r="S1135">
        <v>15453</v>
      </c>
      <c r="T1135">
        <v>77</v>
      </c>
      <c r="U1135">
        <v>20082</v>
      </c>
      <c r="V1135" s="1">
        <f t="shared" si="51"/>
        <v>0.18820000000000001</v>
      </c>
      <c r="W1135" s="1">
        <f t="shared" si="52"/>
        <v>2.7199999999999998E-2</v>
      </c>
      <c r="X1135" s="1">
        <f t="shared" si="53"/>
        <v>1.1999999999999999E-3</v>
      </c>
    </row>
    <row r="1136" spans="1:24" x14ac:dyDescent="0.25">
      <c r="A1136">
        <v>2017</v>
      </c>
      <c r="B1136">
        <v>2</v>
      </c>
      <c r="C1136" t="s">
        <v>35</v>
      </c>
      <c r="D1136" t="str">
        <f>_xlfn.XLOOKUP(C1136,'Carrier Name Rename'!A:A,'Carrier Name Rename'!B:B)</f>
        <v>JetBlue Airways</v>
      </c>
      <c r="E1136" t="s">
        <v>23</v>
      </c>
      <c r="F1136" t="s">
        <v>24</v>
      </c>
      <c r="G1136">
        <v>130</v>
      </c>
      <c r="H1136">
        <v>41</v>
      </c>
      <c r="I1136">
        <v>11.64</v>
      </c>
      <c r="J1136">
        <v>0.35</v>
      </c>
      <c r="K1136">
        <v>12.2</v>
      </c>
      <c r="L1136">
        <v>7.0000000000000007E-2</v>
      </c>
      <c r="M1136">
        <v>16.739999999999998</v>
      </c>
      <c r="N1136">
        <v>4</v>
      </c>
      <c r="O1136">
        <v>6</v>
      </c>
      <c r="P1136">
        <v>2645</v>
      </c>
      <c r="Q1136">
        <v>626</v>
      </c>
      <c r="R1136">
        <v>32</v>
      </c>
      <c r="S1136">
        <v>755</v>
      </c>
      <c r="T1136">
        <v>7</v>
      </c>
      <c r="U1136">
        <v>1225</v>
      </c>
      <c r="V1136" s="1">
        <f t="shared" si="51"/>
        <v>0.31540000000000001</v>
      </c>
      <c r="W1136" s="1">
        <f t="shared" si="52"/>
        <v>3.0800000000000001E-2</v>
      </c>
      <c r="X1136" s="1">
        <f t="shared" si="53"/>
        <v>4.6199999999999998E-2</v>
      </c>
    </row>
    <row r="1137" spans="1:24" x14ac:dyDescent="0.25">
      <c r="A1137">
        <v>2017</v>
      </c>
      <c r="B1137">
        <v>2</v>
      </c>
      <c r="C1137" t="s">
        <v>37</v>
      </c>
      <c r="D1137" t="str">
        <f>_xlfn.XLOOKUP(C1137,'Carrier Name Rename'!A:A,'Carrier Name Rename'!B:B)</f>
        <v>Delta Air Lines Inc.</v>
      </c>
      <c r="E1137" t="s">
        <v>23</v>
      </c>
      <c r="F1137" t="s">
        <v>24</v>
      </c>
      <c r="G1137">
        <v>1171</v>
      </c>
      <c r="H1137">
        <v>206</v>
      </c>
      <c r="I1137">
        <v>55.4</v>
      </c>
      <c r="J1137">
        <v>6.96</v>
      </c>
      <c r="K1137">
        <v>87.23</v>
      </c>
      <c r="L1137">
        <v>0.68</v>
      </c>
      <c r="M1137">
        <v>55.73</v>
      </c>
      <c r="N1137">
        <v>2</v>
      </c>
      <c r="O1137">
        <v>1</v>
      </c>
      <c r="P1137">
        <v>11754</v>
      </c>
      <c r="Q1137">
        <v>2860</v>
      </c>
      <c r="R1137">
        <v>625</v>
      </c>
      <c r="S1137">
        <v>4434</v>
      </c>
      <c r="T1137">
        <v>19</v>
      </c>
      <c r="U1137">
        <v>3816</v>
      </c>
      <c r="V1137" s="1">
        <f t="shared" si="51"/>
        <v>0.1759</v>
      </c>
      <c r="W1137" s="1">
        <f t="shared" si="52"/>
        <v>1.6999999999999999E-3</v>
      </c>
      <c r="X1137" s="1">
        <f t="shared" si="53"/>
        <v>8.9999999999999998E-4</v>
      </c>
    </row>
    <row r="1138" spans="1:24" x14ac:dyDescent="0.25">
      <c r="A1138">
        <v>2017</v>
      </c>
      <c r="B1138">
        <v>2</v>
      </c>
      <c r="C1138" t="s">
        <v>43</v>
      </c>
      <c r="D1138" t="str">
        <f>_xlfn.XLOOKUP(C1138,'Carrier Name Rename'!A:A,'Carrier Name Rename'!B:B)</f>
        <v>Southwest Airlines Co.</v>
      </c>
      <c r="E1138" t="s">
        <v>23</v>
      </c>
      <c r="F1138" t="s">
        <v>24</v>
      </c>
      <c r="G1138">
        <v>716</v>
      </c>
      <c r="H1138">
        <v>141</v>
      </c>
      <c r="I1138">
        <v>29.6</v>
      </c>
      <c r="J1138">
        <v>9.93</v>
      </c>
      <c r="K1138">
        <v>39.71</v>
      </c>
      <c r="L1138">
        <v>0</v>
      </c>
      <c r="M1138">
        <v>61.75</v>
      </c>
      <c r="N1138">
        <v>9</v>
      </c>
      <c r="O1138">
        <v>0</v>
      </c>
      <c r="P1138">
        <v>6946</v>
      </c>
      <c r="Q1138">
        <v>1257</v>
      </c>
      <c r="R1138">
        <v>1109</v>
      </c>
      <c r="S1138">
        <v>1648</v>
      </c>
      <c r="T1138">
        <v>0</v>
      </c>
      <c r="U1138">
        <v>2932</v>
      </c>
      <c r="V1138" s="1">
        <f t="shared" si="51"/>
        <v>0.19689999999999999</v>
      </c>
      <c r="W1138" s="1">
        <f t="shared" si="52"/>
        <v>1.26E-2</v>
      </c>
      <c r="X1138" s="1">
        <f t="shared" si="53"/>
        <v>0</v>
      </c>
    </row>
    <row r="1139" spans="1:24" x14ac:dyDescent="0.25">
      <c r="A1139">
        <v>2017</v>
      </c>
      <c r="B1139">
        <v>1</v>
      </c>
      <c r="C1139" t="s">
        <v>31</v>
      </c>
      <c r="D1139" t="str">
        <f>_xlfn.XLOOKUP(C1139,'Carrier Name Rename'!A:A,'Carrier Name Rename'!B:B)</f>
        <v>American Airlines Inc.</v>
      </c>
      <c r="E1139" t="s">
        <v>23</v>
      </c>
      <c r="F1139" t="s">
        <v>24</v>
      </c>
      <c r="G1139">
        <v>600</v>
      </c>
      <c r="H1139">
        <v>140</v>
      </c>
      <c r="I1139">
        <v>38.049999999999997</v>
      </c>
      <c r="J1139">
        <v>3.29</v>
      </c>
      <c r="K1139">
        <v>54.93</v>
      </c>
      <c r="L1139">
        <v>0</v>
      </c>
      <c r="M1139">
        <v>43.73</v>
      </c>
      <c r="N1139">
        <v>6</v>
      </c>
      <c r="O1139">
        <v>4</v>
      </c>
      <c r="P1139">
        <v>6684</v>
      </c>
      <c r="Q1139">
        <v>2227</v>
      </c>
      <c r="R1139">
        <v>170</v>
      </c>
      <c r="S1139">
        <v>1991</v>
      </c>
      <c r="T1139">
        <v>0</v>
      </c>
      <c r="U1139">
        <v>2296</v>
      </c>
      <c r="V1139" s="1">
        <f t="shared" si="51"/>
        <v>0.23330000000000001</v>
      </c>
      <c r="W1139" s="1">
        <f t="shared" si="52"/>
        <v>0.01</v>
      </c>
      <c r="X1139" s="1">
        <f t="shared" si="53"/>
        <v>6.7000000000000002E-3</v>
      </c>
    </row>
    <row r="1140" spans="1:24" x14ac:dyDescent="0.25">
      <c r="A1140">
        <v>2017</v>
      </c>
      <c r="B1140">
        <v>1</v>
      </c>
      <c r="C1140" t="s">
        <v>33</v>
      </c>
      <c r="D1140" t="str">
        <f>_xlfn.XLOOKUP(C1140,'Carrier Name Rename'!A:A,'Carrier Name Rename'!B:B)</f>
        <v>Alaska Airlines Inc.</v>
      </c>
      <c r="E1140" t="s">
        <v>23</v>
      </c>
      <c r="F1140" t="s">
        <v>24</v>
      </c>
      <c r="G1140">
        <v>4629</v>
      </c>
      <c r="H1140">
        <v>894</v>
      </c>
      <c r="I1140">
        <v>133.61000000000001</v>
      </c>
      <c r="J1140">
        <v>32.5</v>
      </c>
      <c r="K1140">
        <v>399.97</v>
      </c>
      <c r="L1140">
        <v>11.08</v>
      </c>
      <c r="M1140">
        <v>316.83999999999997</v>
      </c>
      <c r="N1140">
        <v>64</v>
      </c>
      <c r="O1140">
        <v>5</v>
      </c>
      <c r="P1140">
        <v>44781</v>
      </c>
      <c r="Q1140">
        <v>8711</v>
      </c>
      <c r="R1140">
        <v>2600</v>
      </c>
      <c r="S1140">
        <v>13066</v>
      </c>
      <c r="T1140">
        <v>369</v>
      </c>
      <c r="U1140">
        <v>20035</v>
      </c>
      <c r="V1140" s="1">
        <f t="shared" si="51"/>
        <v>0.19309999999999999</v>
      </c>
      <c r="W1140" s="1">
        <f t="shared" si="52"/>
        <v>1.38E-2</v>
      </c>
      <c r="X1140" s="1">
        <f t="shared" si="53"/>
        <v>1.1000000000000001E-3</v>
      </c>
    </row>
    <row r="1141" spans="1:24" x14ac:dyDescent="0.25">
      <c r="A1141">
        <v>2017</v>
      </c>
      <c r="B1141">
        <v>1</v>
      </c>
      <c r="C1141" t="s">
        <v>35</v>
      </c>
      <c r="D1141" t="str">
        <f>_xlfn.XLOOKUP(C1141,'Carrier Name Rename'!A:A,'Carrier Name Rename'!B:B)</f>
        <v>JetBlue Airways</v>
      </c>
      <c r="E1141" t="s">
        <v>23</v>
      </c>
      <c r="F1141" t="s">
        <v>24</v>
      </c>
      <c r="G1141">
        <v>143</v>
      </c>
      <c r="H1141">
        <v>38</v>
      </c>
      <c r="I1141">
        <v>14.06</v>
      </c>
      <c r="J1141">
        <v>0</v>
      </c>
      <c r="K1141">
        <v>9.43</v>
      </c>
      <c r="L1141">
        <v>0.18</v>
      </c>
      <c r="M1141">
        <v>14.33</v>
      </c>
      <c r="N1141">
        <v>1</v>
      </c>
      <c r="O1141">
        <v>4</v>
      </c>
      <c r="P1141">
        <v>1895</v>
      </c>
      <c r="Q1141">
        <v>721</v>
      </c>
      <c r="R1141">
        <v>0</v>
      </c>
      <c r="S1141">
        <v>329</v>
      </c>
      <c r="T1141">
        <v>30</v>
      </c>
      <c r="U1141">
        <v>815</v>
      </c>
      <c r="V1141" s="1">
        <f t="shared" si="51"/>
        <v>0.26569999999999999</v>
      </c>
      <c r="W1141" s="1">
        <f t="shared" si="52"/>
        <v>7.0000000000000001E-3</v>
      </c>
      <c r="X1141" s="1">
        <f t="shared" si="53"/>
        <v>2.8000000000000001E-2</v>
      </c>
    </row>
    <row r="1142" spans="1:24" x14ac:dyDescent="0.25">
      <c r="A1142">
        <v>2017</v>
      </c>
      <c r="B1142">
        <v>1</v>
      </c>
      <c r="C1142" t="s">
        <v>37</v>
      </c>
      <c r="D1142" t="str">
        <f>_xlfn.XLOOKUP(C1142,'Carrier Name Rename'!A:A,'Carrier Name Rename'!B:B)</f>
        <v>Delta Air Lines Inc.</v>
      </c>
      <c r="E1142" t="s">
        <v>23</v>
      </c>
      <c r="F1142" t="s">
        <v>24</v>
      </c>
      <c r="G1142">
        <v>1287</v>
      </c>
      <c r="H1142">
        <v>284</v>
      </c>
      <c r="I1142">
        <v>89.31</v>
      </c>
      <c r="J1142">
        <v>19.920000000000002</v>
      </c>
      <c r="K1142">
        <v>102.21</v>
      </c>
      <c r="L1142">
        <v>0</v>
      </c>
      <c r="M1142">
        <v>72.569999999999993</v>
      </c>
      <c r="N1142">
        <v>6</v>
      </c>
      <c r="O1142">
        <v>0</v>
      </c>
      <c r="P1142">
        <v>20287</v>
      </c>
      <c r="Q1142">
        <v>8195</v>
      </c>
      <c r="R1142">
        <v>2218</v>
      </c>
      <c r="S1142">
        <v>4463</v>
      </c>
      <c r="T1142">
        <v>0</v>
      </c>
      <c r="U1142">
        <v>5411</v>
      </c>
      <c r="V1142" s="1">
        <f t="shared" si="51"/>
        <v>0.22070000000000001</v>
      </c>
      <c r="W1142" s="1">
        <f t="shared" si="52"/>
        <v>4.7000000000000002E-3</v>
      </c>
      <c r="X1142" s="1">
        <f t="shared" si="53"/>
        <v>0</v>
      </c>
    </row>
    <row r="1143" spans="1:24" x14ac:dyDescent="0.25">
      <c r="A1143">
        <v>2017</v>
      </c>
      <c r="B1143">
        <v>1</v>
      </c>
      <c r="C1143" t="s">
        <v>39</v>
      </c>
      <c r="D1143" t="str">
        <f>_xlfn.XLOOKUP(C1143,'Carrier Name Rename'!A:A,'Carrier Name Rename'!B:B)</f>
        <v>Frontier Airlines Inc.</v>
      </c>
      <c r="E1143" t="s">
        <v>23</v>
      </c>
      <c r="F1143" t="s">
        <v>24</v>
      </c>
      <c r="G1143">
        <v>70</v>
      </c>
      <c r="H1143">
        <v>12</v>
      </c>
      <c r="I1143">
        <v>5.97</v>
      </c>
      <c r="J1143">
        <v>0</v>
      </c>
      <c r="K1143">
        <v>2.89</v>
      </c>
      <c r="L1143">
        <v>0</v>
      </c>
      <c r="M1143">
        <v>3.14</v>
      </c>
      <c r="N1143">
        <v>1</v>
      </c>
      <c r="O1143">
        <v>0</v>
      </c>
      <c r="P1143">
        <v>589</v>
      </c>
      <c r="Q1143">
        <v>217</v>
      </c>
      <c r="R1143">
        <v>0</v>
      </c>
      <c r="S1143">
        <v>99</v>
      </c>
      <c r="T1143">
        <v>0</v>
      </c>
      <c r="U1143">
        <v>273</v>
      </c>
      <c r="V1143" s="1">
        <f t="shared" si="51"/>
        <v>0.1714</v>
      </c>
      <c r="W1143" s="1">
        <f t="shared" si="52"/>
        <v>1.43E-2</v>
      </c>
      <c r="X1143" s="1">
        <f t="shared" si="53"/>
        <v>0</v>
      </c>
    </row>
    <row r="1144" spans="1:24" x14ac:dyDescent="0.25">
      <c r="A1144">
        <v>2017</v>
      </c>
      <c r="B1144">
        <v>1</v>
      </c>
      <c r="C1144" t="s">
        <v>21</v>
      </c>
      <c r="D1144" t="str">
        <f>_xlfn.XLOOKUP(C1144,'Carrier Name Rename'!A:A,'Carrier Name Rename'!B:B)</f>
        <v>Hawaiian Airlines Inc.</v>
      </c>
      <c r="E1144" t="s">
        <v>23</v>
      </c>
      <c r="F1144" t="s">
        <v>24</v>
      </c>
      <c r="G1144">
        <v>62</v>
      </c>
      <c r="H1144">
        <v>28</v>
      </c>
      <c r="I1144">
        <v>22.33</v>
      </c>
      <c r="J1144">
        <v>0</v>
      </c>
      <c r="K1144">
        <v>0</v>
      </c>
      <c r="L1144">
        <v>0</v>
      </c>
      <c r="M1144">
        <v>5.67</v>
      </c>
      <c r="N1144">
        <v>0</v>
      </c>
      <c r="O1144">
        <v>0</v>
      </c>
      <c r="P1144">
        <v>1188</v>
      </c>
      <c r="Q1144">
        <v>871</v>
      </c>
      <c r="R1144">
        <v>0</v>
      </c>
      <c r="S1144">
        <v>0</v>
      </c>
      <c r="T1144">
        <v>0</v>
      </c>
      <c r="U1144">
        <v>317</v>
      </c>
      <c r="V1144" s="1">
        <f t="shared" si="51"/>
        <v>0.4516</v>
      </c>
      <c r="W1144" s="1">
        <f t="shared" si="52"/>
        <v>0</v>
      </c>
      <c r="X1144" s="1">
        <f t="shared" si="53"/>
        <v>0</v>
      </c>
    </row>
    <row r="1145" spans="1:24" x14ac:dyDescent="0.25">
      <c r="A1145">
        <v>2017</v>
      </c>
      <c r="B1145">
        <v>1</v>
      </c>
      <c r="C1145" t="s">
        <v>25</v>
      </c>
      <c r="D1145" t="str">
        <f>_xlfn.XLOOKUP(C1145,'Carrier Name Rename'!A:A,'Carrier Name Rename'!B:B)</f>
        <v>Spirit Airlines</v>
      </c>
      <c r="E1145" t="s">
        <v>23</v>
      </c>
      <c r="F1145" t="s">
        <v>24</v>
      </c>
      <c r="G1145">
        <v>124</v>
      </c>
      <c r="H1145">
        <v>33</v>
      </c>
      <c r="I1145">
        <v>2.97</v>
      </c>
      <c r="J1145">
        <v>0</v>
      </c>
      <c r="K1145">
        <v>20.440000000000001</v>
      </c>
      <c r="L1145">
        <v>0</v>
      </c>
      <c r="M1145">
        <v>9.59</v>
      </c>
      <c r="N1145">
        <v>2</v>
      </c>
      <c r="O1145">
        <v>0</v>
      </c>
      <c r="P1145">
        <v>1965</v>
      </c>
      <c r="Q1145">
        <v>202</v>
      </c>
      <c r="R1145">
        <v>0</v>
      </c>
      <c r="S1145">
        <v>1165</v>
      </c>
      <c r="T1145">
        <v>0</v>
      </c>
      <c r="U1145">
        <v>598</v>
      </c>
      <c r="V1145" s="1">
        <f t="shared" si="51"/>
        <v>0.2661</v>
      </c>
      <c r="W1145" s="1">
        <f t="shared" si="52"/>
        <v>1.61E-2</v>
      </c>
      <c r="X1145" s="1">
        <f t="shared" si="53"/>
        <v>0</v>
      </c>
    </row>
    <row r="1146" spans="1:24" x14ac:dyDescent="0.25">
      <c r="A1146">
        <v>2017</v>
      </c>
      <c r="B1146">
        <v>1</v>
      </c>
      <c r="C1146" t="s">
        <v>27</v>
      </c>
      <c r="D1146" t="str">
        <f>_xlfn.XLOOKUP(C1146,'Carrier Name Rename'!A:A,'Carrier Name Rename'!B:B)</f>
        <v>SkyWest Airlines Inc.</v>
      </c>
      <c r="E1146" t="s">
        <v>23</v>
      </c>
      <c r="F1146" t="s">
        <v>24</v>
      </c>
      <c r="G1146">
        <v>1642</v>
      </c>
      <c r="H1146">
        <v>353</v>
      </c>
      <c r="I1146">
        <v>64.790000000000006</v>
      </c>
      <c r="J1146">
        <v>6.98</v>
      </c>
      <c r="K1146">
        <v>110.92</v>
      </c>
      <c r="L1146">
        <v>1</v>
      </c>
      <c r="M1146">
        <v>169.31</v>
      </c>
      <c r="N1146">
        <v>29</v>
      </c>
      <c r="O1146">
        <v>2</v>
      </c>
      <c r="P1146">
        <v>25982</v>
      </c>
      <c r="Q1146">
        <v>7103</v>
      </c>
      <c r="R1146">
        <v>386</v>
      </c>
      <c r="S1146">
        <v>4445</v>
      </c>
      <c r="T1146">
        <v>17</v>
      </c>
      <c r="U1146">
        <v>14031</v>
      </c>
      <c r="V1146" s="1">
        <f t="shared" si="51"/>
        <v>0.215</v>
      </c>
      <c r="W1146" s="1">
        <f t="shared" si="52"/>
        <v>1.77E-2</v>
      </c>
      <c r="X1146" s="1">
        <f t="shared" si="53"/>
        <v>1.1999999999999999E-3</v>
      </c>
    </row>
    <row r="1147" spans="1:24" x14ac:dyDescent="0.25">
      <c r="A1147">
        <v>2017</v>
      </c>
      <c r="B1147">
        <v>1</v>
      </c>
      <c r="C1147" t="s">
        <v>41</v>
      </c>
      <c r="D1147" t="str">
        <f>_xlfn.XLOOKUP(C1147,'Carrier Name Rename'!A:A,'Carrier Name Rename'!B:B)</f>
        <v>United Air Lines Inc.</v>
      </c>
      <c r="E1147" t="s">
        <v>23</v>
      </c>
      <c r="F1147" t="s">
        <v>24</v>
      </c>
      <c r="G1147">
        <v>526</v>
      </c>
      <c r="H1147">
        <v>124</v>
      </c>
      <c r="I1147">
        <v>52.49</v>
      </c>
      <c r="J1147">
        <v>2.63</v>
      </c>
      <c r="K1147">
        <v>32.619999999999997</v>
      </c>
      <c r="L1147">
        <v>0</v>
      </c>
      <c r="M1147">
        <v>36.26</v>
      </c>
      <c r="N1147">
        <v>2</v>
      </c>
      <c r="O1147">
        <v>1</v>
      </c>
      <c r="P1147">
        <v>7587</v>
      </c>
      <c r="Q1147">
        <v>3018</v>
      </c>
      <c r="R1147">
        <v>231</v>
      </c>
      <c r="S1147">
        <v>1226</v>
      </c>
      <c r="T1147">
        <v>0</v>
      </c>
      <c r="U1147">
        <v>3112</v>
      </c>
      <c r="V1147" s="1">
        <f t="shared" si="51"/>
        <v>0.23569999999999999</v>
      </c>
      <c r="W1147" s="1">
        <f t="shared" si="52"/>
        <v>3.8E-3</v>
      </c>
      <c r="X1147" s="1">
        <f t="shared" si="53"/>
        <v>1.9E-3</v>
      </c>
    </row>
    <row r="1148" spans="1:24" x14ac:dyDescent="0.25">
      <c r="A1148">
        <v>2017</v>
      </c>
      <c r="B1148">
        <v>1</v>
      </c>
      <c r="C1148" t="s">
        <v>51</v>
      </c>
      <c r="D1148" t="str">
        <f>_xlfn.XLOOKUP(C1148,'Carrier Name Rename'!A:A,'Carrier Name Rename'!B:B)</f>
        <v>Virgin America</v>
      </c>
      <c r="E1148" t="s">
        <v>23</v>
      </c>
      <c r="F1148" t="s">
        <v>24</v>
      </c>
      <c r="G1148">
        <v>192</v>
      </c>
      <c r="H1148">
        <v>45</v>
      </c>
      <c r="I1148">
        <v>4.1100000000000003</v>
      </c>
      <c r="J1148">
        <v>0</v>
      </c>
      <c r="K1148">
        <v>8.83</v>
      </c>
      <c r="L1148">
        <v>0</v>
      </c>
      <c r="M1148">
        <v>32.06</v>
      </c>
      <c r="N1148">
        <v>7</v>
      </c>
      <c r="O1148">
        <v>0</v>
      </c>
      <c r="P1148">
        <v>2712</v>
      </c>
      <c r="Q1148">
        <v>184</v>
      </c>
      <c r="R1148">
        <v>0</v>
      </c>
      <c r="S1148">
        <v>289</v>
      </c>
      <c r="T1148">
        <v>0</v>
      </c>
      <c r="U1148">
        <v>2239</v>
      </c>
      <c r="V1148" s="1">
        <f t="shared" si="51"/>
        <v>0.2344</v>
      </c>
      <c r="W1148" s="1">
        <f t="shared" si="52"/>
        <v>3.6499999999999998E-2</v>
      </c>
      <c r="X1148" s="1">
        <f t="shared" si="53"/>
        <v>0</v>
      </c>
    </row>
    <row r="1149" spans="1:24" x14ac:dyDescent="0.25">
      <c r="A1149">
        <v>2017</v>
      </c>
      <c r="B1149">
        <v>1</v>
      </c>
      <c r="C1149" t="s">
        <v>43</v>
      </c>
      <c r="D1149" t="str">
        <f>_xlfn.XLOOKUP(C1149,'Carrier Name Rename'!A:A,'Carrier Name Rename'!B:B)</f>
        <v>Southwest Airlines Co.</v>
      </c>
      <c r="E1149" t="s">
        <v>23</v>
      </c>
      <c r="F1149" t="s">
        <v>24</v>
      </c>
      <c r="G1149">
        <v>850</v>
      </c>
      <c r="H1149">
        <v>242</v>
      </c>
      <c r="I1149">
        <v>71.59</v>
      </c>
      <c r="J1149">
        <v>3.77</v>
      </c>
      <c r="K1149">
        <v>52.07</v>
      </c>
      <c r="L1149">
        <v>0</v>
      </c>
      <c r="M1149">
        <v>114.57</v>
      </c>
      <c r="N1149">
        <v>9</v>
      </c>
      <c r="O1149">
        <v>0</v>
      </c>
      <c r="P1149">
        <v>11228</v>
      </c>
      <c r="Q1149">
        <v>3388</v>
      </c>
      <c r="R1149">
        <v>231</v>
      </c>
      <c r="S1149">
        <v>1959</v>
      </c>
      <c r="T1149">
        <v>0</v>
      </c>
      <c r="U1149">
        <v>5650</v>
      </c>
      <c r="V1149" s="1">
        <f t="shared" si="51"/>
        <v>0.28470000000000001</v>
      </c>
      <c r="W1149" s="1">
        <f t="shared" si="52"/>
        <v>1.06E-2</v>
      </c>
      <c r="X1149" s="1">
        <f t="shared" si="53"/>
        <v>0</v>
      </c>
    </row>
    <row r="1150" spans="1:24" x14ac:dyDescent="0.25">
      <c r="A1150">
        <v>2016</v>
      </c>
      <c r="B1150">
        <v>12</v>
      </c>
      <c r="C1150" t="s">
        <v>31</v>
      </c>
      <c r="D1150" t="str">
        <f>_xlfn.XLOOKUP(C1150,'Carrier Name Rename'!A:A,'Carrier Name Rename'!B:B)</f>
        <v>American Airlines Inc.</v>
      </c>
      <c r="E1150" t="s">
        <v>23</v>
      </c>
      <c r="F1150" t="s">
        <v>24</v>
      </c>
      <c r="G1150">
        <v>680</v>
      </c>
      <c r="H1150">
        <v>262</v>
      </c>
      <c r="I1150">
        <v>68.73</v>
      </c>
      <c r="J1150">
        <v>9.59</v>
      </c>
      <c r="K1150">
        <v>122.89</v>
      </c>
      <c r="L1150">
        <v>0.93</v>
      </c>
      <c r="M1150">
        <v>59.87</v>
      </c>
      <c r="N1150">
        <v>6</v>
      </c>
      <c r="O1150">
        <v>10</v>
      </c>
      <c r="P1150">
        <v>12033</v>
      </c>
      <c r="Q1150">
        <v>3313</v>
      </c>
      <c r="R1150">
        <v>610</v>
      </c>
      <c r="S1150">
        <v>4230</v>
      </c>
      <c r="T1150">
        <v>27</v>
      </c>
      <c r="U1150">
        <v>3853</v>
      </c>
      <c r="V1150" s="1">
        <f t="shared" si="51"/>
        <v>0.38529999999999998</v>
      </c>
      <c r="W1150" s="1">
        <f t="shared" si="52"/>
        <v>8.8000000000000005E-3</v>
      </c>
      <c r="X1150" s="1">
        <f t="shared" si="53"/>
        <v>1.47E-2</v>
      </c>
    </row>
    <row r="1151" spans="1:24" x14ac:dyDescent="0.25">
      <c r="A1151">
        <v>2016</v>
      </c>
      <c r="B1151">
        <v>12</v>
      </c>
      <c r="C1151" t="s">
        <v>33</v>
      </c>
      <c r="D1151" t="str">
        <f>_xlfn.XLOOKUP(C1151,'Carrier Name Rename'!A:A,'Carrier Name Rename'!B:B)</f>
        <v>Alaska Airlines Inc.</v>
      </c>
      <c r="E1151" t="s">
        <v>23</v>
      </c>
      <c r="F1151" t="s">
        <v>24</v>
      </c>
      <c r="G1151">
        <v>4551</v>
      </c>
      <c r="H1151">
        <v>1045</v>
      </c>
      <c r="I1151">
        <v>153.29</v>
      </c>
      <c r="J1151">
        <v>36.14</v>
      </c>
      <c r="K1151">
        <v>530.12</v>
      </c>
      <c r="L1151">
        <v>9.58</v>
      </c>
      <c r="M1151">
        <v>315.87</v>
      </c>
      <c r="N1151">
        <v>75</v>
      </c>
      <c r="O1151">
        <v>7</v>
      </c>
      <c r="P1151">
        <v>57228</v>
      </c>
      <c r="Q1151">
        <v>10085</v>
      </c>
      <c r="R1151">
        <v>3207</v>
      </c>
      <c r="S1151">
        <v>20421</v>
      </c>
      <c r="T1151">
        <v>331</v>
      </c>
      <c r="U1151">
        <v>23184</v>
      </c>
      <c r="V1151" s="1">
        <f t="shared" si="51"/>
        <v>0.2296</v>
      </c>
      <c r="W1151" s="1">
        <f t="shared" si="52"/>
        <v>1.6500000000000001E-2</v>
      </c>
      <c r="X1151" s="1">
        <f t="shared" si="53"/>
        <v>1.5E-3</v>
      </c>
    </row>
    <row r="1152" spans="1:24" x14ac:dyDescent="0.25">
      <c r="A1152">
        <v>2016</v>
      </c>
      <c r="B1152">
        <v>12</v>
      </c>
      <c r="C1152" t="s">
        <v>35</v>
      </c>
      <c r="D1152" t="str">
        <f>_xlfn.XLOOKUP(C1152,'Carrier Name Rename'!A:A,'Carrier Name Rename'!B:B)</f>
        <v>JetBlue Airways</v>
      </c>
      <c r="E1152" t="s">
        <v>23</v>
      </c>
      <c r="F1152" t="s">
        <v>24</v>
      </c>
      <c r="G1152">
        <v>148</v>
      </c>
      <c r="H1152">
        <v>53</v>
      </c>
      <c r="I1152">
        <v>19.68</v>
      </c>
      <c r="J1152">
        <v>1</v>
      </c>
      <c r="K1152">
        <v>21.92</v>
      </c>
      <c r="L1152">
        <v>0</v>
      </c>
      <c r="M1152">
        <v>10.4</v>
      </c>
      <c r="N1152">
        <v>0</v>
      </c>
      <c r="O1152">
        <v>4</v>
      </c>
      <c r="P1152">
        <v>3076</v>
      </c>
      <c r="Q1152">
        <v>1390</v>
      </c>
      <c r="R1152">
        <v>63</v>
      </c>
      <c r="S1152">
        <v>835</v>
      </c>
      <c r="T1152">
        <v>0</v>
      </c>
      <c r="U1152">
        <v>788</v>
      </c>
      <c r="V1152" s="1">
        <f t="shared" si="51"/>
        <v>0.35809999999999997</v>
      </c>
      <c r="W1152" s="1">
        <f t="shared" si="52"/>
        <v>0</v>
      </c>
      <c r="X1152" s="1">
        <f t="shared" si="53"/>
        <v>2.7E-2</v>
      </c>
    </row>
    <row r="1153" spans="1:24" x14ac:dyDescent="0.25">
      <c r="A1153">
        <v>2016</v>
      </c>
      <c r="B1153">
        <v>12</v>
      </c>
      <c r="C1153" t="s">
        <v>37</v>
      </c>
      <c r="D1153" t="str">
        <f>_xlfn.XLOOKUP(C1153,'Carrier Name Rename'!A:A,'Carrier Name Rename'!B:B)</f>
        <v>Delta Air Lines Inc.</v>
      </c>
      <c r="E1153" t="s">
        <v>23</v>
      </c>
      <c r="F1153" t="s">
        <v>24</v>
      </c>
      <c r="G1153">
        <v>1392</v>
      </c>
      <c r="H1153">
        <v>392</v>
      </c>
      <c r="I1153">
        <v>111.12</v>
      </c>
      <c r="J1153">
        <v>13.88</v>
      </c>
      <c r="K1153">
        <v>181.89</v>
      </c>
      <c r="L1153">
        <v>0</v>
      </c>
      <c r="M1153">
        <v>85.11</v>
      </c>
      <c r="N1153">
        <v>3</v>
      </c>
      <c r="O1153">
        <v>1</v>
      </c>
      <c r="P1153">
        <v>21439</v>
      </c>
      <c r="Q1153">
        <v>7142</v>
      </c>
      <c r="R1153">
        <v>1240</v>
      </c>
      <c r="S1153">
        <v>6758</v>
      </c>
      <c r="T1153">
        <v>0</v>
      </c>
      <c r="U1153">
        <v>6299</v>
      </c>
      <c r="V1153" s="1">
        <f t="shared" si="51"/>
        <v>0.28160000000000002</v>
      </c>
      <c r="W1153" s="1">
        <f t="shared" si="52"/>
        <v>2.2000000000000001E-3</v>
      </c>
      <c r="X1153" s="1">
        <f t="shared" si="53"/>
        <v>6.9999999999999999E-4</v>
      </c>
    </row>
    <row r="1154" spans="1:24" x14ac:dyDescent="0.25">
      <c r="A1154">
        <v>2016</v>
      </c>
      <c r="B1154">
        <v>12</v>
      </c>
      <c r="C1154" t="s">
        <v>39</v>
      </c>
      <c r="D1154" t="str">
        <f>_xlfn.XLOOKUP(C1154,'Carrier Name Rename'!A:A,'Carrier Name Rename'!B:B)</f>
        <v>Frontier Airlines Inc.</v>
      </c>
      <c r="E1154" t="s">
        <v>23</v>
      </c>
      <c r="F1154" t="s">
        <v>24</v>
      </c>
      <c r="G1154">
        <v>76</v>
      </c>
      <c r="H1154">
        <v>30</v>
      </c>
      <c r="I1154">
        <v>14.57</v>
      </c>
      <c r="J1154">
        <v>0</v>
      </c>
      <c r="K1154">
        <v>11.55</v>
      </c>
      <c r="L1154">
        <v>0</v>
      </c>
      <c r="M1154">
        <v>3.88</v>
      </c>
      <c r="N1154">
        <v>3</v>
      </c>
      <c r="O1154">
        <v>0</v>
      </c>
      <c r="P1154">
        <v>1891</v>
      </c>
      <c r="Q1154">
        <v>1057</v>
      </c>
      <c r="R1154">
        <v>0</v>
      </c>
      <c r="S1154">
        <v>428</v>
      </c>
      <c r="T1154">
        <v>0</v>
      </c>
      <c r="U1154">
        <v>406</v>
      </c>
      <c r="V1154" s="1">
        <f t="shared" si="51"/>
        <v>0.3947</v>
      </c>
      <c r="W1154" s="1">
        <f t="shared" si="52"/>
        <v>3.95E-2</v>
      </c>
      <c r="X1154" s="1">
        <f t="shared" si="53"/>
        <v>0</v>
      </c>
    </row>
    <row r="1155" spans="1:24" x14ac:dyDescent="0.25">
      <c r="A1155">
        <v>2016</v>
      </c>
      <c r="B1155">
        <v>12</v>
      </c>
      <c r="C1155" t="s">
        <v>21</v>
      </c>
      <c r="D1155" t="str">
        <f>_xlfn.XLOOKUP(C1155,'Carrier Name Rename'!A:A,'Carrier Name Rename'!B:B)</f>
        <v>Hawaiian Airlines Inc.</v>
      </c>
      <c r="E1155" t="s">
        <v>23</v>
      </c>
      <c r="F1155" t="s">
        <v>24</v>
      </c>
      <c r="G1155">
        <v>62</v>
      </c>
      <c r="H1155">
        <v>26</v>
      </c>
      <c r="I1155">
        <v>9.52</v>
      </c>
      <c r="J1155">
        <v>0</v>
      </c>
      <c r="K1155">
        <v>0</v>
      </c>
      <c r="L1155">
        <v>0</v>
      </c>
      <c r="M1155">
        <v>16.48</v>
      </c>
      <c r="N1155">
        <v>0</v>
      </c>
      <c r="O1155">
        <v>1</v>
      </c>
      <c r="P1155">
        <v>1033</v>
      </c>
      <c r="Q1155">
        <v>437</v>
      </c>
      <c r="R1155">
        <v>0</v>
      </c>
      <c r="S1155">
        <v>0</v>
      </c>
      <c r="T1155">
        <v>0</v>
      </c>
      <c r="U1155">
        <v>596</v>
      </c>
      <c r="V1155" s="1">
        <f t="shared" ref="V1155:V1218" si="54">ROUND(H1155/G1155,4)</f>
        <v>0.4194</v>
      </c>
      <c r="W1155" s="1">
        <f t="shared" ref="W1155:W1218" si="55">ROUND(N1155/G1155,4)</f>
        <v>0</v>
      </c>
      <c r="X1155" s="1">
        <f t="shared" ref="X1155:X1218" si="56">ROUND(O1155/G1155,4)</f>
        <v>1.61E-2</v>
      </c>
    </row>
    <row r="1156" spans="1:24" x14ac:dyDescent="0.25">
      <c r="A1156">
        <v>2016</v>
      </c>
      <c r="B1156">
        <v>12</v>
      </c>
      <c r="C1156" t="s">
        <v>25</v>
      </c>
      <c r="D1156" t="str">
        <f>_xlfn.XLOOKUP(C1156,'Carrier Name Rename'!A:A,'Carrier Name Rename'!B:B)</f>
        <v>Spirit Airlines</v>
      </c>
      <c r="E1156" t="s">
        <v>23</v>
      </c>
      <c r="F1156" t="s">
        <v>24</v>
      </c>
      <c r="G1156">
        <v>124</v>
      </c>
      <c r="H1156">
        <v>30</v>
      </c>
      <c r="I1156">
        <v>2.93</v>
      </c>
      <c r="J1156">
        <v>0</v>
      </c>
      <c r="K1156">
        <v>19.989999999999998</v>
      </c>
      <c r="L1156">
        <v>0</v>
      </c>
      <c r="M1156">
        <v>7.08</v>
      </c>
      <c r="N1156">
        <v>1</v>
      </c>
      <c r="O1156">
        <v>0</v>
      </c>
      <c r="P1156">
        <v>1831</v>
      </c>
      <c r="Q1156">
        <v>269</v>
      </c>
      <c r="R1156">
        <v>0</v>
      </c>
      <c r="S1156">
        <v>1083</v>
      </c>
      <c r="T1156">
        <v>0</v>
      </c>
      <c r="U1156">
        <v>479</v>
      </c>
      <c r="V1156" s="1">
        <f t="shared" si="54"/>
        <v>0.2419</v>
      </c>
      <c r="W1156" s="1">
        <f t="shared" si="55"/>
        <v>8.0999999999999996E-3</v>
      </c>
      <c r="X1156" s="1">
        <f t="shared" si="56"/>
        <v>0</v>
      </c>
    </row>
    <row r="1157" spans="1:24" x14ac:dyDescent="0.25">
      <c r="A1157">
        <v>2016</v>
      </c>
      <c r="B1157">
        <v>12</v>
      </c>
      <c r="C1157" t="s">
        <v>27</v>
      </c>
      <c r="D1157" t="str">
        <f>_xlfn.XLOOKUP(C1157,'Carrier Name Rename'!A:A,'Carrier Name Rename'!B:B)</f>
        <v>SkyWest Airlines Inc.</v>
      </c>
      <c r="E1157" t="s">
        <v>23</v>
      </c>
      <c r="F1157" t="s">
        <v>24</v>
      </c>
      <c r="G1157">
        <v>1536</v>
      </c>
      <c r="H1157">
        <v>415</v>
      </c>
      <c r="I1157">
        <v>76.44</v>
      </c>
      <c r="J1157">
        <v>17.95</v>
      </c>
      <c r="K1157">
        <v>120.1</v>
      </c>
      <c r="L1157">
        <v>0</v>
      </c>
      <c r="M1157">
        <v>200.51</v>
      </c>
      <c r="N1157">
        <v>17</v>
      </c>
      <c r="O1157">
        <v>2</v>
      </c>
      <c r="P1157">
        <v>31404</v>
      </c>
      <c r="Q1157">
        <v>9302</v>
      </c>
      <c r="R1157">
        <v>1636</v>
      </c>
      <c r="S1157">
        <v>4480</v>
      </c>
      <c r="T1157">
        <v>0</v>
      </c>
      <c r="U1157">
        <v>15986</v>
      </c>
      <c r="V1157" s="1">
        <f t="shared" si="54"/>
        <v>0.2702</v>
      </c>
      <c r="W1157" s="1">
        <f t="shared" si="55"/>
        <v>1.11E-2</v>
      </c>
      <c r="X1157" s="1">
        <f t="shared" si="56"/>
        <v>1.2999999999999999E-3</v>
      </c>
    </row>
    <row r="1158" spans="1:24" x14ac:dyDescent="0.25">
      <c r="A1158">
        <v>2016</v>
      </c>
      <c r="B1158">
        <v>12</v>
      </c>
      <c r="C1158" t="s">
        <v>41</v>
      </c>
      <c r="D1158" t="str">
        <f>_xlfn.XLOOKUP(C1158,'Carrier Name Rename'!A:A,'Carrier Name Rename'!B:B)</f>
        <v>United Air Lines Inc.</v>
      </c>
      <c r="E1158" t="s">
        <v>23</v>
      </c>
      <c r="F1158" t="s">
        <v>24</v>
      </c>
      <c r="G1158">
        <v>745</v>
      </c>
      <c r="H1158">
        <v>208</v>
      </c>
      <c r="I1158">
        <v>78.599999999999994</v>
      </c>
      <c r="J1158">
        <v>9.57</v>
      </c>
      <c r="K1158">
        <v>52.47</v>
      </c>
      <c r="L1158">
        <v>0</v>
      </c>
      <c r="M1158">
        <v>67.349999999999994</v>
      </c>
      <c r="N1158">
        <v>4</v>
      </c>
      <c r="O1158">
        <v>1</v>
      </c>
      <c r="P1158">
        <v>13059</v>
      </c>
      <c r="Q1158">
        <v>3995</v>
      </c>
      <c r="R1158">
        <v>748</v>
      </c>
      <c r="S1158">
        <v>1926</v>
      </c>
      <c r="T1158">
        <v>0</v>
      </c>
      <c r="U1158">
        <v>6390</v>
      </c>
      <c r="V1158" s="1">
        <f t="shared" si="54"/>
        <v>0.2792</v>
      </c>
      <c r="W1158" s="1">
        <f t="shared" si="55"/>
        <v>5.4000000000000003E-3</v>
      </c>
      <c r="X1158" s="1">
        <f t="shared" si="56"/>
        <v>1.2999999999999999E-3</v>
      </c>
    </row>
    <row r="1159" spans="1:24" x14ac:dyDescent="0.25">
      <c r="A1159">
        <v>2016</v>
      </c>
      <c r="B1159">
        <v>12</v>
      </c>
      <c r="C1159" t="s">
        <v>51</v>
      </c>
      <c r="D1159" t="str">
        <f>_xlfn.XLOOKUP(C1159,'Carrier Name Rename'!A:A,'Carrier Name Rename'!B:B)</f>
        <v>Virgin America</v>
      </c>
      <c r="E1159" t="s">
        <v>23</v>
      </c>
      <c r="F1159" t="s">
        <v>24</v>
      </c>
      <c r="G1159">
        <v>228</v>
      </c>
      <c r="H1159">
        <v>53</v>
      </c>
      <c r="I1159">
        <v>9.67</v>
      </c>
      <c r="J1159">
        <v>2.36</v>
      </c>
      <c r="K1159">
        <v>12.82</v>
      </c>
      <c r="L1159">
        <v>0</v>
      </c>
      <c r="M1159">
        <v>28.15</v>
      </c>
      <c r="N1159">
        <v>3</v>
      </c>
      <c r="O1159">
        <v>0</v>
      </c>
      <c r="P1159">
        <v>2947</v>
      </c>
      <c r="Q1159">
        <v>422</v>
      </c>
      <c r="R1159">
        <v>81</v>
      </c>
      <c r="S1159">
        <v>488</v>
      </c>
      <c r="T1159">
        <v>0</v>
      </c>
      <c r="U1159">
        <v>1956</v>
      </c>
      <c r="V1159" s="1">
        <f t="shared" si="54"/>
        <v>0.23250000000000001</v>
      </c>
      <c r="W1159" s="1">
        <f t="shared" si="55"/>
        <v>1.32E-2</v>
      </c>
      <c r="X1159" s="1">
        <f t="shared" si="56"/>
        <v>0</v>
      </c>
    </row>
    <row r="1160" spans="1:24" x14ac:dyDescent="0.25">
      <c r="A1160">
        <v>2016</v>
      </c>
      <c r="B1160">
        <v>12</v>
      </c>
      <c r="C1160" t="s">
        <v>43</v>
      </c>
      <c r="D1160" t="str">
        <f>_xlfn.XLOOKUP(C1160,'Carrier Name Rename'!A:A,'Carrier Name Rename'!B:B)</f>
        <v>Southwest Airlines Co.</v>
      </c>
      <c r="E1160" t="s">
        <v>23</v>
      </c>
      <c r="F1160" t="s">
        <v>24</v>
      </c>
      <c r="G1160">
        <v>1091</v>
      </c>
      <c r="H1160">
        <v>406</v>
      </c>
      <c r="I1160">
        <v>122.69</v>
      </c>
      <c r="J1160">
        <v>4.97</v>
      </c>
      <c r="K1160">
        <v>123.03</v>
      </c>
      <c r="L1160">
        <v>0.42</v>
      </c>
      <c r="M1160">
        <v>154.9</v>
      </c>
      <c r="N1160">
        <v>7</v>
      </c>
      <c r="O1160">
        <v>3</v>
      </c>
      <c r="P1160">
        <v>18520</v>
      </c>
      <c r="Q1160">
        <v>5722</v>
      </c>
      <c r="R1160">
        <v>217</v>
      </c>
      <c r="S1160">
        <v>4104</v>
      </c>
      <c r="T1160">
        <v>10</v>
      </c>
      <c r="U1160">
        <v>8467</v>
      </c>
      <c r="V1160" s="1">
        <f t="shared" si="54"/>
        <v>0.37209999999999999</v>
      </c>
      <c r="W1160" s="1">
        <f t="shared" si="55"/>
        <v>6.4000000000000003E-3</v>
      </c>
      <c r="X1160" s="1">
        <f t="shared" si="56"/>
        <v>2.7000000000000001E-3</v>
      </c>
    </row>
    <row r="1161" spans="1:24" x14ac:dyDescent="0.25">
      <c r="A1161">
        <v>2016</v>
      </c>
      <c r="B1161">
        <v>11</v>
      </c>
      <c r="C1161" t="s">
        <v>41</v>
      </c>
      <c r="D1161" t="str">
        <f>_xlfn.XLOOKUP(C1161,'Carrier Name Rename'!A:A,'Carrier Name Rename'!B:B)</f>
        <v>United Air Lines Inc.</v>
      </c>
      <c r="E1161" t="s">
        <v>23</v>
      </c>
      <c r="F1161" t="s">
        <v>24</v>
      </c>
      <c r="G1161">
        <v>704</v>
      </c>
      <c r="H1161">
        <v>72</v>
      </c>
      <c r="I1161">
        <v>25.7</v>
      </c>
      <c r="J1161">
        <v>2.98</v>
      </c>
      <c r="K1161">
        <v>16.03</v>
      </c>
      <c r="L1161">
        <v>0</v>
      </c>
      <c r="M1161">
        <v>27.3</v>
      </c>
      <c r="N1161">
        <v>1</v>
      </c>
      <c r="O1161">
        <v>1</v>
      </c>
      <c r="P1161">
        <v>3656</v>
      </c>
      <c r="Q1161">
        <v>1138</v>
      </c>
      <c r="R1161">
        <v>272</v>
      </c>
      <c r="S1161">
        <v>752</v>
      </c>
      <c r="T1161">
        <v>0</v>
      </c>
      <c r="U1161">
        <v>1494</v>
      </c>
      <c r="V1161" s="1">
        <f t="shared" si="54"/>
        <v>0.1023</v>
      </c>
      <c r="W1161" s="1">
        <f t="shared" si="55"/>
        <v>1.4E-3</v>
      </c>
      <c r="X1161" s="1">
        <f t="shared" si="56"/>
        <v>1.4E-3</v>
      </c>
    </row>
    <row r="1162" spans="1:24" x14ac:dyDescent="0.25">
      <c r="A1162">
        <v>2016</v>
      </c>
      <c r="B1162">
        <v>11</v>
      </c>
      <c r="C1162" t="s">
        <v>51</v>
      </c>
      <c r="D1162" t="str">
        <f>_xlfn.XLOOKUP(C1162,'Carrier Name Rename'!A:A,'Carrier Name Rename'!B:B)</f>
        <v>Virgin America</v>
      </c>
      <c r="E1162" t="s">
        <v>23</v>
      </c>
      <c r="F1162" t="s">
        <v>24</v>
      </c>
      <c r="G1162">
        <v>222</v>
      </c>
      <c r="H1162">
        <v>26</v>
      </c>
      <c r="I1162">
        <v>2.65</v>
      </c>
      <c r="J1162">
        <v>6.4</v>
      </c>
      <c r="K1162">
        <v>4.76</v>
      </c>
      <c r="L1162">
        <v>0</v>
      </c>
      <c r="M1162">
        <v>12.19</v>
      </c>
      <c r="N1162">
        <v>1</v>
      </c>
      <c r="O1162">
        <v>0</v>
      </c>
      <c r="P1162">
        <v>1026</v>
      </c>
      <c r="Q1162">
        <v>261</v>
      </c>
      <c r="R1162">
        <v>130</v>
      </c>
      <c r="S1162">
        <v>142</v>
      </c>
      <c r="T1162">
        <v>0</v>
      </c>
      <c r="U1162">
        <v>493</v>
      </c>
      <c r="V1162" s="1">
        <f t="shared" si="54"/>
        <v>0.1171</v>
      </c>
      <c r="W1162" s="1">
        <f t="shared" si="55"/>
        <v>4.4999999999999997E-3</v>
      </c>
      <c r="X1162" s="1">
        <f t="shared" si="56"/>
        <v>0</v>
      </c>
    </row>
    <row r="1163" spans="1:24" x14ac:dyDescent="0.25">
      <c r="A1163">
        <v>2016</v>
      </c>
      <c r="B1163">
        <v>11</v>
      </c>
      <c r="C1163" t="s">
        <v>43</v>
      </c>
      <c r="D1163" t="str">
        <f>_xlfn.XLOOKUP(C1163,'Carrier Name Rename'!A:A,'Carrier Name Rename'!B:B)</f>
        <v>Southwest Airlines Co.</v>
      </c>
      <c r="E1163" t="s">
        <v>23</v>
      </c>
      <c r="F1163" t="s">
        <v>24</v>
      </c>
      <c r="G1163">
        <v>1089</v>
      </c>
      <c r="H1163">
        <v>127</v>
      </c>
      <c r="I1163">
        <v>37.6</v>
      </c>
      <c r="J1163">
        <v>0</v>
      </c>
      <c r="K1163">
        <v>37.24</v>
      </c>
      <c r="L1163">
        <v>0</v>
      </c>
      <c r="M1163">
        <v>52.16</v>
      </c>
      <c r="N1163">
        <v>0</v>
      </c>
      <c r="O1163">
        <v>0</v>
      </c>
      <c r="P1163">
        <v>4966</v>
      </c>
      <c r="Q1163">
        <v>1612</v>
      </c>
      <c r="R1163">
        <v>0</v>
      </c>
      <c r="S1163">
        <v>1135</v>
      </c>
      <c r="T1163">
        <v>0</v>
      </c>
      <c r="U1163">
        <v>2219</v>
      </c>
      <c r="V1163" s="1">
        <f t="shared" si="54"/>
        <v>0.1166</v>
      </c>
      <c r="W1163" s="1">
        <f t="shared" si="55"/>
        <v>0</v>
      </c>
      <c r="X1163" s="1">
        <f t="shared" si="56"/>
        <v>0</v>
      </c>
    </row>
    <row r="1164" spans="1:24" x14ac:dyDescent="0.25">
      <c r="A1164">
        <v>2016</v>
      </c>
      <c r="B1164">
        <v>11</v>
      </c>
      <c r="C1164" t="s">
        <v>31</v>
      </c>
      <c r="D1164" t="str">
        <f>_xlfn.XLOOKUP(C1164,'Carrier Name Rename'!A:A,'Carrier Name Rename'!B:B)</f>
        <v>American Airlines Inc.</v>
      </c>
      <c r="E1164" t="s">
        <v>23</v>
      </c>
      <c r="F1164" t="s">
        <v>24</v>
      </c>
      <c r="G1164">
        <v>628</v>
      </c>
      <c r="H1164">
        <v>89</v>
      </c>
      <c r="I1164">
        <v>29.62</v>
      </c>
      <c r="J1164">
        <v>2.1800000000000002</v>
      </c>
      <c r="K1164">
        <v>29.24</v>
      </c>
      <c r="L1164">
        <v>0.41</v>
      </c>
      <c r="M1164">
        <v>27.55</v>
      </c>
      <c r="N1164">
        <v>1</v>
      </c>
      <c r="O1164">
        <v>2</v>
      </c>
      <c r="P1164">
        <v>4276</v>
      </c>
      <c r="Q1164">
        <v>1684</v>
      </c>
      <c r="R1164">
        <v>62</v>
      </c>
      <c r="S1164">
        <v>968</v>
      </c>
      <c r="T1164">
        <v>29</v>
      </c>
      <c r="U1164">
        <v>1533</v>
      </c>
      <c r="V1164" s="1">
        <f t="shared" si="54"/>
        <v>0.14169999999999999</v>
      </c>
      <c r="W1164" s="1">
        <f t="shared" si="55"/>
        <v>1.6000000000000001E-3</v>
      </c>
      <c r="X1164" s="1">
        <f t="shared" si="56"/>
        <v>3.2000000000000002E-3</v>
      </c>
    </row>
    <row r="1165" spans="1:24" x14ac:dyDescent="0.25">
      <c r="A1165">
        <v>2016</v>
      </c>
      <c r="B1165">
        <v>11</v>
      </c>
      <c r="C1165" t="s">
        <v>33</v>
      </c>
      <c r="D1165" t="str">
        <f>_xlfn.XLOOKUP(C1165,'Carrier Name Rename'!A:A,'Carrier Name Rename'!B:B)</f>
        <v>Alaska Airlines Inc.</v>
      </c>
      <c r="E1165" t="s">
        <v>23</v>
      </c>
      <c r="F1165" t="s">
        <v>24</v>
      </c>
      <c r="G1165">
        <v>4400</v>
      </c>
      <c r="H1165">
        <v>558</v>
      </c>
      <c r="I1165">
        <v>96.01</v>
      </c>
      <c r="J1165">
        <v>3.9</v>
      </c>
      <c r="K1165">
        <v>311.45</v>
      </c>
      <c r="L1165">
        <v>5.0199999999999996</v>
      </c>
      <c r="M1165">
        <v>141.61000000000001</v>
      </c>
      <c r="N1165">
        <v>3</v>
      </c>
      <c r="O1165">
        <v>5</v>
      </c>
      <c r="P1165">
        <v>23610</v>
      </c>
      <c r="Q1165">
        <v>5395</v>
      </c>
      <c r="R1165">
        <v>321</v>
      </c>
      <c r="S1165">
        <v>9058</v>
      </c>
      <c r="T1165">
        <v>169</v>
      </c>
      <c r="U1165">
        <v>8667</v>
      </c>
      <c r="V1165" s="1">
        <f t="shared" si="54"/>
        <v>0.1268</v>
      </c>
      <c r="W1165" s="1">
        <f t="shared" si="55"/>
        <v>6.9999999999999999E-4</v>
      </c>
      <c r="X1165" s="1">
        <f t="shared" si="56"/>
        <v>1.1000000000000001E-3</v>
      </c>
    </row>
    <row r="1166" spans="1:24" x14ac:dyDescent="0.25">
      <c r="A1166">
        <v>2016</v>
      </c>
      <c r="B1166">
        <v>11</v>
      </c>
      <c r="C1166" t="s">
        <v>35</v>
      </c>
      <c r="D1166" t="str">
        <f>_xlfn.XLOOKUP(C1166,'Carrier Name Rename'!A:A,'Carrier Name Rename'!B:B)</f>
        <v>JetBlue Airways</v>
      </c>
      <c r="E1166" t="s">
        <v>23</v>
      </c>
      <c r="F1166" t="s">
        <v>24</v>
      </c>
      <c r="G1166">
        <v>136</v>
      </c>
      <c r="H1166">
        <v>14</v>
      </c>
      <c r="I1166">
        <v>6.87</v>
      </c>
      <c r="J1166">
        <v>0</v>
      </c>
      <c r="K1166">
        <v>2.0299999999999998</v>
      </c>
      <c r="L1166">
        <v>0</v>
      </c>
      <c r="M1166">
        <v>5.09</v>
      </c>
      <c r="N1166">
        <v>0</v>
      </c>
      <c r="O1166">
        <v>0</v>
      </c>
      <c r="P1166">
        <v>912</v>
      </c>
      <c r="Q1166">
        <v>540</v>
      </c>
      <c r="R1166">
        <v>0</v>
      </c>
      <c r="S1166">
        <v>47</v>
      </c>
      <c r="T1166">
        <v>0</v>
      </c>
      <c r="U1166">
        <v>325</v>
      </c>
      <c r="V1166" s="1">
        <f t="shared" si="54"/>
        <v>0.10290000000000001</v>
      </c>
      <c r="W1166" s="1">
        <f t="shared" si="55"/>
        <v>0</v>
      </c>
      <c r="X1166" s="1">
        <f t="shared" si="56"/>
        <v>0</v>
      </c>
    </row>
    <row r="1167" spans="1:24" x14ac:dyDescent="0.25">
      <c r="A1167">
        <v>2016</v>
      </c>
      <c r="B1167">
        <v>11</v>
      </c>
      <c r="C1167" t="s">
        <v>37</v>
      </c>
      <c r="D1167" t="str">
        <f>_xlfn.XLOOKUP(C1167,'Carrier Name Rename'!A:A,'Carrier Name Rename'!B:B)</f>
        <v>Delta Air Lines Inc.</v>
      </c>
      <c r="E1167" t="s">
        <v>23</v>
      </c>
      <c r="F1167" t="s">
        <v>24</v>
      </c>
      <c r="G1167">
        <v>1289</v>
      </c>
      <c r="H1167">
        <v>108</v>
      </c>
      <c r="I1167">
        <v>37.090000000000003</v>
      </c>
      <c r="J1167">
        <v>2</v>
      </c>
      <c r="K1167">
        <v>45.46</v>
      </c>
      <c r="L1167">
        <v>1</v>
      </c>
      <c r="M1167">
        <v>22.45</v>
      </c>
      <c r="N1167">
        <v>0</v>
      </c>
      <c r="O1167">
        <v>1</v>
      </c>
      <c r="P1167">
        <v>5402</v>
      </c>
      <c r="Q1167">
        <v>2937</v>
      </c>
      <c r="R1167">
        <v>109</v>
      </c>
      <c r="S1167">
        <v>1331</v>
      </c>
      <c r="T1167">
        <v>46</v>
      </c>
      <c r="U1167">
        <v>979</v>
      </c>
      <c r="V1167" s="1">
        <f t="shared" si="54"/>
        <v>8.3799999999999999E-2</v>
      </c>
      <c r="W1167" s="1">
        <f t="shared" si="55"/>
        <v>0</v>
      </c>
      <c r="X1167" s="1">
        <f t="shared" si="56"/>
        <v>8.0000000000000004E-4</v>
      </c>
    </row>
    <row r="1168" spans="1:24" x14ac:dyDescent="0.25">
      <c r="A1168">
        <v>2016</v>
      </c>
      <c r="B1168">
        <v>11</v>
      </c>
      <c r="C1168" t="s">
        <v>39</v>
      </c>
      <c r="D1168" t="str">
        <f>_xlfn.XLOOKUP(C1168,'Carrier Name Rename'!A:A,'Carrier Name Rename'!B:B)</f>
        <v>Frontier Airlines Inc.</v>
      </c>
      <c r="E1168" t="s">
        <v>23</v>
      </c>
      <c r="F1168" t="s">
        <v>24</v>
      </c>
      <c r="G1168">
        <v>72</v>
      </c>
      <c r="H1168">
        <v>3</v>
      </c>
      <c r="I1168">
        <v>1.45</v>
      </c>
      <c r="J1168">
        <v>0</v>
      </c>
      <c r="K1168">
        <v>1.55</v>
      </c>
      <c r="L1168">
        <v>0</v>
      </c>
      <c r="M1168">
        <v>0</v>
      </c>
      <c r="N1168">
        <v>0</v>
      </c>
      <c r="O1168">
        <v>0</v>
      </c>
      <c r="P1168">
        <v>113</v>
      </c>
      <c r="Q1168">
        <v>46</v>
      </c>
      <c r="R1168">
        <v>0</v>
      </c>
      <c r="S1168">
        <v>67</v>
      </c>
      <c r="T1168">
        <v>0</v>
      </c>
      <c r="U1168">
        <v>0</v>
      </c>
      <c r="V1168" s="1">
        <f t="shared" si="54"/>
        <v>4.1700000000000001E-2</v>
      </c>
      <c r="W1168" s="1">
        <f t="shared" si="55"/>
        <v>0</v>
      </c>
      <c r="X1168" s="1">
        <f t="shared" si="56"/>
        <v>0</v>
      </c>
    </row>
    <row r="1169" spans="1:24" x14ac:dyDescent="0.25">
      <c r="A1169">
        <v>2016</v>
      </c>
      <c r="B1169">
        <v>11</v>
      </c>
      <c r="C1169" t="s">
        <v>21</v>
      </c>
      <c r="D1169" t="str">
        <f>_xlfn.XLOOKUP(C1169,'Carrier Name Rename'!A:A,'Carrier Name Rename'!B:B)</f>
        <v>Hawaiian Airlines Inc.</v>
      </c>
      <c r="E1169" t="s">
        <v>23</v>
      </c>
      <c r="F1169" t="s">
        <v>24</v>
      </c>
      <c r="G1169">
        <v>60</v>
      </c>
      <c r="H1169">
        <v>16</v>
      </c>
      <c r="I1169">
        <v>11.71</v>
      </c>
      <c r="J1169">
        <v>0</v>
      </c>
      <c r="K1169">
        <v>0</v>
      </c>
      <c r="L1169">
        <v>0</v>
      </c>
      <c r="M1169">
        <v>4.29</v>
      </c>
      <c r="N1169">
        <v>0</v>
      </c>
      <c r="O1169">
        <v>0</v>
      </c>
      <c r="P1169">
        <v>748</v>
      </c>
      <c r="Q1169">
        <v>526</v>
      </c>
      <c r="R1169">
        <v>0</v>
      </c>
      <c r="S1169">
        <v>0</v>
      </c>
      <c r="T1169">
        <v>0</v>
      </c>
      <c r="U1169">
        <v>222</v>
      </c>
      <c r="V1169" s="1">
        <f t="shared" si="54"/>
        <v>0.26669999999999999</v>
      </c>
      <c r="W1169" s="1">
        <f t="shared" si="55"/>
        <v>0</v>
      </c>
      <c r="X1169" s="1">
        <f t="shared" si="56"/>
        <v>0</v>
      </c>
    </row>
    <row r="1170" spans="1:24" x14ac:dyDescent="0.25">
      <c r="A1170">
        <v>2016</v>
      </c>
      <c r="B1170">
        <v>11</v>
      </c>
      <c r="C1170" t="s">
        <v>25</v>
      </c>
      <c r="D1170" t="str">
        <f>_xlfn.XLOOKUP(C1170,'Carrier Name Rename'!A:A,'Carrier Name Rename'!B:B)</f>
        <v>Spirit Airlines</v>
      </c>
      <c r="E1170" t="s">
        <v>23</v>
      </c>
      <c r="F1170" t="s">
        <v>24</v>
      </c>
      <c r="G1170">
        <v>120</v>
      </c>
      <c r="H1170">
        <v>13</v>
      </c>
      <c r="I1170">
        <v>3.14</v>
      </c>
      <c r="J1170">
        <v>0</v>
      </c>
      <c r="K1170">
        <v>7.27</v>
      </c>
      <c r="L1170">
        <v>0</v>
      </c>
      <c r="M1170">
        <v>2.59</v>
      </c>
      <c r="N1170">
        <v>0</v>
      </c>
      <c r="O1170">
        <v>0</v>
      </c>
      <c r="P1170">
        <v>498</v>
      </c>
      <c r="Q1170">
        <v>99</v>
      </c>
      <c r="R1170">
        <v>0</v>
      </c>
      <c r="S1170">
        <v>278</v>
      </c>
      <c r="T1170">
        <v>0</v>
      </c>
      <c r="U1170">
        <v>121</v>
      </c>
      <c r="V1170" s="1">
        <f t="shared" si="54"/>
        <v>0.10829999999999999</v>
      </c>
      <c r="W1170" s="1">
        <f t="shared" si="55"/>
        <v>0</v>
      </c>
      <c r="X1170" s="1">
        <f t="shared" si="56"/>
        <v>0</v>
      </c>
    </row>
    <row r="1171" spans="1:24" x14ac:dyDescent="0.25">
      <c r="A1171">
        <v>2016</v>
      </c>
      <c r="B1171">
        <v>11</v>
      </c>
      <c r="C1171" t="s">
        <v>27</v>
      </c>
      <c r="D1171" t="str">
        <f>_xlfn.XLOOKUP(C1171,'Carrier Name Rename'!A:A,'Carrier Name Rename'!B:B)</f>
        <v>SkyWest Airlines Inc.</v>
      </c>
      <c r="E1171" t="s">
        <v>23</v>
      </c>
      <c r="F1171" t="s">
        <v>24</v>
      </c>
      <c r="G1171">
        <v>1448</v>
      </c>
      <c r="H1171">
        <v>165</v>
      </c>
      <c r="I1171">
        <v>31.63</v>
      </c>
      <c r="J1171">
        <v>6.29</v>
      </c>
      <c r="K1171">
        <v>41.38</v>
      </c>
      <c r="L1171">
        <v>0</v>
      </c>
      <c r="M1171">
        <v>85.71</v>
      </c>
      <c r="N1171">
        <v>1</v>
      </c>
      <c r="O1171">
        <v>4</v>
      </c>
      <c r="P1171">
        <v>12136</v>
      </c>
      <c r="Q1171">
        <v>4607</v>
      </c>
      <c r="R1171">
        <v>845</v>
      </c>
      <c r="S1171">
        <v>1609</v>
      </c>
      <c r="T1171">
        <v>0</v>
      </c>
      <c r="U1171">
        <v>5075</v>
      </c>
      <c r="V1171" s="1">
        <f t="shared" si="54"/>
        <v>0.114</v>
      </c>
      <c r="W1171" s="1">
        <f t="shared" si="55"/>
        <v>6.9999999999999999E-4</v>
      </c>
      <c r="X1171" s="1">
        <f t="shared" si="56"/>
        <v>2.8E-3</v>
      </c>
    </row>
    <row r="1172" spans="1:24" x14ac:dyDescent="0.25">
      <c r="A1172">
        <v>2016</v>
      </c>
      <c r="B1172">
        <v>10</v>
      </c>
      <c r="C1172" t="s">
        <v>31</v>
      </c>
      <c r="D1172" t="str">
        <f>_xlfn.XLOOKUP(C1172,'Carrier Name Rename'!A:A,'Carrier Name Rename'!B:B)</f>
        <v>American Airlines Inc.</v>
      </c>
      <c r="E1172" t="s">
        <v>23</v>
      </c>
      <c r="F1172" t="s">
        <v>24</v>
      </c>
      <c r="G1172">
        <v>664</v>
      </c>
      <c r="H1172">
        <v>166</v>
      </c>
      <c r="I1172">
        <v>53.45</v>
      </c>
      <c r="J1172">
        <v>1.95</v>
      </c>
      <c r="K1172">
        <v>80.069999999999993</v>
      </c>
      <c r="L1172">
        <v>0.21</v>
      </c>
      <c r="M1172">
        <v>30.31</v>
      </c>
      <c r="N1172">
        <v>2</v>
      </c>
      <c r="O1172">
        <v>2</v>
      </c>
      <c r="P1172">
        <v>7934</v>
      </c>
      <c r="Q1172">
        <v>2738</v>
      </c>
      <c r="R1172">
        <v>97</v>
      </c>
      <c r="S1172">
        <v>3110</v>
      </c>
      <c r="T1172">
        <v>9</v>
      </c>
      <c r="U1172">
        <v>1980</v>
      </c>
      <c r="V1172" s="1">
        <f t="shared" si="54"/>
        <v>0.25</v>
      </c>
      <c r="W1172" s="1">
        <f t="shared" si="55"/>
        <v>3.0000000000000001E-3</v>
      </c>
      <c r="X1172" s="1">
        <f t="shared" si="56"/>
        <v>3.0000000000000001E-3</v>
      </c>
    </row>
    <row r="1173" spans="1:24" x14ac:dyDescent="0.25">
      <c r="A1173">
        <v>2016</v>
      </c>
      <c r="B1173">
        <v>10</v>
      </c>
      <c r="C1173" t="s">
        <v>33</v>
      </c>
      <c r="D1173" t="str">
        <f>_xlfn.XLOOKUP(C1173,'Carrier Name Rename'!A:A,'Carrier Name Rename'!B:B)</f>
        <v>Alaska Airlines Inc.</v>
      </c>
      <c r="E1173" t="s">
        <v>23</v>
      </c>
      <c r="F1173" t="s">
        <v>24</v>
      </c>
      <c r="G1173">
        <v>4569</v>
      </c>
      <c r="H1173">
        <v>569</v>
      </c>
      <c r="I1173">
        <v>89</v>
      </c>
      <c r="J1173">
        <v>12.12</v>
      </c>
      <c r="K1173">
        <v>333.41</v>
      </c>
      <c r="L1173">
        <v>2.31</v>
      </c>
      <c r="M1173">
        <v>132.16999999999999</v>
      </c>
      <c r="N1173">
        <v>33</v>
      </c>
      <c r="O1173">
        <v>2</v>
      </c>
      <c r="P1173">
        <v>26679</v>
      </c>
      <c r="Q1173">
        <v>4755</v>
      </c>
      <c r="R1173">
        <v>837</v>
      </c>
      <c r="S1173">
        <v>12462</v>
      </c>
      <c r="T1173">
        <v>78</v>
      </c>
      <c r="U1173">
        <v>8547</v>
      </c>
      <c r="V1173" s="1">
        <f t="shared" si="54"/>
        <v>0.1245</v>
      </c>
      <c r="W1173" s="1">
        <f t="shared" si="55"/>
        <v>7.1999999999999998E-3</v>
      </c>
      <c r="X1173" s="1">
        <f t="shared" si="56"/>
        <v>4.0000000000000002E-4</v>
      </c>
    </row>
    <row r="1174" spans="1:24" x14ac:dyDescent="0.25">
      <c r="A1174">
        <v>2016</v>
      </c>
      <c r="B1174">
        <v>10</v>
      </c>
      <c r="C1174" t="s">
        <v>35</v>
      </c>
      <c r="D1174" t="str">
        <f>_xlfn.XLOOKUP(C1174,'Carrier Name Rename'!A:A,'Carrier Name Rename'!B:B)</f>
        <v>JetBlue Airways</v>
      </c>
      <c r="E1174" t="s">
        <v>23</v>
      </c>
      <c r="F1174" t="s">
        <v>24</v>
      </c>
      <c r="G1174">
        <v>156</v>
      </c>
      <c r="H1174">
        <v>52</v>
      </c>
      <c r="I1174">
        <v>11.26</v>
      </c>
      <c r="J1174">
        <v>0.36</v>
      </c>
      <c r="K1174">
        <v>25.17</v>
      </c>
      <c r="L1174">
        <v>0</v>
      </c>
      <c r="M1174">
        <v>15.21</v>
      </c>
      <c r="N1174">
        <v>0</v>
      </c>
      <c r="O1174">
        <v>0</v>
      </c>
      <c r="P1174">
        <v>2532</v>
      </c>
      <c r="Q1174">
        <v>740</v>
      </c>
      <c r="R1174">
        <v>19</v>
      </c>
      <c r="S1174">
        <v>793</v>
      </c>
      <c r="T1174">
        <v>0</v>
      </c>
      <c r="U1174">
        <v>980</v>
      </c>
      <c r="V1174" s="1">
        <f t="shared" si="54"/>
        <v>0.33329999999999999</v>
      </c>
      <c r="W1174" s="1">
        <f t="shared" si="55"/>
        <v>0</v>
      </c>
      <c r="X1174" s="1">
        <f t="shared" si="56"/>
        <v>0</v>
      </c>
    </row>
    <row r="1175" spans="1:24" x14ac:dyDescent="0.25">
      <c r="A1175">
        <v>2016</v>
      </c>
      <c r="B1175">
        <v>10</v>
      </c>
      <c r="C1175" t="s">
        <v>37</v>
      </c>
      <c r="D1175" t="str">
        <f>_xlfn.XLOOKUP(C1175,'Carrier Name Rename'!A:A,'Carrier Name Rename'!B:B)</f>
        <v>Delta Air Lines Inc.</v>
      </c>
      <c r="E1175" t="s">
        <v>23</v>
      </c>
      <c r="F1175" t="s">
        <v>24</v>
      </c>
      <c r="G1175">
        <v>1644</v>
      </c>
      <c r="H1175">
        <v>190</v>
      </c>
      <c r="I1175">
        <v>55.12</v>
      </c>
      <c r="J1175">
        <v>3.14</v>
      </c>
      <c r="K1175">
        <v>95.6</v>
      </c>
      <c r="L1175">
        <v>0</v>
      </c>
      <c r="M1175">
        <v>36.15</v>
      </c>
      <c r="N1175">
        <v>0</v>
      </c>
      <c r="O1175">
        <v>0</v>
      </c>
      <c r="P1175">
        <v>9545</v>
      </c>
      <c r="Q1175">
        <v>4310</v>
      </c>
      <c r="R1175">
        <v>216</v>
      </c>
      <c r="S1175">
        <v>3315</v>
      </c>
      <c r="T1175">
        <v>0</v>
      </c>
      <c r="U1175">
        <v>1704</v>
      </c>
      <c r="V1175" s="1">
        <f t="shared" si="54"/>
        <v>0.11559999999999999</v>
      </c>
      <c r="W1175" s="1">
        <f t="shared" si="55"/>
        <v>0</v>
      </c>
      <c r="X1175" s="1">
        <f t="shared" si="56"/>
        <v>0</v>
      </c>
    </row>
    <row r="1176" spans="1:24" x14ac:dyDescent="0.25">
      <c r="A1176">
        <v>2016</v>
      </c>
      <c r="B1176">
        <v>10</v>
      </c>
      <c r="C1176" t="s">
        <v>39</v>
      </c>
      <c r="D1176" t="str">
        <f>_xlfn.XLOOKUP(C1176,'Carrier Name Rename'!A:A,'Carrier Name Rename'!B:B)</f>
        <v>Frontier Airlines Inc.</v>
      </c>
      <c r="E1176" t="s">
        <v>23</v>
      </c>
      <c r="F1176" t="s">
        <v>24</v>
      </c>
      <c r="G1176">
        <v>109</v>
      </c>
      <c r="H1176">
        <v>34</v>
      </c>
      <c r="I1176">
        <v>11.61</v>
      </c>
      <c r="J1176">
        <v>0</v>
      </c>
      <c r="K1176">
        <v>18.100000000000001</v>
      </c>
      <c r="L1176">
        <v>0</v>
      </c>
      <c r="M1176">
        <v>4.29</v>
      </c>
      <c r="N1176">
        <v>0</v>
      </c>
      <c r="O1176">
        <v>0</v>
      </c>
      <c r="P1176">
        <v>1507</v>
      </c>
      <c r="Q1176">
        <v>438</v>
      </c>
      <c r="R1176">
        <v>0</v>
      </c>
      <c r="S1176">
        <v>599</v>
      </c>
      <c r="T1176">
        <v>0</v>
      </c>
      <c r="U1176">
        <v>470</v>
      </c>
      <c r="V1176" s="1">
        <f t="shared" si="54"/>
        <v>0.31190000000000001</v>
      </c>
      <c r="W1176" s="1">
        <f t="shared" si="55"/>
        <v>0</v>
      </c>
      <c r="X1176" s="1">
        <f t="shared" si="56"/>
        <v>0</v>
      </c>
    </row>
    <row r="1177" spans="1:24" x14ac:dyDescent="0.25">
      <c r="A1177">
        <v>2016</v>
      </c>
      <c r="B1177">
        <v>10</v>
      </c>
      <c r="C1177" t="s">
        <v>21</v>
      </c>
      <c r="D1177" t="str">
        <f>_xlfn.XLOOKUP(C1177,'Carrier Name Rename'!A:A,'Carrier Name Rename'!B:B)</f>
        <v>Hawaiian Airlines Inc.</v>
      </c>
      <c r="E1177" t="s">
        <v>23</v>
      </c>
      <c r="F1177" t="s">
        <v>24</v>
      </c>
      <c r="G1177">
        <v>62</v>
      </c>
      <c r="H1177">
        <v>13</v>
      </c>
      <c r="I1177">
        <v>8.8699999999999992</v>
      </c>
      <c r="J1177">
        <v>0</v>
      </c>
      <c r="K1177">
        <v>0.64</v>
      </c>
      <c r="L1177">
        <v>0</v>
      </c>
      <c r="M1177">
        <v>3.49</v>
      </c>
      <c r="N1177">
        <v>0</v>
      </c>
      <c r="O1177">
        <v>0</v>
      </c>
      <c r="P1177">
        <v>340</v>
      </c>
      <c r="Q1177">
        <v>232</v>
      </c>
      <c r="R1177">
        <v>0</v>
      </c>
      <c r="S1177">
        <v>16</v>
      </c>
      <c r="T1177">
        <v>0</v>
      </c>
      <c r="U1177">
        <v>92</v>
      </c>
      <c r="V1177" s="1">
        <f t="shared" si="54"/>
        <v>0.2097</v>
      </c>
      <c r="W1177" s="1">
        <f t="shared" si="55"/>
        <v>0</v>
      </c>
      <c r="X1177" s="1">
        <f t="shared" si="56"/>
        <v>0</v>
      </c>
    </row>
    <row r="1178" spans="1:24" x14ac:dyDescent="0.25">
      <c r="A1178">
        <v>2016</v>
      </c>
      <c r="B1178">
        <v>10</v>
      </c>
      <c r="C1178" t="s">
        <v>25</v>
      </c>
      <c r="D1178" t="str">
        <f>_xlfn.XLOOKUP(C1178,'Carrier Name Rename'!A:A,'Carrier Name Rename'!B:B)</f>
        <v>Spirit Airlines</v>
      </c>
      <c r="E1178" t="s">
        <v>23</v>
      </c>
      <c r="F1178" t="s">
        <v>24</v>
      </c>
      <c r="G1178">
        <v>124</v>
      </c>
      <c r="H1178">
        <v>24</v>
      </c>
      <c r="I1178">
        <v>2.11</v>
      </c>
      <c r="J1178">
        <v>0</v>
      </c>
      <c r="K1178">
        <v>19.89</v>
      </c>
      <c r="L1178">
        <v>0</v>
      </c>
      <c r="M1178">
        <v>2</v>
      </c>
      <c r="N1178">
        <v>0</v>
      </c>
      <c r="O1178">
        <v>0</v>
      </c>
      <c r="P1178">
        <v>1436</v>
      </c>
      <c r="Q1178">
        <v>267</v>
      </c>
      <c r="R1178">
        <v>0</v>
      </c>
      <c r="S1178">
        <v>1072</v>
      </c>
      <c r="T1178">
        <v>0</v>
      </c>
      <c r="U1178">
        <v>97</v>
      </c>
      <c r="V1178" s="1">
        <f t="shared" si="54"/>
        <v>0.19350000000000001</v>
      </c>
      <c r="W1178" s="1">
        <f t="shared" si="55"/>
        <v>0</v>
      </c>
      <c r="X1178" s="1">
        <f t="shared" si="56"/>
        <v>0</v>
      </c>
    </row>
    <row r="1179" spans="1:24" x14ac:dyDescent="0.25">
      <c r="A1179">
        <v>2016</v>
      </c>
      <c r="B1179">
        <v>10</v>
      </c>
      <c r="C1179" t="s">
        <v>27</v>
      </c>
      <c r="D1179" t="str">
        <f>_xlfn.XLOOKUP(C1179,'Carrier Name Rename'!A:A,'Carrier Name Rename'!B:B)</f>
        <v>SkyWest Airlines Inc.</v>
      </c>
      <c r="E1179" t="s">
        <v>23</v>
      </c>
      <c r="F1179" t="s">
        <v>24</v>
      </c>
      <c r="G1179">
        <v>1298</v>
      </c>
      <c r="H1179">
        <v>224</v>
      </c>
      <c r="I1179">
        <v>35.450000000000003</v>
      </c>
      <c r="J1179">
        <v>9.18</v>
      </c>
      <c r="K1179">
        <v>63.61</v>
      </c>
      <c r="L1179">
        <v>0</v>
      </c>
      <c r="M1179">
        <v>115.76</v>
      </c>
      <c r="N1179">
        <v>5</v>
      </c>
      <c r="O1179">
        <v>2</v>
      </c>
      <c r="P1179">
        <v>14658</v>
      </c>
      <c r="Q1179">
        <v>4363</v>
      </c>
      <c r="R1179">
        <v>284</v>
      </c>
      <c r="S1179">
        <v>2213</v>
      </c>
      <c r="T1179">
        <v>0</v>
      </c>
      <c r="U1179">
        <v>7798</v>
      </c>
      <c r="V1179" s="1">
        <f t="shared" si="54"/>
        <v>0.1726</v>
      </c>
      <c r="W1179" s="1">
        <f t="shared" si="55"/>
        <v>3.8999999999999998E-3</v>
      </c>
      <c r="X1179" s="1">
        <f t="shared" si="56"/>
        <v>1.5E-3</v>
      </c>
    </row>
    <row r="1180" spans="1:24" x14ac:dyDescent="0.25">
      <c r="A1180">
        <v>2016</v>
      </c>
      <c r="B1180">
        <v>10</v>
      </c>
      <c r="C1180" t="s">
        <v>41</v>
      </c>
      <c r="D1180" t="str">
        <f>_xlfn.XLOOKUP(C1180,'Carrier Name Rename'!A:A,'Carrier Name Rename'!B:B)</f>
        <v>United Air Lines Inc.</v>
      </c>
      <c r="E1180" t="s">
        <v>23</v>
      </c>
      <c r="F1180" t="s">
        <v>24</v>
      </c>
      <c r="G1180">
        <v>814</v>
      </c>
      <c r="H1180">
        <v>161</v>
      </c>
      <c r="I1180">
        <v>56.35</v>
      </c>
      <c r="J1180">
        <v>0</v>
      </c>
      <c r="K1180">
        <v>53.91</v>
      </c>
      <c r="L1180">
        <v>0</v>
      </c>
      <c r="M1180">
        <v>50.74</v>
      </c>
      <c r="N1180">
        <v>2</v>
      </c>
      <c r="O1180">
        <v>1</v>
      </c>
      <c r="P1180">
        <v>10185</v>
      </c>
      <c r="Q1180">
        <v>3189</v>
      </c>
      <c r="R1180">
        <v>0</v>
      </c>
      <c r="S1180">
        <v>2704</v>
      </c>
      <c r="T1180">
        <v>0</v>
      </c>
      <c r="U1180">
        <v>4292</v>
      </c>
      <c r="V1180" s="1">
        <f t="shared" si="54"/>
        <v>0.1978</v>
      </c>
      <c r="W1180" s="1">
        <f t="shared" si="55"/>
        <v>2.5000000000000001E-3</v>
      </c>
      <c r="X1180" s="1">
        <f t="shared" si="56"/>
        <v>1.1999999999999999E-3</v>
      </c>
    </row>
    <row r="1181" spans="1:24" x14ac:dyDescent="0.25">
      <c r="A1181">
        <v>2016</v>
      </c>
      <c r="B1181">
        <v>10</v>
      </c>
      <c r="C1181" t="s">
        <v>51</v>
      </c>
      <c r="D1181" t="str">
        <f>_xlfn.XLOOKUP(C1181,'Carrier Name Rename'!A:A,'Carrier Name Rename'!B:B)</f>
        <v>Virgin America</v>
      </c>
      <c r="E1181" t="s">
        <v>23</v>
      </c>
      <c r="F1181" t="s">
        <v>24</v>
      </c>
      <c r="G1181">
        <v>223</v>
      </c>
      <c r="H1181">
        <v>44</v>
      </c>
      <c r="I1181">
        <v>7.18</v>
      </c>
      <c r="J1181">
        <v>1.95</v>
      </c>
      <c r="K1181">
        <v>8.65</v>
      </c>
      <c r="L1181">
        <v>0</v>
      </c>
      <c r="M1181">
        <v>26.22</v>
      </c>
      <c r="N1181">
        <v>4</v>
      </c>
      <c r="O1181">
        <v>0</v>
      </c>
      <c r="P1181">
        <v>2746</v>
      </c>
      <c r="Q1181">
        <v>290</v>
      </c>
      <c r="R1181">
        <v>45</v>
      </c>
      <c r="S1181">
        <v>454</v>
      </c>
      <c r="T1181">
        <v>0</v>
      </c>
      <c r="U1181">
        <v>1957</v>
      </c>
      <c r="V1181" s="1">
        <f t="shared" si="54"/>
        <v>0.1973</v>
      </c>
      <c r="W1181" s="1">
        <f t="shared" si="55"/>
        <v>1.7899999999999999E-2</v>
      </c>
      <c r="X1181" s="1">
        <f t="shared" si="56"/>
        <v>0</v>
      </c>
    </row>
    <row r="1182" spans="1:24" x14ac:dyDescent="0.25">
      <c r="A1182">
        <v>2016</v>
      </c>
      <c r="B1182">
        <v>10</v>
      </c>
      <c r="C1182" t="s">
        <v>43</v>
      </c>
      <c r="D1182" t="str">
        <f>_xlfn.XLOOKUP(C1182,'Carrier Name Rename'!A:A,'Carrier Name Rename'!B:B)</f>
        <v>Southwest Airlines Co.</v>
      </c>
      <c r="E1182" t="s">
        <v>23</v>
      </c>
      <c r="F1182" t="s">
        <v>24</v>
      </c>
      <c r="G1182">
        <v>1217</v>
      </c>
      <c r="H1182">
        <v>254</v>
      </c>
      <c r="I1182">
        <v>40.590000000000003</v>
      </c>
      <c r="J1182">
        <v>15.86</v>
      </c>
      <c r="K1182">
        <v>113.57</v>
      </c>
      <c r="L1182">
        <v>0</v>
      </c>
      <c r="M1182">
        <v>83.98</v>
      </c>
      <c r="N1182">
        <v>0</v>
      </c>
      <c r="O1182">
        <v>0</v>
      </c>
      <c r="P1182">
        <v>10273</v>
      </c>
      <c r="Q1182">
        <v>1858</v>
      </c>
      <c r="R1182">
        <v>1021</v>
      </c>
      <c r="S1182">
        <v>3619</v>
      </c>
      <c r="T1182">
        <v>0</v>
      </c>
      <c r="U1182">
        <v>3775</v>
      </c>
      <c r="V1182" s="1">
        <f t="shared" si="54"/>
        <v>0.2087</v>
      </c>
      <c r="W1182" s="1">
        <f t="shared" si="55"/>
        <v>0</v>
      </c>
      <c r="X1182" s="1">
        <f t="shared" si="56"/>
        <v>0</v>
      </c>
    </row>
    <row r="1183" spans="1:24" x14ac:dyDescent="0.25">
      <c r="A1183">
        <v>2016</v>
      </c>
      <c r="B1183">
        <v>9</v>
      </c>
      <c r="C1183" t="s">
        <v>31</v>
      </c>
      <c r="D1183" t="str">
        <f>_xlfn.XLOOKUP(C1183,'Carrier Name Rename'!A:A,'Carrier Name Rename'!B:B)</f>
        <v>American Airlines Inc.</v>
      </c>
      <c r="E1183" t="s">
        <v>23</v>
      </c>
      <c r="F1183" t="s">
        <v>24</v>
      </c>
      <c r="G1183">
        <v>756</v>
      </c>
      <c r="H1183">
        <v>135</v>
      </c>
      <c r="I1183">
        <v>45.76</v>
      </c>
      <c r="J1183">
        <v>3.87</v>
      </c>
      <c r="K1183">
        <v>47.52</v>
      </c>
      <c r="L1183">
        <v>0</v>
      </c>
      <c r="M1183">
        <v>37.840000000000003</v>
      </c>
      <c r="N1183">
        <v>0</v>
      </c>
      <c r="O1183">
        <v>1</v>
      </c>
      <c r="P1183">
        <v>7007</v>
      </c>
      <c r="Q1183">
        <v>2477</v>
      </c>
      <c r="R1183">
        <v>213</v>
      </c>
      <c r="S1183">
        <v>2002</v>
      </c>
      <c r="T1183">
        <v>0</v>
      </c>
      <c r="U1183">
        <v>2315</v>
      </c>
      <c r="V1183" s="1">
        <f t="shared" si="54"/>
        <v>0.17860000000000001</v>
      </c>
      <c r="W1183" s="1">
        <f t="shared" si="55"/>
        <v>0</v>
      </c>
      <c r="X1183" s="1">
        <f t="shared" si="56"/>
        <v>1.2999999999999999E-3</v>
      </c>
    </row>
    <row r="1184" spans="1:24" x14ac:dyDescent="0.25">
      <c r="A1184">
        <v>2016</v>
      </c>
      <c r="B1184">
        <v>9</v>
      </c>
      <c r="C1184" t="s">
        <v>33</v>
      </c>
      <c r="D1184" t="str">
        <f>_xlfn.XLOOKUP(C1184,'Carrier Name Rename'!A:A,'Carrier Name Rename'!B:B)</f>
        <v>Alaska Airlines Inc.</v>
      </c>
      <c r="E1184" t="s">
        <v>23</v>
      </c>
      <c r="F1184" t="s">
        <v>24</v>
      </c>
      <c r="G1184">
        <v>4535</v>
      </c>
      <c r="H1184">
        <v>462</v>
      </c>
      <c r="I1184">
        <v>94.8</v>
      </c>
      <c r="J1184">
        <v>10.09</v>
      </c>
      <c r="K1184">
        <v>237.49</v>
      </c>
      <c r="L1184">
        <v>2.8</v>
      </c>
      <c r="M1184">
        <v>116.82</v>
      </c>
      <c r="N1184">
        <v>7</v>
      </c>
      <c r="O1184">
        <v>3</v>
      </c>
      <c r="P1184">
        <v>20528</v>
      </c>
      <c r="Q1184">
        <v>6147</v>
      </c>
      <c r="R1184">
        <v>489</v>
      </c>
      <c r="S1184">
        <v>6424</v>
      </c>
      <c r="T1184">
        <v>80</v>
      </c>
      <c r="U1184">
        <v>7388</v>
      </c>
      <c r="V1184" s="1">
        <f t="shared" si="54"/>
        <v>0.1019</v>
      </c>
      <c r="W1184" s="1">
        <f t="shared" si="55"/>
        <v>1.5E-3</v>
      </c>
      <c r="X1184" s="1">
        <f t="shared" si="56"/>
        <v>6.9999999999999999E-4</v>
      </c>
    </row>
    <row r="1185" spans="1:24" x14ac:dyDescent="0.25">
      <c r="A1185">
        <v>2016</v>
      </c>
      <c r="B1185">
        <v>9</v>
      </c>
      <c r="C1185" t="s">
        <v>35</v>
      </c>
      <c r="D1185" t="str">
        <f>_xlfn.XLOOKUP(C1185,'Carrier Name Rename'!A:A,'Carrier Name Rename'!B:B)</f>
        <v>JetBlue Airways</v>
      </c>
      <c r="E1185" t="s">
        <v>23</v>
      </c>
      <c r="F1185" t="s">
        <v>24</v>
      </c>
      <c r="G1185">
        <v>182</v>
      </c>
      <c r="H1185">
        <v>39</v>
      </c>
      <c r="I1185">
        <v>13.57</v>
      </c>
      <c r="J1185">
        <v>0</v>
      </c>
      <c r="K1185">
        <v>16.149999999999999</v>
      </c>
      <c r="L1185">
        <v>0</v>
      </c>
      <c r="M1185">
        <v>9.2799999999999994</v>
      </c>
      <c r="N1185">
        <v>1</v>
      </c>
      <c r="O1185">
        <v>0</v>
      </c>
      <c r="P1185">
        <v>1821</v>
      </c>
      <c r="Q1185">
        <v>861</v>
      </c>
      <c r="R1185">
        <v>0</v>
      </c>
      <c r="S1185">
        <v>550</v>
      </c>
      <c r="T1185">
        <v>0</v>
      </c>
      <c r="U1185">
        <v>410</v>
      </c>
      <c r="V1185" s="1">
        <f t="shared" si="54"/>
        <v>0.21429999999999999</v>
      </c>
      <c r="W1185" s="1">
        <f t="shared" si="55"/>
        <v>5.4999999999999997E-3</v>
      </c>
      <c r="X1185" s="1">
        <f t="shared" si="56"/>
        <v>0</v>
      </c>
    </row>
    <row r="1186" spans="1:24" x14ac:dyDescent="0.25">
      <c r="A1186">
        <v>2016</v>
      </c>
      <c r="B1186">
        <v>9</v>
      </c>
      <c r="C1186" t="s">
        <v>37</v>
      </c>
      <c r="D1186" t="str">
        <f>_xlfn.XLOOKUP(C1186,'Carrier Name Rename'!A:A,'Carrier Name Rename'!B:B)</f>
        <v>Delta Air Lines Inc.</v>
      </c>
      <c r="E1186" t="s">
        <v>23</v>
      </c>
      <c r="F1186" t="s">
        <v>24</v>
      </c>
      <c r="G1186">
        <v>1678</v>
      </c>
      <c r="H1186">
        <v>199</v>
      </c>
      <c r="I1186">
        <v>72.150000000000006</v>
      </c>
      <c r="J1186">
        <v>5.98</v>
      </c>
      <c r="K1186">
        <v>74.16</v>
      </c>
      <c r="L1186">
        <v>0</v>
      </c>
      <c r="M1186">
        <v>46.71</v>
      </c>
      <c r="N1186">
        <v>0</v>
      </c>
      <c r="O1186">
        <v>0</v>
      </c>
      <c r="P1186">
        <v>10150</v>
      </c>
      <c r="Q1186">
        <v>4097</v>
      </c>
      <c r="R1186">
        <v>1325</v>
      </c>
      <c r="S1186">
        <v>2178</v>
      </c>
      <c r="T1186">
        <v>0</v>
      </c>
      <c r="U1186">
        <v>2550</v>
      </c>
      <c r="V1186" s="1">
        <f t="shared" si="54"/>
        <v>0.1186</v>
      </c>
      <c r="W1186" s="1">
        <f t="shared" si="55"/>
        <v>0</v>
      </c>
      <c r="X1186" s="1">
        <f t="shared" si="56"/>
        <v>0</v>
      </c>
    </row>
    <row r="1187" spans="1:24" x14ac:dyDescent="0.25">
      <c r="A1187">
        <v>2016</v>
      </c>
      <c r="B1187">
        <v>9</v>
      </c>
      <c r="C1187" t="s">
        <v>39</v>
      </c>
      <c r="D1187" t="str">
        <f>_xlfn.XLOOKUP(C1187,'Carrier Name Rename'!A:A,'Carrier Name Rename'!B:B)</f>
        <v>Frontier Airlines Inc.</v>
      </c>
      <c r="E1187" t="s">
        <v>23</v>
      </c>
      <c r="F1187" t="s">
        <v>24</v>
      </c>
      <c r="G1187">
        <v>126</v>
      </c>
      <c r="H1187">
        <v>33</v>
      </c>
      <c r="I1187">
        <v>13.15</v>
      </c>
      <c r="J1187">
        <v>0</v>
      </c>
      <c r="K1187">
        <v>13.66</v>
      </c>
      <c r="L1187">
        <v>0</v>
      </c>
      <c r="M1187">
        <v>6.19</v>
      </c>
      <c r="N1187">
        <v>1</v>
      </c>
      <c r="O1187">
        <v>0</v>
      </c>
      <c r="P1187">
        <v>1601</v>
      </c>
      <c r="Q1187">
        <v>714</v>
      </c>
      <c r="R1187">
        <v>0</v>
      </c>
      <c r="S1187">
        <v>400</v>
      </c>
      <c r="T1187">
        <v>0</v>
      </c>
      <c r="U1187">
        <v>487</v>
      </c>
      <c r="V1187" s="1">
        <f t="shared" si="54"/>
        <v>0.26190000000000002</v>
      </c>
      <c r="W1187" s="1">
        <f t="shared" si="55"/>
        <v>7.9000000000000008E-3</v>
      </c>
      <c r="X1187" s="1">
        <f t="shared" si="56"/>
        <v>0</v>
      </c>
    </row>
    <row r="1188" spans="1:24" x14ac:dyDescent="0.25">
      <c r="A1188">
        <v>2016</v>
      </c>
      <c r="B1188">
        <v>9</v>
      </c>
      <c r="C1188" t="s">
        <v>21</v>
      </c>
      <c r="D1188" t="str">
        <f>_xlfn.XLOOKUP(C1188,'Carrier Name Rename'!A:A,'Carrier Name Rename'!B:B)</f>
        <v>Hawaiian Airlines Inc.</v>
      </c>
      <c r="E1188" t="s">
        <v>23</v>
      </c>
      <c r="F1188" t="s">
        <v>24</v>
      </c>
      <c r="G1188">
        <v>60</v>
      </c>
      <c r="H1188">
        <v>13</v>
      </c>
      <c r="I1188">
        <v>9.4700000000000006</v>
      </c>
      <c r="J1188">
        <v>0</v>
      </c>
      <c r="K1188">
        <v>0.81</v>
      </c>
      <c r="L1188">
        <v>1</v>
      </c>
      <c r="M1188">
        <v>1.72</v>
      </c>
      <c r="N1188">
        <v>0</v>
      </c>
      <c r="O1188">
        <v>0</v>
      </c>
      <c r="P1188">
        <v>768</v>
      </c>
      <c r="Q1188">
        <v>675</v>
      </c>
      <c r="R1188">
        <v>0</v>
      </c>
      <c r="S1188">
        <v>13</v>
      </c>
      <c r="T1188">
        <v>25</v>
      </c>
      <c r="U1188">
        <v>55</v>
      </c>
      <c r="V1188" s="1">
        <f t="shared" si="54"/>
        <v>0.2167</v>
      </c>
      <c r="W1188" s="1">
        <f t="shared" si="55"/>
        <v>0</v>
      </c>
      <c r="X1188" s="1">
        <f t="shared" si="56"/>
        <v>0</v>
      </c>
    </row>
    <row r="1189" spans="1:24" x14ac:dyDescent="0.25">
      <c r="A1189">
        <v>2016</v>
      </c>
      <c r="B1189">
        <v>9</v>
      </c>
      <c r="C1189" t="s">
        <v>25</v>
      </c>
      <c r="D1189" t="str">
        <f>_xlfn.XLOOKUP(C1189,'Carrier Name Rename'!A:A,'Carrier Name Rename'!B:B)</f>
        <v>Spirit Airlines</v>
      </c>
      <c r="E1189" t="s">
        <v>23</v>
      </c>
      <c r="F1189" t="s">
        <v>24</v>
      </c>
      <c r="G1189">
        <v>120</v>
      </c>
      <c r="H1189">
        <v>19</v>
      </c>
      <c r="I1189">
        <v>7.0000000000000007E-2</v>
      </c>
      <c r="J1189">
        <v>0</v>
      </c>
      <c r="K1189">
        <v>17.22</v>
      </c>
      <c r="L1189">
        <v>0</v>
      </c>
      <c r="M1189">
        <v>1.71</v>
      </c>
      <c r="N1189">
        <v>0</v>
      </c>
      <c r="O1189">
        <v>0</v>
      </c>
      <c r="P1189">
        <v>1306</v>
      </c>
      <c r="Q1189">
        <v>7</v>
      </c>
      <c r="R1189">
        <v>0</v>
      </c>
      <c r="S1189">
        <v>949</v>
      </c>
      <c r="T1189">
        <v>0</v>
      </c>
      <c r="U1189">
        <v>350</v>
      </c>
      <c r="V1189" s="1">
        <f t="shared" si="54"/>
        <v>0.1583</v>
      </c>
      <c r="W1189" s="1">
        <f t="shared" si="55"/>
        <v>0</v>
      </c>
      <c r="X1189" s="1">
        <f t="shared" si="56"/>
        <v>0</v>
      </c>
    </row>
    <row r="1190" spans="1:24" x14ac:dyDescent="0.25">
      <c r="A1190">
        <v>2016</v>
      </c>
      <c r="B1190">
        <v>9</v>
      </c>
      <c r="C1190" t="s">
        <v>27</v>
      </c>
      <c r="D1190" t="str">
        <f>_xlfn.XLOOKUP(C1190,'Carrier Name Rename'!A:A,'Carrier Name Rename'!B:B)</f>
        <v>SkyWest Airlines Inc.</v>
      </c>
      <c r="E1190" t="s">
        <v>23</v>
      </c>
      <c r="F1190" t="s">
        <v>24</v>
      </c>
      <c r="G1190">
        <v>1217</v>
      </c>
      <c r="H1190">
        <v>131</v>
      </c>
      <c r="I1190">
        <v>23.34</v>
      </c>
      <c r="J1190">
        <v>5.12</v>
      </c>
      <c r="K1190">
        <v>56.74</v>
      </c>
      <c r="L1190">
        <v>0</v>
      </c>
      <c r="M1190">
        <v>45.8</v>
      </c>
      <c r="N1190">
        <v>0</v>
      </c>
      <c r="O1190">
        <v>0</v>
      </c>
      <c r="P1190">
        <v>7572</v>
      </c>
      <c r="Q1190">
        <v>2701</v>
      </c>
      <c r="R1190">
        <v>675</v>
      </c>
      <c r="S1190">
        <v>1586</v>
      </c>
      <c r="T1190">
        <v>0</v>
      </c>
      <c r="U1190">
        <v>2610</v>
      </c>
      <c r="V1190" s="1">
        <f t="shared" si="54"/>
        <v>0.1076</v>
      </c>
      <c r="W1190" s="1">
        <f t="shared" si="55"/>
        <v>0</v>
      </c>
      <c r="X1190" s="1">
        <f t="shared" si="56"/>
        <v>0</v>
      </c>
    </row>
    <row r="1191" spans="1:24" x14ac:dyDescent="0.25">
      <c r="A1191">
        <v>2016</v>
      </c>
      <c r="B1191">
        <v>9</v>
      </c>
      <c r="C1191" t="s">
        <v>41</v>
      </c>
      <c r="D1191" t="str">
        <f>_xlfn.XLOOKUP(C1191,'Carrier Name Rename'!A:A,'Carrier Name Rename'!B:B)</f>
        <v>United Air Lines Inc.</v>
      </c>
      <c r="E1191" t="s">
        <v>23</v>
      </c>
      <c r="F1191" t="s">
        <v>24</v>
      </c>
      <c r="G1191">
        <v>920</v>
      </c>
      <c r="H1191">
        <v>129</v>
      </c>
      <c r="I1191">
        <v>49.13</v>
      </c>
      <c r="J1191">
        <v>5.0999999999999996</v>
      </c>
      <c r="K1191">
        <v>35.29</v>
      </c>
      <c r="L1191">
        <v>0</v>
      </c>
      <c r="M1191">
        <v>39.479999999999997</v>
      </c>
      <c r="N1191">
        <v>1</v>
      </c>
      <c r="O1191">
        <v>0</v>
      </c>
      <c r="P1191">
        <v>7172</v>
      </c>
      <c r="Q1191">
        <v>3013</v>
      </c>
      <c r="R1191">
        <v>396</v>
      </c>
      <c r="S1191">
        <v>1098</v>
      </c>
      <c r="T1191">
        <v>0</v>
      </c>
      <c r="U1191">
        <v>2665</v>
      </c>
      <c r="V1191" s="1">
        <f t="shared" si="54"/>
        <v>0.14019999999999999</v>
      </c>
      <c r="W1191" s="1">
        <f t="shared" si="55"/>
        <v>1.1000000000000001E-3</v>
      </c>
      <c r="X1191" s="1">
        <f t="shared" si="56"/>
        <v>0</v>
      </c>
    </row>
    <row r="1192" spans="1:24" x14ac:dyDescent="0.25">
      <c r="A1192">
        <v>2016</v>
      </c>
      <c r="B1192">
        <v>9</v>
      </c>
      <c r="C1192" t="s">
        <v>51</v>
      </c>
      <c r="D1192" t="str">
        <f>_xlfn.XLOOKUP(C1192,'Carrier Name Rename'!A:A,'Carrier Name Rename'!B:B)</f>
        <v>Virgin America</v>
      </c>
      <c r="E1192" t="s">
        <v>23</v>
      </c>
      <c r="F1192" t="s">
        <v>24</v>
      </c>
      <c r="G1192">
        <v>219</v>
      </c>
      <c r="H1192">
        <v>32</v>
      </c>
      <c r="I1192">
        <v>5.37</v>
      </c>
      <c r="J1192">
        <v>5.84</v>
      </c>
      <c r="K1192">
        <v>5.18</v>
      </c>
      <c r="L1192">
        <v>0</v>
      </c>
      <c r="M1192">
        <v>15.6</v>
      </c>
      <c r="N1192">
        <v>2</v>
      </c>
      <c r="O1192">
        <v>0</v>
      </c>
      <c r="P1192">
        <v>1323</v>
      </c>
      <c r="Q1192">
        <v>161</v>
      </c>
      <c r="R1192">
        <v>166</v>
      </c>
      <c r="S1192">
        <v>194</v>
      </c>
      <c r="T1192">
        <v>0</v>
      </c>
      <c r="U1192">
        <v>802</v>
      </c>
      <c r="V1192" s="1">
        <f t="shared" si="54"/>
        <v>0.14610000000000001</v>
      </c>
      <c r="W1192" s="1">
        <f t="shared" si="55"/>
        <v>9.1000000000000004E-3</v>
      </c>
      <c r="X1192" s="1">
        <f t="shared" si="56"/>
        <v>0</v>
      </c>
    </row>
    <row r="1193" spans="1:24" x14ac:dyDescent="0.25">
      <c r="A1193">
        <v>2016</v>
      </c>
      <c r="B1193">
        <v>9</v>
      </c>
      <c r="C1193" t="s">
        <v>43</v>
      </c>
      <c r="D1193" t="str">
        <f>_xlfn.XLOOKUP(C1193,'Carrier Name Rename'!A:A,'Carrier Name Rename'!B:B)</f>
        <v>Southwest Airlines Co.</v>
      </c>
      <c r="E1193" t="s">
        <v>23</v>
      </c>
      <c r="F1193" t="s">
        <v>24</v>
      </c>
      <c r="G1193">
        <v>1189</v>
      </c>
      <c r="H1193">
        <v>230</v>
      </c>
      <c r="I1193">
        <v>53.66</v>
      </c>
      <c r="J1193">
        <v>2.84</v>
      </c>
      <c r="K1193">
        <v>87.38</v>
      </c>
      <c r="L1193">
        <v>0</v>
      </c>
      <c r="M1193">
        <v>86.12</v>
      </c>
      <c r="N1193">
        <v>1</v>
      </c>
      <c r="O1193">
        <v>1</v>
      </c>
      <c r="P1193">
        <v>9468</v>
      </c>
      <c r="Q1193">
        <v>2951</v>
      </c>
      <c r="R1193">
        <v>139</v>
      </c>
      <c r="S1193">
        <v>2367</v>
      </c>
      <c r="T1193">
        <v>0</v>
      </c>
      <c r="U1193">
        <v>4011</v>
      </c>
      <c r="V1193" s="1">
        <f t="shared" si="54"/>
        <v>0.19339999999999999</v>
      </c>
      <c r="W1193" s="1">
        <f t="shared" si="55"/>
        <v>8.0000000000000004E-4</v>
      </c>
      <c r="X1193" s="1">
        <f t="shared" si="56"/>
        <v>8.0000000000000004E-4</v>
      </c>
    </row>
    <row r="1194" spans="1:24" x14ac:dyDescent="0.25">
      <c r="A1194">
        <v>2016</v>
      </c>
      <c r="B1194">
        <v>8</v>
      </c>
      <c r="C1194" t="s">
        <v>31</v>
      </c>
      <c r="D1194" t="str">
        <f>_xlfn.XLOOKUP(C1194,'Carrier Name Rename'!A:A,'Carrier Name Rename'!B:B)</f>
        <v>American Airlines Inc.</v>
      </c>
      <c r="E1194" t="s">
        <v>23</v>
      </c>
      <c r="F1194" t="s">
        <v>24</v>
      </c>
      <c r="G1194">
        <v>1043</v>
      </c>
      <c r="H1194">
        <v>324</v>
      </c>
      <c r="I1194">
        <v>100.19</v>
      </c>
      <c r="J1194">
        <v>16.829999999999998</v>
      </c>
      <c r="K1194">
        <v>86.68</v>
      </c>
      <c r="L1194">
        <v>1.66</v>
      </c>
      <c r="M1194">
        <v>118.65</v>
      </c>
      <c r="N1194">
        <v>20</v>
      </c>
      <c r="O1194">
        <v>0</v>
      </c>
      <c r="P1194">
        <v>17477</v>
      </c>
      <c r="Q1194">
        <v>5541</v>
      </c>
      <c r="R1194">
        <v>1388</v>
      </c>
      <c r="S1194">
        <v>3202</v>
      </c>
      <c r="T1194">
        <v>39</v>
      </c>
      <c r="U1194">
        <v>7307</v>
      </c>
      <c r="V1194" s="1">
        <f t="shared" si="54"/>
        <v>0.31059999999999999</v>
      </c>
      <c r="W1194" s="1">
        <f t="shared" si="55"/>
        <v>1.9199999999999998E-2</v>
      </c>
      <c r="X1194" s="1">
        <f t="shared" si="56"/>
        <v>0</v>
      </c>
    </row>
    <row r="1195" spans="1:24" x14ac:dyDescent="0.25">
      <c r="A1195">
        <v>2016</v>
      </c>
      <c r="B1195">
        <v>8</v>
      </c>
      <c r="C1195" t="s">
        <v>33</v>
      </c>
      <c r="D1195" t="str">
        <f>_xlfn.XLOOKUP(C1195,'Carrier Name Rename'!A:A,'Carrier Name Rename'!B:B)</f>
        <v>Alaska Airlines Inc.</v>
      </c>
      <c r="E1195" t="s">
        <v>23</v>
      </c>
      <c r="F1195" t="s">
        <v>24</v>
      </c>
      <c r="G1195">
        <v>5420</v>
      </c>
      <c r="H1195">
        <v>711</v>
      </c>
      <c r="I1195">
        <v>139.04</v>
      </c>
      <c r="J1195">
        <v>20.03</v>
      </c>
      <c r="K1195">
        <v>347.73</v>
      </c>
      <c r="L1195">
        <v>4.66</v>
      </c>
      <c r="M1195">
        <v>199.54</v>
      </c>
      <c r="N1195">
        <v>6</v>
      </c>
      <c r="O1195">
        <v>7</v>
      </c>
      <c r="P1195">
        <v>34782</v>
      </c>
      <c r="Q1195">
        <v>9746</v>
      </c>
      <c r="R1195">
        <v>1620</v>
      </c>
      <c r="S1195">
        <v>12244</v>
      </c>
      <c r="T1195">
        <v>213</v>
      </c>
      <c r="U1195">
        <v>10959</v>
      </c>
      <c r="V1195" s="1">
        <f t="shared" si="54"/>
        <v>0.13120000000000001</v>
      </c>
      <c r="W1195" s="1">
        <f t="shared" si="55"/>
        <v>1.1000000000000001E-3</v>
      </c>
      <c r="X1195" s="1">
        <f t="shared" si="56"/>
        <v>1.2999999999999999E-3</v>
      </c>
    </row>
    <row r="1196" spans="1:24" x14ac:dyDescent="0.25">
      <c r="A1196">
        <v>2016</v>
      </c>
      <c r="B1196">
        <v>8</v>
      </c>
      <c r="C1196" t="s">
        <v>35</v>
      </c>
      <c r="D1196" t="str">
        <f>_xlfn.XLOOKUP(C1196,'Carrier Name Rename'!A:A,'Carrier Name Rename'!B:B)</f>
        <v>JetBlue Airways</v>
      </c>
      <c r="E1196" t="s">
        <v>23</v>
      </c>
      <c r="F1196" t="s">
        <v>24</v>
      </c>
      <c r="G1196">
        <v>267</v>
      </c>
      <c r="H1196">
        <v>71</v>
      </c>
      <c r="I1196">
        <v>15.57</v>
      </c>
      <c r="J1196">
        <v>0</v>
      </c>
      <c r="K1196">
        <v>27.87</v>
      </c>
      <c r="L1196">
        <v>0</v>
      </c>
      <c r="M1196">
        <v>27.56</v>
      </c>
      <c r="N1196">
        <v>0</v>
      </c>
      <c r="O1196">
        <v>1</v>
      </c>
      <c r="P1196">
        <v>3718</v>
      </c>
      <c r="Q1196">
        <v>1228</v>
      </c>
      <c r="R1196">
        <v>0</v>
      </c>
      <c r="S1196">
        <v>937</v>
      </c>
      <c r="T1196">
        <v>0</v>
      </c>
      <c r="U1196">
        <v>1553</v>
      </c>
      <c r="V1196" s="1">
        <f t="shared" si="54"/>
        <v>0.26590000000000003</v>
      </c>
      <c r="W1196" s="1">
        <f t="shared" si="55"/>
        <v>0</v>
      </c>
      <c r="X1196" s="1">
        <f t="shared" si="56"/>
        <v>3.7000000000000002E-3</v>
      </c>
    </row>
    <row r="1197" spans="1:24" x14ac:dyDescent="0.25">
      <c r="A1197">
        <v>2016</v>
      </c>
      <c r="B1197">
        <v>8</v>
      </c>
      <c r="C1197" t="s">
        <v>37</v>
      </c>
      <c r="D1197" t="str">
        <f>_xlfn.XLOOKUP(C1197,'Carrier Name Rename'!A:A,'Carrier Name Rename'!B:B)</f>
        <v>Delta Air Lines Inc.</v>
      </c>
      <c r="E1197" t="s">
        <v>23</v>
      </c>
      <c r="F1197" t="s">
        <v>24</v>
      </c>
      <c r="G1197">
        <v>2127</v>
      </c>
      <c r="H1197">
        <v>399</v>
      </c>
      <c r="I1197">
        <v>144.24</v>
      </c>
      <c r="J1197">
        <v>7.47</v>
      </c>
      <c r="K1197">
        <v>93.84</v>
      </c>
      <c r="L1197">
        <v>1</v>
      </c>
      <c r="M1197">
        <v>152.46</v>
      </c>
      <c r="N1197">
        <v>27</v>
      </c>
      <c r="O1197">
        <v>2</v>
      </c>
      <c r="P1197">
        <v>31991</v>
      </c>
      <c r="Q1197">
        <v>14039</v>
      </c>
      <c r="R1197">
        <v>1071</v>
      </c>
      <c r="S1197">
        <v>3182</v>
      </c>
      <c r="T1197">
        <v>31</v>
      </c>
      <c r="U1197">
        <v>13668</v>
      </c>
      <c r="V1197" s="1">
        <f t="shared" si="54"/>
        <v>0.18759999999999999</v>
      </c>
      <c r="W1197" s="1">
        <f t="shared" si="55"/>
        <v>1.2699999999999999E-2</v>
      </c>
      <c r="X1197" s="1">
        <f t="shared" si="56"/>
        <v>8.9999999999999998E-4</v>
      </c>
    </row>
    <row r="1198" spans="1:24" x14ac:dyDescent="0.25">
      <c r="A1198">
        <v>2016</v>
      </c>
      <c r="B1198">
        <v>8</v>
      </c>
      <c r="C1198" t="s">
        <v>39</v>
      </c>
      <c r="D1198" t="str">
        <f>_xlfn.XLOOKUP(C1198,'Carrier Name Rename'!A:A,'Carrier Name Rename'!B:B)</f>
        <v>Frontier Airlines Inc.</v>
      </c>
      <c r="E1198" t="s">
        <v>23</v>
      </c>
      <c r="F1198" t="s">
        <v>24</v>
      </c>
      <c r="G1198">
        <v>146</v>
      </c>
      <c r="H1198">
        <v>57</v>
      </c>
      <c r="I1198">
        <v>15.37</v>
      </c>
      <c r="J1198">
        <v>0.21</v>
      </c>
      <c r="K1198">
        <v>23.41</v>
      </c>
      <c r="L1198">
        <v>0</v>
      </c>
      <c r="M1198">
        <v>18.010000000000002</v>
      </c>
      <c r="N1198">
        <v>0</v>
      </c>
      <c r="O1198">
        <v>0</v>
      </c>
      <c r="P1198">
        <v>3353</v>
      </c>
      <c r="Q1198">
        <v>867</v>
      </c>
      <c r="R1198">
        <v>15</v>
      </c>
      <c r="S1198">
        <v>1028</v>
      </c>
      <c r="T1198">
        <v>0</v>
      </c>
      <c r="U1198">
        <v>1443</v>
      </c>
      <c r="V1198" s="1">
        <f t="shared" si="54"/>
        <v>0.39040000000000002</v>
      </c>
      <c r="W1198" s="1">
        <f t="shared" si="55"/>
        <v>0</v>
      </c>
      <c r="X1198" s="1">
        <f t="shared" si="56"/>
        <v>0</v>
      </c>
    </row>
    <row r="1199" spans="1:24" x14ac:dyDescent="0.25">
      <c r="A1199">
        <v>2016</v>
      </c>
      <c r="B1199">
        <v>8</v>
      </c>
      <c r="C1199" t="s">
        <v>21</v>
      </c>
      <c r="D1199" t="str">
        <f>_xlfn.XLOOKUP(C1199,'Carrier Name Rename'!A:A,'Carrier Name Rename'!B:B)</f>
        <v>Hawaiian Airlines Inc.</v>
      </c>
      <c r="E1199" t="s">
        <v>23</v>
      </c>
      <c r="F1199" t="s">
        <v>24</v>
      </c>
      <c r="G1199">
        <v>62</v>
      </c>
      <c r="H1199">
        <v>9</v>
      </c>
      <c r="I1199">
        <v>6.05</v>
      </c>
      <c r="J1199">
        <v>0</v>
      </c>
      <c r="K1199">
        <v>0</v>
      </c>
      <c r="L1199">
        <v>0</v>
      </c>
      <c r="M1199">
        <v>2.95</v>
      </c>
      <c r="N1199">
        <v>0</v>
      </c>
      <c r="O1199">
        <v>0</v>
      </c>
      <c r="P1199">
        <v>374</v>
      </c>
      <c r="Q1199">
        <v>142</v>
      </c>
      <c r="R1199">
        <v>0</v>
      </c>
      <c r="S1199">
        <v>0</v>
      </c>
      <c r="T1199">
        <v>0</v>
      </c>
      <c r="U1199">
        <v>232</v>
      </c>
      <c r="V1199" s="1">
        <f t="shared" si="54"/>
        <v>0.1452</v>
      </c>
      <c r="W1199" s="1">
        <f t="shared" si="55"/>
        <v>0</v>
      </c>
      <c r="X1199" s="1">
        <f t="shared" si="56"/>
        <v>0</v>
      </c>
    </row>
    <row r="1200" spans="1:24" x14ac:dyDescent="0.25">
      <c r="A1200">
        <v>2016</v>
      </c>
      <c r="B1200">
        <v>8</v>
      </c>
      <c r="C1200" t="s">
        <v>25</v>
      </c>
      <c r="D1200" t="str">
        <f>_xlfn.XLOOKUP(C1200,'Carrier Name Rename'!A:A,'Carrier Name Rename'!B:B)</f>
        <v>Spirit Airlines</v>
      </c>
      <c r="E1200" t="s">
        <v>23</v>
      </c>
      <c r="F1200" t="s">
        <v>24</v>
      </c>
      <c r="G1200">
        <v>124</v>
      </c>
      <c r="H1200">
        <v>24</v>
      </c>
      <c r="I1200">
        <v>0.73</v>
      </c>
      <c r="J1200">
        <v>0</v>
      </c>
      <c r="K1200">
        <v>19.45</v>
      </c>
      <c r="L1200">
        <v>0.67</v>
      </c>
      <c r="M1200">
        <v>3.15</v>
      </c>
      <c r="N1200">
        <v>0</v>
      </c>
      <c r="O1200">
        <v>0</v>
      </c>
      <c r="P1200">
        <v>1207</v>
      </c>
      <c r="Q1200">
        <v>26</v>
      </c>
      <c r="R1200">
        <v>0</v>
      </c>
      <c r="S1200">
        <v>1013</v>
      </c>
      <c r="T1200">
        <v>28</v>
      </c>
      <c r="U1200">
        <v>140</v>
      </c>
      <c r="V1200" s="1">
        <f t="shared" si="54"/>
        <v>0.19350000000000001</v>
      </c>
      <c r="W1200" s="1">
        <f t="shared" si="55"/>
        <v>0</v>
      </c>
      <c r="X1200" s="1">
        <f t="shared" si="56"/>
        <v>0</v>
      </c>
    </row>
    <row r="1201" spans="1:24" x14ac:dyDescent="0.25">
      <c r="A1201">
        <v>2016</v>
      </c>
      <c r="B1201">
        <v>8</v>
      </c>
      <c r="C1201" t="s">
        <v>27</v>
      </c>
      <c r="D1201" t="str">
        <f>_xlfn.XLOOKUP(C1201,'Carrier Name Rename'!A:A,'Carrier Name Rename'!B:B)</f>
        <v>SkyWest Airlines Inc.</v>
      </c>
      <c r="E1201" t="s">
        <v>23</v>
      </c>
      <c r="F1201" t="s">
        <v>24</v>
      </c>
      <c r="G1201">
        <v>1443</v>
      </c>
      <c r="H1201">
        <v>220</v>
      </c>
      <c r="I1201">
        <v>41.13</v>
      </c>
      <c r="J1201">
        <v>11.89</v>
      </c>
      <c r="K1201">
        <v>89.88</v>
      </c>
      <c r="L1201">
        <v>1</v>
      </c>
      <c r="M1201">
        <v>76.099999999999994</v>
      </c>
      <c r="N1201">
        <v>3</v>
      </c>
      <c r="O1201">
        <v>2</v>
      </c>
      <c r="P1201">
        <v>10046</v>
      </c>
      <c r="Q1201">
        <v>2835</v>
      </c>
      <c r="R1201">
        <v>503</v>
      </c>
      <c r="S1201">
        <v>3032</v>
      </c>
      <c r="T1201">
        <v>98</v>
      </c>
      <c r="U1201">
        <v>3578</v>
      </c>
      <c r="V1201" s="1">
        <f t="shared" si="54"/>
        <v>0.1525</v>
      </c>
      <c r="W1201" s="1">
        <f t="shared" si="55"/>
        <v>2.0999999999999999E-3</v>
      </c>
      <c r="X1201" s="1">
        <f t="shared" si="56"/>
        <v>1.4E-3</v>
      </c>
    </row>
    <row r="1202" spans="1:24" x14ac:dyDescent="0.25">
      <c r="A1202">
        <v>2016</v>
      </c>
      <c r="B1202">
        <v>8</v>
      </c>
      <c r="C1202" t="s">
        <v>41</v>
      </c>
      <c r="D1202" t="str">
        <f>_xlfn.XLOOKUP(C1202,'Carrier Name Rename'!A:A,'Carrier Name Rename'!B:B)</f>
        <v>United Air Lines Inc.</v>
      </c>
      <c r="E1202" t="s">
        <v>23</v>
      </c>
      <c r="F1202" t="s">
        <v>24</v>
      </c>
      <c r="G1202">
        <v>1031</v>
      </c>
      <c r="H1202">
        <v>218</v>
      </c>
      <c r="I1202">
        <v>67.42</v>
      </c>
      <c r="J1202">
        <v>13.76</v>
      </c>
      <c r="K1202">
        <v>51.85</v>
      </c>
      <c r="L1202">
        <v>0</v>
      </c>
      <c r="M1202">
        <v>84.97</v>
      </c>
      <c r="N1202">
        <v>5</v>
      </c>
      <c r="O1202">
        <v>2</v>
      </c>
      <c r="P1202">
        <v>14391</v>
      </c>
      <c r="Q1202">
        <v>3297</v>
      </c>
      <c r="R1202">
        <v>920</v>
      </c>
      <c r="S1202">
        <v>2230</v>
      </c>
      <c r="T1202">
        <v>0</v>
      </c>
      <c r="U1202">
        <v>7944</v>
      </c>
      <c r="V1202" s="1">
        <f t="shared" si="54"/>
        <v>0.2114</v>
      </c>
      <c r="W1202" s="1">
        <f t="shared" si="55"/>
        <v>4.7999999999999996E-3</v>
      </c>
      <c r="X1202" s="1">
        <f t="shared" si="56"/>
        <v>1.9E-3</v>
      </c>
    </row>
    <row r="1203" spans="1:24" x14ac:dyDescent="0.25">
      <c r="A1203">
        <v>2016</v>
      </c>
      <c r="B1203">
        <v>8</v>
      </c>
      <c r="C1203" t="s">
        <v>51</v>
      </c>
      <c r="D1203" t="str">
        <f>_xlfn.XLOOKUP(C1203,'Carrier Name Rename'!A:A,'Carrier Name Rename'!B:B)</f>
        <v>Virgin America</v>
      </c>
      <c r="E1203" t="s">
        <v>23</v>
      </c>
      <c r="F1203" t="s">
        <v>24</v>
      </c>
      <c r="G1203">
        <v>232</v>
      </c>
      <c r="H1203">
        <v>63</v>
      </c>
      <c r="I1203">
        <v>11.49</v>
      </c>
      <c r="J1203">
        <v>1.53</v>
      </c>
      <c r="K1203">
        <v>23.73</v>
      </c>
      <c r="L1203">
        <v>0</v>
      </c>
      <c r="M1203">
        <v>26.25</v>
      </c>
      <c r="N1203">
        <v>0</v>
      </c>
      <c r="O1203">
        <v>0</v>
      </c>
      <c r="P1203">
        <v>2459</v>
      </c>
      <c r="Q1203">
        <v>371</v>
      </c>
      <c r="R1203">
        <v>40</v>
      </c>
      <c r="S1203">
        <v>703</v>
      </c>
      <c r="T1203">
        <v>0</v>
      </c>
      <c r="U1203">
        <v>1345</v>
      </c>
      <c r="V1203" s="1">
        <f t="shared" si="54"/>
        <v>0.27160000000000001</v>
      </c>
      <c r="W1203" s="1">
        <f t="shared" si="55"/>
        <v>0</v>
      </c>
      <c r="X1203" s="1">
        <f t="shared" si="56"/>
        <v>0</v>
      </c>
    </row>
    <row r="1204" spans="1:24" x14ac:dyDescent="0.25">
      <c r="A1204">
        <v>2016</v>
      </c>
      <c r="B1204">
        <v>8</v>
      </c>
      <c r="C1204" t="s">
        <v>43</v>
      </c>
      <c r="D1204" t="str">
        <f>_xlfn.XLOOKUP(C1204,'Carrier Name Rename'!A:A,'Carrier Name Rename'!B:B)</f>
        <v>Southwest Airlines Co.</v>
      </c>
      <c r="E1204" t="s">
        <v>23</v>
      </c>
      <c r="F1204" t="s">
        <v>24</v>
      </c>
      <c r="G1204">
        <v>1335</v>
      </c>
      <c r="H1204">
        <v>326</v>
      </c>
      <c r="I1204">
        <v>97.41</v>
      </c>
      <c r="J1204">
        <v>8.2100000000000009</v>
      </c>
      <c r="K1204">
        <v>105.54</v>
      </c>
      <c r="L1204">
        <v>0</v>
      </c>
      <c r="M1204">
        <v>114.84</v>
      </c>
      <c r="N1204">
        <v>1</v>
      </c>
      <c r="O1204">
        <v>2</v>
      </c>
      <c r="P1204">
        <v>14106</v>
      </c>
      <c r="Q1204">
        <v>4178</v>
      </c>
      <c r="R1204">
        <v>343</v>
      </c>
      <c r="S1204">
        <v>3815</v>
      </c>
      <c r="T1204">
        <v>0</v>
      </c>
      <c r="U1204">
        <v>5770</v>
      </c>
      <c r="V1204" s="1">
        <f t="shared" si="54"/>
        <v>0.2442</v>
      </c>
      <c r="W1204" s="1">
        <f t="shared" si="55"/>
        <v>6.9999999999999999E-4</v>
      </c>
      <c r="X1204" s="1">
        <f t="shared" si="56"/>
        <v>1.5E-3</v>
      </c>
    </row>
    <row r="1205" spans="1:24" x14ac:dyDescent="0.25">
      <c r="A1205">
        <v>2016</v>
      </c>
      <c r="B1205">
        <v>7</v>
      </c>
      <c r="C1205" t="s">
        <v>31</v>
      </c>
      <c r="D1205" t="str">
        <f>_xlfn.XLOOKUP(C1205,'Carrier Name Rename'!A:A,'Carrier Name Rename'!B:B)</f>
        <v>American Airlines Inc.</v>
      </c>
      <c r="E1205" t="s">
        <v>23</v>
      </c>
      <c r="F1205" t="s">
        <v>24</v>
      </c>
      <c r="G1205">
        <v>1127</v>
      </c>
      <c r="H1205">
        <v>397</v>
      </c>
      <c r="I1205">
        <v>121.86</v>
      </c>
      <c r="J1205">
        <v>18.579999999999998</v>
      </c>
      <c r="K1205">
        <v>126.91</v>
      </c>
      <c r="L1205">
        <v>1.84</v>
      </c>
      <c r="M1205">
        <v>127.81</v>
      </c>
      <c r="N1205">
        <v>19</v>
      </c>
      <c r="O1205">
        <v>1</v>
      </c>
      <c r="P1205">
        <v>24238</v>
      </c>
      <c r="Q1205">
        <v>7713</v>
      </c>
      <c r="R1205">
        <v>1925</v>
      </c>
      <c r="S1205">
        <v>4963</v>
      </c>
      <c r="T1205">
        <v>50</v>
      </c>
      <c r="U1205">
        <v>9587</v>
      </c>
      <c r="V1205" s="1">
        <f t="shared" si="54"/>
        <v>0.3523</v>
      </c>
      <c r="W1205" s="1">
        <f t="shared" si="55"/>
        <v>1.6899999999999998E-2</v>
      </c>
      <c r="X1205" s="1">
        <f t="shared" si="56"/>
        <v>8.9999999999999998E-4</v>
      </c>
    </row>
    <row r="1206" spans="1:24" x14ac:dyDescent="0.25">
      <c r="A1206">
        <v>2016</v>
      </c>
      <c r="B1206">
        <v>7</v>
      </c>
      <c r="C1206" t="s">
        <v>33</v>
      </c>
      <c r="D1206" t="str">
        <f>_xlfn.XLOOKUP(C1206,'Carrier Name Rename'!A:A,'Carrier Name Rename'!B:B)</f>
        <v>Alaska Airlines Inc.</v>
      </c>
      <c r="E1206" t="s">
        <v>23</v>
      </c>
      <c r="F1206" t="s">
        <v>24</v>
      </c>
      <c r="G1206">
        <v>5261</v>
      </c>
      <c r="H1206">
        <v>637</v>
      </c>
      <c r="I1206">
        <v>124.04</v>
      </c>
      <c r="J1206">
        <v>12.73</v>
      </c>
      <c r="K1206">
        <v>329.35</v>
      </c>
      <c r="L1206">
        <v>4.67</v>
      </c>
      <c r="M1206">
        <v>166.22</v>
      </c>
      <c r="N1206">
        <v>7</v>
      </c>
      <c r="O1206">
        <v>4</v>
      </c>
      <c r="P1206">
        <v>29102</v>
      </c>
      <c r="Q1206">
        <v>7577</v>
      </c>
      <c r="R1206">
        <v>981</v>
      </c>
      <c r="S1206">
        <v>11131</v>
      </c>
      <c r="T1206">
        <v>161</v>
      </c>
      <c r="U1206">
        <v>9252</v>
      </c>
      <c r="V1206" s="1">
        <f t="shared" si="54"/>
        <v>0.1211</v>
      </c>
      <c r="W1206" s="1">
        <f t="shared" si="55"/>
        <v>1.2999999999999999E-3</v>
      </c>
      <c r="X1206" s="1">
        <f t="shared" si="56"/>
        <v>8.0000000000000004E-4</v>
      </c>
    </row>
    <row r="1207" spans="1:24" x14ac:dyDescent="0.25">
      <c r="A1207">
        <v>2016</v>
      </c>
      <c r="B1207">
        <v>7</v>
      </c>
      <c r="C1207" t="s">
        <v>35</v>
      </c>
      <c r="D1207" t="str">
        <f>_xlfn.XLOOKUP(C1207,'Carrier Name Rename'!A:A,'Carrier Name Rename'!B:B)</f>
        <v>JetBlue Airways</v>
      </c>
      <c r="E1207" t="s">
        <v>23</v>
      </c>
      <c r="F1207" t="s">
        <v>24</v>
      </c>
      <c r="G1207">
        <v>269</v>
      </c>
      <c r="H1207">
        <v>83</v>
      </c>
      <c r="I1207">
        <v>22.81</v>
      </c>
      <c r="J1207">
        <v>1.1299999999999999</v>
      </c>
      <c r="K1207">
        <v>34.229999999999997</v>
      </c>
      <c r="L1207">
        <v>0</v>
      </c>
      <c r="M1207">
        <v>24.82</v>
      </c>
      <c r="N1207">
        <v>1</v>
      </c>
      <c r="O1207">
        <v>0</v>
      </c>
      <c r="P1207">
        <v>5010</v>
      </c>
      <c r="Q1207">
        <v>1827</v>
      </c>
      <c r="R1207">
        <v>152</v>
      </c>
      <c r="S1207">
        <v>1428</v>
      </c>
      <c r="T1207">
        <v>0</v>
      </c>
      <c r="U1207">
        <v>1603</v>
      </c>
      <c r="V1207" s="1">
        <f t="shared" si="54"/>
        <v>0.30859999999999999</v>
      </c>
      <c r="W1207" s="1">
        <f t="shared" si="55"/>
        <v>3.7000000000000002E-3</v>
      </c>
      <c r="X1207" s="1">
        <f t="shared" si="56"/>
        <v>0</v>
      </c>
    </row>
    <row r="1208" spans="1:24" x14ac:dyDescent="0.25">
      <c r="A1208">
        <v>2016</v>
      </c>
      <c r="B1208">
        <v>7</v>
      </c>
      <c r="C1208" t="s">
        <v>37</v>
      </c>
      <c r="D1208" t="str">
        <f>_xlfn.XLOOKUP(C1208,'Carrier Name Rename'!A:A,'Carrier Name Rename'!B:B)</f>
        <v>Delta Air Lines Inc.</v>
      </c>
      <c r="E1208" t="s">
        <v>23</v>
      </c>
      <c r="F1208" t="s">
        <v>24</v>
      </c>
      <c r="G1208">
        <v>2035</v>
      </c>
      <c r="H1208">
        <v>304</v>
      </c>
      <c r="I1208">
        <v>111.71</v>
      </c>
      <c r="J1208">
        <v>14.94</v>
      </c>
      <c r="K1208">
        <v>96.37</v>
      </c>
      <c r="L1208">
        <v>0</v>
      </c>
      <c r="M1208">
        <v>80.98</v>
      </c>
      <c r="N1208">
        <v>3</v>
      </c>
      <c r="O1208">
        <v>1</v>
      </c>
      <c r="P1208">
        <v>17174</v>
      </c>
      <c r="Q1208">
        <v>7954</v>
      </c>
      <c r="R1208">
        <v>1585</v>
      </c>
      <c r="S1208">
        <v>3145</v>
      </c>
      <c r="T1208">
        <v>0</v>
      </c>
      <c r="U1208">
        <v>4490</v>
      </c>
      <c r="V1208" s="1">
        <f t="shared" si="54"/>
        <v>0.14940000000000001</v>
      </c>
      <c r="W1208" s="1">
        <f t="shared" si="55"/>
        <v>1.5E-3</v>
      </c>
      <c r="X1208" s="1">
        <f t="shared" si="56"/>
        <v>5.0000000000000001E-4</v>
      </c>
    </row>
    <row r="1209" spans="1:24" x14ac:dyDescent="0.25">
      <c r="A1209">
        <v>2016</v>
      </c>
      <c r="B1209">
        <v>7</v>
      </c>
      <c r="C1209" t="s">
        <v>39</v>
      </c>
      <c r="D1209" t="str">
        <f>_xlfn.XLOOKUP(C1209,'Carrier Name Rename'!A:A,'Carrier Name Rename'!B:B)</f>
        <v>Frontier Airlines Inc.</v>
      </c>
      <c r="E1209" t="s">
        <v>23</v>
      </c>
      <c r="F1209" t="s">
        <v>24</v>
      </c>
      <c r="G1209">
        <v>151</v>
      </c>
      <c r="H1209">
        <v>60</v>
      </c>
      <c r="I1209">
        <v>20.6</v>
      </c>
      <c r="J1209">
        <v>1</v>
      </c>
      <c r="K1209">
        <v>22.45</v>
      </c>
      <c r="L1209">
        <v>0</v>
      </c>
      <c r="M1209">
        <v>15.95</v>
      </c>
      <c r="N1209">
        <v>0</v>
      </c>
      <c r="O1209">
        <v>0</v>
      </c>
      <c r="P1209">
        <v>3199</v>
      </c>
      <c r="Q1209">
        <v>940</v>
      </c>
      <c r="R1209">
        <v>16</v>
      </c>
      <c r="S1209">
        <v>884</v>
      </c>
      <c r="T1209">
        <v>0</v>
      </c>
      <c r="U1209">
        <v>1359</v>
      </c>
      <c r="V1209" s="1">
        <f t="shared" si="54"/>
        <v>0.39739999999999998</v>
      </c>
      <c r="W1209" s="1">
        <f t="shared" si="55"/>
        <v>0</v>
      </c>
      <c r="X1209" s="1">
        <f t="shared" si="56"/>
        <v>0</v>
      </c>
    </row>
    <row r="1210" spans="1:24" x14ac:dyDescent="0.25">
      <c r="A1210">
        <v>2016</v>
      </c>
      <c r="B1210">
        <v>7</v>
      </c>
      <c r="C1210" t="s">
        <v>21</v>
      </c>
      <c r="D1210" t="str">
        <f>_xlfn.XLOOKUP(C1210,'Carrier Name Rename'!A:A,'Carrier Name Rename'!B:B)</f>
        <v>Hawaiian Airlines Inc.</v>
      </c>
      <c r="E1210" t="s">
        <v>23</v>
      </c>
      <c r="F1210" t="s">
        <v>24</v>
      </c>
      <c r="G1210">
        <v>62</v>
      </c>
      <c r="H1210">
        <v>3</v>
      </c>
      <c r="I1210">
        <v>3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82</v>
      </c>
      <c r="Q1210">
        <v>82</v>
      </c>
      <c r="R1210">
        <v>0</v>
      </c>
      <c r="S1210">
        <v>0</v>
      </c>
      <c r="T1210">
        <v>0</v>
      </c>
      <c r="U1210">
        <v>0</v>
      </c>
      <c r="V1210" s="1">
        <f t="shared" si="54"/>
        <v>4.8399999999999999E-2</v>
      </c>
      <c r="W1210" s="1">
        <f t="shared" si="55"/>
        <v>0</v>
      </c>
      <c r="X1210" s="1">
        <f t="shared" si="56"/>
        <v>0</v>
      </c>
    </row>
    <row r="1211" spans="1:24" x14ac:dyDescent="0.25">
      <c r="A1211">
        <v>2016</v>
      </c>
      <c r="B1211">
        <v>7</v>
      </c>
      <c r="C1211" t="s">
        <v>25</v>
      </c>
      <c r="D1211" t="str">
        <f>_xlfn.XLOOKUP(C1211,'Carrier Name Rename'!A:A,'Carrier Name Rename'!B:B)</f>
        <v>Spirit Airlines</v>
      </c>
      <c r="E1211" t="s">
        <v>23</v>
      </c>
      <c r="F1211" t="s">
        <v>24</v>
      </c>
      <c r="G1211">
        <v>124</v>
      </c>
      <c r="H1211">
        <v>30</v>
      </c>
      <c r="I1211">
        <v>4.09</v>
      </c>
      <c r="J1211">
        <v>0</v>
      </c>
      <c r="K1211">
        <v>22.74</v>
      </c>
      <c r="L1211">
        <v>0</v>
      </c>
      <c r="M1211">
        <v>3.18</v>
      </c>
      <c r="N1211">
        <v>2</v>
      </c>
      <c r="O1211">
        <v>0</v>
      </c>
      <c r="P1211">
        <v>1878</v>
      </c>
      <c r="Q1211">
        <v>324</v>
      </c>
      <c r="R1211">
        <v>0</v>
      </c>
      <c r="S1211">
        <v>1221</v>
      </c>
      <c r="T1211">
        <v>0</v>
      </c>
      <c r="U1211">
        <v>333</v>
      </c>
      <c r="V1211" s="1">
        <f t="shared" si="54"/>
        <v>0.2419</v>
      </c>
      <c r="W1211" s="1">
        <f t="shared" si="55"/>
        <v>1.61E-2</v>
      </c>
      <c r="X1211" s="1">
        <f t="shared" si="56"/>
        <v>0</v>
      </c>
    </row>
    <row r="1212" spans="1:24" x14ac:dyDescent="0.25">
      <c r="A1212">
        <v>2016</v>
      </c>
      <c r="B1212">
        <v>7</v>
      </c>
      <c r="C1212" t="s">
        <v>27</v>
      </c>
      <c r="D1212" t="str">
        <f>_xlfn.XLOOKUP(C1212,'Carrier Name Rename'!A:A,'Carrier Name Rename'!B:B)</f>
        <v>SkyWest Airlines Inc.</v>
      </c>
      <c r="E1212" t="s">
        <v>23</v>
      </c>
      <c r="F1212" t="s">
        <v>24</v>
      </c>
      <c r="G1212">
        <v>1430</v>
      </c>
      <c r="H1212">
        <v>247</v>
      </c>
      <c r="I1212">
        <v>51.34</v>
      </c>
      <c r="J1212">
        <v>18.63</v>
      </c>
      <c r="K1212">
        <v>89.79</v>
      </c>
      <c r="L1212">
        <v>1</v>
      </c>
      <c r="M1212">
        <v>86.23</v>
      </c>
      <c r="N1212">
        <v>1</v>
      </c>
      <c r="O1212">
        <v>0</v>
      </c>
      <c r="P1212">
        <v>15478</v>
      </c>
      <c r="Q1212">
        <v>7235</v>
      </c>
      <c r="R1212">
        <v>954</v>
      </c>
      <c r="S1212">
        <v>3065</v>
      </c>
      <c r="T1212">
        <v>34</v>
      </c>
      <c r="U1212">
        <v>4190</v>
      </c>
      <c r="V1212" s="1">
        <f t="shared" si="54"/>
        <v>0.17269999999999999</v>
      </c>
      <c r="W1212" s="1">
        <f t="shared" si="55"/>
        <v>6.9999999999999999E-4</v>
      </c>
      <c r="X1212" s="1">
        <f t="shared" si="56"/>
        <v>0</v>
      </c>
    </row>
    <row r="1213" spans="1:24" x14ac:dyDescent="0.25">
      <c r="A1213">
        <v>2016</v>
      </c>
      <c r="B1213">
        <v>7</v>
      </c>
      <c r="C1213" t="s">
        <v>41</v>
      </c>
      <c r="D1213" t="str">
        <f>_xlfn.XLOOKUP(C1213,'Carrier Name Rename'!A:A,'Carrier Name Rename'!B:B)</f>
        <v>United Air Lines Inc.</v>
      </c>
      <c r="E1213" t="s">
        <v>23</v>
      </c>
      <c r="F1213" t="s">
        <v>24</v>
      </c>
      <c r="G1213">
        <v>976</v>
      </c>
      <c r="H1213">
        <v>232</v>
      </c>
      <c r="I1213">
        <v>73.489999999999995</v>
      </c>
      <c r="J1213">
        <v>19.829999999999998</v>
      </c>
      <c r="K1213">
        <v>50.38</v>
      </c>
      <c r="L1213">
        <v>0</v>
      </c>
      <c r="M1213">
        <v>88.3</v>
      </c>
      <c r="N1213">
        <v>6</v>
      </c>
      <c r="O1213">
        <v>1</v>
      </c>
      <c r="P1213">
        <v>16396</v>
      </c>
      <c r="Q1213">
        <v>4862</v>
      </c>
      <c r="R1213">
        <v>1745</v>
      </c>
      <c r="S1213">
        <v>2531</v>
      </c>
      <c r="T1213">
        <v>0</v>
      </c>
      <c r="U1213">
        <v>7258</v>
      </c>
      <c r="V1213" s="1">
        <f t="shared" si="54"/>
        <v>0.23769999999999999</v>
      </c>
      <c r="W1213" s="1">
        <f t="shared" si="55"/>
        <v>6.1000000000000004E-3</v>
      </c>
      <c r="X1213" s="1">
        <f t="shared" si="56"/>
        <v>1E-3</v>
      </c>
    </row>
    <row r="1214" spans="1:24" x14ac:dyDescent="0.25">
      <c r="A1214">
        <v>2016</v>
      </c>
      <c r="B1214">
        <v>7</v>
      </c>
      <c r="C1214" t="s">
        <v>51</v>
      </c>
      <c r="D1214" t="str">
        <f>_xlfn.XLOOKUP(C1214,'Carrier Name Rename'!A:A,'Carrier Name Rename'!B:B)</f>
        <v>Virgin America</v>
      </c>
      <c r="E1214" t="s">
        <v>23</v>
      </c>
      <c r="F1214" t="s">
        <v>24</v>
      </c>
      <c r="G1214">
        <v>227</v>
      </c>
      <c r="H1214">
        <v>47</v>
      </c>
      <c r="I1214">
        <v>10.210000000000001</v>
      </c>
      <c r="J1214">
        <v>1.4</v>
      </c>
      <c r="K1214">
        <v>14.12</v>
      </c>
      <c r="L1214">
        <v>0</v>
      </c>
      <c r="M1214">
        <v>21.26</v>
      </c>
      <c r="N1214">
        <v>2</v>
      </c>
      <c r="O1214">
        <v>2</v>
      </c>
      <c r="P1214">
        <v>2277</v>
      </c>
      <c r="Q1214">
        <v>673</v>
      </c>
      <c r="R1214">
        <v>38</v>
      </c>
      <c r="S1214">
        <v>552</v>
      </c>
      <c r="T1214">
        <v>0</v>
      </c>
      <c r="U1214">
        <v>1014</v>
      </c>
      <c r="V1214" s="1">
        <f t="shared" si="54"/>
        <v>0.20699999999999999</v>
      </c>
      <c r="W1214" s="1">
        <f t="shared" si="55"/>
        <v>8.8000000000000005E-3</v>
      </c>
      <c r="X1214" s="1">
        <f t="shared" si="56"/>
        <v>8.8000000000000005E-3</v>
      </c>
    </row>
    <row r="1215" spans="1:24" x14ac:dyDescent="0.25">
      <c r="A1215">
        <v>2016</v>
      </c>
      <c r="B1215">
        <v>7</v>
      </c>
      <c r="C1215" t="s">
        <v>43</v>
      </c>
      <c r="D1215" t="str">
        <f>_xlfn.XLOOKUP(C1215,'Carrier Name Rename'!A:A,'Carrier Name Rename'!B:B)</f>
        <v>Southwest Airlines Co.</v>
      </c>
      <c r="E1215" t="s">
        <v>23</v>
      </c>
      <c r="F1215" t="s">
        <v>24</v>
      </c>
      <c r="G1215">
        <v>1503</v>
      </c>
      <c r="H1215">
        <v>463</v>
      </c>
      <c r="I1215">
        <v>155.30000000000001</v>
      </c>
      <c r="J1215">
        <v>8.66</v>
      </c>
      <c r="K1215">
        <v>116.76</v>
      </c>
      <c r="L1215">
        <v>0.83</v>
      </c>
      <c r="M1215">
        <v>181.45</v>
      </c>
      <c r="N1215">
        <v>29</v>
      </c>
      <c r="O1215">
        <v>0</v>
      </c>
      <c r="P1215">
        <v>24696</v>
      </c>
      <c r="Q1215">
        <v>9151</v>
      </c>
      <c r="R1215">
        <v>651</v>
      </c>
      <c r="S1215">
        <v>4288</v>
      </c>
      <c r="T1215">
        <v>15</v>
      </c>
      <c r="U1215">
        <v>10591</v>
      </c>
      <c r="V1215" s="1">
        <f t="shared" si="54"/>
        <v>0.30809999999999998</v>
      </c>
      <c r="W1215" s="1">
        <f t="shared" si="55"/>
        <v>1.9300000000000001E-2</v>
      </c>
      <c r="X1215" s="1">
        <f t="shared" si="56"/>
        <v>0</v>
      </c>
    </row>
    <row r="1216" spans="1:24" x14ac:dyDescent="0.25">
      <c r="A1216">
        <v>2016</v>
      </c>
      <c r="B1216">
        <v>6</v>
      </c>
      <c r="C1216" t="s">
        <v>31</v>
      </c>
      <c r="D1216" t="str">
        <f>_xlfn.XLOOKUP(C1216,'Carrier Name Rename'!A:A,'Carrier Name Rename'!B:B)</f>
        <v>American Airlines Inc.</v>
      </c>
      <c r="E1216" t="s">
        <v>23</v>
      </c>
      <c r="F1216" t="s">
        <v>24</v>
      </c>
      <c r="G1216">
        <v>1061</v>
      </c>
      <c r="H1216">
        <v>334</v>
      </c>
      <c r="I1216">
        <v>109.29</v>
      </c>
      <c r="J1216">
        <v>11.86</v>
      </c>
      <c r="K1216">
        <v>111.38</v>
      </c>
      <c r="L1216">
        <v>1.0900000000000001</v>
      </c>
      <c r="M1216">
        <v>100.38</v>
      </c>
      <c r="N1216">
        <v>2</v>
      </c>
      <c r="O1216">
        <v>4</v>
      </c>
      <c r="P1216">
        <v>18733</v>
      </c>
      <c r="Q1216">
        <v>6407</v>
      </c>
      <c r="R1216">
        <v>984</v>
      </c>
      <c r="S1216">
        <v>4221</v>
      </c>
      <c r="T1216">
        <v>36</v>
      </c>
      <c r="U1216">
        <v>7085</v>
      </c>
      <c r="V1216" s="1">
        <f t="shared" si="54"/>
        <v>0.31480000000000002</v>
      </c>
      <c r="W1216" s="1">
        <f t="shared" si="55"/>
        <v>1.9E-3</v>
      </c>
      <c r="X1216" s="1">
        <f t="shared" si="56"/>
        <v>3.8E-3</v>
      </c>
    </row>
    <row r="1217" spans="1:24" x14ac:dyDescent="0.25">
      <c r="A1217">
        <v>2016</v>
      </c>
      <c r="B1217">
        <v>6</v>
      </c>
      <c r="C1217" t="s">
        <v>33</v>
      </c>
      <c r="D1217" t="str">
        <f>_xlfn.XLOOKUP(C1217,'Carrier Name Rename'!A:A,'Carrier Name Rename'!B:B)</f>
        <v>Alaska Airlines Inc.</v>
      </c>
      <c r="E1217" t="s">
        <v>23</v>
      </c>
      <c r="F1217" t="s">
        <v>24</v>
      </c>
      <c r="G1217">
        <v>5095</v>
      </c>
      <c r="H1217">
        <v>737</v>
      </c>
      <c r="I1217">
        <v>117.36</v>
      </c>
      <c r="J1217">
        <v>13.32</v>
      </c>
      <c r="K1217">
        <v>395.8</v>
      </c>
      <c r="L1217">
        <v>5.89</v>
      </c>
      <c r="M1217">
        <v>204.63</v>
      </c>
      <c r="N1217">
        <v>13</v>
      </c>
      <c r="O1217">
        <v>17</v>
      </c>
      <c r="P1217">
        <v>36587</v>
      </c>
      <c r="Q1217">
        <v>8460</v>
      </c>
      <c r="R1217">
        <v>1319</v>
      </c>
      <c r="S1217">
        <v>13934</v>
      </c>
      <c r="T1217">
        <v>230</v>
      </c>
      <c r="U1217">
        <v>12644</v>
      </c>
      <c r="V1217" s="1">
        <f t="shared" si="54"/>
        <v>0.1447</v>
      </c>
      <c r="W1217" s="1">
        <f t="shared" si="55"/>
        <v>2.5999999999999999E-3</v>
      </c>
      <c r="X1217" s="1">
        <f t="shared" si="56"/>
        <v>3.3E-3</v>
      </c>
    </row>
    <row r="1218" spans="1:24" x14ac:dyDescent="0.25">
      <c r="A1218">
        <v>2016</v>
      </c>
      <c r="B1218">
        <v>6</v>
      </c>
      <c r="C1218" t="s">
        <v>35</v>
      </c>
      <c r="D1218" t="str">
        <f>_xlfn.XLOOKUP(C1218,'Carrier Name Rename'!A:A,'Carrier Name Rename'!B:B)</f>
        <v>JetBlue Airways</v>
      </c>
      <c r="E1218" t="s">
        <v>23</v>
      </c>
      <c r="F1218" t="s">
        <v>24</v>
      </c>
      <c r="G1218">
        <v>244</v>
      </c>
      <c r="H1218">
        <v>80</v>
      </c>
      <c r="I1218">
        <v>22.84</v>
      </c>
      <c r="J1218">
        <v>0</v>
      </c>
      <c r="K1218">
        <v>38.89</v>
      </c>
      <c r="L1218">
        <v>0</v>
      </c>
      <c r="M1218">
        <v>18.27</v>
      </c>
      <c r="N1218">
        <v>0</v>
      </c>
      <c r="O1218">
        <v>0</v>
      </c>
      <c r="P1218">
        <v>3894</v>
      </c>
      <c r="Q1218">
        <v>1212</v>
      </c>
      <c r="R1218">
        <v>0</v>
      </c>
      <c r="S1218">
        <v>1521</v>
      </c>
      <c r="T1218">
        <v>0</v>
      </c>
      <c r="U1218">
        <v>1161</v>
      </c>
      <c r="V1218" s="1">
        <f t="shared" si="54"/>
        <v>0.32790000000000002</v>
      </c>
      <c r="W1218" s="1">
        <f t="shared" si="55"/>
        <v>0</v>
      </c>
      <c r="X1218" s="1">
        <f t="shared" si="56"/>
        <v>0</v>
      </c>
    </row>
    <row r="1219" spans="1:24" x14ac:dyDescent="0.25">
      <c r="A1219">
        <v>2016</v>
      </c>
      <c r="B1219">
        <v>6</v>
      </c>
      <c r="C1219" t="s">
        <v>37</v>
      </c>
      <c r="D1219" t="str">
        <f>_xlfn.XLOOKUP(C1219,'Carrier Name Rename'!A:A,'Carrier Name Rename'!B:B)</f>
        <v>Delta Air Lines Inc.</v>
      </c>
      <c r="E1219" t="s">
        <v>23</v>
      </c>
      <c r="F1219" t="s">
        <v>24</v>
      </c>
      <c r="G1219">
        <v>1904</v>
      </c>
      <c r="H1219">
        <v>332</v>
      </c>
      <c r="I1219">
        <v>99.37</v>
      </c>
      <c r="J1219">
        <v>9.02</v>
      </c>
      <c r="K1219">
        <v>119.08</v>
      </c>
      <c r="L1219">
        <v>0</v>
      </c>
      <c r="M1219">
        <v>104.52</v>
      </c>
      <c r="N1219">
        <v>0</v>
      </c>
      <c r="O1219">
        <v>2</v>
      </c>
      <c r="P1219">
        <v>16016</v>
      </c>
      <c r="Q1219">
        <v>5729</v>
      </c>
      <c r="R1219">
        <v>537</v>
      </c>
      <c r="S1219">
        <v>3629</v>
      </c>
      <c r="T1219">
        <v>0</v>
      </c>
      <c r="U1219">
        <v>6121</v>
      </c>
      <c r="V1219" s="1">
        <f t="shared" ref="V1219:V1282" si="57">ROUND(H1219/G1219,4)</f>
        <v>0.1744</v>
      </c>
      <c r="W1219" s="1">
        <f t="shared" ref="W1219:W1282" si="58">ROUND(N1219/G1219,4)</f>
        <v>0</v>
      </c>
      <c r="X1219" s="1">
        <f t="shared" ref="X1219:X1282" si="59">ROUND(O1219/G1219,4)</f>
        <v>1.1000000000000001E-3</v>
      </c>
    </row>
    <row r="1220" spans="1:24" x14ac:dyDescent="0.25">
      <c r="A1220">
        <v>2016</v>
      </c>
      <c r="B1220">
        <v>6</v>
      </c>
      <c r="C1220" t="s">
        <v>39</v>
      </c>
      <c r="D1220" t="str">
        <f>_xlfn.XLOOKUP(C1220,'Carrier Name Rename'!A:A,'Carrier Name Rename'!B:B)</f>
        <v>Frontier Airlines Inc.</v>
      </c>
      <c r="E1220" t="s">
        <v>23</v>
      </c>
      <c r="F1220" t="s">
        <v>24</v>
      </c>
      <c r="G1220">
        <v>91</v>
      </c>
      <c r="H1220">
        <v>27</v>
      </c>
      <c r="I1220">
        <v>5.13</v>
      </c>
      <c r="J1220">
        <v>0</v>
      </c>
      <c r="K1220">
        <v>11.54</v>
      </c>
      <c r="L1220">
        <v>0</v>
      </c>
      <c r="M1220">
        <v>10.32</v>
      </c>
      <c r="N1220">
        <v>0</v>
      </c>
      <c r="O1220">
        <v>0</v>
      </c>
      <c r="P1220">
        <v>1233</v>
      </c>
      <c r="Q1220">
        <v>173</v>
      </c>
      <c r="R1220">
        <v>0</v>
      </c>
      <c r="S1220">
        <v>436</v>
      </c>
      <c r="T1220">
        <v>0</v>
      </c>
      <c r="U1220">
        <v>624</v>
      </c>
      <c r="V1220" s="1">
        <f t="shared" si="57"/>
        <v>0.29670000000000002</v>
      </c>
      <c r="W1220" s="1">
        <f t="shared" si="58"/>
        <v>0</v>
      </c>
      <c r="X1220" s="1">
        <f t="shared" si="59"/>
        <v>0</v>
      </c>
    </row>
    <row r="1221" spans="1:24" x14ac:dyDescent="0.25">
      <c r="A1221">
        <v>2016</v>
      </c>
      <c r="B1221">
        <v>6</v>
      </c>
      <c r="C1221" t="s">
        <v>21</v>
      </c>
      <c r="D1221" t="str">
        <f>_xlfn.XLOOKUP(C1221,'Carrier Name Rename'!A:A,'Carrier Name Rename'!B:B)</f>
        <v>Hawaiian Airlines Inc.</v>
      </c>
      <c r="E1221" t="s">
        <v>23</v>
      </c>
      <c r="F1221" t="s">
        <v>24</v>
      </c>
      <c r="G1221">
        <v>60</v>
      </c>
      <c r="H1221">
        <v>15</v>
      </c>
      <c r="I1221">
        <v>12.96</v>
      </c>
      <c r="J1221">
        <v>0.65</v>
      </c>
      <c r="K1221">
        <v>0</v>
      </c>
      <c r="L1221">
        <v>0</v>
      </c>
      <c r="M1221">
        <v>1.39</v>
      </c>
      <c r="N1221">
        <v>0</v>
      </c>
      <c r="O1221">
        <v>0</v>
      </c>
      <c r="P1221">
        <v>548</v>
      </c>
      <c r="Q1221">
        <v>461</v>
      </c>
      <c r="R1221">
        <v>60</v>
      </c>
      <c r="S1221">
        <v>0</v>
      </c>
      <c r="T1221">
        <v>0</v>
      </c>
      <c r="U1221">
        <v>27</v>
      </c>
      <c r="V1221" s="1">
        <f t="shared" si="57"/>
        <v>0.25</v>
      </c>
      <c r="W1221" s="1">
        <f t="shared" si="58"/>
        <v>0</v>
      </c>
      <c r="X1221" s="1">
        <f t="shared" si="59"/>
        <v>0</v>
      </c>
    </row>
    <row r="1222" spans="1:24" x14ac:dyDescent="0.25">
      <c r="A1222">
        <v>2016</v>
      </c>
      <c r="B1222">
        <v>6</v>
      </c>
      <c r="C1222" t="s">
        <v>25</v>
      </c>
      <c r="D1222" t="str">
        <f>_xlfn.XLOOKUP(C1222,'Carrier Name Rename'!A:A,'Carrier Name Rename'!B:B)</f>
        <v>Spirit Airlines</v>
      </c>
      <c r="E1222" t="s">
        <v>23</v>
      </c>
      <c r="F1222" t="s">
        <v>24</v>
      </c>
      <c r="G1222">
        <v>120</v>
      </c>
      <c r="H1222">
        <v>31</v>
      </c>
      <c r="I1222">
        <v>7.41</v>
      </c>
      <c r="J1222">
        <v>0</v>
      </c>
      <c r="K1222">
        <v>13.36</v>
      </c>
      <c r="L1222">
        <v>0</v>
      </c>
      <c r="M1222">
        <v>10.220000000000001</v>
      </c>
      <c r="N1222">
        <v>4</v>
      </c>
      <c r="O1222">
        <v>0</v>
      </c>
      <c r="P1222">
        <v>1693</v>
      </c>
      <c r="Q1222">
        <v>324</v>
      </c>
      <c r="R1222">
        <v>0</v>
      </c>
      <c r="S1222">
        <v>600</v>
      </c>
      <c r="T1222">
        <v>0</v>
      </c>
      <c r="U1222">
        <v>769</v>
      </c>
      <c r="V1222" s="1">
        <f t="shared" si="57"/>
        <v>0.25829999999999997</v>
      </c>
      <c r="W1222" s="1">
        <f t="shared" si="58"/>
        <v>3.3300000000000003E-2</v>
      </c>
      <c r="X1222" s="1">
        <f t="shared" si="59"/>
        <v>0</v>
      </c>
    </row>
    <row r="1223" spans="1:24" x14ac:dyDescent="0.25">
      <c r="A1223">
        <v>2016</v>
      </c>
      <c r="B1223">
        <v>6</v>
      </c>
      <c r="C1223" t="s">
        <v>27</v>
      </c>
      <c r="D1223" t="str">
        <f>_xlfn.XLOOKUP(C1223,'Carrier Name Rename'!A:A,'Carrier Name Rename'!B:B)</f>
        <v>SkyWest Airlines Inc.</v>
      </c>
      <c r="E1223" t="s">
        <v>23</v>
      </c>
      <c r="F1223" t="s">
        <v>24</v>
      </c>
      <c r="G1223">
        <v>1409</v>
      </c>
      <c r="H1223">
        <v>222</v>
      </c>
      <c r="I1223">
        <v>49.25</v>
      </c>
      <c r="J1223">
        <v>14.19</v>
      </c>
      <c r="K1223">
        <v>80.430000000000007</v>
      </c>
      <c r="L1223">
        <v>0</v>
      </c>
      <c r="M1223">
        <v>78.14</v>
      </c>
      <c r="N1223">
        <v>0</v>
      </c>
      <c r="O1223">
        <v>1</v>
      </c>
      <c r="P1223">
        <v>15042</v>
      </c>
      <c r="Q1223">
        <v>6900</v>
      </c>
      <c r="R1223">
        <v>525</v>
      </c>
      <c r="S1223">
        <v>2891</v>
      </c>
      <c r="T1223">
        <v>0</v>
      </c>
      <c r="U1223">
        <v>4726</v>
      </c>
      <c r="V1223" s="1">
        <f t="shared" si="57"/>
        <v>0.15759999999999999</v>
      </c>
      <c r="W1223" s="1">
        <f t="shared" si="58"/>
        <v>0</v>
      </c>
      <c r="X1223" s="1">
        <f t="shared" si="59"/>
        <v>6.9999999999999999E-4</v>
      </c>
    </row>
    <row r="1224" spans="1:24" x14ac:dyDescent="0.25">
      <c r="A1224">
        <v>2016</v>
      </c>
      <c r="B1224">
        <v>6</v>
      </c>
      <c r="C1224" t="s">
        <v>41</v>
      </c>
      <c r="D1224" t="str">
        <f>_xlfn.XLOOKUP(C1224,'Carrier Name Rename'!A:A,'Carrier Name Rename'!B:B)</f>
        <v>United Air Lines Inc.</v>
      </c>
      <c r="E1224" t="s">
        <v>23</v>
      </c>
      <c r="F1224" t="s">
        <v>24</v>
      </c>
      <c r="G1224">
        <v>895</v>
      </c>
      <c r="H1224">
        <v>200</v>
      </c>
      <c r="I1224">
        <v>52.4</v>
      </c>
      <c r="J1224">
        <v>10.9</v>
      </c>
      <c r="K1224">
        <v>70.150000000000006</v>
      </c>
      <c r="L1224">
        <v>0</v>
      </c>
      <c r="M1224">
        <v>66.55</v>
      </c>
      <c r="N1224">
        <v>7</v>
      </c>
      <c r="O1224">
        <v>1</v>
      </c>
      <c r="P1224">
        <v>12513</v>
      </c>
      <c r="Q1224">
        <v>3096</v>
      </c>
      <c r="R1224">
        <v>963</v>
      </c>
      <c r="S1224">
        <v>3160</v>
      </c>
      <c r="T1224">
        <v>0</v>
      </c>
      <c r="U1224">
        <v>5294</v>
      </c>
      <c r="V1224" s="1">
        <f t="shared" si="57"/>
        <v>0.2235</v>
      </c>
      <c r="W1224" s="1">
        <f t="shared" si="58"/>
        <v>7.7999999999999996E-3</v>
      </c>
      <c r="X1224" s="1">
        <f t="shared" si="59"/>
        <v>1.1000000000000001E-3</v>
      </c>
    </row>
    <row r="1225" spans="1:24" x14ac:dyDescent="0.25">
      <c r="A1225">
        <v>2016</v>
      </c>
      <c r="B1225">
        <v>6</v>
      </c>
      <c r="C1225" t="s">
        <v>51</v>
      </c>
      <c r="D1225" t="str">
        <f>_xlfn.XLOOKUP(C1225,'Carrier Name Rename'!A:A,'Carrier Name Rename'!B:B)</f>
        <v>Virgin America</v>
      </c>
      <c r="E1225" t="s">
        <v>23</v>
      </c>
      <c r="F1225" t="s">
        <v>24</v>
      </c>
      <c r="G1225">
        <v>224</v>
      </c>
      <c r="H1225">
        <v>48</v>
      </c>
      <c r="I1225">
        <v>5.53</v>
      </c>
      <c r="J1225">
        <v>2.57</v>
      </c>
      <c r="K1225">
        <v>24.29</v>
      </c>
      <c r="L1225">
        <v>0</v>
      </c>
      <c r="M1225">
        <v>15.61</v>
      </c>
      <c r="N1225">
        <v>7</v>
      </c>
      <c r="O1225">
        <v>0</v>
      </c>
      <c r="P1225">
        <v>2424</v>
      </c>
      <c r="Q1225">
        <v>389</v>
      </c>
      <c r="R1225">
        <v>74</v>
      </c>
      <c r="S1225">
        <v>892</v>
      </c>
      <c r="T1225">
        <v>0</v>
      </c>
      <c r="U1225">
        <v>1069</v>
      </c>
      <c r="V1225" s="1">
        <f t="shared" si="57"/>
        <v>0.21429999999999999</v>
      </c>
      <c r="W1225" s="1">
        <f t="shared" si="58"/>
        <v>3.1300000000000001E-2</v>
      </c>
      <c r="X1225" s="1">
        <f t="shared" si="59"/>
        <v>0</v>
      </c>
    </row>
    <row r="1226" spans="1:24" x14ac:dyDescent="0.25">
      <c r="A1226">
        <v>2016</v>
      </c>
      <c r="B1226">
        <v>6</v>
      </c>
      <c r="C1226" t="s">
        <v>43</v>
      </c>
      <c r="D1226" t="str">
        <f>_xlfn.XLOOKUP(C1226,'Carrier Name Rename'!A:A,'Carrier Name Rename'!B:B)</f>
        <v>Southwest Airlines Co.</v>
      </c>
      <c r="E1226" t="s">
        <v>23</v>
      </c>
      <c r="F1226" t="s">
        <v>24</v>
      </c>
      <c r="G1226">
        <v>1408</v>
      </c>
      <c r="H1226">
        <v>427</v>
      </c>
      <c r="I1226">
        <v>148.59</v>
      </c>
      <c r="J1226">
        <v>7.19</v>
      </c>
      <c r="K1226">
        <v>113.29</v>
      </c>
      <c r="L1226">
        <v>0.4</v>
      </c>
      <c r="M1226">
        <v>157.53</v>
      </c>
      <c r="N1226">
        <v>8</v>
      </c>
      <c r="O1226">
        <v>3</v>
      </c>
      <c r="P1226">
        <v>20790</v>
      </c>
      <c r="Q1226">
        <v>8709</v>
      </c>
      <c r="R1226">
        <v>186</v>
      </c>
      <c r="S1226">
        <v>4028</v>
      </c>
      <c r="T1226">
        <v>6</v>
      </c>
      <c r="U1226">
        <v>7861</v>
      </c>
      <c r="V1226" s="1">
        <f t="shared" si="57"/>
        <v>0.30330000000000001</v>
      </c>
      <c r="W1226" s="1">
        <f t="shared" si="58"/>
        <v>5.7000000000000002E-3</v>
      </c>
      <c r="X1226" s="1">
        <f t="shared" si="59"/>
        <v>2.0999999999999999E-3</v>
      </c>
    </row>
    <row r="1227" spans="1:24" x14ac:dyDescent="0.25">
      <c r="A1227">
        <v>2016</v>
      </c>
      <c r="B1227">
        <v>5</v>
      </c>
      <c r="C1227" t="s">
        <v>31</v>
      </c>
      <c r="D1227" t="str">
        <f>_xlfn.XLOOKUP(C1227,'Carrier Name Rename'!A:A,'Carrier Name Rename'!B:B)</f>
        <v>American Airlines Inc.</v>
      </c>
      <c r="E1227" t="s">
        <v>23</v>
      </c>
      <c r="F1227" t="s">
        <v>24</v>
      </c>
      <c r="G1227">
        <v>738</v>
      </c>
      <c r="H1227">
        <v>135</v>
      </c>
      <c r="I1227">
        <v>56.41</v>
      </c>
      <c r="J1227">
        <v>4.49</v>
      </c>
      <c r="K1227">
        <v>35.69</v>
      </c>
      <c r="L1227">
        <v>0.83</v>
      </c>
      <c r="M1227">
        <v>37.58</v>
      </c>
      <c r="N1227">
        <v>3</v>
      </c>
      <c r="O1227">
        <v>0</v>
      </c>
      <c r="P1227">
        <v>8773</v>
      </c>
      <c r="Q1227">
        <v>3374</v>
      </c>
      <c r="R1227">
        <v>380</v>
      </c>
      <c r="S1227">
        <v>1372</v>
      </c>
      <c r="T1227">
        <v>15</v>
      </c>
      <c r="U1227">
        <v>3632</v>
      </c>
      <c r="V1227" s="1">
        <f t="shared" si="57"/>
        <v>0.18290000000000001</v>
      </c>
      <c r="W1227" s="1">
        <f t="shared" si="58"/>
        <v>4.1000000000000003E-3</v>
      </c>
      <c r="X1227" s="1">
        <f t="shared" si="59"/>
        <v>0</v>
      </c>
    </row>
    <row r="1228" spans="1:24" x14ac:dyDescent="0.25">
      <c r="A1228">
        <v>2016</v>
      </c>
      <c r="B1228">
        <v>5</v>
      </c>
      <c r="C1228" t="s">
        <v>33</v>
      </c>
      <c r="D1228" t="str">
        <f>_xlfn.XLOOKUP(C1228,'Carrier Name Rename'!A:A,'Carrier Name Rename'!B:B)</f>
        <v>Alaska Airlines Inc.</v>
      </c>
      <c r="E1228" t="s">
        <v>23</v>
      </c>
      <c r="F1228" t="s">
        <v>24</v>
      </c>
      <c r="G1228">
        <v>5008</v>
      </c>
      <c r="H1228">
        <v>432</v>
      </c>
      <c r="I1228">
        <v>103.28</v>
      </c>
      <c r="J1228">
        <v>7.19</v>
      </c>
      <c r="K1228">
        <v>179.92</v>
      </c>
      <c r="L1228">
        <v>7.18</v>
      </c>
      <c r="M1228">
        <v>134.43</v>
      </c>
      <c r="N1228">
        <v>15</v>
      </c>
      <c r="O1228">
        <v>5</v>
      </c>
      <c r="P1228">
        <v>19964</v>
      </c>
      <c r="Q1228">
        <v>6581</v>
      </c>
      <c r="R1228">
        <v>583</v>
      </c>
      <c r="S1228">
        <v>5222</v>
      </c>
      <c r="T1228">
        <v>164</v>
      </c>
      <c r="U1228">
        <v>7414</v>
      </c>
      <c r="V1228" s="1">
        <f t="shared" si="57"/>
        <v>8.6300000000000002E-2</v>
      </c>
      <c r="W1228" s="1">
        <f t="shared" si="58"/>
        <v>3.0000000000000001E-3</v>
      </c>
      <c r="X1228" s="1">
        <f t="shared" si="59"/>
        <v>1E-3</v>
      </c>
    </row>
    <row r="1229" spans="1:24" x14ac:dyDescent="0.25">
      <c r="A1229">
        <v>2016</v>
      </c>
      <c r="B1229">
        <v>5</v>
      </c>
      <c r="C1229" t="s">
        <v>35</v>
      </c>
      <c r="D1229" t="str">
        <f>_xlfn.XLOOKUP(C1229,'Carrier Name Rename'!A:A,'Carrier Name Rename'!B:B)</f>
        <v>JetBlue Airways</v>
      </c>
      <c r="E1229" t="s">
        <v>23</v>
      </c>
      <c r="F1229" t="s">
        <v>24</v>
      </c>
      <c r="G1229">
        <v>203</v>
      </c>
      <c r="H1229">
        <v>20</v>
      </c>
      <c r="I1229">
        <v>11.22</v>
      </c>
      <c r="J1229">
        <v>0</v>
      </c>
      <c r="K1229">
        <v>3.68</v>
      </c>
      <c r="L1229">
        <v>0</v>
      </c>
      <c r="M1229">
        <v>5.0999999999999996</v>
      </c>
      <c r="N1229">
        <v>0</v>
      </c>
      <c r="O1229">
        <v>0</v>
      </c>
      <c r="P1229">
        <v>918</v>
      </c>
      <c r="Q1229">
        <v>681</v>
      </c>
      <c r="R1229">
        <v>0</v>
      </c>
      <c r="S1229">
        <v>90</v>
      </c>
      <c r="T1229">
        <v>0</v>
      </c>
      <c r="U1229">
        <v>147</v>
      </c>
      <c r="V1229" s="1">
        <f t="shared" si="57"/>
        <v>9.8500000000000004E-2</v>
      </c>
      <c r="W1229" s="1">
        <f t="shared" si="58"/>
        <v>0</v>
      </c>
      <c r="X1229" s="1">
        <f t="shared" si="59"/>
        <v>0</v>
      </c>
    </row>
    <row r="1230" spans="1:24" x14ac:dyDescent="0.25">
      <c r="A1230">
        <v>2016</v>
      </c>
      <c r="B1230">
        <v>5</v>
      </c>
      <c r="C1230" t="s">
        <v>37</v>
      </c>
      <c r="D1230" t="str">
        <f>_xlfn.XLOOKUP(C1230,'Carrier Name Rename'!A:A,'Carrier Name Rename'!B:B)</f>
        <v>Delta Air Lines Inc.</v>
      </c>
      <c r="E1230" t="s">
        <v>23</v>
      </c>
      <c r="F1230" t="s">
        <v>24</v>
      </c>
      <c r="G1230">
        <v>1754</v>
      </c>
      <c r="H1230">
        <v>114</v>
      </c>
      <c r="I1230">
        <v>45.44</v>
      </c>
      <c r="J1230">
        <v>3.63</v>
      </c>
      <c r="K1230">
        <v>31.38</v>
      </c>
      <c r="L1230">
        <v>0</v>
      </c>
      <c r="M1230">
        <v>33.54</v>
      </c>
      <c r="N1230">
        <v>0</v>
      </c>
      <c r="O1230">
        <v>0</v>
      </c>
      <c r="P1230">
        <v>7876</v>
      </c>
      <c r="Q1230">
        <v>5187</v>
      </c>
      <c r="R1230">
        <v>136</v>
      </c>
      <c r="S1230">
        <v>758</v>
      </c>
      <c r="T1230">
        <v>0</v>
      </c>
      <c r="U1230">
        <v>1795</v>
      </c>
      <c r="V1230" s="1">
        <f t="shared" si="57"/>
        <v>6.5000000000000002E-2</v>
      </c>
      <c r="W1230" s="1">
        <f t="shared" si="58"/>
        <v>0</v>
      </c>
      <c r="X1230" s="1">
        <f t="shared" si="59"/>
        <v>0</v>
      </c>
    </row>
    <row r="1231" spans="1:24" x14ac:dyDescent="0.25">
      <c r="A1231">
        <v>2016</v>
      </c>
      <c r="B1231">
        <v>5</v>
      </c>
      <c r="C1231" t="s">
        <v>39</v>
      </c>
      <c r="D1231" t="str">
        <f>_xlfn.XLOOKUP(C1231,'Carrier Name Rename'!A:A,'Carrier Name Rename'!B:B)</f>
        <v>Frontier Airlines Inc.</v>
      </c>
      <c r="E1231" t="s">
        <v>23</v>
      </c>
      <c r="F1231" t="s">
        <v>24</v>
      </c>
      <c r="G1231">
        <v>93</v>
      </c>
      <c r="H1231">
        <v>17</v>
      </c>
      <c r="I1231">
        <v>5.38</v>
      </c>
      <c r="J1231">
        <v>0.53</v>
      </c>
      <c r="K1231">
        <v>3.64</v>
      </c>
      <c r="L1231">
        <v>0</v>
      </c>
      <c r="M1231">
        <v>7.45</v>
      </c>
      <c r="N1231">
        <v>0</v>
      </c>
      <c r="O1231">
        <v>0</v>
      </c>
      <c r="P1231">
        <v>1051</v>
      </c>
      <c r="Q1231">
        <v>257</v>
      </c>
      <c r="R1231">
        <v>27</v>
      </c>
      <c r="S1231">
        <v>222</v>
      </c>
      <c r="T1231">
        <v>0</v>
      </c>
      <c r="U1231">
        <v>545</v>
      </c>
      <c r="V1231" s="1">
        <f t="shared" si="57"/>
        <v>0.18279999999999999</v>
      </c>
      <c r="W1231" s="1">
        <f t="shared" si="58"/>
        <v>0</v>
      </c>
      <c r="X1231" s="1">
        <f t="shared" si="59"/>
        <v>0</v>
      </c>
    </row>
    <row r="1232" spans="1:24" x14ac:dyDescent="0.25">
      <c r="A1232">
        <v>2016</v>
      </c>
      <c r="B1232">
        <v>5</v>
      </c>
      <c r="C1232" t="s">
        <v>21</v>
      </c>
      <c r="D1232" t="str">
        <f>_xlfn.XLOOKUP(C1232,'Carrier Name Rename'!A:A,'Carrier Name Rename'!B:B)</f>
        <v>Hawaiian Airlines Inc.</v>
      </c>
      <c r="E1232" t="s">
        <v>23</v>
      </c>
      <c r="F1232" t="s">
        <v>24</v>
      </c>
      <c r="G1232">
        <v>62</v>
      </c>
      <c r="H1232">
        <v>8</v>
      </c>
      <c r="I1232">
        <v>7.69</v>
      </c>
      <c r="J1232">
        <v>0.31</v>
      </c>
      <c r="K1232">
        <v>0</v>
      </c>
      <c r="L1232">
        <v>0</v>
      </c>
      <c r="M1232">
        <v>0</v>
      </c>
      <c r="N1232">
        <v>0</v>
      </c>
      <c r="O1232">
        <v>1</v>
      </c>
      <c r="P1232">
        <v>277</v>
      </c>
      <c r="Q1232">
        <v>272</v>
      </c>
      <c r="R1232">
        <v>5</v>
      </c>
      <c r="S1232">
        <v>0</v>
      </c>
      <c r="T1232">
        <v>0</v>
      </c>
      <c r="U1232">
        <v>0</v>
      </c>
      <c r="V1232" s="1">
        <f t="shared" si="57"/>
        <v>0.129</v>
      </c>
      <c r="W1232" s="1">
        <f t="shared" si="58"/>
        <v>0</v>
      </c>
      <c r="X1232" s="1">
        <f t="shared" si="59"/>
        <v>1.61E-2</v>
      </c>
    </row>
    <row r="1233" spans="1:24" x14ac:dyDescent="0.25">
      <c r="A1233">
        <v>2016</v>
      </c>
      <c r="B1233">
        <v>5</v>
      </c>
      <c r="C1233" t="s">
        <v>25</v>
      </c>
      <c r="D1233" t="str">
        <f>_xlfn.XLOOKUP(C1233,'Carrier Name Rename'!A:A,'Carrier Name Rename'!B:B)</f>
        <v>Spirit Airlines</v>
      </c>
      <c r="E1233" t="s">
        <v>23</v>
      </c>
      <c r="F1233" t="s">
        <v>24</v>
      </c>
      <c r="G1233">
        <v>124</v>
      </c>
      <c r="H1233">
        <v>24</v>
      </c>
      <c r="I1233">
        <v>8.86</v>
      </c>
      <c r="J1233">
        <v>0</v>
      </c>
      <c r="K1233">
        <v>7.51</v>
      </c>
      <c r="L1233">
        <v>0</v>
      </c>
      <c r="M1233">
        <v>7.63</v>
      </c>
      <c r="N1233">
        <v>0</v>
      </c>
      <c r="O1233">
        <v>0</v>
      </c>
      <c r="P1233">
        <v>1367</v>
      </c>
      <c r="Q1233">
        <v>675</v>
      </c>
      <c r="R1233">
        <v>0</v>
      </c>
      <c r="S1233">
        <v>366</v>
      </c>
      <c r="T1233">
        <v>0</v>
      </c>
      <c r="U1233">
        <v>326</v>
      </c>
      <c r="V1233" s="1">
        <f t="shared" si="57"/>
        <v>0.19350000000000001</v>
      </c>
      <c r="W1233" s="1">
        <f t="shared" si="58"/>
        <v>0</v>
      </c>
      <c r="X1233" s="1">
        <f t="shared" si="59"/>
        <v>0</v>
      </c>
    </row>
    <row r="1234" spans="1:24" x14ac:dyDescent="0.25">
      <c r="A1234">
        <v>2016</v>
      </c>
      <c r="B1234">
        <v>5</v>
      </c>
      <c r="C1234" t="s">
        <v>27</v>
      </c>
      <c r="D1234" t="str">
        <f>_xlfn.XLOOKUP(C1234,'Carrier Name Rename'!A:A,'Carrier Name Rename'!B:B)</f>
        <v>SkyWest Airlines Inc.</v>
      </c>
      <c r="E1234" t="s">
        <v>23</v>
      </c>
      <c r="F1234" t="s">
        <v>24</v>
      </c>
      <c r="G1234">
        <v>1352</v>
      </c>
      <c r="H1234">
        <v>135</v>
      </c>
      <c r="I1234">
        <v>33.92</v>
      </c>
      <c r="J1234">
        <v>2.68</v>
      </c>
      <c r="K1234">
        <v>35.82</v>
      </c>
      <c r="L1234">
        <v>0</v>
      </c>
      <c r="M1234">
        <v>62.58</v>
      </c>
      <c r="N1234">
        <v>2</v>
      </c>
      <c r="O1234">
        <v>0</v>
      </c>
      <c r="P1234">
        <v>7297</v>
      </c>
      <c r="Q1234">
        <v>3089</v>
      </c>
      <c r="R1234">
        <v>81</v>
      </c>
      <c r="S1234">
        <v>958</v>
      </c>
      <c r="T1234">
        <v>0</v>
      </c>
      <c r="U1234">
        <v>3169</v>
      </c>
      <c r="V1234" s="1">
        <f t="shared" si="57"/>
        <v>9.9900000000000003E-2</v>
      </c>
      <c r="W1234" s="1">
        <f t="shared" si="58"/>
        <v>1.5E-3</v>
      </c>
      <c r="X1234" s="1">
        <f t="shared" si="59"/>
        <v>0</v>
      </c>
    </row>
    <row r="1235" spans="1:24" x14ac:dyDescent="0.25">
      <c r="A1235">
        <v>2016</v>
      </c>
      <c r="B1235">
        <v>5</v>
      </c>
      <c r="C1235" t="s">
        <v>41</v>
      </c>
      <c r="D1235" t="str">
        <f>_xlfn.XLOOKUP(C1235,'Carrier Name Rename'!A:A,'Carrier Name Rename'!B:B)</f>
        <v>United Air Lines Inc.</v>
      </c>
      <c r="E1235" t="s">
        <v>23</v>
      </c>
      <c r="F1235" t="s">
        <v>24</v>
      </c>
      <c r="G1235">
        <v>824</v>
      </c>
      <c r="H1235">
        <v>109</v>
      </c>
      <c r="I1235">
        <v>39.880000000000003</v>
      </c>
      <c r="J1235">
        <v>3.15</v>
      </c>
      <c r="K1235">
        <v>21.49</v>
      </c>
      <c r="L1235">
        <v>0</v>
      </c>
      <c r="M1235">
        <v>44.48</v>
      </c>
      <c r="N1235">
        <v>1</v>
      </c>
      <c r="O1235">
        <v>0</v>
      </c>
      <c r="P1235">
        <v>7793</v>
      </c>
      <c r="Q1235">
        <v>2089</v>
      </c>
      <c r="R1235">
        <v>865</v>
      </c>
      <c r="S1235">
        <v>938</v>
      </c>
      <c r="T1235">
        <v>0</v>
      </c>
      <c r="U1235">
        <v>3901</v>
      </c>
      <c r="V1235" s="1">
        <f t="shared" si="57"/>
        <v>0.1323</v>
      </c>
      <c r="W1235" s="1">
        <f t="shared" si="58"/>
        <v>1.1999999999999999E-3</v>
      </c>
      <c r="X1235" s="1">
        <f t="shared" si="59"/>
        <v>0</v>
      </c>
    </row>
    <row r="1236" spans="1:24" x14ac:dyDescent="0.25">
      <c r="A1236">
        <v>2016</v>
      </c>
      <c r="B1236">
        <v>5</v>
      </c>
      <c r="C1236" t="s">
        <v>51</v>
      </c>
      <c r="D1236" t="str">
        <f>_xlfn.XLOOKUP(C1236,'Carrier Name Rename'!A:A,'Carrier Name Rename'!B:B)</f>
        <v>Virgin America</v>
      </c>
      <c r="E1236" t="s">
        <v>23</v>
      </c>
      <c r="F1236" t="s">
        <v>24</v>
      </c>
      <c r="G1236">
        <v>221</v>
      </c>
      <c r="H1236">
        <v>32</v>
      </c>
      <c r="I1236">
        <v>6.34</v>
      </c>
      <c r="J1236">
        <v>1.35</v>
      </c>
      <c r="K1236">
        <v>7.32</v>
      </c>
      <c r="L1236">
        <v>0</v>
      </c>
      <c r="M1236">
        <v>16.989999999999998</v>
      </c>
      <c r="N1236">
        <v>1</v>
      </c>
      <c r="O1236">
        <v>0</v>
      </c>
      <c r="P1236">
        <v>1602</v>
      </c>
      <c r="Q1236">
        <v>549</v>
      </c>
      <c r="R1236">
        <v>24</v>
      </c>
      <c r="S1236">
        <v>202</v>
      </c>
      <c r="T1236">
        <v>0</v>
      </c>
      <c r="U1236">
        <v>827</v>
      </c>
      <c r="V1236" s="1">
        <f t="shared" si="57"/>
        <v>0.14480000000000001</v>
      </c>
      <c r="W1236" s="1">
        <f t="shared" si="58"/>
        <v>4.4999999999999997E-3</v>
      </c>
      <c r="X1236" s="1">
        <f t="shared" si="59"/>
        <v>0</v>
      </c>
    </row>
    <row r="1237" spans="1:24" x14ac:dyDescent="0.25">
      <c r="A1237">
        <v>2016</v>
      </c>
      <c r="B1237">
        <v>5</v>
      </c>
      <c r="C1237" t="s">
        <v>43</v>
      </c>
      <c r="D1237" t="str">
        <f>_xlfn.XLOOKUP(C1237,'Carrier Name Rename'!A:A,'Carrier Name Rename'!B:B)</f>
        <v>Southwest Airlines Co.</v>
      </c>
      <c r="E1237" t="s">
        <v>23</v>
      </c>
      <c r="F1237" t="s">
        <v>24</v>
      </c>
      <c r="G1237">
        <v>1121</v>
      </c>
      <c r="H1237">
        <v>212</v>
      </c>
      <c r="I1237">
        <v>74.010000000000005</v>
      </c>
      <c r="J1237">
        <v>0.66</v>
      </c>
      <c r="K1237">
        <v>49.09</v>
      </c>
      <c r="L1237">
        <v>0.25</v>
      </c>
      <c r="M1237">
        <v>87.99</v>
      </c>
      <c r="N1237">
        <v>2</v>
      </c>
      <c r="O1237">
        <v>1</v>
      </c>
      <c r="P1237">
        <v>8620</v>
      </c>
      <c r="Q1237">
        <v>3110</v>
      </c>
      <c r="R1237">
        <v>53</v>
      </c>
      <c r="S1237">
        <v>1350</v>
      </c>
      <c r="T1237">
        <v>11</v>
      </c>
      <c r="U1237">
        <v>4096</v>
      </c>
      <c r="V1237" s="1">
        <f t="shared" si="57"/>
        <v>0.18909999999999999</v>
      </c>
      <c r="W1237" s="1">
        <f t="shared" si="58"/>
        <v>1.8E-3</v>
      </c>
      <c r="X1237" s="1">
        <f t="shared" si="59"/>
        <v>8.9999999999999998E-4</v>
      </c>
    </row>
    <row r="1238" spans="1:24" x14ac:dyDescent="0.25">
      <c r="A1238">
        <v>2016</v>
      </c>
      <c r="B1238">
        <v>4</v>
      </c>
      <c r="C1238" t="s">
        <v>31</v>
      </c>
      <c r="D1238" t="str">
        <f>_xlfn.XLOOKUP(C1238,'Carrier Name Rename'!A:A,'Carrier Name Rename'!B:B)</f>
        <v>American Airlines Inc.</v>
      </c>
      <c r="E1238" t="s">
        <v>23</v>
      </c>
      <c r="F1238" t="s">
        <v>24</v>
      </c>
      <c r="G1238">
        <v>623</v>
      </c>
      <c r="H1238">
        <v>91</v>
      </c>
      <c r="I1238">
        <v>26.29</v>
      </c>
      <c r="J1238">
        <v>2.62</v>
      </c>
      <c r="K1238">
        <v>29.45</v>
      </c>
      <c r="L1238">
        <v>1</v>
      </c>
      <c r="M1238">
        <v>31.64</v>
      </c>
      <c r="N1238">
        <v>3</v>
      </c>
      <c r="O1238">
        <v>0</v>
      </c>
      <c r="P1238">
        <v>5215</v>
      </c>
      <c r="Q1238">
        <v>1623</v>
      </c>
      <c r="R1238">
        <v>242</v>
      </c>
      <c r="S1238">
        <v>931</v>
      </c>
      <c r="T1238">
        <v>20</v>
      </c>
      <c r="U1238">
        <v>2399</v>
      </c>
      <c r="V1238" s="1">
        <f t="shared" si="57"/>
        <v>0.14610000000000001</v>
      </c>
      <c r="W1238" s="1">
        <f t="shared" si="58"/>
        <v>4.7999999999999996E-3</v>
      </c>
      <c r="X1238" s="1">
        <f t="shared" si="59"/>
        <v>0</v>
      </c>
    </row>
    <row r="1239" spans="1:24" x14ac:dyDescent="0.25">
      <c r="A1239">
        <v>2016</v>
      </c>
      <c r="B1239">
        <v>4</v>
      </c>
      <c r="C1239" t="s">
        <v>33</v>
      </c>
      <c r="D1239" t="str">
        <f>_xlfn.XLOOKUP(C1239,'Carrier Name Rename'!A:A,'Carrier Name Rename'!B:B)</f>
        <v>Alaska Airlines Inc.</v>
      </c>
      <c r="E1239" t="s">
        <v>23</v>
      </c>
      <c r="F1239" t="s">
        <v>24</v>
      </c>
      <c r="G1239">
        <v>4706</v>
      </c>
      <c r="H1239">
        <v>566</v>
      </c>
      <c r="I1239">
        <v>105.24</v>
      </c>
      <c r="J1239">
        <v>5.58</v>
      </c>
      <c r="K1239">
        <v>312.25</v>
      </c>
      <c r="L1239">
        <v>6.1</v>
      </c>
      <c r="M1239">
        <v>136.83000000000001</v>
      </c>
      <c r="N1239">
        <v>6</v>
      </c>
      <c r="O1239">
        <v>6</v>
      </c>
      <c r="P1239">
        <v>26845</v>
      </c>
      <c r="Q1239">
        <v>7369</v>
      </c>
      <c r="R1239">
        <v>497</v>
      </c>
      <c r="S1239">
        <v>9778</v>
      </c>
      <c r="T1239">
        <v>141</v>
      </c>
      <c r="U1239">
        <v>9060</v>
      </c>
      <c r="V1239" s="1">
        <f t="shared" si="57"/>
        <v>0.1203</v>
      </c>
      <c r="W1239" s="1">
        <f t="shared" si="58"/>
        <v>1.2999999999999999E-3</v>
      </c>
      <c r="X1239" s="1">
        <f t="shared" si="59"/>
        <v>1.2999999999999999E-3</v>
      </c>
    </row>
    <row r="1240" spans="1:24" x14ac:dyDescent="0.25">
      <c r="A1240">
        <v>2016</v>
      </c>
      <c r="B1240">
        <v>4</v>
      </c>
      <c r="C1240" t="s">
        <v>35</v>
      </c>
      <c r="D1240" t="str">
        <f>_xlfn.XLOOKUP(C1240,'Carrier Name Rename'!A:A,'Carrier Name Rename'!B:B)</f>
        <v>JetBlue Airways</v>
      </c>
      <c r="E1240" t="s">
        <v>23</v>
      </c>
      <c r="F1240" t="s">
        <v>24</v>
      </c>
      <c r="G1240">
        <v>145</v>
      </c>
      <c r="H1240">
        <v>31</v>
      </c>
      <c r="I1240">
        <v>4.97</v>
      </c>
      <c r="J1240">
        <v>0.76</v>
      </c>
      <c r="K1240">
        <v>21.06</v>
      </c>
      <c r="L1240">
        <v>0</v>
      </c>
      <c r="M1240">
        <v>4.21</v>
      </c>
      <c r="N1240">
        <v>0</v>
      </c>
      <c r="O1240">
        <v>0</v>
      </c>
      <c r="P1240">
        <v>1273</v>
      </c>
      <c r="Q1240">
        <v>230</v>
      </c>
      <c r="R1240">
        <v>102</v>
      </c>
      <c r="S1240">
        <v>764</v>
      </c>
      <c r="T1240">
        <v>0</v>
      </c>
      <c r="U1240">
        <v>177</v>
      </c>
      <c r="V1240" s="1">
        <f t="shared" si="57"/>
        <v>0.21379999999999999</v>
      </c>
      <c r="W1240" s="1">
        <f t="shared" si="58"/>
        <v>0</v>
      </c>
      <c r="X1240" s="1">
        <f t="shared" si="59"/>
        <v>0</v>
      </c>
    </row>
    <row r="1241" spans="1:24" x14ac:dyDescent="0.25">
      <c r="A1241">
        <v>2016</v>
      </c>
      <c r="B1241">
        <v>4</v>
      </c>
      <c r="C1241" t="s">
        <v>37</v>
      </c>
      <c r="D1241" t="str">
        <f>_xlfn.XLOOKUP(C1241,'Carrier Name Rename'!A:A,'Carrier Name Rename'!B:B)</f>
        <v>Delta Air Lines Inc.</v>
      </c>
      <c r="E1241" t="s">
        <v>23</v>
      </c>
      <c r="F1241" t="s">
        <v>24</v>
      </c>
      <c r="G1241">
        <v>1501</v>
      </c>
      <c r="H1241">
        <v>136</v>
      </c>
      <c r="I1241">
        <v>45.87</v>
      </c>
      <c r="J1241">
        <v>2.23</v>
      </c>
      <c r="K1241">
        <v>45.48</v>
      </c>
      <c r="L1241">
        <v>1</v>
      </c>
      <c r="M1241">
        <v>41.43</v>
      </c>
      <c r="N1241">
        <v>0</v>
      </c>
      <c r="O1241">
        <v>0</v>
      </c>
      <c r="P1241">
        <v>6981</v>
      </c>
      <c r="Q1241">
        <v>2908</v>
      </c>
      <c r="R1241">
        <v>452</v>
      </c>
      <c r="S1241">
        <v>1533</v>
      </c>
      <c r="T1241">
        <v>90</v>
      </c>
      <c r="U1241">
        <v>1998</v>
      </c>
      <c r="V1241" s="1">
        <f t="shared" si="57"/>
        <v>9.06E-2</v>
      </c>
      <c r="W1241" s="1">
        <f t="shared" si="58"/>
        <v>0</v>
      </c>
      <c r="X1241" s="1">
        <f t="shared" si="59"/>
        <v>0</v>
      </c>
    </row>
    <row r="1242" spans="1:24" x14ac:dyDescent="0.25">
      <c r="A1242">
        <v>2016</v>
      </c>
      <c r="B1242">
        <v>4</v>
      </c>
      <c r="C1242" t="s">
        <v>39</v>
      </c>
      <c r="D1242" t="str">
        <f>_xlfn.XLOOKUP(C1242,'Carrier Name Rename'!A:A,'Carrier Name Rename'!B:B)</f>
        <v>Frontier Airlines Inc.</v>
      </c>
      <c r="E1242" t="s">
        <v>23</v>
      </c>
      <c r="F1242" t="s">
        <v>24</v>
      </c>
      <c r="G1242">
        <v>77</v>
      </c>
      <c r="H1242">
        <v>12</v>
      </c>
      <c r="I1242">
        <v>3.17</v>
      </c>
      <c r="J1242">
        <v>0</v>
      </c>
      <c r="K1242">
        <v>6.55</v>
      </c>
      <c r="L1242">
        <v>0</v>
      </c>
      <c r="M1242">
        <v>2.2799999999999998</v>
      </c>
      <c r="N1242">
        <v>1</v>
      </c>
      <c r="O1242">
        <v>0</v>
      </c>
      <c r="P1242">
        <v>763</v>
      </c>
      <c r="Q1242">
        <v>270</v>
      </c>
      <c r="R1242">
        <v>0</v>
      </c>
      <c r="S1242">
        <v>225</v>
      </c>
      <c r="T1242">
        <v>0</v>
      </c>
      <c r="U1242">
        <v>268</v>
      </c>
      <c r="V1242" s="1">
        <f t="shared" si="57"/>
        <v>0.15579999999999999</v>
      </c>
      <c r="W1242" s="1">
        <f t="shared" si="58"/>
        <v>1.2999999999999999E-2</v>
      </c>
      <c r="X1242" s="1">
        <f t="shared" si="59"/>
        <v>0</v>
      </c>
    </row>
    <row r="1243" spans="1:24" x14ac:dyDescent="0.25">
      <c r="A1243">
        <v>2016</v>
      </c>
      <c r="B1243">
        <v>4</v>
      </c>
      <c r="C1243" t="s">
        <v>21</v>
      </c>
      <c r="D1243" t="str">
        <f>_xlfn.XLOOKUP(C1243,'Carrier Name Rename'!A:A,'Carrier Name Rename'!B:B)</f>
        <v>Hawaiian Airlines Inc.</v>
      </c>
      <c r="E1243" t="s">
        <v>23</v>
      </c>
      <c r="F1243" t="s">
        <v>24</v>
      </c>
      <c r="G1243">
        <v>60</v>
      </c>
      <c r="H1243">
        <v>7</v>
      </c>
      <c r="I1243">
        <v>7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674</v>
      </c>
      <c r="Q1243">
        <v>674</v>
      </c>
      <c r="R1243">
        <v>0</v>
      </c>
      <c r="S1243">
        <v>0</v>
      </c>
      <c r="T1243">
        <v>0</v>
      </c>
      <c r="U1243">
        <v>0</v>
      </c>
      <c r="V1243" s="1">
        <f t="shared" si="57"/>
        <v>0.1167</v>
      </c>
      <c r="W1243" s="1">
        <f t="shared" si="58"/>
        <v>0</v>
      </c>
      <c r="X1243" s="1">
        <f t="shared" si="59"/>
        <v>0</v>
      </c>
    </row>
    <row r="1244" spans="1:24" x14ac:dyDescent="0.25">
      <c r="A1244">
        <v>2016</v>
      </c>
      <c r="B1244">
        <v>4</v>
      </c>
      <c r="C1244" t="s">
        <v>25</v>
      </c>
      <c r="D1244" t="str">
        <f>_xlfn.XLOOKUP(C1244,'Carrier Name Rename'!A:A,'Carrier Name Rename'!B:B)</f>
        <v>Spirit Airlines</v>
      </c>
      <c r="E1244" t="s">
        <v>23</v>
      </c>
      <c r="F1244" t="s">
        <v>24</v>
      </c>
      <c r="G1244">
        <v>94</v>
      </c>
      <c r="H1244">
        <v>30</v>
      </c>
      <c r="I1244">
        <v>4.37</v>
      </c>
      <c r="J1244">
        <v>0</v>
      </c>
      <c r="K1244">
        <v>20.02</v>
      </c>
      <c r="L1244">
        <v>0</v>
      </c>
      <c r="M1244">
        <v>5.61</v>
      </c>
      <c r="N1244">
        <v>0</v>
      </c>
      <c r="O1244">
        <v>0</v>
      </c>
      <c r="P1244">
        <v>1396</v>
      </c>
      <c r="Q1244">
        <v>201</v>
      </c>
      <c r="R1244">
        <v>0</v>
      </c>
      <c r="S1244">
        <v>824</v>
      </c>
      <c r="T1244">
        <v>0</v>
      </c>
      <c r="U1244">
        <v>371</v>
      </c>
      <c r="V1244" s="1">
        <f t="shared" si="57"/>
        <v>0.31909999999999999</v>
      </c>
      <c r="W1244" s="1">
        <f t="shared" si="58"/>
        <v>0</v>
      </c>
      <c r="X1244" s="1">
        <f t="shared" si="59"/>
        <v>0</v>
      </c>
    </row>
    <row r="1245" spans="1:24" x14ac:dyDescent="0.25">
      <c r="A1245">
        <v>2016</v>
      </c>
      <c r="B1245">
        <v>4</v>
      </c>
      <c r="C1245" t="s">
        <v>27</v>
      </c>
      <c r="D1245" t="str">
        <f>_xlfn.XLOOKUP(C1245,'Carrier Name Rename'!A:A,'Carrier Name Rename'!B:B)</f>
        <v>SkyWest Airlines Inc.</v>
      </c>
      <c r="E1245" t="s">
        <v>23</v>
      </c>
      <c r="F1245" t="s">
        <v>24</v>
      </c>
      <c r="G1245">
        <v>1237</v>
      </c>
      <c r="H1245">
        <v>173</v>
      </c>
      <c r="I1245">
        <v>35.450000000000003</v>
      </c>
      <c r="J1245">
        <v>15.3</v>
      </c>
      <c r="K1245">
        <v>58.9</v>
      </c>
      <c r="L1245">
        <v>0</v>
      </c>
      <c r="M1245">
        <v>63.35</v>
      </c>
      <c r="N1245">
        <v>4</v>
      </c>
      <c r="O1245">
        <v>0</v>
      </c>
      <c r="P1245">
        <v>13042</v>
      </c>
      <c r="Q1245">
        <v>6266</v>
      </c>
      <c r="R1245">
        <v>719</v>
      </c>
      <c r="S1245">
        <v>1975</v>
      </c>
      <c r="T1245">
        <v>0</v>
      </c>
      <c r="U1245">
        <v>4082</v>
      </c>
      <c r="V1245" s="1">
        <f t="shared" si="57"/>
        <v>0.1399</v>
      </c>
      <c r="W1245" s="1">
        <f t="shared" si="58"/>
        <v>3.2000000000000002E-3</v>
      </c>
      <c r="X1245" s="1">
        <f t="shared" si="59"/>
        <v>0</v>
      </c>
    </row>
    <row r="1246" spans="1:24" x14ac:dyDescent="0.25">
      <c r="A1246">
        <v>2016</v>
      </c>
      <c r="B1246">
        <v>4</v>
      </c>
      <c r="C1246" t="s">
        <v>41</v>
      </c>
      <c r="D1246" t="str">
        <f>_xlfn.XLOOKUP(C1246,'Carrier Name Rename'!A:A,'Carrier Name Rename'!B:B)</f>
        <v>United Air Lines Inc.</v>
      </c>
      <c r="E1246" t="s">
        <v>23</v>
      </c>
      <c r="F1246" t="s">
        <v>24</v>
      </c>
      <c r="G1246">
        <v>699</v>
      </c>
      <c r="H1246">
        <v>103</v>
      </c>
      <c r="I1246">
        <v>27.86</v>
      </c>
      <c r="J1246">
        <v>5.3</v>
      </c>
      <c r="K1246">
        <v>35.65</v>
      </c>
      <c r="L1246">
        <v>0</v>
      </c>
      <c r="M1246">
        <v>34.19</v>
      </c>
      <c r="N1246">
        <v>9</v>
      </c>
      <c r="O1246">
        <v>1</v>
      </c>
      <c r="P1246">
        <v>5951</v>
      </c>
      <c r="Q1246">
        <v>1461</v>
      </c>
      <c r="R1246">
        <v>354</v>
      </c>
      <c r="S1246">
        <v>1652</v>
      </c>
      <c r="T1246">
        <v>0</v>
      </c>
      <c r="U1246">
        <v>2484</v>
      </c>
      <c r="V1246" s="1">
        <f t="shared" si="57"/>
        <v>0.1474</v>
      </c>
      <c r="W1246" s="1">
        <f t="shared" si="58"/>
        <v>1.29E-2</v>
      </c>
      <c r="X1246" s="1">
        <f t="shared" si="59"/>
        <v>1.4E-3</v>
      </c>
    </row>
    <row r="1247" spans="1:24" x14ac:dyDescent="0.25">
      <c r="A1247">
        <v>2016</v>
      </c>
      <c r="B1247">
        <v>4</v>
      </c>
      <c r="C1247" t="s">
        <v>51</v>
      </c>
      <c r="D1247" t="str">
        <f>_xlfn.XLOOKUP(C1247,'Carrier Name Rename'!A:A,'Carrier Name Rename'!B:B)</f>
        <v>Virgin America</v>
      </c>
      <c r="E1247" t="s">
        <v>23</v>
      </c>
      <c r="F1247" t="s">
        <v>24</v>
      </c>
      <c r="G1247">
        <v>195</v>
      </c>
      <c r="H1247">
        <v>47</v>
      </c>
      <c r="I1247">
        <v>9.2799999999999994</v>
      </c>
      <c r="J1247">
        <v>3.91</v>
      </c>
      <c r="K1247">
        <v>10</v>
      </c>
      <c r="L1247">
        <v>0</v>
      </c>
      <c r="M1247">
        <v>23.82</v>
      </c>
      <c r="N1247">
        <v>1</v>
      </c>
      <c r="O1247">
        <v>0</v>
      </c>
      <c r="P1247">
        <v>1829</v>
      </c>
      <c r="Q1247">
        <v>303</v>
      </c>
      <c r="R1247">
        <v>100</v>
      </c>
      <c r="S1247">
        <v>308</v>
      </c>
      <c r="T1247">
        <v>0</v>
      </c>
      <c r="U1247">
        <v>1118</v>
      </c>
      <c r="V1247" s="1">
        <f t="shared" si="57"/>
        <v>0.24099999999999999</v>
      </c>
      <c r="W1247" s="1">
        <f t="shared" si="58"/>
        <v>5.1000000000000004E-3</v>
      </c>
      <c r="X1247" s="1">
        <f t="shared" si="59"/>
        <v>0</v>
      </c>
    </row>
    <row r="1248" spans="1:24" x14ac:dyDescent="0.25">
      <c r="A1248">
        <v>2016</v>
      </c>
      <c r="B1248">
        <v>4</v>
      </c>
      <c r="C1248" t="s">
        <v>43</v>
      </c>
      <c r="D1248" t="str">
        <f>_xlfn.XLOOKUP(C1248,'Carrier Name Rename'!A:A,'Carrier Name Rename'!B:B)</f>
        <v>Southwest Airlines Co.</v>
      </c>
      <c r="E1248" t="s">
        <v>23</v>
      </c>
      <c r="F1248" t="s">
        <v>24</v>
      </c>
      <c r="G1248">
        <v>982</v>
      </c>
      <c r="H1248">
        <v>215</v>
      </c>
      <c r="I1248">
        <v>56.92</v>
      </c>
      <c r="J1248">
        <v>4.09</v>
      </c>
      <c r="K1248">
        <v>61.97</v>
      </c>
      <c r="L1248">
        <v>0.68</v>
      </c>
      <c r="M1248">
        <v>91.33</v>
      </c>
      <c r="N1248">
        <v>2</v>
      </c>
      <c r="O1248">
        <v>1</v>
      </c>
      <c r="P1248">
        <v>9126</v>
      </c>
      <c r="Q1248">
        <v>2556</v>
      </c>
      <c r="R1248">
        <v>142</v>
      </c>
      <c r="S1248">
        <v>1758</v>
      </c>
      <c r="T1248">
        <v>13</v>
      </c>
      <c r="U1248">
        <v>4657</v>
      </c>
      <c r="V1248" s="1">
        <f t="shared" si="57"/>
        <v>0.21890000000000001</v>
      </c>
      <c r="W1248" s="1">
        <f t="shared" si="58"/>
        <v>2E-3</v>
      </c>
      <c r="X1248" s="1">
        <f t="shared" si="59"/>
        <v>1E-3</v>
      </c>
    </row>
    <row r="1249" spans="1:24" x14ac:dyDescent="0.25">
      <c r="A1249">
        <v>2016</v>
      </c>
      <c r="B1249">
        <v>3</v>
      </c>
      <c r="C1249" t="s">
        <v>31</v>
      </c>
      <c r="D1249" t="str">
        <f>_xlfn.XLOOKUP(C1249,'Carrier Name Rename'!A:A,'Carrier Name Rename'!B:B)</f>
        <v>American Airlines Inc.</v>
      </c>
      <c r="E1249" t="s">
        <v>23</v>
      </c>
      <c r="F1249" t="s">
        <v>24</v>
      </c>
      <c r="G1249">
        <v>647</v>
      </c>
      <c r="H1249">
        <v>109</v>
      </c>
      <c r="I1249">
        <v>39.270000000000003</v>
      </c>
      <c r="J1249">
        <v>4.82</v>
      </c>
      <c r="K1249">
        <v>30.01</v>
      </c>
      <c r="L1249">
        <v>0</v>
      </c>
      <c r="M1249">
        <v>34.909999999999997</v>
      </c>
      <c r="N1249">
        <v>3</v>
      </c>
      <c r="O1249">
        <v>0</v>
      </c>
      <c r="P1249">
        <v>4536</v>
      </c>
      <c r="Q1249">
        <v>1815</v>
      </c>
      <c r="R1249">
        <v>321</v>
      </c>
      <c r="S1249">
        <v>838</v>
      </c>
      <c r="T1249">
        <v>0</v>
      </c>
      <c r="U1249">
        <v>1562</v>
      </c>
      <c r="V1249" s="1">
        <f t="shared" si="57"/>
        <v>0.16850000000000001</v>
      </c>
      <c r="W1249" s="1">
        <f t="shared" si="58"/>
        <v>4.5999999999999999E-3</v>
      </c>
      <c r="X1249" s="1">
        <f t="shared" si="59"/>
        <v>0</v>
      </c>
    </row>
    <row r="1250" spans="1:24" x14ac:dyDescent="0.25">
      <c r="A1250">
        <v>2016</v>
      </c>
      <c r="B1250">
        <v>3</v>
      </c>
      <c r="C1250" t="s">
        <v>33</v>
      </c>
      <c r="D1250" t="str">
        <f>_xlfn.XLOOKUP(C1250,'Carrier Name Rename'!A:A,'Carrier Name Rename'!B:B)</f>
        <v>Alaska Airlines Inc.</v>
      </c>
      <c r="E1250" t="s">
        <v>23</v>
      </c>
      <c r="F1250" t="s">
        <v>24</v>
      </c>
      <c r="G1250">
        <v>4661</v>
      </c>
      <c r="H1250">
        <v>573</v>
      </c>
      <c r="I1250">
        <v>121.11</v>
      </c>
      <c r="J1250">
        <v>6.27</v>
      </c>
      <c r="K1250">
        <v>272.91000000000003</v>
      </c>
      <c r="L1250">
        <v>7.3</v>
      </c>
      <c r="M1250">
        <v>165.42</v>
      </c>
      <c r="N1250">
        <v>21</v>
      </c>
      <c r="O1250">
        <v>8</v>
      </c>
      <c r="P1250">
        <v>25936</v>
      </c>
      <c r="Q1250">
        <v>7264</v>
      </c>
      <c r="R1250">
        <v>616</v>
      </c>
      <c r="S1250">
        <v>7561</v>
      </c>
      <c r="T1250">
        <v>170</v>
      </c>
      <c r="U1250">
        <v>10325</v>
      </c>
      <c r="V1250" s="1">
        <f t="shared" si="57"/>
        <v>0.1229</v>
      </c>
      <c r="W1250" s="1">
        <f t="shared" si="58"/>
        <v>4.4999999999999997E-3</v>
      </c>
      <c r="X1250" s="1">
        <f t="shared" si="59"/>
        <v>1.6999999999999999E-3</v>
      </c>
    </row>
    <row r="1251" spans="1:24" x14ac:dyDescent="0.25">
      <c r="A1251">
        <v>2016</v>
      </c>
      <c r="B1251">
        <v>3</v>
      </c>
      <c r="C1251" t="s">
        <v>35</v>
      </c>
      <c r="D1251" t="str">
        <f>_xlfn.XLOOKUP(C1251,'Carrier Name Rename'!A:A,'Carrier Name Rename'!B:B)</f>
        <v>JetBlue Airways</v>
      </c>
      <c r="E1251" t="s">
        <v>23</v>
      </c>
      <c r="F1251" t="s">
        <v>24</v>
      </c>
      <c r="G1251">
        <v>151</v>
      </c>
      <c r="H1251">
        <v>33</v>
      </c>
      <c r="I1251">
        <v>15.12</v>
      </c>
      <c r="J1251">
        <v>0</v>
      </c>
      <c r="K1251">
        <v>11.49</v>
      </c>
      <c r="L1251">
        <v>0.28000000000000003</v>
      </c>
      <c r="M1251">
        <v>6.1</v>
      </c>
      <c r="N1251">
        <v>0</v>
      </c>
      <c r="O1251">
        <v>2</v>
      </c>
      <c r="P1251">
        <v>1600</v>
      </c>
      <c r="Q1251">
        <v>831</v>
      </c>
      <c r="R1251">
        <v>0</v>
      </c>
      <c r="S1251">
        <v>370</v>
      </c>
      <c r="T1251">
        <v>9</v>
      </c>
      <c r="U1251">
        <v>390</v>
      </c>
      <c r="V1251" s="1">
        <f t="shared" si="57"/>
        <v>0.2185</v>
      </c>
      <c r="W1251" s="1">
        <f t="shared" si="58"/>
        <v>0</v>
      </c>
      <c r="X1251" s="1">
        <f t="shared" si="59"/>
        <v>1.32E-2</v>
      </c>
    </row>
    <row r="1252" spans="1:24" x14ac:dyDescent="0.25">
      <c r="A1252">
        <v>2016</v>
      </c>
      <c r="B1252">
        <v>3</v>
      </c>
      <c r="C1252" t="s">
        <v>37</v>
      </c>
      <c r="D1252" t="str">
        <f>_xlfn.XLOOKUP(C1252,'Carrier Name Rename'!A:A,'Carrier Name Rename'!B:B)</f>
        <v>Delta Air Lines Inc.</v>
      </c>
      <c r="E1252" t="s">
        <v>23</v>
      </c>
      <c r="F1252" t="s">
        <v>24</v>
      </c>
      <c r="G1252">
        <v>1507</v>
      </c>
      <c r="H1252">
        <v>226</v>
      </c>
      <c r="I1252">
        <v>74.569999999999993</v>
      </c>
      <c r="J1252">
        <v>5.38</v>
      </c>
      <c r="K1252">
        <v>76.34</v>
      </c>
      <c r="L1252">
        <v>1</v>
      </c>
      <c r="M1252">
        <v>68.72</v>
      </c>
      <c r="N1252">
        <v>3</v>
      </c>
      <c r="O1252">
        <v>0</v>
      </c>
      <c r="P1252">
        <v>12588</v>
      </c>
      <c r="Q1252">
        <v>5293</v>
      </c>
      <c r="R1252">
        <v>184</v>
      </c>
      <c r="S1252">
        <v>2241</v>
      </c>
      <c r="T1252">
        <v>16</v>
      </c>
      <c r="U1252">
        <v>4854</v>
      </c>
      <c r="V1252" s="1">
        <f t="shared" si="57"/>
        <v>0.15</v>
      </c>
      <c r="W1252" s="1">
        <f t="shared" si="58"/>
        <v>2E-3</v>
      </c>
      <c r="X1252" s="1">
        <f t="shared" si="59"/>
        <v>0</v>
      </c>
    </row>
    <row r="1253" spans="1:24" x14ac:dyDescent="0.25">
      <c r="A1253">
        <v>2016</v>
      </c>
      <c r="B1253">
        <v>3</v>
      </c>
      <c r="C1253" t="s">
        <v>39</v>
      </c>
      <c r="D1253" t="str">
        <f>_xlfn.XLOOKUP(C1253,'Carrier Name Rename'!A:A,'Carrier Name Rename'!B:B)</f>
        <v>Frontier Airlines Inc.</v>
      </c>
      <c r="E1253" t="s">
        <v>23</v>
      </c>
      <c r="F1253" t="s">
        <v>24</v>
      </c>
      <c r="G1253">
        <v>60</v>
      </c>
      <c r="H1253">
        <v>8</v>
      </c>
      <c r="I1253">
        <v>2.71</v>
      </c>
      <c r="J1253">
        <v>0.5</v>
      </c>
      <c r="K1253">
        <v>3.07</v>
      </c>
      <c r="L1253">
        <v>0</v>
      </c>
      <c r="M1253">
        <v>1.72</v>
      </c>
      <c r="N1253">
        <v>2</v>
      </c>
      <c r="O1253">
        <v>1</v>
      </c>
      <c r="P1253">
        <v>457</v>
      </c>
      <c r="Q1253">
        <v>68</v>
      </c>
      <c r="R1253">
        <v>52</v>
      </c>
      <c r="S1253">
        <v>156</v>
      </c>
      <c r="T1253">
        <v>0</v>
      </c>
      <c r="U1253">
        <v>181</v>
      </c>
      <c r="V1253" s="1">
        <f t="shared" si="57"/>
        <v>0.1333</v>
      </c>
      <c r="W1253" s="1">
        <f t="shared" si="58"/>
        <v>3.3300000000000003E-2</v>
      </c>
      <c r="X1253" s="1">
        <f t="shared" si="59"/>
        <v>1.67E-2</v>
      </c>
    </row>
    <row r="1254" spans="1:24" x14ac:dyDescent="0.25">
      <c r="A1254">
        <v>2016</v>
      </c>
      <c r="B1254">
        <v>3</v>
      </c>
      <c r="C1254" t="s">
        <v>21</v>
      </c>
      <c r="D1254" t="str">
        <f>_xlfn.XLOOKUP(C1254,'Carrier Name Rename'!A:A,'Carrier Name Rename'!B:B)</f>
        <v>Hawaiian Airlines Inc.</v>
      </c>
      <c r="E1254" t="s">
        <v>23</v>
      </c>
      <c r="F1254" t="s">
        <v>24</v>
      </c>
      <c r="G1254">
        <v>62</v>
      </c>
      <c r="H1254">
        <v>12</v>
      </c>
      <c r="I1254">
        <v>6.92</v>
      </c>
      <c r="J1254">
        <v>0</v>
      </c>
      <c r="K1254">
        <v>0</v>
      </c>
      <c r="L1254">
        <v>0.08</v>
      </c>
      <c r="M1254">
        <v>5</v>
      </c>
      <c r="N1254">
        <v>0</v>
      </c>
      <c r="O1254">
        <v>0</v>
      </c>
      <c r="P1254">
        <v>343</v>
      </c>
      <c r="Q1254">
        <v>169</v>
      </c>
      <c r="R1254">
        <v>0</v>
      </c>
      <c r="S1254">
        <v>0</v>
      </c>
      <c r="T1254">
        <v>3</v>
      </c>
      <c r="U1254">
        <v>171</v>
      </c>
      <c r="V1254" s="1">
        <f t="shared" si="57"/>
        <v>0.19350000000000001</v>
      </c>
      <c r="W1254" s="1">
        <f t="shared" si="58"/>
        <v>0</v>
      </c>
      <c r="X1254" s="1">
        <f t="shared" si="59"/>
        <v>0</v>
      </c>
    </row>
    <row r="1255" spans="1:24" x14ac:dyDescent="0.25">
      <c r="A1255">
        <v>2016</v>
      </c>
      <c r="B1255">
        <v>3</v>
      </c>
      <c r="C1255" t="s">
        <v>25</v>
      </c>
      <c r="D1255" t="str">
        <f>_xlfn.XLOOKUP(C1255,'Carrier Name Rename'!A:A,'Carrier Name Rename'!B:B)</f>
        <v>Spirit Airlines</v>
      </c>
      <c r="E1255" t="s">
        <v>23</v>
      </c>
      <c r="F1255" t="s">
        <v>24</v>
      </c>
      <c r="G1255">
        <v>15</v>
      </c>
      <c r="H1255">
        <v>4</v>
      </c>
      <c r="I1255">
        <v>0</v>
      </c>
      <c r="J1255">
        <v>0</v>
      </c>
      <c r="K1255">
        <v>4</v>
      </c>
      <c r="L1255">
        <v>0</v>
      </c>
      <c r="M1255">
        <v>0</v>
      </c>
      <c r="N1255">
        <v>1</v>
      </c>
      <c r="O1255">
        <v>0</v>
      </c>
      <c r="P1255">
        <v>211</v>
      </c>
      <c r="Q1255">
        <v>0</v>
      </c>
      <c r="R1255">
        <v>0</v>
      </c>
      <c r="S1255">
        <v>211</v>
      </c>
      <c r="T1255">
        <v>0</v>
      </c>
      <c r="U1255">
        <v>0</v>
      </c>
      <c r="V1255" s="1">
        <f t="shared" si="57"/>
        <v>0.26669999999999999</v>
      </c>
      <c r="W1255" s="1">
        <f t="shared" si="58"/>
        <v>6.6699999999999995E-2</v>
      </c>
      <c r="X1255" s="1">
        <f t="shared" si="59"/>
        <v>0</v>
      </c>
    </row>
    <row r="1256" spans="1:24" x14ac:dyDescent="0.25">
      <c r="A1256">
        <v>2016</v>
      </c>
      <c r="B1256">
        <v>3</v>
      </c>
      <c r="C1256" t="s">
        <v>27</v>
      </c>
      <c r="D1256" t="str">
        <f>_xlfn.XLOOKUP(C1256,'Carrier Name Rename'!A:A,'Carrier Name Rename'!B:B)</f>
        <v>SkyWest Airlines Inc.</v>
      </c>
      <c r="E1256" t="s">
        <v>23</v>
      </c>
      <c r="F1256" t="s">
        <v>24</v>
      </c>
      <c r="G1256">
        <v>1398</v>
      </c>
      <c r="H1256">
        <v>183</v>
      </c>
      <c r="I1256">
        <v>41.28</v>
      </c>
      <c r="J1256">
        <v>3.19</v>
      </c>
      <c r="K1256">
        <v>61.73</v>
      </c>
      <c r="L1256">
        <v>0</v>
      </c>
      <c r="M1256">
        <v>76.790000000000006</v>
      </c>
      <c r="N1256">
        <v>13</v>
      </c>
      <c r="O1256">
        <v>4</v>
      </c>
      <c r="P1256">
        <v>11661</v>
      </c>
      <c r="Q1256">
        <v>4452</v>
      </c>
      <c r="R1256">
        <v>184</v>
      </c>
      <c r="S1256">
        <v>1605</v>
      </c>
      <c r="T1256">
        <v>0</v>
      </c>
      <c r="U1256">
        <v>5420</v>
      </c>
      <c r="V1256" s="1">
        <f t="shared" si="57"/>
        <v>0.13089999999999999</v>
      </c>
      <c r="W1256" s="1">
        <f t="shared" si="58"/>
        <v>9.2999999999999992E-3</v>
      </c>
      <c r="X1256" s="1">
        <f t="shared" si="59"/>
        <v>2.8999999999999998E-3</v>
      </c>
    </row>
    <row r="1257" spans="1:24" x14ac:dyDescent="0.25">
      <c r="A1257">
        <v>2016</v>
      </c>
      <c r="B1257">
        <v>3</v>
      </c>
      <c r="C1257" t="s">
        <v>41</v>
      </c>
      <c r="D1257" t="str">
        <f>_xlfn.XLOOKUP(C1257,'Carrier Name Rename'!A:A,'Carrier Name Rename'!B:B)</f>
        <v>United Air Lines Inc.</v>
      </c>
      <c r="E1257" t="s">
        <v>23</v>
      </c>
      <c r="F1257" t="s">
        <v>24</v>
      </c>
      <c r="G1257">
        <v>672</v>
      </c>
      <c r="H1257">
        <v>128</v>
      </c>
      <c r="I1257">
        <v>46.56</v>
      </c>
      <c r="J1257">
        <v>6.1</v>
      </c>
      <c r="K1257">
        <v>21.6</v>
      </c>
      <c r="L1257">
        <v>0</v>
      </c>
      <c r="M1257">
        <v>53.74</v>
      </c>
      <c r="N1257">
        <v>6</v>
      </c>
      <c r="O1257">
        <v>0</v>
      </c>
      <c r="P1257">
        <v>7313</v>
      </c>
      <c r="Q1257">
        <v>2939</v>
      </c>
      <c r="R1257">
        <v>339</v>
      </c>
      <c r="S1257">
        <v>634</v>
      </c>
      <c r="T1257">
        <v>0</v>
      </c>
      <c r="U1257">
        <v>3401</v>
      </c>
      <c r="V1257" s="1">
        <f t="shared" si="57"/>
        <v>0.1905</v>
      </c>
      <c r="W1257" s="1">
        <f t="shared" si="58"/>
        <v>8.8999999999999999E-3</v>
      </c>
      <c r="X1257" s="1">
        <f t="shared" si="59"/>
        <v>0</v>
      </c>
    </row>
    <row r="1258" spans="1:24" x14ac:dyDescent="0.25">
      <c r="A1258">
        <v>2016</v>
      </c>
      <c r="B1258">
        <v>3</v>
      </c>
      <c r="C1258" t="s">
        <v>51</v>
      </c>
      <c r="D1258" t="str">
        <f>_xlfn.XLOOKUP(C1258,'Carrier Name Rename'!A:A,'Carrier Name Rename'!B:B)</f>
        <v>Virgin America</v>
      </c>
      <c r="E1258" t="s">
        <v>23</v>
      </c>
      <c r="F1258" t="s">
        <v>24</v>
      </c>
      <c r="G1258">
        <v>195</v>
      </c>
      <c r="H1258">
        <v>50</v>
      </c>
      <c r="I1258">
        <v>7.7</v>
      </c>
      <c r="J1258">
        <v>3.31</v>
      </c>
      <c r="K1258">
        <v>9.51</v>
      </c>
      <c r="L1258">
        <v>0</v>
      </c>
      <c r="M1258">
        <v>29.48</v>
      </c>
      <c r="N1258">
        <v>6</v>
      </c>
      <c r="O1258">
        <v>0</v>
      </c>
      <c r="P1258">
        <v>2806</v>
      </c>
      <c r="Q1258">
        <v>277</v>
      </c>
      <c r="R1258">
        <v>81</v>
      </c>
      <c r="S1258">
        <v>295</v>
      </c>
      <c r="T1258">
        <v>0</v>
      </c>
      <c r="U1258">
        <v>2153</v>
      </c>
      <c r="V1258" s="1">
        <f t="shared" si="57"/>
        <v>0.25640000000000002</v>
      </c>
      <c r="W1258" s="1">
        <f t="shared" si="58"/>
        <v>3.0800000000000001E-2</v>
      </c>
      <c r="X1258" s="1">
        <f t="shared" si="59"/>
        <v>0</v>
      </c>
    </row>
    <row r="1259" spans="1:24" x14ac:dyDescent="0.25">
      <c r="A1259">
        <v>2016</v>
      </c>
      <c r="B1259">
        <v>3</v>
      </c>
      <c r="C1259" t="s">
        <v>43</v>
      </c>
      <c r="D1259" t="str">
        <f>_xlfn.XLOOKUP(C1259,'Carrier Name Rename'!A:A,'Carrier Name Rename'!B:B)</f>
        <v>Southwest Airlines Co.</v>
      </c>
      <c r="E1259" t="s">
        <v>23</v>
      </c>
      <c r="F1259" t="s">
        <v>24</v>
      </c>
      <c r="G1259">
        <v>908</v>
      </c>
      <c r="H1259">
        <v>198</v>
      </c>
      <c r="I1259">
        <v>57.58</v>
      </c>
      <c r="J1259">
        <v>3.06</v>
      </c>
      <c r="K1259">
        <v>51.45</v>
      </c>
      <c r="L1259">
        <v>0.87</v>
      </c>
      <c r="M1259">
        <v>85.03</v>
      </c>
      <c r="N1259">
        <v>6</v>
      </c>
      <c r="O1259">
        <v>1</v>
      </c>
      <c r="P1259">
        <v>7794</v>
      </c>
      <c r="Q1259">
        <v>2360</v>
      </c>
      <c r="R1259">
        <v>250</v>
      </c>
      <c r="S1259">
        <v>1443</v>
      </c>
      <c r="T1259">
        <v>34</v>
      </c>
      <c r="U1259">
        <v>3707</v>
      </c>
      <c r="V1259" s="1">
        <f t="shared" si="57"/>
        <v>0.21809999999999999</v>
      </c>
      <c r="W1259" s="1">
        <f t="shared" si="58"/>
        <v>6.6E-3</v>
      </c>
      <c r="X1259" s="1">
        <f t="shared" si="59"/>
        <v>1.1000000000000001E-3</v>
      </c>
    </row>
    <row r="1260" spans="1:24" x14ac:dyDescent="0.25">
      <c r="A1260">
        <v>2016</v>
      </c>
      <c r="B1260">
        <v>2</v>
      </c>
      <c r="C1260" t="s">
        <v>31</v>
      </c>
      <c r="D1260" t="str">
        <f>_xlfn.XLOOKUP(C1260,'Carrier Name Rename'!A:A,'Carrier Name Rename'!B:B)</f>
        <v>American Airlines Inc.</v>
      </c>
      <c r="E1260" t="s">
        <v>23</v>
      </c>
      <c r="F1260" t="s">
        <v>24</v>
      </c>
      <c r="G1260">
        <v>568</v>
      </c>
      <c r="H1260">
        <v>106</v>
      </c>
      <c r="I1260">
        <v>36.39</v>
      </c>
      <c r="J1260">
        <v>1.91</v>
      </c>
      <c r="K1260">
        <v>44.07</v>
      </c>
      <c r="L1260">
        <v>0.23</v>
      </c>
      <c r="M1260">
        <v>23.4</v>
      </c>
      <c r="N1260">
        <v>2</v>
      </c>
      <c r="O1260">
        <v>2</v>
      </c>
      <c r="P1260">
        <v>5617</v>
      </c>
      <c r="Q1260">
        <v>2446</v>
      </c>
      <c r="R1260">
        <v>134</v>
      </c>
      <c r="S1260">
        <v>1334</v>
      </c>
      <c r="T1260">
        <v>18</v>
      </c>
      <c r="U1260">
        <v>1685</v>
      </c>
      <c r="V1260" s="1">
        <f t="shared" si="57"/>
        <v>0.18659999999999999</v>
      </c>
      <c r="W1260" s="1">
        <f t="shared" si="58"/>
        <v>3.5000000000000001E-3</v>
      </c>
      <c r="X1260" s="1">
        <f t="shared" si="59"/>
        <v>3.5000000000000001E-3</v>
      </c>
    </row>
    <row r="1261" spans="1:24" x14ac:dyDescent="0.25">
      <c r="A1261">
        <v>2016</v>
      </c>
      <c r="B1261">
        <v>2</v>
      </c>
      <c r="C1261" t="s">
        <v>33</v>
      </c>
      <c r="D1261" t="str">
        <f>_xlfn.XLOOKUP(C1261,'Carrier Name Rename'!A:A,'Carrier Name Rename'!B:B)</f>
        <v>Alaska Airlines Inc.</v>
      </c>
      <c r="E1261" t="s">
        <v>23</v>
      </c>
      <c r="F1261" t="s">
        <v>24</v>
      </c>
      <c r="G1261">
        <v>4207</v>
      </c>
      <c r="H1261">
        <v>418</v>
      </c>
      <c r="I1261">
        <v>107.21</v>
      </c>
      <c r="J1261">
        <v>7.27</v>
      </c>
      <c r="K1261">
        <v>188.88</v>
      </c>
      <c r="L1261">
        <v>3.73</v>
      </c>
      <c r="M1261">
        <v>110.9</v>
      </c>
      <c r="N1261">
        <v>17</v>
      </c>
      <c r="O1261">
        <v>7</v>
      </c>
      <c r="P1261">
        <v>21141</v>
      </c>
      <c r="Q1261">
        <v>6169</v>
      </c>
      <c r="R1261">
        <v>1425</v>
      </c>
      <c r="S1261">
        <v>5278</v>
      </c>
      <c r="T1261">
        <v>76</v>
      </c>
      <c r="U1261">
        <v>8193</v>
      </c>
      <c r="V1261" s="1">
        <f t="shared" si="57"/>
        <v>9.9400000000000002E-2</v>
      </c>
      <c r="W1261" s="1">
        <f t="shared" si="58"/>
        <v>4.0000000000000001E-3</v>
      </c>
      <c r="X1261" s="1">
        <f t="shared" si="59"/>
        <v>1.6999999999999999E-3</v>
      </c>
    </row>
    <row r="1262" spans="1:24" x14ac:dyDescent="0.25">
      <c r="A1262">
        <v>2016</v>
      </c>
      <c r="B1262">
        <v>2</v>
      </c>
      <c r="C1262" t="s">
        <v>35</v>
      </c>
      <c r="D1262" t="str">
        <f>_xlfn.XLOOKUP(C1262,'Carrier Name Rename'!A:A,'Carrier Name Rename'!B:B)</f>
        <v>JetBlue Airways</v>
      </c>
      <c r="E1262" t="s">
        <v>23</v>
      </c>
      <c r="F1262" t="s">
        <v>24</v>
      </c>
      <c r="G1262">
        <v>137</v>
      </c>
      <c r="H1262">
        <v>41</v>
      </c>
      <c r="I1262">
        <v>17.73</v>
      </c>
      <c r="J1262">
        <v>4.21</v>
      </c>
      <c r="K1262">
        <v>11.32</v>
      </c>
      <c r="L1262">
        <v>0</v>
      </c>
      <c r="M1262">
        <v>7.74</v>
      </c>
      <c r="N1262">
        <v>2</v>
      </c>
      <c r="O1262">
        <v>2</v>
      </c>
      <c r="P1262">
        <v>2181</v>
      </c>
      <c r="Q1262">
        <v>844</v>
      </c>
      <c r="R1262">
        <v>450</v>
      </c>
      <c r="S1262">
        <v>350</v>
      </c>
      <c r="T1262">
        <v>0</v>
      </c>
      <c r="U1262">
        <v>537</v>
      </c>
      <c r="V1262" s="1">
        <f t="shared" si="57"/>
        <v>0.29930000000000001</v>
      </c>
      <c r="W1262" s="1">
        <f t="shared" si="58"/>
        <v>1.46E-2</v>
      </c>
      <c r="X1262" s="1">
        <f t="shared" si="59"/>
        <v>1.46E-2</v>
      </c>
    </row>
    <row r="1263" spans="1:24" x14ac:dyDescent="0.25">
      <c r="A1263">
        <v>2016</v>
      </c>
      <c r="B1263">
        <v>2</v>
      </c>
      <c r="C1263" t="s">
        <v>37</v>
      </c>
      <c r="D1263" t="str">
        <f>_xlfn.XLOOKUP(C1263,'Carrier Name Rename'!A:A,'Carrier Name Rename'!B:B)</f>
        <v>Delta Air Lines Inc.</v>
      </c>
      <c r="E1263" t="s">
        <v>23</v>
      </c>
      <c r="F1263" t="s">
        <v>24</v>
      </c>
      <c r="G1263">
        <v>1193</v>
      </c>
      <c r="H1263">
        <v>128</v>
      </c>
      <c r="I1263">
        <v>56.21</v>
      </c>
      <c r="J1263">
        <v>5.22</v>
      </c>
      <c r="K1263">
        <v>34.85</v>
      </c>
      <c r="L1263">
        <v>2</v>
      </c>
      <c r="M1263">
        <v>29.72</v>
      </c>
      <c r="N1263">
        <v>1</v>
      </c>
      <c r="O1263">
        <v>6</v>
      </c>
      <c r="P1263">
        <v>8253</v>
      </c>
      <c r="Q1263">
        <v>4712</v>
      </c>
      <c r="R1263">
        <v>501</v>
      </c>
      <c r="S1263">
        <v>1247</v>
      </c>
      <c r="T1263">
        <v>157</v>
      </c>
      <c r="U1263">
        <v>1636</v>
      </c>
      <c r="V1263" s="1">
        <f t="shared" si="57"/>
        <v>0.10730000000000001</v>
      </c>
      <c r="W1263" s="1">
        <f t="shared" si="58"/>
        <v>8.0000000000000004E-4</v>
      </c>
      <c r="X1263" s="1">
        <f t="shared" si="59"/>
        <v>5.0000000000000001E-3</v>
      </c>
    </row>
    <row r="1264" spans="1:24" x14ac:dyDescent="0.25">
      <c r="A1264">
        <v>2016</v>
      </c>
      <c r="B1264">
        <v>2</v>
      </c>
      <c r="C1264" t="s">
        <v>39</v>
      </c>
      <c r="D1264" t="str">
        <f>_xlfn.XLOOKUP(C1264,'Carrier Name Rename'!A:A,'Carrier Name Rename'!B:B)</f>
        <v>Frontier Airlines Inc.</v>
      </c>
      <c r="E1264" t="s">
        <v>23</v>
      </c>
      <c r="F1264" t="s">
        <v>24</v>
      </c>
      <c r="G1264">
        <v>58</v>
      </c>
      <c r="H1264">
        <v>6</v>
      </c>
      <c r="I1264">
        <v>3.9</v>
      </c>
      <c r="J1264">
        <v>0</v>
      </c>
      <c r="K1264">
        <v>0.19</v>
      </c>
      <c r="L1264">
        <v>0</v>
      </c>
      <c r="M1264">
        <v>1.91</v>
      </c>
      <c r="N1264">
        <v>1</v>
      </c>
      <c r="O1264">
        <v>0</v>
      </c>
      <c r="P1264">
        <v>170</v>
      </c>
      <c r="Q1264">
        <v>108</v>
      </c>
      <c r="R1264">
        <v>0</v>
      </c>
      <c r="S1264">
        <v>6</v>
      </c>
      <c r="T1264">
        <v>0</v>
      </c>
      <c r="U1264">
        <v>56</v>
      </c>
      <c r="V1264" s="1">
        <f t="shared" si="57"/>
        <v>0.10340000000000001</v>
      </c>
      <c r="W1264" s="1">
        <f t="shared" si="58"/>
        <v>1.72E-2</v>
      </c>
      <c r="X1264" s="1">
        <f t="shared" si="59"/>
        <v>0</v>
      </c>
    </row>
    <row r="1265" spans="1:24" x14ac:dyDescent="0.25">
      <c r="A1265">
        <v>2016</v>
      </c>
      <c r="B1265">
        <v>2</v>
      </c>
      <c r="C1265" t="s">
        <v>21</v>
      </c>
      <c r="D1265" t="str">
        <f>_xlfn.XLOOKUP(C1265,'Carrier Name Rename'!A:A,'Carrier Name Rename'!B:B)</f>
        <v>Hawaiian Airlines Inc.</v>
      </c>
      <c r="E1265" t="s">
        <v>23</v>
      </c>
      <c r="F1265" t="s">
        <v>24</v>
      </c>
      <c r="G1265">
        <v>58</v>
      </c>
      <c r="H1265">
        <v>5</v>
      </c>
      <c r="I1265">
        <v>3</v>
      </c>
      <c r="J1265">
        <v>0</v>
      </c>
      <c r="K1265">
        <v>0</v>
      </c>
      <c r="L1265">
        <v>0</v>
      </c>
      <c r="M1265">
        <v>2</v>
      </c>
      <c r="N1265">
        <v>0</v>
      </c>
      <c r="O1265">
        <v>0</v>
      </c>
      <c r="P1265">
        <v>138</v>
      </c>
      <c r="Q1265">
        <v>77</v>
      </c>
      <c r="R1265">
        <v>0</v>
      </c>
      <c r="S1265">
        <v>0</v>
      </c>
      <c r="T1265">
        <v>0</v>
      </c>
      <c r="U1265">
        <v>61</v>
      </c>
      <c r="V1265" s="1">
        <f t="shared" si="57"/>
        <v>8.6199999999999999E-2</v>
      </c>
      <c r="W1265" s="1">
        <f t="shared" si="58"/>
        <v>0</v>
      </c>
      <c r="X1265" s="1">
        <f t="shared" si="59"/>
        <v>0</v>
      </c>
    </row>
    <row r="1266" spans="1:24" x14ac:dyDescent="0.25">
      <c r="A1266">
        <v>2016</v>
      </c>
      <c r="B1266">
        <v>2</v>
      </c>
      <c r="C1266" t="s">
        <v>27</v>
      </c>
      <c r="D1266" t="str">
        <f>_xlfn.XLOOKUP(C1266,'Carrier Name Rename'!A:A,'Carrier Name Rename'!B:B)</f>
        <v>SkyWest Airlines Inc.</v>
      </c>
      <c r="E1266" t="s">
        <v>23</v>
      </c>
      <c r="F1266" t="s">
        <v>24</v>
      </c>
      <c r="G1266">
        <v>1346</v>
      </c>
      <c r="H1266">
        <v>157</v>
      </c>
      <c r="I1266">
        <v>30.58</v>
      </c>
      <c r="J1266">
        <v>1.22</v>
      </c>
      <c r="K1266">
        <v>39.049999999999997</v>
      </c>
      <c r="L1266">
        <v>0.39</v>
      </c>
      <c r="M1266">
        <v>85.75</v>
      </c>
      <c r="N1266">
        <v>3</v>
      </c>
      <c r="O1266">
        <v>6</v>
      </c>
      <c r="P1266">
        <v>10588</v>
      </c>
      <c r="Q1266">
        <v>3627</v>
      </c>
      <c r="R1266">
        <v>40</v>
      </c>
      <c r="S1266">
        <v>1256</v>
      </c>
      <c r="T1266">
        <v>13</v>
      </c>
      <c r="U1266">
        <v>5652</v>
      </c>
      <c r="V1266" s="1">
        <f t="shared" si="57"/>
        <v>0.1166</v>
      </c>
      <c r="W1266" s="1">
        <f t="shared" si="58"/>
        <v>2.2000000000000001E-3</v>
      </c>
      <c r="X1266" s="1">
        <f t="shared" si="59"/>
        <v>4.4999999999999997E-3</v>
      </c>
    </row>
    <row r="1267" spans="1:24" x14ac:dyDescent="0.25">
      <c r="A1267">
        <v>2016</v>
      </c>
      <c r="B1267">
        <v>2</v>
      </c>
      <c r="C1267" t="s">
        <v>41</v>
      </c>
      <c r="D1267" t="str">
        <f>_xlfn.XLOOKUP(C1267,'Carrier Name Rename'!A:A,'Carrier Name Rename'!B:B)</f>
        <v>United Air Lines Inc.</v>
      </c>
      <c r="E1267" t="s">
        <v>23</v>
      </c>
      <c r="F1267" t="s">
        <v>24</v>
      </c>
      <c r="G1267">
        <v>632</v>
      </c>
      <c r="H1267">
        <v>89</v>
      </c>
      <c r="I1267">
        <v>35.5</v>
      </c>
      <c r="J1267">
        <v>4.4000000000000004</v>
      </c>
      <c r="K1267">
        <v>13.84</v>
      </c>
      <c r="L1267">
        <v>0</v>
      </c>
      <c r="M1267">
        <v>35.25</v>
      </c>
      <c r="N1267">
        <v>2</v>
      </c>
      <c r="O1267">
        <v>1</v>
      </c>
      <c r="P1267">
        <v>5079</v>
      </c>
      <c r="Q1267">
        <v>1773</v>
      </c>
      <c r="R1267">
        <v>250</v>
      </c>
      <c r="S1267">
        <v>691</v>
      </c>
      <c r="T1267">
        <v>0</v>
      </c>
      <c r="U1267">
        <v>2365</v>
      </c>
      <c r="V1267" s="1">
        <f t="shared" si="57"/>
        <v>0.14080000000000001</v>
      </c>
      <c r="W1267" s="1">
        <f t="shared" si="58"/>
        <v>3.2000000000000002E-3</v>
      </c>
      <c r="X1267" s="1">
        <f t="shared" si="59"/>
        <v>1.6000000000000001E-3</v>
      </c>
    </row>
    <row r="1268" spans="1:24" x14ac:dyDescent="0.25">
      <c r="A1268">
        <v>2016</v>
      </c>
      <c r="B1268">
        <v>2</v>
      </c>
      <c r="C1268" t="s">
        <v>51</v>
      </c>
      <c r="D1268" t="str">
        <f>_xlfn.XLOOKUP(C1268,'Carrier Name Rename'!A:A,'Carrier Name Rename'!B:B)</f>
        <v>Virgin America</v>
      </c>
      <c r="E1268" t="s">
        <v>23</v>
      </c>
      <c r="F1268" t="s">
        <v>24</v>
      </c>
      <c r="G1268">
        <v>175</v>
      </c>
      <c r="H1268">
        <v>23</v>
      </c>
      <c r="I1268">
        <v>7.63</v>
      </c>
      <c r="J1268">
        <v>0.85</v>
      </c>
      <c r="K1268">
        <v>0.5</v>
      </c>
      <c r="L1268">
        <v>0</v>
      </c>
      <c r="M1268">
        <v>14.02</v>
      </c>
      <c r="N1268">
        <v>0</v>
      </c>
      <c r="O1268">
        <v>0</v>
      </c>
      <c r="P1268">
        <v>1223</v>
      </c>
      <c r="Q1268">
        <v>296</v>
      </c>
      <c r="R1268">
        <v>24</v>
      </c>
      <c r="S1268">
        <v>14</v>
      </c>
      <c r="T1268">
        <v>0</v>
      </c>
      <c r="U1268">
        <v>889</v>
      </c>
      <c r="V1268" s="1">
        <f t="shared" si="57"/>
        <v>0.13139999999999999</v>
      </c>
      <c r="W1268" s="1">
        <f t="shared" si="58"/>
        <v>0</v>
      </c>
      <c r="X1268" s="1">
        <f t="shared" si="59"/>
        <v>0</v>
      </c>
    </row>
    <row r="1269" spans="1:24" x14ac:dyDescent="0.25">
      <c r="A1269">
        <v>2016</v>
      </c>
      <c r="B1269">
        <v>2</v>
      </c>
      <c r="C1269" t="s">
        <v>43</v>
      </c>
      <c r="D1269" t="str">
        <f>_xlfn.XLOOKUP(C1269,'Carrier Name Rename'!A:A,'Carrier Name Rename'!B:B)</f>
        <v>Southwest Airlines Co.</v>
      </c>
      <c r="E1269" t="s">
        <v>23</v>
      </c>
      <c r="F1269" t="s">
        <v>24</v>
      </c>
      <c r="G1269">
        <v>830</v>
      </c>
      <c r="H1269">
        <v>94</v>
      </c>
      <c r="I1269">
        <v>28.36</v>
      </c>
      <c r="J1269">
        <v>0.78</v>
      </c>
      <c r="K1269">
        <v>23.58</v>
      </c>
      <c r="L1269">
        <v>1.35</v>
      </c>
      <c r="M1269">
        <v>39.93</v>
      </c>
      <c r="N1269">
        <v>2</v>
      </c>
      <c r="O1269">
        <v>0</v>
      </c>
      <c r="P1269">
        <v>3314</v>
      </c>
      <c r="Q1269">
        <v>978</v>
      </c>
      <c r="R1269">
        <v>43</v>
      </c>
      <c r="S1269">
        <v>614</v>
      </c>
      <c r="T1269">
        <v>78</v>
      </c>
      <c r="U1269">
        <v>1601</v>
      </c>
      <c r="V1269" s="1">
        <f t="shared" si="57"/>
        <v>0.1133</v>
      </c>
      <c r="W1269" s="1">
        <f t="shared" si="58"/>
        <v>2.3999999999999998E-3</v>
      </c>
      <c r="X1269" s="1">
        <f t="shared" si="59"/>
        <v>0</v>
      </c>
    </row>
    <row r="1270" spans="1:24" x14ac:dyDescent="0.25">
      <c r="A1270">
        <v>2016</v>
      </c>
      <c r="B1270">
        <v>1</v>
      </c>
      <c r="C1270" t="s">
        <v>31</v>
      </c>
      <c r="D1270" t="str">
        <f>_xlfn.XLOOKUP(C1270,'Carrier Name Rename'!A:A,'Carrier Name Rename'!B:B)</f>
        <v>American Airlines Inc.</v>
      </c>
      <c r="E1270" t="s">
        <v>23</v>
      </c>
      <c r="F1270" t="s">
        <v>24</v>
      </c>
      <c r="G1270">
        <v>607</v>
      </c>
      <c r="H1270">
        <v>92</v>
      </c>
      <c r="I1270">
        <v>35.520000000000003</v>
      </c>
      <c r="J1270">
        <v>5.4</v>
      </c>
      <c r="K1270">
        <v>23.55</v>
      </c>
      <c r="L1270">
        <v>0</v>
      </c>
      <c r="M1270">
        <v>27.52</v>
      </c>
      <c r="N1270">
        <v>12</v>
      </c>
      <c r="O1270">
        <v>2</v>
      </c>
      <c r="P1270">
        <v>4485</v>
      </c>
      <c r="Q1270">
        <v>1857</v>
      </c>
      <c r="R1270">
        <v>198</v>
      </c>
      <c r="S1270">
        <v>715</v>
      </c>
      <c r="T1270">
        <v>0</v>
      </c>
      <c r="U1270">
        <v>1715</v>
      </c>
      <c r="V1270" s="1">
        <f t="shared" si="57"/>
        <v>0.15160000000000001</v>
      </c>
      <c r="W1270" s="1">
        <f t="shared" si="58"/>
        <v>1.9800000000000002E-2</v>
      </c>
      <c r="X1270" s="1">
        <f t="shared" si="59"/>
        <v>3.3E-3</v>
      </c>
    </row>
    <row r="1271" spans="1:24" x14ac:dyDescent="0.25">
      <c r="A1271">
        <v>2016</v>
      </c>
      <c r="B1271">
        <v>1</v>
      </c>
      <c r="C1271" t="s">
        <v>33</v>
      </c>
      <c r="D1271" t="str">
        <f>_xlfn.XLOOKUP(C1271,'Carrier Name Rename'!A:A,'Carrier Name Rename'!B:B)</f>
        <v>Alaska Airlines Inc.</v>
      </c>
      <c r="E1271" t="s">
        <v>23</v>
      </c>
      <c r="F1271" t="s">
        <v>24</v>
      </c>
      <c r="G1271">
        <v>4444</v>
      </c>
      <c r="H1271">
        <v>449</v>
      </c>
      <c r="I1271">
        <v>95.46</v>
      </c>
      <c r="J1271">
        <v>18.88</v>
      </c>
      <c r="K1271">
        <v>163.05000000000001</v>
      </c>
      <c r="L1271">
        <v>2.33</v>
      </c>
      <c r="M1271">
        <v>169.29</v>
      </c>
      <c r="N1271">
        <v>46</v>
      </c>
      <c r="O1271">
        <v>6</v>
      </c>
      <c r="P1271">
        <v>22790</v>
      </c>
      <c r="Q1271">
        <v>6277</v>
      </c>
      <c r="R1271">
        <v>1554</v>
      </c>
      <c r="S1271">
        <v>4829</v>
      </c>
      <c r="T1271">
        <v>73</v>
      </c>
      <c r="U1271">
        <v>10057</v>
      </c>
      <c r="V1271" s="1">
        <f t="shared" si="57"/>
        <v>0.10100000000000001</v>
      </c>
      <c r="W1271" s="1">
        <f t="shared" si="58"/>
        <v>1.04E-2</v>
      </c>
      <c r="X1271" s="1">
        <f t="shared" si="59"/>
        <v>1.4E-3</v>
      </c>
    </row>
    <row r="1272" spans="1:24" x14ac:dyDescent="0.25">
      <c r="A1272">
        <v>2016</v>
      </c>
      <c r="B1272">
        <v>1</v>
      </c>
      <c r="C1272" t="s">
        <v>35</v>
      </c>
      <c r="D1272" t="str">
        <f>_xlfn.XLOOKUP(C1272,'Carrier Name Rename'!A:A,'Carrier Name Rename'!B:B)</f>
        <v>JetBlue Airways</v>
      </c>
      <c r="E1272" t="s">
        <v>23</v>
      </c>
      <c r="F1272" t="s">
        <v>24</v>
      </c>
      <c r="G1272">
        <v>142</v>
      </c>
      <c r="H1272">
        <v>20</v>
      </c>
      <c r="I1272">
        <v>9.51</v>
      </c>
      <c r="J1272">
        <v>0.38</v>
      </c>
      <c r="K1272">
        <v>6.68</v>
      </c>
      <c r="L1272">
        <v>0</v>
      </c>
      <c r="M1272">
        <v>3.44</v>
      </c>
      <c r="N1272">
        <v>2</v>
      </c>
      <c r="O1272">
        <v>1</v>
      </c>
      <c r="P1272">
        <v>1127</v>
      </c>
      <c r="Q1272">
        <v>574</v>
      </c>
      <c r="R1272">
        <v>67</v>
      </c>
      <c r="S1272">
        <v>315</v>
      </c>
      <c r="T1272">
        <v>0</v>
      </c>
      <c r="U1272">
        <v>171</v>
      </c>
      <c r="V1272" s="1">
        <f t="shared" si="57"/>
        <v>0.14080000000000001</v>
      </c>
      <c r="W1272" s="1">
        <f t="shared" si="58"/>
        <v>1.41E-2</v>
      </c>
      <c r="X1272" s="1">
        <f t="shared" si="59"/>
        <v>7.0000000000000001E-3</v>
      </c>
    </row>
    <row r="1273" spans="1:24" x14ac:dyDescent="0.25">
      <c r="A1273">
        <v>2016</v>
      </c>
      <c r="B1273">
        <v>1</v>
      </c>
      <c r="C1273" t="s">
        <v>37</v>
      </c>
      <c r="D1273" t="str">
        <f>_xlfn.XLOOKUP(C1273,'Carrier Name Rename'!A:A,'Carrier Name Rename'!B:B)</f>
        <v>Delta Air Lines Inc.</v>
      </c>
      <c r="E1273" t="s">
        <v>23</v>
      </c>
      <c r="F1273" t="s">
        <v>24</v>
      </c>
      <c r="G1273">
        <v>1271</v>
      </c>
      <c r="H1273">
        <v>166</v>
      </c>
      <c r="I1273">
        <v>59.53</v>
      </c>
      <c r="J1273">
        <v>10.4</v>
      </c>
      <c r="K1273">
        <v>45.87</v>
      </c>
      <c r="L1273">
        <v>0</v>
      </c>
      <c r="M1273">
        <v>50.2</v>
      </c>
      <c r="N1273">
        <v>7</v>
      </c>
      <c r="O1273">
        <v>3</v>
      </c>
      <c r="P1273">
        <v>11873</v>
      </c>
      <c r="Q1273">
        <v>5977</v>
      </c>
      <c r="R1273">
        <v>1516</v>
      </c>
      <c r="S1273">
        <v>1401</v>
      </c>
      <c r="T1273">
        <v>0</v>
      </c>
      <c r="U1273">
        <v>2979</v>
      </c>
      <c r="V1273" s="1">
        <f t="shared" si="57"/>
        <v>0.13059999999999999</v>
      </c>
      <c r="W1273" s="1">
        <f t="shared" si="58"/>
        <v>5.4999999999999997E-3</v>
      </c>
      <c r="X1273" s="1">
        <f t="shared" si="59"/>
        <v>2.3999999999999998E-3</v>
      </c>
    </row>
    <row r="1274" spans="1:24" x14ac:dyDescent="0.25">
      <c r="A1274">
        <v>2016</v>
      </c>
      <c r="B1274">
        <v>1</v>
      </c>
      <c r="C1274" t="s">
        <v>39</v>
      </c>
      <c r="D1274" t="str">
        <f>_xlfn.XLOOKUP(C1274,'Carrier Name Rename'!A:A,'Carrier Name Rename'!B:B)</f>
        <v>Frontier Airlines Inc.</v>
      </c>
      <c r="E1274" t="s">
        <v>23</v>
      </c>
      <c r="F1274" t="s">
        <v>24</v>
      </c>
      <c r="G1274">
        <v>59</v>
      </c>
      <c r="H1274">
        <v>7</v>
      </c>
      <c r="I1274">
        <v>3.38</v>
      </c>
      <c r="J1274">
        <v>0.97</v>
      </c>
      <c r="K1274">
        <v>1.27</v>
      </c>
      <c r="L1274">
        <v>0</v>
      </c>
      <c r="M1274">
        <v>1.38</v>
      </c>
      <c r="N1274">
        <v>0</v>
      </c>
      <c r="O1274">
        <v>0</v>
      </c>
      <c r="P1274">
        <v>372</v>
      </c>
      <c r="Q1274">
        <v>270</v>
      </c>
      <c r="R1274">
        <v>33</v>
      </c>
      <c r="S1274">
        <v>40</v>
      </c>
      <c r="T1274">
        <v>0</v>
      </c>
      <c r="U1274">
        <v>29</v>
      </c>
      <c r="V1274" s="1">
        <f t="shared" si="57"/>
        <v>0.1186</v>
      </c>
      <c r="W1274" s="1">
        <f t="shared" si="58"/>
        <v>0</v>
      </c>
      <c r="X1274" s="1">
        <f t="shared" si="59"/>
        <v>0</v>
      </c>
    </row>
    <row r="1275" spans="1:24" x14ac:dyDescent="0.25">
      <c r="A1275">
        <v>2016</v>
      </c>
      <c r="B1275">
        <v>1</v>
      </c>
      <c r="C1275" t="s">
        <v>21</v>
      </c>
      <c r="D1275" t="str">
        <f>_xlfn.XLOOKUP(C1275,'Carrier Name Rename'!A:A,'Carrier Name Rename'!B:B)</f>
        <v>Hawaiian Airlines Inc.</v>
      </c>
      <c r="E1275" t="s">
        <v>23</v>
      </c>
      <c r="F1275" t="s">
        <v>24</v>
      </c>
      <c r="G1275">
        <v>62</v>
      </c>
      <c r="H1275">
        <v>8</v>
      </c>
      <c r="I1275">
        <v>3.98</v>
      </c>
      <c r="J1275">
        <v>0</v>
      </c>
      <c r="K1275">
        <v>0</v>
      </c>
      <c r="L1275">
        <v>0</v>
      </c>
      <c r="M1275">
        <v>4.0199999999999996</v>
      </c>
      <c r="N1275">
        <v>0</v>
      </c>
      <c r="O1275">
        <v>0</v>
      </c>
      <c r="P1275">
        <v>345</v>
      </c>
      <c r="Q1275">
        <v>187</v>
      </c>
      <c r="R1275">
        <v>0</v>
      </c>
      <c r="S1275">
        <v>0</v>
      </c>
      <c r="T1275">
        <v>0</v>
      </c>
      <c r="U1275">
        <v>158</v>
      </c>
      <c r="V1275" s="1">
        <f t="shared" si="57"/>
        <v>0.129</v>
      </c>
      <c r="W1275" s="1">
        <f t="shared" si="58"/>
        <v>0</v>
      </c>
      <c r="X1275" s="1">
        <f t="shared" si="59"/>
        <v>0</v>
      </c>
    </row>
    <row r="1276" spans="1:24" x14ac:dyDescent="0.25">
      <c r="A1276">
        <v>2016</v>
      </c>
      <c r="B1276">
        <v>1</v>
      </c>
      <c r="C1276" t="s">
        <v>27</v>
      </c>
      <c r="D1276" t="str">
        <f>_xlfn.XLOOKUP(C1276,'Carrier Name Rename'!A:A,'Carrier Name Rename'!B:B)</f>
        <v>SkyWest Airlines Inc.</v>
      </c>
      <c r="E1276" t="s">
        <v>23</v>
      </c>
      <c r="F1276" t="s">
        <v>24</v>
      </c>
      <c r="G1276">
        <v>1408</v>
      </c>
      <c r="H1276">
        <v>271</v>
      </c>
      <c r="I1276">
        <v>54.65</v>
      </c>
      <c r="J1276">
        <v>6.75</v>
      </c>
      <c r="K1276">
        <v>70.66</v>
      </c>
      <c r="L1276">
        <v>0</v>
      </c>
      <c r="M1276">
        <v>138.94</v>
      </c>
      <c r="N1276">
        <v>17</v>
      </c>
      <c r="O1276">
        <v>15</v>
      </c>
      <c r="P1276">
        <v>19368</v>
      </c>
      <c r="Q1276">
        <v>5881</v>
      </c>
      <c r="R1276">
        <v>537</v>
      </c>
      <c r="S1276">
        <v>2358</v>
      </c>
      <c r="T1276">
        <v>0</v>
      </c>
      <c r="U1276">
        <v>10592</v>
      </c>
      <c r="V1276" s="1">
        <f t="shared" si="57"/>
        <v>0.1925</v>
      </c>
      <c r="W1276" s="1">
        <f t="shared" si="58"/>
        <v>1.21E-2</v>
      </c>
      <c r="X1276" s="1">
        <f t="shared" si="59"/>
        <v>1.0699999999999999E-2</v>
      </c>
    </row>
    <row r="1277" spans="1:24" x14ac:dyDescent="0.25">
      <c r="A1277">
        <v>2016</v>
      </c>
      <c r="B1277">
        <v>1</v>
      </c>
      <c r="C1277" t="s">
        <v>41</v>
      </c>
      <c r="D1277" t="str">
        <f>_xlfn.XLOOKUP(C1277,'Carrier Name Rename'!A:A,'Carrier Name Rename'!B:B)</f>
        <v>United Air Lines Inc.</v>
      </c>
      <c r="E1277" t="s">
        <v>23</v>
      </c>
      <c r="F1277" t="s">
        <v>24</v>
      </c>
      <c r="G1277">
        <v>638</v>
      </c>
      <c r="H1277">
        <v>90</v>
      </c>
      <c r="I1277">
        <v>42.24</v>
      </c>
      <c r="J1277">
        <v>4.51</v>
      </c>
      <c r="K1277">
        <v>13.33</v>
      </c>
      <c r="L1277">
        <v>0</v>
      </c>
      <c r="M1277">
        <v>29.92</v>
      </c>
      <c r="N1277">
        <v>11</v>
      </c>
      <c r="O1277">
        <v>0</v>
      </c>
      <c r="P1277">
        <v>5273</v>
      </c>
      <c r="Q1277">
        <v>2177</v>
      </c>
      <c r="R1277">
        <v>347</v>
      </c>
      <c r="S1277">
        <v>632</v>
      </c>
      <c r="T1277">
        <v>0</v>
      </c>
      <c r="U1277">
        <v>2117</v>
      </c>
      <c r="V1277" s="1">
        <f t="shared" si="57"/>
        <v>0.1411</v>
      </c>
      <c r="W1277" s="1">
        <f t="shared" si="58"/>
        <v>1.72E-2</v>
      </c>
      <c r="X1277" s="1">
        <f t="shared" si="59"/>
        <v>0</v>
      </c>
    </row>
    <row r="1278" spans="1:24" x14ac:dyDescent="0.25">
      <c r="A1278">
        <v>2016</v>
      </c>
      <c r="B1278">
        <v>1</v>
      </c>
      <c r="C1278" t="s">
        <v>51</v>
      </c>
      <c r="D1278" t="str">
        <f>_xlfn.XLOOKUP(C1278,'Carrier Name Rename'!A:A,'Carrier Name Rename'!B:B)</f>
        <v>Virgin America</v>
      </c>
      <c r="E1278" t="s">
        <v>23</v>
      </c>
      <c r="F1278" t="s">
        <v>24</v>
      </c>
      <c r="G1278">
        <v>188</v>
      </c>
      <c r="H1278">
        <v>34</v>
      </c>
      <c r="I1278">
        <v>8.1300000000000008</v>
      </c>
      <c r="J1278">
        <v>2.52</v>
      </c>
      <c r="K1278">
        <v>1.45</v>
      </c>
      <c r="L1278">
        <v>0</v>
      </c>
      <c r="M1278">
        <v>21.9</v>
      </c>
      <c r="N1278">
        <v>3</v>
      </c>
      <c r="O1278">
        <v>0</v>
      </c>
      <c r="P1278">
        <v>2318</v>
      </c>
      <c r="Q1278">
        <v>625</v>
      </c>
      <c r="R1278">
        <v>61</v>
      </c>
      <c r="S1278">
        <v>98</v>
      </c>
      <c r="T1278">
        <v>0</v>
      </c>
      <c r="U1278">
        <v>1534</v>
      </c>
      <c r="V1278" s="1">
        <f t="shared" si="57"/>
        <v>0.18090000000000001</v>
      </c>
      <c r="W1278" s="1">
        <f t="shared" si="58"/>
        <v>1.6E-2</v>
      </c>
      <c r="X1278" s="1">
        <f t="shared" si="59"/>
        <v>0</v>
      </c>
    </row>
    <row r="1279" spans="1:24" x14ac:dyDescent="0.25">
      <c r="A1279">
        <v>2016</v>
      </c>
      <c r="B1279">
        <v>1</v>
      </c>
      <c r="C1279" t="s">
        <v>43</v>
      </c>
      <c r="D1279" t="str">
        <f>_xlfn.XLOOKUP(C1279,'Carrier Name Rename'!A:A,'Carrier Name Rename'!B:B)</f>
        <v>Southwest Airlines Co.</v>
      </c>
      <c r="E1279" t="s">
        <v>23</v>
      </c>
      <c r="F1279" t="s">
        <v>24</v>
      </c>
      <c r="G1279">
        <v>920</v>
      </c>
      <c r="H1279">
        <v>137</v>
      </c>
      <c r="I1279">
        <v>44.44</v>
      </c>
      <c r="J1279">
        <v>0.48</v>
      </c>
      <c r="K1279">
        <v>24.94</v>
      </c>
      <c r="L1279">
        <v>0</v>
      </c>
      <c r="M1279">
        <v>67.150000000000006</v>
      </c>
      <c r="N1279">
        <v>6</v>
      </c>
      <c r="O1279">
        <v>4</v>
      </c>
      <c r="P1279">
        <v>6066</v>
      </c>
      <c r="Q1279">
        <v>1636</v>
      </c>
      <c r="R1279">
        <v>11</v>
      </c>
      <c r="S1279">
        <v>1078</v>
      </c>
      <c r="T1279">
        <v>0</v>
      </c>
      <c r="U1279">
        <v>3341</v>
      </c>
      <c r="V1279" s="1">
        <f t="shared" si="57"/>
        <v>0.1489</v>
      </c>
      <c r="W1279" s="1">
        <f t="shared" si="58"/>
        <v>6.4999999999999997E-3</v>
      </c>
      <c r="X1279" s="1">
        <f t="shared" si="59"/>
        <v>4.3E-3</v>
      </c>
    </row>
    <row r="1280" spans="1:24" x14ac:dyDescent="0.25">
      <c r="A1280">
        <v>2015</v>
      </c>
      <c r="B1280">
        <v>12</v>
      </c>
      <c r="C1280" t="s">
        <v>35</v>
      </c>
      <c r="D1280" t="str">
        <f>_xlfn.XLOOKUP(C1280,'Carrier Name Rename'!A:A,'Carrier Name Rename'!B:B)</f>
        <v>JetBlue Airways</v>
      </c>
      <c r="E1280" t="s">
        <v>23</v>
      </c>
      <c r="F1280" t="s">
        <v>24</v>
      </c>
      <c r="G1280">
        <v>151</v>
      </c>
      <c r="H1280">
        <v>49</v>
      </c>
      <c r="I1280">
        <v>14.17</v>
      </c>
      <c r="J1280">
        <v>2.14</v>
      </c>
      <c r="K1280">
        <v>19.010000000000002</v>
      </c>
      <c r="L1280">
        <v>0.56999999999999995</v>
      </c>
      <c r="M1280">
        <v>13.11</v>
      </c>
      <c r="N1280">
        <v>0</v>
      </c>
      <c r="O1280">
        <v>2</v>
      </c>
      <c r="P1280">
        <v>2818</v>
      </c>
      <c r="Q1280">
        <v>879</v>
      </c>
      <c r="R1280">
        <v>313</v>
      </c>
      <c r="S1280">
        <v>605</v>
      </c>
      <c r="T1280">
        <v>23</v>
      </c>
      <c r="U1280">
        <v>998</v>
      </c>
      <c r="V1280" s="1">
        <f t="shared" si="57"/>
        <v>0.32450000000000001</v>
      </c>
      <c r="W1280" s="1">
        <f t="shared" si="58"/>
        <v>0</v>
      </c>
      <c r="X1280" s="1">
        <f t="shared" si="59"/>
        <v>1.32E-2</v>
      </c>
    </row>
    <row r="1281" spans="1:24" x14ac:dyDescent="0.25">
      <c r="A1281">
        <v>2015</v>
      </c>
      <c r="B1281">
        <v>12</v>
      </c>
      <c r="C1281" t="s">
        <v>37</v>
      </c>
      <c r="D1281" t="str">
        <f>_xlfn.XLOOKUP(C1281,'Carrier Name Rename'!A:A,'Carrier Name Rename'!B:B)</f>
        <v>Delta Air Lines Inc.</v>
      </c>
      <c r="E1281" t="s">
        <v>23</v>
      </c>
      <c r="F1281" t="s">
        <v>24</v>
      </c>
      <c r="G1281">
        <v>1310</v>
      </c>
      <c r="H1281">
        <v>224</v>
      </c>
      <c r="I1281">
        <v>61.72</v>
      </c>
      <c r="J1281">
        <v>11.97</v>
      </c>
      <c r="K1281">
        <v>92.71</v>
      </c>
      <c r="L1281">
        <v>0</v>
      </c>
      <c r="M1281">
        <v>57.6</v>
      </c>
      <c r="N1281">
        <v>1</v>
      </c>
      <c r="O1281">
        <v>1</v>
      </c>
      <c r="P1281">
        <v>13472</v>
      </c>
      <c r="Q1281">
        <v>6051</v>
      </c>
      <c r="R1281">
        <v>1527</v>
      </c>
      <c r="S1281">
        <v>2759</v>
      </c>
      <c r="T1281">
        <v>0</v>
      </c>
      <c r="U1281">
        <v>3135</v>
      </c>
      <c r="V1281" s="1">
        <f t="shared" si="57"/>
        <v>0.17100000000000001</v>
      </c>
      <c r="W1281" s="1">
        <f t="shared" si="58"/>
        <v>8.0000000000000004E-4</v>
      </c>
      <c r="X1281" s="1">
        <f t="shared" si="59"/>
        <v>8.0000000000000004E-4</v>
      </c>
    </row>
    <row r="1282" spans="1:24" x14ac:dyDescent="0.25">
      <c r="A1282">
        <v>2015</v>
      </c>
      <c r="B1282">
        <v>12</v>
      </c>
      <c r="C1282" t="s">
        <v>39</v>
      </c>
      <c r="D1282" t="str">
        <f>_xlfn.XLOOKUP(C1282,'Carrier Name Rename'!A:A,'Carrier Name Rename'!B:B)</f>
        <v>Frontier Airlines Inc.</v>
      </c>
      <c r="E1282" t="s">
        <v>23</v>
      </c>
      <c r="F1282" t="s">
        <v>24</v>
      </c>
      <c r="G1282">
        <v>58</v>
      </c>
      <c r="H1282">
        <v>11</v>
      </c>
      <c r="I1282">
        <v>4.71</v>
      </c>
      <c r="J1282">
        <v>0.25</v>
      </c>
      <c r="K1282">
        <v>5.25</v>
      </c>
      <c r="L1282">
        <v>0</v>
      </c>
      <c r="M1282">
        <v>0.79</v>
      </c>
      <c r="N1282">
        <v>1</v>
      </c>
      <c r="O1282">
        <v>0</v>
      </c>
      <c r="P1282">
        <v>486</v>
      </c>
      <c r="Q1282">
        <v>151</v>
      </c>
      <c r="R1282">
        <v>27</v>
      </c>
      <c r="S1282">
        <v>237</v>
      </c>
      <c r="T1282">
        <v>0</v>
      </c>
      <c r="U1282">
        <v>71</v>
      </c>
      <c r="V1282" s="1">
        <f t="shared" si="57"/>
        <v>0.18970000000000001</v>
      </c>
      <c r="W1282" s="1">
        <f t="shared" si="58"/>
        <v>1.72E-2</v>
      </c>
      <c r="X1282" s="1">
        <f t="shared" si="59"/>
        <v>0</v>
      </c>
    </row>
    <row r="1283" spans="1:24" x14ac:dyDescent="0.25">
      <c r="A1283">
        <v>2015</v>
      </c>
      <c r="B1283">
        <v>12</v>
      </c>
      <c r="C1283" t="s">
        <v>21</v>
      </c>
      <c r="D1283" t="str">
        <f>_xlfn.XLOOKUP(C1283,'Carrier Name Rename'!A:A,'Carrier Name Rename'!B:B)</f>
        <v>Hawaiian Airlines Inc.</v>
      </c>
      <c r="E1283" t="s">
        <v>23</v>
      </c>
      <c r="F1283" t="s">
        <v>24</v>
      </c>
      <c r="G1283">
        <v>62</v>
      </c>
      <c r="H1283">
        <v>22</v>
      </c>
      <c r="I1283">
        <v>17.29</v>
      </c>
      <c r="J1283">
        <v>0</v>
      </c>
      <c r="K1283">
        <v>0.1</v>
      </c>
      <c r="L1283">
        <v>0</v>
      </c>
      <c r="M1283">
        <v>4.6100000000000003</v>
      </c>
      <c r="N1283">
        <v>0</v>
      </c>
      <c r="O1283">
        <v>0</v>
      </c>
      <c r="P1283">
        <v>1053</v>
      </c>
      <c r="Q1283">
        <v>624</v>
      </c>
      <c r="R1283">
        <v>0</v>
      </c>
      <c r="S1283">
        <v>2</v>
      </c>
      <c r="T1283">
        <v>0</v>
      </c>
      <c r="U1283">
        <v>427</v>
      </c>
      <c r="V1283" s="1">
        <f t="shared" ref="V1283:V1346" si="60">ROUND(H1283/G1283,4)</f>
        <v>0.3548</v>
      </c>
      <c r="W1283" s="1">
        <f t="shared" ref="W1283:W1346" si="61">ROUND(N1283/G1283,4)</f>
        <v>0</v>
      </c>
      <c r="X1283" s="1">
        <f t="shared" ref="X1283:X1346" si="62">ROUND(O1283/G1283,4)</f>
        <v>0</v>
      </c>
    </row>
    <row r="1284" spans="1:24" x14ac:dyDescent="0.25">
      <c r="A1284">
        <v>2015</v>
      </c>
      <c r="B1284">
        <v>12</v>
      </c>
      <c r="C1284" t="s">
        <v>27</v>
      </c>
      <c r="D1284" t="str">
        <f>_xlfn.XLOOKUP(C1284,'Carrier Name Rename'!A:A,'Carrier Name Rename'!B:B)</f>
        <v>SkyWest Airlines Inc.</v>
      </c>
      <c r="E1284" t="s">
        <v>23</v>
      </c>
      <c r="F1284" t="s">
        <v>24</v>
      </c>
      <c r="G1284">
        <v>1510</v>
      </c>
      <c r="H1284">
        <v>390</v>
      </c>
      <c r="I1284">
        <v>61.03</v>
      </c>
      <c r="J1284">
        <v>8.06</v>
      </c>
      <c r="K1284">
        <v>150.33000000000001</v>
      </c>
      <c r="L1284">
        <v>1.1200000000000001</v>
      </c>
      <c r="M1284">
        <v>169.45</v>
      </c>
      <c r="N1284">
        <v>15</v>
      </c>
      <c r="O1284">
        <v>0</v>
      </c>
      <c r="P1284">
        <v>24266</v>
      </c>
      <c r="Q1284">
        <v>6354</v>
      </c>
      <c r="R1284">
        <v>716</v>
      </c>
      <c r="S1284">
        <v>4671</v>
      </c>
      <c r="T1284">
        <v>21</v>
      </c>
      <c r="U1284">
        <v>12504</v>
      </c>
      <c r="V1284" s="1">
        <f t="shared" si="60"/>
        <v>0.25829999999999997</v>
      </c>
      <c r="W1284" s="1">
        <f t="shared" si="61"/>
        <v>9.9000000000000008E-3</v>
      </c>
      <c r="X1284" s="1">
        <f t="shared" si="62"/>
        <v>0</v>
      </c>
    </row>
    <row r="1285" spans="1:24" x14ac:dyDescent="0.25">
      <c r="A1285">
        <v>2015</v>
      </c>
      <c r="B1285">
        <v>12</v>
      </c>
      <c r="C1285" t="s">
        <v>41</v>
      </c>
      <c r="D1285" t="str">
        <f>_xlfn.XLOOKUP(C1285,'Carrier Name Rename'!A:A,'Carrier Name Rename'!B:B)</f>
        <v>United Air Lines Inc.</v>
      </c>
      <c r="E1285" t="s">
        <v>23</v>
      </c>
      <c r="F1285" t="s">
        <v>24</v>
      </c>
      <c r="G1285">
        <v>743</v>
      </c>
      <c r="H1285">
        <v>156</v>
      </c>
      <c r="I1285">
        <v>59.35</v>
      </c>
      <c r="J1285">
        <v>6.93</v>
      </c>
      <c r="K1285">
        <v>26</v>
      </c>
      <c r="L1285">
        <v>0</v>
      </c>
      <c r="M1285">
        <v>63.73</v>
      </c>
      <c r="N1285">
        <v>14</v>
      </c>
      <c r="O1285">
        <v>0</v>
      </c>
      <c r="P1285">
        <v>12024</v>
      </c>
      <c r="Q1285">
        <v>4069</v>
      </c>
      <c r="R1285">
        <v>488</v>
      </c>
      <c r="S1285">
        <v>1005</v>
      </c>
      <c r="T1285">
        <v>0</v>
      </c>
      <c r="U1285">
        <v>6462</v>
      </c>
      <c r="V1285" s="1">
        <f t="shared" si="60"/>
        <v>0.21</v>
      </c>
      <c r="W1285" s="1">
        <f t="shared" si="61"/>
        <v>1.8800000000000001E-2</v>
      </c>
      <c r="X1285" s="1">
        <f t="shared" si="62"/>
        <v>0</v>
      </c>
    </row>
    <row r="1286" spans="1:24" x14ac:dyDescent="0.25">
      <c r="A1286">
        <v>2015</v>
      </c>
      <c r="B1286">
        <v>12</v>
      </c>
      <c r="C1286" t="s">
        <v>51</v>
      </c>
      <c r="D1286" t="str">
        <f>_xlfn.XLOOKUP(C1286,'Carrier Name Rename'!A:A,'Carrier Name Rename'!B:B)</f>
        <v>Virgin America</v>
      </c>
      <c r="E1286" t="s">
        <v>23</v>
      </c>
      <c r="F1286" t="s">
        <v>24</v>
      </c>
      <c r="G1286">
        <v>199</v>
      </c>
      <c r="H1286">
        <v>72</v>
      </c>
      <c r="I1286">
        <v>10.97</v>
      </c>
      <c r="J1286">
        <v>4.8899999999999997</v>
      </c>
      <c r="K1286">
        <v>15.76</v>
      </c>
      <c r="L1286">
        <v>0</v>
      </c>
      <c r="M1286">
        <v>40.369999999999997</v>
      </c>
      <c r="N1286">
        <v>2</v>
      </c>
      <c r="O1286">
        <v>0</v>
      </c>
      <c r="P1286">
        <v>4614</v>
      </c>
      <c r="Q1286">
        <v>523</v>
      </c>
      <c r="R1286">
        <v>169</v>
      </c>
      <c r="S1286">
        <v>666</v>
      </c>
      <c r="T1286">
        <v>0</v>
      </c>
      <c r="U1286">
        <v>3256</v>
      </c>
      <c r="V1286" s="1">
        <f t="shared" si="60"/>
        <v>0.36180000000000001</v>
      </c>
      <c r="W1286" s="1">
        <f t="shared" si="61"/>
        <v>1.01E-2</v>
      </c>
      <c r="X1286" s="1">
        <f t="shared" si="62"/>
        <v>0</v>
      </c>
    </row>
    <row r="1287" spans="1:24" x14ac:dyDescent="0.25">
      <c r="A1287">
        <v>2015</v>
      </c>
      <c r="B1287">
        <v>12</v>
      </c>
      <c r="C1287" t="s">
        <v>43</v>
      </c>
      <c r="D1287" t="str">
        <f>_xlfn.XLOOKUP(C1287,'Carrier Name Rename'!A:A,'Carrier Name Rename'!B:B)</f>
        <v>Southwest Airlines Co.</v>
      </c>
      <c r="E1287" t="s">
        <v>23</v>
      </c>
      <c r="F1287" t="s">
        <v>24</v>
      </c>
      <c r="G1287">
        <v>1106</v>
      </c>
      <c r="H1287">
        <v>341</v>
      </c>
      <c r="I1287">
        <v>102.58</v>
      </c>
      <c r="J1287">
        <v>2.88</v>
      </c>
      <c r="K1287">
        <v>70.83</v>
      </c>
      <c r="L1287">
        <v>0.68</v>
      </c>
      <c r="M1287">
        <v>164.03</v>
      </c>
      <c r="N1287">
        <v>5</v>
      </c>
      <c r="O1287">
        <v>1</v>
      </c>
      <c r="P1287">
        <v>16219</v>
      </c>
      <c r="Q1287">
        <v>4657</v>
      </c>
      <c r="R1287">
        <v>217</v>
      </c>
      <c r="S1287">
        <v>2315</v>
      </c>
      <c r="T1287">
        <v>15</v>
      </c>
      <c r="U1287">
        <v>9015</v>
      </c>
      <c r="V1287" s="1">
        <f t="shared" si="60"/>
        <v>0.30830000000000002</v>
      </c>
      <c r="W1287" s="1">
        <f t="shared" si="61"/>
        <v>4.4999999999999997E-3</v>
      </c>
      <c r="X1287" s="1">
        <f t="shared" si="62"/>
        <v>8.9999999999999998E-4</v>
      </c>
    </row>
    <row r="1288" spans="1:24" x14ac:dyDescent="0.25">
      <c r="A1288">
        <v>2015</v>
      </c>
      <c r="B1288">
        <v>12</v>
      </c>
      <c r="C1288" t="s">
        <v>31</v>
      </c>
      <c r="D1288" t="str">
        <f>_xlfn.XLOOKUP(C1288,'Carrier Name Rename'!A:A,'Carrier Name Rename'!B:B)</f>
        <v>American Airlines Inc.</v>
      </c>
      <c r="E1288" t="s">
        <v>23</v>
      </c>
      <c r="F1288" t="s">
        <v>24</v>
      </c>
      <c r="G1288">
        <v>717</v>
      </c>
      <c r="H1288">
        <v>153</v>
      </c>
      <c r="I1288">
        <v>52.21</v>
      </c>
      <c r="J1288">
        <v>4.6900000000000004</v>
      </c>
      <c r="K1288">
        <v>53.61</v>
      </c>
      <c r="L1288">
        <v>0.19</v>
      </c>
      <c r="M1288">
        <v>42.3</v>
      </c>
      <c r="N1288">
        <v>10</v>
      </c>
      <c r="O1288">
        <v>2</v>
      </c>
      <c r="P1288">
        <v>7213</v>
      </c>
      <c r="Q1288">
        <v>2457</v>
      </c>
      <c r="R1288">
        <v>607</v>
      </c>
      <c r="S1288">
        <v>1626</v>
      </c>
      <c r="T1288">
        <v>12</v>
      </c>
      <c r="U1288">
        <v>2511</v>
      </c>
      <c r="V1288" s="1">
        <f t="shared" si="60"/>
        <v>0.21340000000000001</v>
      </c>
      <c r="W1288" s="1">
        <f t="shared" si="61"/>
        <v>1.3899999999999999E-2</v>
      </c>
      <c r="X1288" s="1">
        <f t="shared" si="62"/>
        <v>2.8E-3</v>
      </c>
    </row>
    <row r="1289" spans="1:24" x14ac:dyDescent="0.25">
      <c r="A1289">
        <v>2015</v>
      </c>
      <c r="B1289">
        <v>12</v>
      </c>
      <c r="C1289" t="s">
        <v>33</v>
      </c>
      <c r="D1289" t="str">
        <f>_xlfn.XLOOKUP(C1289,'Carrier Name Rename'!A:A,'Carrier Name Rename'!B:B)</f>
        <v>Alaska Airlines Inc.</v>
      </c>
      <c r="E1289" t="s">
        <v>23</v>
      </c>
      <c r="F1289" t="s">
        <v>24</v>
      </c>
      <c r="G1289">
        <v>4519</v>
      </c>
      <c r="H1289">
        <v>671</v>
      </c>
      <c r="I1289">
        <v>134.26</v>
      </c>
      <c r="J1289">
        <v>7.76</v>
      </c>
      <c r="K1289">
        <v>332.91</v>
      </c>
      <c r="L1289">
        <v>10.19</v>
      </c>
      <c r="M1289">
        <v>185.89</v>
      </c>
      <c r="N1289">
        <v>25</v>
      </c>
      <c r="O1289">
        <v>3</v>
      </c>
      <c r="P1289">
        <v>31235</v>
      </c>
      <c r="Q1289">
        <v>9136</v>
      </c>
      <c r="R1289">
        <v>810</v>
      </c>
      <c r="S1289">
        <v>9128</v>
      </c>
      <c r="T1289">
        <v>286</v>
      </c>
      <c r="U1289">
        <v>11875</v>
      </c>
      <c r="V1289" s="1">
        <f t="shared" si="60"/>
        <v>0.14849999999999999</v>
      </c>
      <c r="W1289" s="1">
        <f t="shared" si="61"/>
        <v>5.4999999999999997E-3</v>
      </c>
      <c r="X1289" s="1">
        <f t="shared" si="62"/>
        <v>6.9999999999999999E-4</v>
      </c>
    </row>
    <row r="1290" spans="1:24" x14ac:dyDescent="0.25">
      <c r="A1290">
        <v>2015</v>
      </c>
      <c r="B1290">
        <v>11</v>
      </c>
      <c r="C1290" t="s">
        <v>31</v>
      </c>
      <c r="D1290" t="str">
        <f>_xlfn.XLOOKUP(C1290,'Carrier Name Rename'!A:A,'Carrier Name Rename'!B:B)</f>
        <v>American Airlines Inc.</v>
      </c>
      <c r="E1290" t="s">
        <v>23</v>
      </c>
      <c r="F1290" t="s">
        <v>24</v>
      </c>
      <c r="G1290">
        <v>625</v>
      </c>
      <c r="H1290">
        <v>118</v>
      </c>
      <c r="I1290">
        <v>43.01</v>
      </c>
      <c r="J1290">
        <v>3.15</v>
      </c>
      <c r="K1290">
        <v>42.37</v>
      </c>
      <c r="L1290">
        <v>1.1299999999999999</v>
      </c>
      <c r="M1290">
        <v>28.35</v>
      </c>
      <c r="N1290">
        <v>8</v>
      </c>
      <c r="O1290">
        <v>6</v>
      </c>
      <c r="P1290">
        <v>5665</v>
      </c>
      <c r="Q1290">
        <v>2519</v>
      </c>
      <c r="R1290">
        <v>130</v>
      </c>
      <c r="S1290">
        <v>1191</v>
      </c>
      <c r="T1290">
        <v>45</v>
      </c>
      <c r="U1290">
        <v>1780</v>
      </c>
      <c r="V1290" s="1">
        <f t="shared" si="60"/>
        <v>0.1888</v>
      </c>
      <c r="W1290" s="1">
        <f t="shared" si="61"/>
        <v>1.2800000000000001E-2</v>
      </c>
      <c r="X1290" s="1">
        <f t="shared" si="62"/>
        <v>9.5999999999999992E-3</v>
      </c>
    </row>
    <row r="1291" spans="1:24" x14ac:dyDescent="0.25">
      <c r="A1291">
        <v>2015</v>
      </c>
      <c r="B1291">
        <v>11</v>
      </c>
      <c r="C1291" t="s">
        <v>33</v>
      </c>
      <c r="D1291" t="str">
        <f>_xlfn.XLOOKUP(C1291,'Carrier Name Rename'!A:A,'Carrier Name Rename'!B:B)</f>
        <v>Alaska Airlines Inc.</v>
      </c>
      <c r="E1291" t="s">
        <v>23</v>
      </c>
      <c r="F1291" t="s">
        <v>24</v>
      </c>
      <c r="G1291">
        <v>4322</v>
      </c>
      <c r="H1291">
        <v>640</v>
      </c>
      <c r="I1291">
        <v>113.61</v>
      </c>
      <c r="J1291">
        <v>6.37</v>
      </c>
      <c r="K1291">
        <v>338.9</v>
      </c>
      <c r="L1291">
        <v>2.56</v>
      </c>
      <c r="M1291">
        <v>178.56</v>
      </c>
      <c r="N1291">
        <v>9</v>
      </c>
      <c r="O1291">
        <v>6</v>
      </c>
      <c r="P1291">
        <v>30493</v>
      </c>
      <c r="Q1291">
        <v>7480</v>
      </c>
      <c r="R1291">
        <v>380</v>
      </c>
      <c r="S1291">
        <v>10477</v>
      </c>
      <c r="T1291">
        <v>116</v>
      </c>
      <c r="U1291">
        <v>12040</v>
      </c>
      <c r="V1291" s="1">
        <f t="shared" si="60"/>
        <v>0.14810000000000001</v>
      </c>
      <c r="W1291" s="1">
        <f t="shared" si="61"/>
        <v>2.0999999999999999E-3</v>
      </c>
      <c r="X1291" s="1">
        <f t="shared" si="62"/>
        <v>1.4E-3</v>
      </c>
    </row>
    <row r="1292" spans="1:24" x14ac:dyDescent="0.25">
      <c r="A1292">
        <v>2015</v>
      </c>
      <c r="B1292">
        <v>11</v>
      </c>
      <c r="C1292" t="s">
        <v>35</v>
      </c>
      <c r="D1292" t="str">
        <f>_xlfn.XLOOKUP(C1292,'Carrier Name Rename'!A:A,'Carrier Name Rename'!B:B)</f>
        <v>JetBlue Airways</v>
      </c>
      <c r="E1292" t="s">
        <v>23</v>
      </c>
      <c r="F1292" t="s">
        <v>24</v>
      </c>
      <c r="G1292">
        <v>139</v>
      </c>
      <c r="H1292">
        <v>28</v>
      </c>
      <c r="I1292">
        <v>11.98</v>
      </c>
      <c r="J1292">
        <v>0</v>
      </c>
      <c r="K1292">
        <v>10.89</v>
      </c>
      <c r="L1292">
        <v>0</v>
      </c>
      <c r="M1292">
        <v>5.13</v>
      </c>
      <c r="N1292">
        <v>0</v>
      </c>
      <c r="O1292">
        <v>2</v>
      </c>
      <c r="P1292">
        <v>1202</v>
      </c>
      <c r="Q1292">
        <v>486</v>
      </c>
      <c r="R1292">
        <v>0</v>
      </c>
      <c r="S1292">
        <v>398</v>
      </c>
      <c r="T1292">
        <v>0</v>
      </c>
      <c r="U1292">
        <v>318</v>
      </c>
      <c r="V1292" s="1">
        <f t="shared" si="60"/>
        <v>0.2014</v>
      </c>
      <c r="W1292" s="1">
        <f t="shared" si="61"/>
        <v>0</v>
      </c>
      <c r="X1292" s="1">
        <f t="shared" si="62"/>
        <v>1.44E-2</v>
      </c>
    </row>
    <row r="1293" spans="1:24" x14ac:dyDescent="0.25">
      <c r="A1293">
        <v>2015</v>
      </c>
      <c r="B1293">
        <v>11</v>
      </c>
      <c r="C1293" t="s">
        <v>37</v>
      </c>
      <c r="D1293" t="str">
        <f>_xlfn.XLOOKUP(C1293,'Carrier Name Rename'!A:A,'Carrier Name Rename'!B:B)</f>
        <v>Delta Air Lines Inc.</v>
      </c>
      <c r="E1293" t="s">
        <v>23</v>
      </c>
      <c r="F1293" t="s">
        <v>24</v>
      </c>
      <c r="G1293">
        <v>1261</v>
      </c>
      <c r="H1293">
        <v>153</v>
      </c>
      <c r="I1293">
        <v>52.25</v>
      </c>
      <c r="J1293">
        <v>2.75</v>
      </c>
      <c r="K1293">
        <v>64.72</v>
      </c>
      <c r="L1293">
        <v>0</v>
      </c>
      <c r="M1293">
        <v>33.28</v>
      </c>
      <c r="N1293">
        <v>0</v>
      </c>
      <c r="O1293">
        <v>4</v>
      </c>
      <c r="P1293">
        <v>8136</v>
      </c>
      <c r="Q1293">
        <v>4282</v>
      </c>
      <c r="R1293">
        <v>193</v>
      </c>
      <c r="S1293">
        <v>1996</v>
      </c>
      <c r="T1293">
        <v>0</v>
      </c>
      <c r="U1293">
        <v>1665</v>
      </c>
      <c r="V1293" s="1">
        <f t="shared" si="60"/>
        <v>0.12130000000000001</v>
      </c>
      <c r="W1293" s="1">
        <f t="shared" si="61"/>
        <v>0</v>
      </c>
      <c r="X1293" s="1">
        <f t="shared" si="62"/>
        <v>3.2000000000000002E-3</v>
      </c>
    </row>
    <row r="1294" spans="1:24" x14ac:dyDescent="0.25">
      <c r="A1294">
        <v>2015</v>
      </c>
      <c r="B1294">
        <v>11</v>
      </c>
      <c r="C1294" t="s">
        <v>39</v>
      </c>
      <c r="D1294" t="str">
        <f>_xlfn.XLOOKUP(C1294,'Carrier Name Rename'!A:A,'Carrier Name Rename'!B:B)</f>
        <v>Frontier Airlines Inc.</v>
      </c>
      <c r="E1294" t="s">
        <v>23</v>
      </c>
      <c r="F1294" t="s">
        <v>24</v>
      </c>
      <c r="G1294">
        <v>69</v>
      </c>
      <c r="H1294">
        <v>17</v>
      </c>
      <c r="I1294">
        <v>6.18</v>
      </c>
      <c r="J1294">
        <v>0.01</v>
      </c>
      <c r="K1294">
        <v>9.5500000000000007</v>
      </c>
      <c r="L1294">
        <v>0</v>
      </c>
      <c r="M1294">
        <v>1.26</v>
      </c>
      <c r="N1294">
        <v>1</v>
      </c>
      <c r="O1294">
        <v>0</v>
      </c>
      <c r="P1294">
        <v>645</v>
      </c>
      <c r="Q1294">
        <v>286</v>
      </c>
      <c r="R1294">
        <v>1</v>
      </c>
      <c r="S1294">
        <v>296</v>
      </c>
      <c r="T1294">
        <v>0</v>
      </c>
      <c r="U1294">
        <v>62</v>
      </c>
      <c r="V1294" s="1">
        <f t="shared" si="60"/>
        <v>0.24640000000000001</v>
      </c>
      <c r="W1294" s="1">
        <f t="shared" si="61"/>
        <v>1.4500000000000001E-2</v>
      </c>
      <c r="X1294" s="1">
        <f t="shared" si="62"/>
        <v>0</v>
      </c>
    </row>
    <row r="1295" spans="1:24" x14ac:dyDescent="0.25">
      <c r="A1295">
        <v>2015</v>
      </c>
      <c r="B1295">
        <v>11</v>
      </c>
      <c r="C1295" t="s">
        <v>21</v>
      </c>
      <c r="D1295" t="str">
        <f>_xlfn.XLOOKUP(C1295,'Carrier Name Rename'!A:A,'Carrier Name Rename'!B:B)</f>
        <v>Hawaiian Airlines Inc.</v>
      </c>
      <c r="E1295" t="s">
        <v>23</v>
      </c>
      <c r="F1295" t="s">
        <v>24</v>
      </c>
      <c r="G1295">
        <v>60</v>
      </c>
      <c r="H1295">
        <v>15</v>
      </c>
      <c r="I1295">
        <v>14.77</v>
      </c>
      <c r="J1295">
        <v>0</v>
      </c>
      <c r="K1295">
        <v>7.0000000000000007E-2</v>
      </c>
      <c r="L1295">
        <v>0</v>
      </c>
      <c r="M1295">
        <v>0.16</v>
      </c>
      <c r="N1295">
        <v>0</v>
      </c>
      <c r="O1295">
        <v>1</v>
      </c>
      <c r="P1295">
        <v>374</v>
      </c>
      <c r="Q1295">
        <v>368</v>
      </c>
      <c r="R1295">
        <v>0</v>
      </c>
      <c r="S1295">
        <v>2</v>
      </c>
      <c r="T1295">
        <v>0</v>
      </c>
      <c r="U1295">
        <v>4</v>
      </c>
      <c r="V1295" s="1">
        <f t="shared" si="60"/>
        <v>0.25</v>
      </c>
      <c r="W1295" s="1">
        <f t="shared" si="61"/>
        <v>0</v>
      </c>
      <c r="X1295" s="1">
        <f t="shared" si="62"/>
        <v>1.67E-2</v>
      </c>
    </row>
    <row r="1296" spans="1:24" x14ac:dyDescent="0.25">
      <c r="A1296">
        <v>2015</v>
      </c>
      <c r="B1296">
        <v>11</v>
      </c>
      <c r="C1296" t="s">
        <v>27</v>
      </c>
      <c r="D1296" t="str">
        <f>_xlfn.XLOOKUP(C1296,'Carrier Name Rename'!A:A,'Carrier Name Rename'!B:B)</f>
        <v>SkyWest Airlines Inc.</v>
      </c>
      <c r="E1296" t="s">
        <v>23</v>
      </c>
      <c r="F1296" t="s">
        <v>24</v>
      </c>
      <c r="G1296">
        <v>1349</v>
      </c>
      <c r="H1296">
        <v>225</v>
      </c>
      <c r="I1296">
        <v>34.83</v>
      </c>
      <c r="J1296">
        <v>9.67</v>
      </c>
      <c r="K1296">
        <v>96.29</v>
      </c>
      <c r="L1296">
        <v>0.53</v>
      </c>
      <c r="M1296">
        <v>83.68</v>
      </c>
      <c r="N1296">
        <v>21</v>
      </c>
      <c r="O1296">
        <v>10</v>
      </c>
      <c r="P1296">
        <v>12642</v>
      </c>
      <c r="Q1296">
        <v>2978</v>
      </c>
      <c r="R1296">
        <v>1186</v>
      </c>
      <c r="S1296">
        <v>2989</v>
      </c>
      <c r="T1296">
        <v>10</v>
      </c>
      <c r="U1296">
        <v>5479</v>
      </c>
      <c r="V1296" s="1">
        <f t="shared" si="60"/>
        <v>0.1668</v>
      </c>
      <c r="W1296" s="1">
        <f t="shared" si="61"/>
        <v>1.5599999999999999E-2</v>
      </c>
      <c r="X1296" s="1">
        <f t="shared" si="62"/>
        <v>7.4000000000000003E-3</v>
      </c>
    </row>
    <row r="1297" spans="1:24" x14ac:dyDescent="0.25">
      <c r="A1297">
        <v>2015</v>
      </c>
      <c r="B1297">
        <v>11</v>
      </c>
      <c r="C1297" t="s">
        <v>41</v>
      </c>
      <c r="D1297" t="str">
        <f>_xlfn.XLOOKUP(C1297,'Carrier Name Rename'!A:A,'Carrier Name Rename'!B:B)</f>
        <v>United Air Lines Inc.</v>
      </c>
      <c r="E1297" t="s">
        <v>23</v>
      </c>
      <c r="F1297" t="s">
        <v>24</v>
      </c>
      <c r="G1297">
        <v>670</v>
      </c>
      <c r="H1297">
        <v>100</v>
      </c>
      <c r="I1297">
        <v>33.15</v>
      </c>
      <c r="J1297">
        <v>3.84</v>
      </c>
      <c r="K1297">
        <v>30.33</v>
      </c>
      <c r="L1297">
        <v>0</v>
      </c>
      <c r="M1297">
        <v>32.68</v>
      </c>
      <c r="N1297">
        <v>5</v>
      </c>
      <c r="O1297">
        <v>5</v>
      </c>
      <c r="P1297">
        <v>5501</v>
      </c>
      <c r="Q1297">
        <v>1276</v>
      </c>
      <c r="R1297">
        <v>321</v>
      </c>
      <c r="S1297">
        <v>1317</v>
      </c>
      <c r="T1297">
        <v>0</v>
      </c>
      <c r="U1297">
        <v>2587</v>
      </c>
      <c r="V1297" s="1">
        <f t="shared" si="60"/>
        <v>0.14929999999999999</v>
      </c>
      <c r="W1297" s="1">
        <f t="shared" si="61"/>
        <v>7.4999999999999997E-3</v>
      </c>
      <c r="X1297" s="1">
        <f t="shared" si="62"/>
        <v>7.4999999999999997E-3</v>
      </c>
    </row>
    <row r="1298" spans="1:24" x14ac:dyDescent="0.25">
      <c r="A1298">
        <v>2015</v>
      </c>
      <c r="B1298">
        <v>11</v>
      </c>
      <c r="C1298" t="s">
        <v>51</v>
      </c>
      <c r="D1298" t="str">
        <f>_xlfn.XLOOKUP(C1298,'Carrier Name Rename'!A:A,'Carrier Name Rename'!B:B)</f>
        <v>Virgin America</v>
      </c>
      <c r="E1298" t="s">
        <v>23</v>
      </c>
      <c r="F1298" t="s">
        <v>24</v>
      </c>
      <c r="G1298">
        <v>190</v>
      </c>
      <c r="H1298">
        <v>44</v>
      </c>
      <c r="I1298">
        <v>11.64</v>
      </c>
      <c r="J1298">
        <v>5.3</v>
      </c>
      <c r="K1298">
        <v>6.55</v>
      </c>
      <c r="L1298">
        <v>0.46</v>
      </c>
      <c r="M1298">
        <v>20.05</v>
      </c>
      <c r="N1298">
        <v>1</v>
      </c>
      <c r="O1298">
        <v>0</v>
      </c>
      <c r="P1298">
        <v>2399</v>
      </c>
      <c r="Q1298">
        <v>650</v>
      </c>
      <c r="R1298">
        <v>178</v>
      </c>
      <c r="S1298">
        <v>353</v>
      </c>
      <c r="T1298">
        <v>10</v>
      </c>
      <c r="U1298">
        <v>1208</v>
      </c>
      <c r="V1298" s="1">
        <f t="shared" si="60"/>
        <v>0.2316</v>
      </c>
      <c r="W1298" s="1">
        <f t="shared" si="61"/>
        <v>5.3E-3</v>
      </c>
      <c r="X1298" s="1">
        <f t="shared" si="62"/>
        <v>0</v>
      </c>
    </row>
    <row r="1299" spans="1:24" x14ac:dyDescent="0.25">
      <c r="A1299">
        <v>2015</v>
      </c>
      <c r="B1299">
        <v>11</v>
      </c>
      <c r="C1299" t="s">
        <v>43</v>
      </c>
      <c r="D1299" t="str">
        <f>_xlfn.XLOOKUP(C1299,'Carrier Name Rename'!A:A,'Carrier Name Rename'!B:B)</f>
        <v>Southwest Airlines Co.</v>
      </c>
      <c r="E1299" t="s">
        <v>23</v>
      </c>
      <c r="F1299" t="s">
        <v>24</v>
      </c>
      <c r="G1299">
        <v>1055</v>
      </c>
      <c r="H1299">
        <v>208</v>
      </c>
      <c r="I1299">
        <v>63.95</v>
      </c>
      <c r="J1299">
        <v>4.91</v>
      </c>
      <c r="K1299">
        <v>46.04</v>
      </c>
      <c r="L1299">
        <v>1</v>
      </c>
      <c r="M1299">
        <v>92.1</v>
      </c>
      <c r="N1299">
        <v>9</v>
      </c>
      <c r="O1299">
        <v>3</v>
      </c>
      <c r="P1299">
        <v>10419</v>
      </c>
      <c r="Q1299">
        <v>3468</v>
      </c>
      <c r="R1299">
        <v>306</v>
      </c>
      <c r="S1299">
        <v>1519</v>
      </c>
      <c r="T1299">
        <v>79</v>
      </c>
      <c r="U1299">
        <v>5047</v>
      </c>
      <c r="V1299" s="1">
        <f t="shared" si="60"/>
        <v>0.19719999999999999</v>
      </c>
      <c r="W1299" s="1">
        <f t="shared" si="61"/>
        <v>8.5000000000000006E-3</v>
      </c>
      <c r="X1299" s="1">
        <f t="shared" si="62"/>
        <v>2.8E-3</v>
      </c>
    </row>
    <row r="1300" spans="1:24" x14ac:dyDescent="0.25">
      <c r="A1300">
        <v>2015</v>
      </c>
      <c r="B1300">
        <v>10</v>
      </c>
      <c r="C1300" t="s">
        <v>31</v>
      </c>
      <c r="D1300" t="str">
        <f>_xlfn.XLOOKUP(C1300,'Carrier Name Rename'!A:A,'Carrier Name Rename'!B:B)</f>
        <v>American Airlines Inc.</v>
      </c>
      <c r="E1300" t="s">
        <v>23</v>
      </c>
      <c r="F1300" t="s">
        <v>24</v>
      </c>
      <c r="G1300">
        <v>635</v>
      </c>
      <c r="H1300">
        <v>105</v>
      </c>
      <c r="I1300">
        <v>26.29</v>
      </c>
      <c r="J1300">
        <v>3.29</v>
      </c>
      <c r="K1300">
        <v>50.77</v>
      </c>
      <c r="L1300">
        <v>0</v>
      </c>
      <c r="M1300">
        <v>24.65</v>
      </c>
      <c r="N1300">
        <v>2</v>
      </c>
      <c r="O1300">
        <v>0</v>
      </c>
      <c r="P1300">
        <v>5014</v>
      </c>
      <c r="Q1300">
        <v>1672</v>
      </c>
      <c r="R1300">
        <v>363</v>
      </c>
      <c r="S1300">
        <v>1600</v>
      </c>
      <c r="T1300">
        <v>0</v>
      </c>
      <c r="U1300">
        <v>1379</v>
      </c>
      <c r="V1300" s="1">
        <f t="shared" si="60"/>
        <v>0.16539999999999999</v>
      </c>
      <c r="W1300" s="1">
        <f t="shared" si="61"/>
        <v>3.0999999999999999E-3</v>
      </c>
      <c r="X1300" s="1">
        <f t="shared" si="62"/>
        <v>0</v>
      </c>
    </row>
    <row r="1301" spans="1:24" x14ac:dyDescent="0.25">
      <c r="A1301">
        <v>2015</v>
      </c>
      <c r="B1301">
        <v>10</v>
      </c>
      <c r="C1301" t="s">
        <v>33</v>
      </c>
      <c r="D1301" t="str">
        <f>_xlfn.XLOOKUP(C1301,'Carrier Name Rename'!A:A,'Carrier Name Rename'!B:B)</f>
        <v>Alaska Airlines Inc.</v>
      </c>
      <c r="E1301" t="s">
        <v>23</v>
      </c>
      <c r="F1301" t="s">
        <v>24</v>
      </c>
      <c r="G1301">
        <v>4609</v>
      </c>
      <c r="H1301">
        <v>574</v>
      </c>
      <c r="I1301">
        <v>83.26</v>
      </c>
      <c r="J1301">
        <v>6.94</v>
      </c>
      <c r="K1301">
        <v>329</v>
      </c>
      <c r="L1301">
        <v>2.38</v>
      </c>
      <c r="M1301">
        <v>152.41999999999999</v>
      </c>
      <c r="N1301">
        <v>6</v>
      </c>
      <c r="O1301">
        <v>3</v>
      </c>
      <c r="P1301">
        <v>24317</v>
      </c>
      <c r="Q1301">
        <v>4958</v>
      </c>
      <c r="R1301">
        <v>324</v>
      </c>
      <c r="S1301">
        <v>10574</v>
      </c>
      <c r="T1301">
        <v>108</v>
      </c>
      <c r="U1301">
        <v>8353</v>
      </c>
      <c r="V1301" s="1">
        <f t="shared" si="60"/>
        <v>0.1245</v>
      </c>
      <c r="W1301" s="1">
        <f t="shared" si="61"/>
        <v>1.2999999999999999E-3</v>
      </c>
      <c r="X1301" s="1">
        <f t="shared" si="62"/>
        <v>6.9999999999999999E-4</v>
      </c>
    </row>
    <row r="1302" spans="1:24" x14ac:dyDescent="0.25">
      <c r="A1302">
        <v>2015</v>
      </c>
      <c r="B1302">
        <v>10</v>
      </c>
      <c r="C1302" t="s">
        <v>35</v>
      </c>
      <c r="D1302" t="str">
        <f>_xlfn.XLOOKUP(C1302,'Carrier Name Rename'!A:A,'Carrier Name Rename'!B:B)</f>
        <v>JetBlue Airways</v>
      </c>
      <c r="E1302" t="s">
        <v>23</v>
      </c>
      <c r="F1302" t="s">
        <v>24</v>
      </c>
      <c r="G1302">
        <v>167</v>
      </c>
      <c r="H1302">
        <v>42</v>
      </c>
      <c r="I1302">
        <v>11.53</v>
      </c>
      <c r="J1302">
        <v>0.79</v>
      </c>
      <c r="K1302">
        <v>21.33</v>
      </c>
      <c r="L1302">
        <v>0</v>
      </c>
      <c r="M1302">
        <v>8.36</v>
      </c>
      <c r="N1302">
        <v>0</v>
      </c>
      <c r="O1302">
        <v>0</v>
      </c>
      <c r="P1302">
        <v>1865</v>
      </c>
      <c r="Q1302">
        <v>564</v>
      </c>
      <c r="R1302">
        <v>104</v>
      </c>
      <c r="S1302">
        <v>800</v>
      </c>
      <c r="T1302">
        <v>0</v>
      </c>
      <c r="U1302">
        <v>397</v>
      </c>
      <c r="V1302" s="1">
        <f t="shared" si="60"/>
        <v>0.2515</v>
      </c>
      <c r="W1302" s="1">
        <f t="shared" si="61"/>
        <v>0</v>
      </c>
      <c r="X1302" s="1">
        <f t="shared" si="62"/>
        <v>0</v>
      </c>
    </row>
    <row r="1303" spans="1:24" x14ac:dyDescent="0.25">
      <c r="A1303">
        <v>2015</v>
      </c>
      <c r="B1303">
        <v>10</v>
      </c>
      <c r="C1303" t="s">
        <v>37</v>
      </c>
      <c r="D1303" t="str">
        <f>_xlfn.XLOOKUP(C1303,'Carrier Name Rename'!A:A,'Carrier Name Rename'!B:B)</f>
        <v>Delta Air Lines Inc.</v>
      </c>
      <c r="E1303" t="s">
        <v>23</v>
      </c>
      <c r="F1303" t="s">
        <v>24</v>
      </c>
      <c r="G1303">
        <v>1270</v>
      </c>
      <c r="H1303">
        <v>133</v>
      </c>
      <c r="I1303">
        <v>38</v>
      </c>
      <c r="J1303">
        <v>2.97</v>
      </c>
      <c r="K1303">
        <v>62.92</v>
      </c>
      <c r="L1303">
        <v>0</v>
      </c>
      <c r="M1303">
        <v>29.1</v>
      </c>
      <c r="N1303">
        <v>0</v>
      </c>
      <c r="O1303">
        <v>4</v>
      </c>
      <c r="P1303">
        <v>6483</v>
      </c>
      <c r="Q1303">
        <v>3196</v>
      </c>
      <c r="R1303">
        <v>269</v>
      </c>
      <c r="S1303">
        <v>1621</v>
      </c>
      <c r="T1303">
        <v>0</v>
      </c>
      <c r="U1303">
        <v>1397</v>
      </c>
      <c r="V1303" s="1">
        <f t="shared" si="60"/>
        <v>0.1047</v>
      </c>
      <c r="W1303" s="1">
        <f t="shared" si="61"/>
        <v>0</v>
      </c>
      <c r="X1303" s="1">
        <f t="shared" si="62"/>
        <v>3.0999999999999999E-3</v>
      </c>
    </row>
    <row r="1304" spans="1:24" x14ac:dyDescent="0.25">
      <c r="A1304">
        <v>2015</v>
      </c>
      <c r="B1304">
        <v>10</v>
      </c>
      <c r="C1304" t="s">
        <v>39</v>
      </c>
      <c r="D1304" t="str">
        <f>_xlfn.XLOOKUP(C1304,'Carrier Name Rename'!A:A,'Carrier Name Rename'!B:B)</f>
        <v>Frontier Airlines Inc.</v>
      </c>
      <c r="E1304" t="s">
        <v>23</v>
      </c>
      <c r="F1304" t="s">
        <v>24</v>
      </c>
      <c r="G1304">
        <v>85</v>
      </c>
      <c r="H1304">
        <v>10</v>
      </c>
      <c r="I1304">
        <v>4.2</v>
      </c>
      <c r="J1304">
        <v>0</v>
      </c>
      <c r="K1304">
        <v>3.77</v>
      </c>
      <c r="L1304">
        <v>0</v>
      </c>
      <c r="M1304">
        <v>2.0299999999999998</v>
      </c>
      <c r="N1304">
        <v>0</v>
      </c>
      <c r="O1304">
        <v>0</v>
      </c>
      <c r="P1304">
        <v>480</v>
      </c>
      <c r="Q1304">
        <v>173</v>
      </c>
      <c r="R1304">
        <v>0</v>
      </c>
      <c r="S1304">
        <v>117</v>
      </c>
      <c r="T1304">
        <v>0</v>
      </c>
      <c r="U1304">
        <v>190</v>
      </c>
      <c r="V1304" s="1">
        <f t="shared" si="60"/>
        <v>0.1176</v>
      </c>
      <c r="W1304" s="1">
        <f t="shared" si="61"/>
        <v>0</v>
      </c>
      <c r="X1304" s="1">
        <f t="shared" si="62"/>
        <v>0</v>
      </c>
    </row>
    <row r="1305" spans="1:24" x14ac:dyDescent="0.25">
      <c r="A1305">
        <v>2015</v>
      </c>
      <c r="B1305">
        <v>10</v>
      </c>
      <c r="C1305" t="s">
        <v>27</v>
      </c>
      <c r="D1305" t="str">
        <f>_xlfn.XLOOKUP(C1305,'Carrier Name Rename'!A:A,'Carrier Name Rename'!B:B)</f>
        <v>SkyWest Airlines Inc.</v>
      </c>
      <c r="E1305" t="s">
        <v>23</v>
      </c>
      <c r="F1305" t="s">
        <v>24</v>
      </c>
      <c r="G1305">
        <v>1456</v>
      </c>
      <c r="H1305">
        <v>202</v>
      </c>
      <c r="I1305">
        <v>43.64</v>
      </c>
      <c r="J1305">
        <v>5.37</v>
      </c>
      <c r="K1305">
        <v>74.7</v>
      </c>
      <c r="L1305">
        <v>0</v>
      </c>
      <c r="M1305">
        <v>78.290000000000006</v>
      </c>
      <c r="N1305">
        <v>12</v>
      </c>
      <c r="O1305">
        <v>1</v>
      </c>
      <c r="P1305">
        <v>11444</v>
      </c>
      <c r="Q1305">
        <v>3006</v>
      </c>
      <c r="R1305">
        <v>465</v>
      </c>
      <c r="S1305">
        <v>2321</v>
      </c>
      <c r="T1305">
        <v>0</v>
      </c>
      <c r="U1305">
        <v>5652</v>
      </c>
      <c r="V1305" s="1">
        <f t="shared" si="60"/>
        <v>0.13869999999999999</v>
      </c>
      <c r="W1305" s="1">
        <f t="shared" si="61"/>
        <v>8.2000000000000007E-3</v>
      </c>
      <c r="X1305" s="1">
        <f t="shared" si="62"/>
        <v>6.9999999999999999E-4</v>
      </c>
    </row>
    <row r="1306" spans="1:24" x14ac:dyDescent="0.25">
      <c r="A1306">
        <v>2015</v>
      </c>
      <c r="B1306">
        <v>10</v>
      </c>
      <c r="C1306" t="s">
        <v>21</v>
      </c>
      <c r="D1306" t="str">
        <f>_xlfn.XLOOKUP(C1306,'Carrier Name Rename'!A:A,'Carrier Name Rename'!B:B)</f>
        <v>Hawaiian Airlines Inc.</v>
      </c>
      <c r="E1306" t="s">
        <v>23</v>
      </c>
      <c r="F1306" t="s">
        <v>24</v>
      </c>
      <c r="G1306">
        <v>62</v>
      </c>
      <c r="H1306">
        <v>7</v>
      </c>
      <c r="I1306">
        <v>4</v>
      </c>
      <c r="J1306">
        <v>0</v>
      </c>
      <c r="K1306">
        <v>0</v>
      </c>
      <c r="L1306">
        <v>0</v>
      </c>
      <c r="M1306">
        <v>3</v>
      </c>
      <c r="N1306">
        <v>0</v>
      </c>
      <c r="O1306">
        <v>0</v>
      </c>
      <c r="P1306">
        <v>315</v>
      </c>
      <c r="Q1306">
        <v>100</v>
      </c>
      <c r="R1306">
        <v>0</v>
      </c>
      <c r="S1306">
        <v>0</v>
      </c>
      <c r="T1306">
        <v>0</v>
      </c>
      <c r="U1306">
        <v>215</v>
      </c>
      <c r="V1306" s="1">
        <f t="shared" si="60"/>
        <v>0.1129</v>
      </c>
      <c r="W1306" s="1">
        <f t="shared" si="61"/>
        <v>0</v>
      </c>
      <c r="X1306" s="1">
        <f t="shared" si="62"/>
        <v>0</v>
      </c>
    </row>
    <row r="1307" spans="1:24" x14ac:dyDescent="0.25">
      <c r="A1307">
        <v>2015</v>
      </c>
      <c r="B1307">
        <v>10</v>
      </c>
      <c r="C1307" t="s">
        <v>41</v>
      </c>
      <c r="D1307" t="str">
        <f>_xlfn.XLOOKUP(C1307,'Carrier Name Rename'!A:A,'Carrier Name Rename'!B:B)</f>
        <v>United Air Lines Inc.</v>
      </c>
      <c r="E1307" t="s">
        <v>23</v>
      </c>
      <c r="F1307" t="s">
        <v>24</v>
      </c>
      <c r="G1307">
        <v>731</v>
      </c>
      <c r="H1307">
        <v>109</v>
      </c>
      <c r="I1307">
        <v>36.15</v>
      </c>
      <c r="J1307">
        <v>1.5</v>
      </c>
      <c r="K1307">
        <v>29.63</v>
      </c>
      <c r="L1307">
        <v>0</v>
      </c>
      <c r="M1307">
        <v>41.73</v>
      </c>
      <c r="N1307">
        <v>3</v>
      </c>
      <c r="O1307">
        <v>0</v>
      </c>
      <c r="P1307">
        <v>5441</v>
      </c>
      <c r="Q1307">
        <v>1735</v>
      </c>
      <c r="R1307">
        <v>84</v>
      </c>
      <c r="S1307">
        <v>970</v>
      </c>
      <c r="T1307">
        <v>0</v>
      </c>
      <c r="U1307">
        <v>2652</v>
      </c>
      <c r="V1307" s="1">
        <f t="shared" si="60"/>
        <v>0.14910000000000001</v>
      </c>
      <c r="W1307" s="1">
        <f t="shared" si="61"/>
        <v>4.1000000000000003E-3</v>
      </c>
      <c r="X1307" s="1">
        <f t="shared" si="62"/>
        <v>0</v>
      </c>
    </row>
    <row r="1308" spans="1:24" x14ac:dyDescent="0.25">
      <c r="A1308">
        <v>2015</v>
      </c>
      <c r="B1308">
        <v>10</v>
      </c>
      <c r="C1308" t="s">
        <v>51</v>
      </c>
      <c r="D1308" t="str">
        <f>_xlfn.XLOOKUP(C1308,'Carrier Name Rename'!A:A,'Carrier Name Rename'!B:B)</f>
        <v>Virgin America</v>
      </c>
      <c r="E1308" t="s">
        <v>23</v>
      </c>
      <c r="F1308" t="s">
        <v>24</v>
      </c>
      <c r="G1308">
        <v>194</v>
      </c>
      <c r="H1308">
        <v>36</v>
      </c>
      <c r="I1308">
        <v>6.82</v>
      </c>
      <c r="J1308">
        <v>4.03</v>
      </c>
      <c r="K1308">
        <v>9.2200000000000006</v>
      </c>
      <c r="L1308">
        <v>0</v>
      </c>
      <c r="M1308">
        <v>15.92</v>
      </c>
      <c r="N1308">
        <v>0</v>
      </c>
      <c r="O1308">
        <v>0</v>
      </c>
      <c r="P1308">
        <v>1575</v>
      </c>
      <c r="Q1308">
        <v>249</v>
      </c>
      <c r="R1308">
        <v>91</v>
      </c>
      <c r="S1308">
        <v>317</v>
      </c>
      <c r="T1308">
        <v>0</v>
      </c>
      <c r="U1308">
        <v>918</v>
      </c>
      <c r="V1308" s="1">
        <f t="shared" si="60"/>
        <v>0.18559999999999999</v>
      </c>
      <c r="W1308" s="1">
        <f t="shared" si="61"/>
        <v>0</v>
      </c>
      <c r="X1308" s="1">
        <f t="shared" si="62"/>
        <v>0</v>
      </c>
    </row>
    <row r="1309" spans="1:24" x14ac:dyDescent="0.25">
      <c r="A1309">
        <v>2015</v>
      </c>
      <c r="B1309">
        <v>10</v>
      </c>
      <c r="C1309" t="s">
        <v>43</v>
      </c>
      <c r="D1309" t="str">
        <f>_xlfn.XLOOKUP(C1309,'Carrier Name Rename'!A:A,'Carrier Name Rename'!B:B)</f>
        <v>Southwest Airlines Co.</v>
      </c>
      <c r="E1309" t="s">
        <v>23</v>
      </c>
      <c r="F1309" t="s">
        <v>24</v>
      </c>
      <c r="G1309">
        <v>1176</v>
      </c>
      <c r="H1309">
        <v>235</v>
      </c>
      <c r="I1309">
        <v>63.47</v>
      </c>
      <c r="J1309">
        <v>4.68</v>
      </c>
      <c r="K1309">
        <v>88.21</v>
      </c>
      <c r="L1309">
        <v>0</v>
      </c>
      <c r="M1309">
        <v>78.650000000000006</v>
      </c>
      <c r="N1309">
        <v>1</v>
      </c>
      <c r="O1309">
        <v>3</v>
      </c>
      <c r="P1309">
        <v>8840</v>
      </c>
      <c r="Q1309">
        <v>2172</v>
      </c>
      <c r="R1309">
        <v>174</v>
      </c>
      <c r="S1309">
        <v>2624</v>
      </c>
      <c r="T1309">
        <v>0</v>
      </c>
      <c r="U1309">
        <v>3870</v>
      </c>
      <c r="V1309" s="1">
        <f t="shared" si="60"/>
        <v>0.19980000000000001</v>
      </c>
      <c r="W1309" s="1">
        <f t="shared" si="61"/>
        <v>8.9999999999999998E-4</v>
      </c>
      <c r="X1309" s="1">
        <f t="shared" si="62"/>
        <v>2.5999999999999999E-3</v>
      </c>
    </row>
    <row r="1310" spans="1:24" x14ac:dyDescent="0.25">
      <c r="A1310">
        <v>2015</v>
      </c>
      <c r="B1310">
        <v>9</v>
      </c>
      <c r="C1310" t="s">
        <v>31</v>
      </c>
      <c r="D1310" t="str">
        <f>_xlfn.XLOOKUP(C1310,'Carrier Name Rename'!A:A,'Carrier Name Rename'!B:B)</f>
        <v>American Airlines Inc.</v>
      </c>
      <c r="E1310" t="s">
        <v>23</v>
      </c>
      <c r="F1310" t="s">
        <v>24</v>
      </c>
      <c r="G1310">
        <v>758</v>
      </c>
      <c r="H1310">
        <v>115</v>
      </c>
      <c r="I1310">
        <v>42.21</v>
      </c>
      <c r="J1310">
        <v>4.5999999999999996</v>
      </c>
      <c r="K1310">
        <v>39.479999999999997</v>
      </c>
      <c r="L1310">
        <v>0.23</v>
      </c>
      <c r="M1310">
        <v>28.49</v>
      </c>
      <c r="N1310">
        <v>1</v>
      </c>
      <c r="O1310">
        <v>0</v>
      </c>
      <c r="P1310">
        <v>4997</v>
      </c>
      <c r="Q1310">
        <v>1989</v>
      </c>
      <c r="R1310">
        <v>286</v>
      </c>
      <c r="S1310">
        <v>1266</v>
      </c>
      <c r="T1310">
        <v>15</v>
      </c>
      <c r="U1310">
        <v>1441</v>
      </c>
      <c r="V1310" s="1">
        <f t="shared" si="60"/>
        <v>0.1517</v>
      </c>
      <c r="W1310" s="1">
        <f t="shared" si="61"/>
        <v>1.2999999999999999E-3</v>
      </c>
      <c r="X1310" s="1">
        <f t="shared" si="62"/>
        <v>0</v>
      </c>
    </row>
    <row r="1311" spans="1:24" x14ac:dyDescent="0.25">
      <c r="A1311">
        <v>2015</v>
      </c>
      <c r="B1311">
        <v>9</v>
      </c>
      <c r="C1311" t="s">
        <v>33</v>
      </c>
      <c r="D1311" t="str">
        <f>_xlfn.XLOOKUP(C1311,'Carrier Name Rename'!A:A,'Carrier Name Rename'!B:B)</f>
        <v>Alaska Airlines Inc.</v>
      </c>
      <c r="E1311" t="s">
        <v>23</v>
      </c>
      <c r="F1311" t="s">
        <v>24</v>
      </c>
      <c r="G1311">
        <v>4600</v>
      </c>
      <c r="H1311">
        <v>551</v>
      </c>
      <c r="I1311">
        <v>133.65</v>
      </c>
      <c r="J1311">
        <v>6.92</v>
      </c>
      <c r="K1311">
        <v>255.1</v>
      </c>
      <c r="L1311">
        <v>5.59</v>
      </c>
      <c r="M1311">
        <v>149.74</v>
      </c>
      <c r="N1311">
        <v>13</v>
      </c>
      <c r="O1311">
        <v>3</v>
      </c>
      <c r="P1311">
        <v>24859</v>
      </c>
      <c r="Q1311">
        <v>9026</v>
      </c>
      <c r="R1311">
        <v>380</v>
      </c>
      <c r="S1311">
        <v>7988</v>
      </c>
      <c r="T1311">
        <v>126</v>
      </c>
      <c r="U1311">
        <v>7339</v>
      </c>
      <c r="V1311" s="1">
        <f t="shared" si="60"/>
        <v>0.1198</v>
      </c>
      <c r="W1311" s="1">
        <f t="shared" si="61"/>
        <v>2.8E-3</v>
      </c>
      <c r="X1311" s="1">
        <f t="shared" si="62"/>
        <v>6.9999999999999999E-4</v>
      </c>
    </row>
    <row r="1312" spans="1:24" x14ac:dyDescent="0.25">
      <c r="A1312">
        <v>2015</v>
      </c>
      <c r="B1312">
        <v>9</v>
      </c>
      <c r="C1312" t="s">
        <v>35</v>
      </c>
      <c r="D1312" t="str">
        <f>_xlfn.XLOOKUP(C1312,'Carrier Name Rename'!A:A,'Carrier Name Rename'!B:B)</f>
        <v>JetBlue Airways</v>
      </c>
      <c r="E1312" t="s">
        <v>23</v>
      </c>
      <c r="F1312" t="s">
        <v>24</v>
      </c>
      <c r="G1312">
        <v>206</v>
      </c>
      <c r="H1312">
        <v>45</v>
      </c>
      <c r="I1312">
        <v>14.22</v>
      </c>
      <c r="J1312">
        <v>1</v>
      </c>
      <c r="K1312">
        <v>18.3</v>
      </c>
      <c r="L1312">
        <v>0.34</v>
      </c>
      <c r="M1312">
        <v>11.13</v>
      </c>
      <c r="N1312">
        <v>0</v>
      </c>
      <c r="O1312">
        <v>1</v>
      </c>
      <c r="P1312">
        <v>1864</v>
      </c>
      <c r="Q1312">
        <v>773</v>
      </c>
      <c r="R1312">
        <v>32</v>
      </c>
      <c r="S1312">
        <v>511</v>
      </c>
      <c r="T1312">
        <v>10</v>
      </c>
      <c r="U1312">
        <v>538</v>
      </c>
      <c r="V1312" s="1">
        <f t="shared" si="60"/>
        <v>0.21840000000000001</v>
      </c>
      <c r="W1312" s="1">
        <f t="shared" si="61"/>
        <v>0</v>
      </c>
      <c r="X1312" s="1">
        <f t="shared" si="62"/>
        <v>4.8999999999999998E-3</v>
      </c>
    </row>
    <row r="1313" spans="1:24" x14ac:dyDescent="0.25">
      <c r="A1313">
        <v>2015</v>
      </c>
      <c r="B1313">
        <v>9</v>
      </c>
      <c r="C1313" t="s">
        <v>37</v>
      </c>
      <c r="D1313" t="str">
        <f>_xlfn.XLOOKUP(C1313,'Carrier Name Rename'!A:A,'Carrier Name Rename'!B:B)</f>
        <v>Delta Air Lines Inc.</v>
      </c>
      <c r="E1313" t="s">
        <v>23</v>
      </c>
      <c r="F1313" t="s">
        <v>24</v>
      </c>
      <c r="G1313">
        <v>1318</v>
      </c>
      <c r="H1313">
        <v>169</v>
      </c>
      <c r="I1313">
        <v>45.47</v>
      </c>
      <c r="J1313">
        <v>10.9</v>
      </c>
      <c r="K1313">
        <v>74.459999999999994</v>
      </c>
      <c r="L1313">
        <v>0</v>
      </c>
      <c r="M1313">
        <v>38.159999999999997</v>
      </c>
      <c r="N1313">
        <v>0</v>
      </c>
      <c r="O1313">
        <v>1</v>
      </c>
      <c r="P1313">
        <v>7484</v>
      </c>
      <c r="Q1313">
        <v>2658</v>
      </c>
      <c r="R1313">
        <v>618</v>
      </c>
      <c r="S1313">
        <v>2054</v>
      </c>
      <c r="T1313">
        <v>0</v>
      </c>
      <c r="U1313">
        <v>2154</v>
      </c>
      <c r="V1313" s="1">
        <f t="shared" si="60"/>
        <v>0.12820000000000001</v>
      </c>
      <c r="W1313" s="1">
        <f t="shared" si="61"/>
        <v>0</v>
      </c>
      <c r="X1313" s="1">
        <f t="shared" si="62"/>
        <v>8.0000000000000004E-4</v>
      </c>
    </row>
    <row r="1314" spans="1:24" x14ac:dyDescent="0.25">
      <c r="A1314">
        <v>2015</v>
      </c>
      <c r="B1314">
        <v>9</v>
      </c>
      <c r="C1314" t="s">
        <v>39</v>
      </c>
      <c r="D1314" t="str">
        <f>_xlfn.XLOOKUP(C1314,'Carrier Name Rename'!A:A,'Carrier Name Rename'!B:B)</f>
        <v>Frontier Airlines Inc.</v>
      </c>
      <c r="E1314" t="s">
        <v>23</v>
      </c>
      <c r="F1314" t="s">
        <v>24</v>
      </c>
      <c r="G1314">
        <v>97</v>
      </c>
      <c r="H1314">
        <v>18</v>
      </c>
      <c r="I1314">
        <v>4.0999999999999996</v>
      </c>
      <c r="J1314">
        <v>0</v>
      </c>
      <c r="K1314">
        <v>10.220000000000001</v>
      </c>
      <c r="L1314">
        <v>0</v>
      </c>
      <c r="M1314">
        <v>3.68</v>
      </c>
      <c r="N1314">
        <v>0</v>
      </c>
      <c r="O1314">
        <v>0</v>
      </c>
      <c r="P1314">
        <v>870</v>
      </c>
      <c r="Q1314">
        <v>178</v>
      </c>
      <c r="R1314">
        <v>0</v>
      </c>
      <c r="S1314">
        <v>283</v>
      </c>
      <c r="T1314">
        <v>0</v>
      </c>
      <c r="U1314">
        <v>409</v>
      </c>
      <c r="V1314" s="1">
        <f t="shared" si="60"/>
        <v>0.18559999999999999</v>
      </c>
      <c r="W1314" s="1">
        <f t="shared" si="61"/>
        <v>0</v>
      </c>
      <c r="X1314" s="1">
        <f t="shared" si="62"/>
        <v>0</v>
      </c>
    </row>
    <row r="1315" spans="1:24" x14ac:dyDescent="0.25">
      <c r="A1315">
        <v>2015</v>
      </c>
      <c r="B1315">
        <v>9</v>
      </c>
      <c r="C1315" t="s">
        <v>21</v>
      </c>
      <c r="D1315" t="str">
        <f>_xlfn.XLOOKUP(C1315,'Carrier Name Rename'!A:A,'Carrier Name Rename'!B:B)</f>
        <v>Hawaiian Airlines Inc.</v>
      </c>
      <c r="E1315" t="s">
        <v>23</v>
      </c>
      <c r="F1315" t="s">
        <v>24</v>
      </c>
      <c r="G1315">
        <v>60</v>
      </c>
      <c r="H1315">
        <v>19</v>
      </c>
      <c r="I1315">
        <v>16.64</v>
      </c>
      <c r="J1315">
        <v>0.97</v>
      </c>
      <c r="K1315">
        <v>0</v>
      </c>
      <c r="L1315">
        <v>0</v>
      </c>
      <c r="M1315">
        <v>1.39</v>
      </c>
      <c r="N1315">
        <v>0</v>
      </c>
      <c r="O1315">
        <v>0</v>
      </c>
      <c r="P1315">
        <v>751</v>
      </c>
      <c r="Q1315">
        <v>641</v>
      </c>
      <c r="R1315">
        <v>69</v>
      </c>
      <c r="S1315">
        <v>0</v>
      </c>
      <c r="T1315">
        <v>0</v>
      </c>
      <c r="U1315">
        <v>41</v>
      </c>
      <c r="V1315" s="1">
        <f t="shared" si="60"/>
        <v>0.31669999999999998</v>
      </c>
      <c r="W1315" s="1">
        <f t="shared" si="61"/>
        <v>0</v>
      </c>
      <c r="X1315" s="1">
        <f t="shared" si="62"/>
        <v>0</v>
      </c>
    </row>
    <row r="1316" spans="1:24" x14ac:dyDescent="0.25">
      <c r="A1316">
        <v>2015</v>
      </c>
      <c r="B1316">
        <v>9</v>
      </c>
      <c r="C1316" t="s">
        <v>27</v>
      </c>
      <c r="D1316" t="str">
        <f>_xlfn.XLOOKUP(C1316,'Carrier Name Rename'!A:A,'Carrier Name Rename'!B:B)</f>
        <v>SkyWest Airlines Inc.</v>
      </c>
      <c r="E1316" t="s">
        <v>23</v>
      </c>
      <c r="F1316" t="s">
        <v>24</v>
      </c>
      <c r="G1316">
        <v>1351</v>
      </c>
      <c r="H1316">
        <v>145</v>
      </c>
      <c r="I1316">
        <v>27.33</v>
      </c>
      <c r="J1316">
        <v>12.51</v>
      </c>
      <c r="K1316">
        <v>48.58</v>
      </c>
      <c r="L1316">
        <v>1</v>
      </c>
      <c r="M1316">
        <v>55.58</v>
      </c>
      <c r="N1316">
        <v>6</v>
      </c>
      <c r="O1316">
        <v>1</v>
      </c>
      <c r="P1316">
        <v>9293</v>
      </c>
      <c r="Q1316">
        <v>3702</v>
      </c>
      <c r="R1316">
        <v>669</v>
      </c>
      <c r="S1316">
        <v>1500</v>
      </c>
      <c r="T1316">
        <v>18</v>
      </c>
      <c r="U1316">
        <v>3404</v>
      </c>
      <c r="V1316" s="1">
        <f t="shared" si="60"/>
        <v>0.10730000000000001</v>
      </c>
      <c r="W1316" s="1">
        <f t="shared" si="61"/>
        <v>4.4000000000000003E-3</v>
      </c>
      <c r="X1316" s="1">
        <f t="shared" si="62"/>
        <v>6.9999999999999999E-4</v>
      </c>
    </row>
    <row r="1317" spans="1:24" x14ac:dyDescent="0.25">
      <c r="A1317">
        <v>2015</v>
      </c>
      <c r="B1317">
        <v>9</v>
      </c>
      <c r="C1317" t="s">
        <v>41</v>
      </c>
      <c r="D1317" t="str">
        <f>_xlfn.XLOOKUP(C1317,'Carrier Name Rename'!A:A,'Carrier Name Rename'!B:B)</f>
        <v>United Air Lines Inc.</v>
      </c>
      <c r="E1317" t="s">
        <v>23</v>
      </c>
      <c r="F1317" t="s">
        <v>24</v>
      </c>
      <c r="G1317">
        <v>798</v>
      </c>
      <c r="H1317">
        <v>102</v>
      </c>
      <c r="I1317">
        <v>43.68</v>
      </c>
      <c r="J1317">
        <v>4.18</v>
      </c>
      <c r="K1317">
        <v>29.56</v>
      </c>
      <c r="L1317">
        <v>0</v>
      </c>
      <c r="M1317">
        <v>24.58</v>
      </c>
      <c r="N1317">
        <v>0</v>
      </c>
      <c r="O1317">
        <v>1</v>
      </c>
      <c r="P1317">
        <v>5011</v>
      </c>
      <c r="Q1317">
        <v>2246</v>
      </c>
      <c r="R1317">
        <v>159</v>
      </c>
      <c r="S1317">
        <v>1085</v>
      </c>
      <c r="T1317">
        <v>0</v>
      </c>
      <c r="U1317">
        <v>1521</v>
      </c>
      <c r="V1317" s="1">
        <f t="shared" si="60"/>
        <v>0.1278</v>
      </c>
      <c r="W1317" s="1">
        <f t="shared" si="61"/>
        <v>0</v>
      </c>
      <c r="X1317" s="1">
        <f t="shared" si="62"/>
        <v>1.2999999999999999E-3</v>
      </c>
    </row>
    <row r="1318" spans="1:24" x14ac:dyDescent="0.25">
      <c r="A1318">
        <v>2015</v>
      </c>
      <c r="B1318">
        <v>9</v>
      </c>
      <c r="C1318" t="s">
        <v>51</v>
      </c>
      <c r="D1318" t="str">
        <f>_xlfn.XLOOKUP(C1318,'Carrier Name Rename'!A:A,'Carrier Name Rename'!B:B)</f>
        <v>Virgin America</v>
      </c>
      <c r="E1318" t="s">
        <v>23</v>
      </c>
      <c r="F1318" t="s">
        <v>24</v>
      </c>
      <c r="G1318">
        <v>187</v>
      </c>
      <c r="H1318">
        <v>43</v>
      </c>
      <c r="I1318">
        <v>9.07</v>
      </c>
      <c r="J1318">
        <v>4</v>
      </c>
      <c r="K1318">
        <v>9.0500000000000007</v>
      </c>
      <c r="L1318">
        <v>0.03</v>
      </c>
      <c r="M1318">
        <v>20.85</v>
      </c>
      <c r="N1318">
        <v>0</v>
      </c>
      <c r="O1318">
        <v>0</v>
      </c>
      <c r="P1318">
        <v>1631</v>
      </c>
      <c r="Q1318">
        <v>454</v>
      </c>
      <c r="R1318">
        <v>74</v>
      </c>
      <c r="S1318">
        <v>320</v>
      </c>
      <c r="T1318">
        <v>2</v>
      </c>
      <c r="U1318">
        <v>781</v>
      </c>
      <c r="V1318" s="1">
        <f t="shared" si="60"/>
        <v>0.22989999999999999</v>
      </c>
      <c r="W1318" s="1">
        <f t="shared" si="61"/>
        <v>0</v>
      </c>
      <c r="X1318" s="1">
        <f t="shared" si="62"/>
        <v>0</v>
      </c>
    </row>
    <row r="1319" spans="1:24" x14ac:dyDescent="0.25">
      <c r="A1319">
        <v>2015</v>
      </c>
      <c r="B1319">
        <v>9</v>
      </c>
      <c r="C1319" t="s">
        <v>43</v>
      </c>
      <c r="D1319" t="str">
        <f>_xlfn.XLOOKUP(C1319,'Carrier Name Rename'!A:A,'Carrier Name Rename'!B:B)</f>
        <v>Southwest Airlines Co.</v>
      </c>
      <c r="E1319" t="s">
        <v>23</v>
      </c>
      <c r="F1319" t="s">
        <v>24</v>
      </c>
      <c r="G1319">
        <v>1136</v>
      </c>
      <c r="H1319">
        <v>178</v>
      </c>
      <c r="I1319">
        <v>56.38</v>
      </c>
      <c r="J1319">
        <v>1.76</v>
      </c>
      <c r="K1319">
        <v>59.5</v>
      </c>
      <c r="L1319">
        <v>1.38</v>
      </c>
      <c r="M1319">
        <v>58.99</v>
      </c>
      <c r="N1319">
        <v>3</v>
      </c>
      <c r="O1319">
        <v>3</v>
      </c>
      <c r="P1319">
        <v>7197</v>
      </c>
      <c r="Q1319">
        <v>2339</v>
      </c>
      <c r="R1319">
        <v>64</v>
      </c>
      <c r="S1319">
        <v>1705</v>
      </c>
      <c r="T1319">
        <v>26</v>
      </c>
      <c r="U1319">
        <v>3063</v>
      </c>
      <c r="V1319" s="1">
        <f t="shared" si="60"/>
        <v>0.15670000000000001</v>
      </c>
      <c r="W1319" s="1">
        <f t="shared" si="61"/>
        <v>2.5999999999999999E-3</v>
      </c>
      <c r="X1319" s="1">
        <f t="shared" si="62"/>
        <v>2.5999999999999999E-3</v>
      </c>
    </row>
    <row r="1320" spans="1:24" x14ac:dyDescent="0.25">
      <c r="A1320">
        <v>2015</v>
      </c>
      <c r="B1320">
        <v>8</v>
      </c>
      <c r="C1320" t="s">
        <v>31</v>
      </c>
      <c r="D1320" t="str">
        <f>_xlfn.XLOOKUP(C1320,'Carrier Name Rename'!A:A,'Carrier Name Rename'!B:B)</f>
        <v>American Airlines Inc.</v>
      </c>
      <c r="E1320" t="s">
        <v>23</v>
      </c>
      <c r="F1320" t="s">
        <v>24</v>
      </c>
      <c r="G1320">
        <v>935</v>
      </c>
      <c r="H1320">
        <v>247</v>
      </c>
      <c r="I1320">
        <v>82.19</v>
      </c>
      <c r="J1320">
        <v>5.74</v>
      </c>
      <c r="K1320">
        <v>94.31</v>
      </c>
      <c r="L1320">
        <v>0.66</v>
      </c>
      <c r="M1320">
        <v>64.09</v>
      </c>
      <c r="N1320">
        <v>1</v>
      </c>
      <c r="O1320">
        <v>1</v>
      </c>
      <c r="P1320">
        <v>12010</v>
      </c>
      <c r="Q1320">
        <v>4182</v>
      </c>
      <c r="R1320">
        <v>280</v>
      </c>
      <c r="S1320">
        <v>3612</v>
      </c>
      <c r="T1320">
        <v>41</v>
      </c>
      <c r="U1320">
        <v>3895</v>
      </c>
      <c r="V1320" s="1">
        <f t="shared" si="60"/>
        <v>0.26419999999999999</v>
      </c>
      <c r="W1320" s="1">
        <f t="shared" si="61"/>
        <v>1.1000000000000001E-3</v>
      </c>
      <c r="X1320" s="1">
        <f t="shared" si="62"/>
        <v>1.1000000000000001E-3</v>
      </c>
    </row>
    <row r="1321" spans="1:24" x14ac:dyDescent="0.25">
      <c r="A1321">
        <v>2015</v>
      </c>
      <c r="B1321">
        <v>8</v>
      </c>
      <c r="C1321" t="s">
        <v>33</v>
      </c>
      <c r="D1321" t="str">
        <f>_xlfn.XLOOKUP(C1321,'Carrier Name Rename'!A:A,'Carrier Name Rename'!B:B)</f>
        <v>Alaska Airlines Inc.</v>
      </c>
      <c r="E1321" t="s">
        <v>23</v>
      </c>
      <c r="F1321" t="s">
        <v>24</v>
      </c>
      <c r="G1321">
        <v>5243</v>
      </c>
      <c r="H1321">
        <v>970</v>
      </c>
      <c r="I1321">
        <v>153.87</v>
      </c>
      <c r="J1321">
        <v>22.54</v>
      </c>
      <c r="K1321">
        <v>510.97</v>
      </c>
      <c r="L1321">
        <v>6.65</v>
      </c>
      <c r="M1321">
        <v>275.97000000000003</v>
      </c>
      <c r="N1321">
        <v>11</v>
      </c>
      <c r="O1321">
        <v>3</v>
      </c>
      <c r="P1321">
        <v>47943</v>
      </c>
      <c r="Q1321">
        <v>9381</v>
      </c>
      <c r="R1321">
        <v>2033</v>
      </c>
      <c r="S1321">
        <v>20185</v>
      </c>
      <c r="T1321">
        <v>207</v>
      </c>
      <c r="U1321">
        <v>16137</v>
      </c>
      <c r="V1321" s="1">
        <f t="shared" si="60"/>
        <v>0.185</v>
      </c>
      <c r="W1321" s="1">
        <f t="shared" si="61"/>
        <v>2.0999999999999999E-3</v>
      </c>
      <c r="X1321" s="1">
        <f t="shared" si="62"/>
        <v>5.9999999999999995E-4</v>
      </c>
    </row>
    <row r="1322" spans="1:24" x14ac:dyDescent="0.25">
      <c r="A1322">
        <v>2015</v>
      </c>
      <c r="B1322">
        <v>8</v>
      </c>
      <c r="C1322" t="s">
        <v>35</v>
      </c>
      <c r="D1322" t="str">
        <f>_xlfn.XLOOKUP(C1322,'Carrier Name Rename'!A:A,'Carrier Name Rename'!B:B)</f>
        <v>JetBlue Airways</v>
      </c>
      <c r="E1322" t="s">
        <v>23</v>
      </c>
      <c r="F1322" t="s">
        <v>24</v>
      </c>
      <c r="G1322">
        <v>312</v>
      </c>
      <c r="H1322">
        <v>95</v>
      </c>
      <c r="I1322">
        <v>25.37</v>
      </c>
      <c r="J1322">
        <v>3.07</v>
      </c>
      <c r="K1322">
        <v>41.37</v>
      </c>
      <c r="L1322">
        <v>1.29</v>
      </c>
      <c r="M1322">
        <v>23.9</v>
      </c>
      <c r="N1322">
        <v>0</v>
      </c>
      <c r="O1322">
        <v>0</v>
      </c>
      <c r="P1322">
        <v>4106</v>
      </c>
      <c r="Q1322">
        <v>1266</v>
      </c>
      <c r="R1322">
        <v>264</v>
      </c>
      <c r="S1322">
        <v>1249</v>
      </c>
      <c r="T1322">
        <v>43</v>
      </c>
      <c r="U1322">
        <v>1284</v>
      </c>
      <c r="V1322" s="1">
        <f t="shared" si="60"/>
        <v>0.30449999999999999</v>
      </c>
      <c r="W1322" s="1">
        <f t="shared" si="61"/>
        <v>0</v>
      </c>
      <c r="X1322" s="1">
        <f t="shared" si="62"/>
        <v>0</v>
      </c>
    </row>
    <row r="1323" spans="1:24" x14ac:dyDescent="0.25">
      <c r="A1323">
        <v>2015</v>
      </c>
      <c r="B1323">
        <v>8</v>
      </c>
      <c r="C1323" t="s">
        <v>37</v>
      </c>
      <c r="D1323" t="str">
        <f>_xlfn.XLOOKUP(C1323,'Carrier Name Rename'!A:A,'Carrier Name Rename'!B:B)</f>
        <v>Delta Air Lines Inc.</v>
      </c>
      <c r="E1323" t="s">
        <v>23</v>
      </c>
      <c r="F1323" t="s">
        <v>24</v>
      </c>
      <c r="G1323">
        <v>1667</v>
      </c>
      <c r="H1323">
        <v>282</v>
      </c>
      <c r="I1323">
        <v>85.45</v>
      </c>
      <c r="J1323">
        <v>14.47</v>
      </c>
      <c r="K1323">
        <v>121.8</v>
      </c>
      <c r="L1323">
        <v>0</v>
      </c>
      <c r="M1323">
        <v>60.28</v>
      </c>
      <c r="N1323">
        <v>1</v>
      </c>
      <c r="O1323">
        <v>1</v>
      </c>
      <c r="P1323">
        <v>13857</v>
      </c>
      <c r="Q1323">
        <v>6555</v>
      </c>
      <c r="R1323">
        <v>916</v>
      </c>
      <c r="S1323">
        <v>3638</v>
      </c>
      <c r="T1323">
        <v>0</v>
      </c>
      <c r="U1323">
        <v>2748</v>
      </c>
      <c r="V1323" s="1">
        <f t="shared" si="60"/>
        <v>0.16919999999999999</v>
      </c>
      <c r="W1323" s="1">
        <f t="shared" si="61"/>
        <v>5.9999999999999995E-4</v>
      </c>
      <c r="X1323" s="1">
        <f t="shared" si="62"/>
        <v>5.9999999999999995E-4</v>
      </c>
    </row>
    <row r="1324" spans="1:24" x14ac:dyDescent="0.25">
      <c r="A1324">
        <v>2015</v>
      </c>
      <c r="B1324">
        <v>8</v>
      </c>
      <c r="C1324" t="s">
        <v>39</v>
      </c>
      <c r="D1324" t="str">
        <f>_xlfn.XLOOKUP(C1324,'Carrier Name Rename'!A:A,'Carrier Name Rename'!B:B)</f>
        <v>Frontier Airlines Inc.</v>
      </c>
      <c r="E1324" t="s">
        <v>23</v>
      </c>
      <c r="F1324" t="s">
        <v>24</v>
      </c>
      <c r="G1324">
        <v>106</v>
      </c>
      <c r="H1324">
        <v>28</v>
      </c>
      <c r="I1324">
        <v>8.6300000000000008</v>
      </c>
      <c r="J1324">
        <v>0</v>
      </c>
      <c r="K1324">
        <v>16.809999999999999</v>
      </c>
      <c r="L1324">
        <v>0</v>
      </c>
      <c r="M1324">
        <v>2.56</v>
      </c>
      <c r="N1324">
        <v>0</v>
      </c>
      <c r="O1324">
        <v>0</v>
      </c>
      <c r="P1324">
        <v>1337</v>
      </c>
      <c r="Q1324">
        <v>341</v>
      </c>
      <c r="R1324">
        <v>0</v>
      </c>
      <c r="S1324">
        <v>639</v>
      </c>
      <c r="T1324">
        <v>0</v>
      </c>
      <c r="U1324">
        <v>357</v>
      </c>
      <c r="V1324" s="1">
        <f t="shared" si="60"/>
        <v>0.26419999999999999</v>
      </c>
      <c r="W1324" s="1">
        <f t="shared" si="61"/>
        <v>0</v>
      </c>
      <c r="X1324" s="1">
        <f t="shared" si="62"/>
        <v>0</v>
      </c>
    </row>
    <row r="1325" spans="1:24" x14ac:dyDescent="0.25">
      <c r="A1325">
        <v>2015</v>
      </c>
      <c r="B1325">
        <v>8</v>
      </c>
      <c r="C1325" t="s">
        <v>21</v>
      </c>
      <c r="D1325" t="str">
        <f>_xlfn.XLOOKUP(C1325,'Carrier Name Rename'!A:A,'Carrier Name Rename'!B:B)</f>
        <v>Hawaiian Airlines Inc.</v>
      </c>
      <c r="E1325" t="s">
        <v>23</v>
      </c>
      <c r="F1325" t="s">
        <v>24</v>
      </c>
      <c r="G1325">
        <v>62</v>
      </c>
      <c r="H1325">
        <v>16</v>
      </c>
      <c r="I1325">
        <v>13.61</v>
      </c>
      <c r="J1325">
        <v>0</v>
      </c>
      <c r="K1325">
        <v>0</v>
      </c>
      <c r="L1325">
        <v>0</v>
      </c>
      <c r="M1325">
        <v>2.39</v>
      </c>
      <c r="N1325">
        <v>0</v>
      </c>
      <c r="O1325">
        <v>0</v>
      </c>
      <c r="P1325">
        <v>731</v>
      </c>
      <c r="Q1325">
        <v>599</v>
      </c>
      <c r="R1325">
        <v>0</v>
      </c>
      <c r="S1325">
        <v>0</v>
      </c>
      <c r="T1325">
        <v>0</v>
      </c>
      <c r="U1325">
        <v>132</v>
      </c>
      <c r="V1325" s="1">
        <f t="shared" si="60"/>
        <v>0.2581</v>
      </c>
      <c r="W1325" s="1">
        <f t="shared" si="61"/>
        <v>0</v>
      </c>
      <c r="X1325" s="1">
        <f t="shared" si="62"/>
        <v>0</v>
      </c>
    </row>
    <row r="1326" spans="1:24" x14ac:dyDescent="0.25">
      <c r="A1326">
        <v>2015</v>
      </c>
      <c r="B1326">
        <v>8</v>
      </c>
      <c r="C1326" t="s">
        <v>27</v>
      </c>
      <c r="D1326" t="str">
        <f>_xlfn.XLOOKUP(C1326,'Carrier Name Rename'!A:A,'Carrier Name Rename'!B:B)</f>
        <v>SkyWest Airlines Inc.</v>
      </c>
      <c r="E1326" t="s">
        <v>23</v>
      </c>
      <c r="F1326" t="s">
        <v>24</v>
      </c>
      <c r="G1326">
        <v>1361</v>
      </c>
      <c r="H1326">
        <v>300</v>
      </c>
      <c r="I1326">
        <v>54.45</v>
      </c>
      <c r="J1326">
        <v>14.13</v>
      </c>
      <c r="K1326">
        <v>105.51</v>
      </c>
      <c r="L1326">
        <v>1.41</v>
      </c>
      <c r="M1326">
        <v>124.5</v>
      </c>
      <c r="N1326">
        <v>12</v>
      </c>
      <c r="O1326">
        <v>2</v>
      </c>
      <c r="P1326">
        <v>16337</v>
      </c>
      <c r="Q1326">
        <v>3814</v>
      </c>
      <c r="R1326">
        <v>744</v>
      </c>
      <c r="S1326">
        <v>4233</v>
      </c>
      <c r="T1326">
        <v>49</v>
      </c>
      <c r="U1326">
        <v>7497</v>
      </c>
      <c r="V1326" s="1">
        <f t="shared" si="60"/>
        <v>0.22040000000000001</v>
      </c>
      <c r="W1326" s="1">
        <f t="shared" si="61"/>
        <v>8.8000000000000005E-3</v>
      </c>
      <c r="X1326" s="1">
        <f t="shared" si="62"/>
        <v>1.5E-3</v>
      </c>
    </row>
    <row r="1327" spans="1:24" x14ac:dyDescent="0.25">
      <c r="A1327">
        <v>2015</v>
      </c>
      <c r="B1327">
        <v>8</v>
      </c>
      <c r="C1327" t="s">
        <v>41</v>
      </c>
      <c r="D1327" t="str">
        <f>_xlfn.XLOOKUP(C1327,'Carrier Name Rename'!A:A,'Carrier Name Rename'!B:B)</f>
        <v>United Air Lines Inc.</v>
      </c>
      <c r="E1327" t="s">
        <v>23</v>
      </c>
      <c r="F1327" t="s">
        <v>24</v>
      </c>
      <c r="G1327">
        <v>921</v>
      </c>
      <c r="H1327">
        <v>245</v>
      </c>
      <c r="I1327">
        <v>85.55</v>
      </c>
      <c r="J1327">
        <v>10.029999999999999</v>
      </c>
      <c r="K1327">
        <v>74.959999999999994</v>
      </c>
      <c r="L1327">
        <v>0</v>
      </c>
      <c r="M1327">
        <v>74.459999999999994</v>
      </c>
      <c r="N1327">
        <v>1</v>
      </c>
      <c r="O1327">
        <v>0</v>
      </c>
      <c r="P1327">
        <v>14470</v>
      </c>
      <c r="Q1327">
        <v>5113</v>
      </c>
      <c r="R1327">
        <v>681</v>
      </c>
      <c r="S1327">
        <v>3521</v>
      </c>
      <c r="T1327">
        <v>0</v>
      </c>
      <c r="U1327">
        <v>5155</v>
      </c>
      <c r="V1327" s="1">
        <f t="shared" si="60"/>
        <v>0.26600000000000001</v>
      </c>
      <c r="W1327" s="1">
        <f t="shared" si="61"/>
        <v>1.1000000000000001E-3</v>
      </c>
      <c r="X1327" s="1">
        <f t="shared" si="62"/>
        <v>0</v>
      </c>
    </row>
    <row r="1328" spans="1:24" x14ac:dyDescent="0.25">
      <c r="A1328">
        <v>2015</v>
      </c>
      <c r="B1328">
        <v>8</v>
      </c>
      <c r="C1328" t="s">
        <v>51</v>
      </c>
      <c r="D1328" t="str">
        <f>_xlfn.XLOOKUP(C1328,'Carrier Name Rename'!A:A,'Carrier Name Rename'!B:B)</f>
        <v>Virgin America</v>
      </c>
      <c r="E1328" t="s">
        <v>23</v>
      </c>
      <c r="F1328" t="s">
        <v>24</v>
      </c>
      <c r="G1328">
        <v>197</v>
      </c>
      <c r="H1328">
        <v>42</v>
      </c>
      <c r="I1328">
        <v>9.81</v>
      </c>
      <c r="J1328">
        <v>1.63</v>
      </c>
      <c r="K1328">
        <v>21.24</v>
      </c>
      <c r="L1328">
        <v>0.06</v>
      </c>
      <c r="M1328">
        <v>9.27</v>
      </c>
      <c r="N1328">
        <v>1</v>
      </c>
      <c r="O1328">
        <v>0</v>
      </c>
      <c r="P1328">
        <v>1737</v>
      </c>
      <c r="Q1328">
        <v>358</v>
      </c>
      <c r="R1328">
        <v>47</v>
      </c>
      <c r="S1328">
        <v>901</v>
      </c>
      <c r="T1328">
        <v>4</v>
      </c>
      <c r="U1328">
        <v>427</v>
      </c>
      <c r="V1328" s="1">
        <f t="shared" si="60"/>
        <v>0.2132</v>
      </c>
      <c r="W1328" s="1">
        <f t="shared" si="61"/>
        <v>5.1000000000000004E-3</v>
      </c>
      <c r="X1328" s="1">
        <f t="shared" si="62"/>
        <v>0</v>
      </c>
    </row>
    <row r="1329" spans="1:24" x14ac:dyDescent="0.25">
      <c r="A1329">
        <v>2015</v>
      </c>
      <c r="B1329">
        <v>8</v>
      </c>
      <c r="C1329" t="s">
        <v>43</v>
      </c>
      <c r="D1329" t="str">
        <f>_xlfn.XLOOKUP(C1329,'Carrier Name Rename'!A:A,'Carrier Name Rename'!B:B)</f>
        <v>Southwest Airlines Co.</v>
      </c>
      <c r="E1329" t="s">
        <v>23</v>
      </c>
      <c r="F1329" t="s">
        <v>24</v>
      </c>
      <c r="G1329">
        <v>1288</v>
      </c>
      <c r="H1329">
        <v>330</v>
      </c>
      <c r="I1329">
        <v>114.47</v>
      </c>
      <c r="J1329">
        <v>10.15</v>
      </c>
      <c r="K1329">
        <v>85.29</v>
      </c>
      <c r="L1329">
        <v>0.92</v>
      </c>
      <c r="M1329">
        <v>119.17</v>
      </c>
      <c r="N1329">
        <v>1</v>
      </c>
      <c r="O1329">
        <v>1</v>
      </c>
      <c r="P1329">
        <v>16779</v>
      </c>
      <c r="Q1329">
        <v>6303</v>
      </c>
      <c r="R1329">
        <v>581</v>
      </c>
      <c r="S1329">
        <v>3337</v>
      </c>
      <c r="T1329">
        <v>22</v>
      </c>
      <c r="U1329">
        <v>6536</v>
      </c>
      <c r="V1329" s="1">
        <f t="shared" si="60"/>
        <v>0.25619999999999998</v>
      </c>
      <c r="W1329" s="1">
        <f t="shared" si="61"/>
        <v>8.0000000000000004E-4</v>
      </c>
      <c r="X1329" s="1">
        <f t="shared" si="62"/>
        <v>8.0000000000000004E-4</v>
      </c>
    </row>
    <row r="1330" spans="1:24" x14ac:dyDescent="0.25">
      <c r="A1330">
        <v>2015</v>
      </c>
      <c r="B1330">
        <v>7</v>
      </c>
      <c r="C1330" t="s">
        <v>31</v>
      </c>
      <c r="D1330" t="str">
        <f>_xlfn.XLOOKUP(C1330,'Carrier Name Rename'!A:A,'Carrier Name Rename'!B:B)</f>
        <v>American Airlines Inc.</v>
      </c>
      <c r="E1330" t="s">
        <v>23</v>
      </c>
      <c r="F1330" t="s">
        <v>24</v>
      </c>
      <c r="G1330">
        <v>973</v>
      </c>
      <c r="H1330">
        <v>174</v>
      </c>
      <c r="I1330">
        <v>57.99</v>
      </c>
      <c r="J1330">
        <v>4.45</v>
      </c>
      <c r="K1330">
        <v>45.99</v>
      </c>
      <c r="L1330">
        <v>1.31</v>
      </c>
      <c r="M1330">
        <v>64.260000000000005</v>
      </c>
      <c r="N1330">
        <v>2</v>
      </c>
      <c r="O1330">
        <v>0</v>
      </c>
      <c r="P1330">
        <v>10798</v>
      </c>
      <c r="Q1330">
        <v>3574</v>
      </c>
      <c r="R1330">
        <v>250</v>
      </c>
      <c r="S1330">
        <v>2006</v>
      </c>
      <c r="T1330">
        <v>90</v>
      </c>
      <c r="U1330">
        <v>4878</v>
      </c>
      <c r="V1330" s="1">
        <f t="shared" si="60"/>
        <v>0.17879999999999999</v>
      </c>
      <c r="W1330" s="1">
        <f t="shared" si="61"/>
        <v>2.0999999999999999E-3</v>
      </c>
      <c r="X1330" s="1">
        <f t="shared" si="62"/>
        <v>0</v>
      </c>
    </row>
    <row r="1331" spans="1:24" x14ac:dyDescent="0.25">
      <c r="A1331">
        <v>2015</v>
      </c>
      <c r="B1331">
        <v>7</v>
      </c>
      <c r="C1331" t="s">
        <v>33</v>
      </c>
      <c r="D1331" t="str">
        <f>_xlfn.XLOOKUP(C1331,'Carrier Name Rename'!A:A,'Carrier Name Rename'!B:B)</f>
        <v>Alaska Airlines Inc.</v>
      </c>
      <c r="E1331" t="s">
        <v>23</v>
      </c>
      <c r="F1331" t="s">
        <v>24</v>
      </c>
      <c r="G1331">
        <v>5010</v>
      </c>
      <c r="H1331">
        <v>588</v>
      </c>
      <c r="I1331">
        <v>142.79</v>
      </c>
      <c r="J1331">
        <v>9.86</v>
      </c>
      <c r="K1331">
        <v>222.16</v>
      </c>
      <c r="L1331">
        <v>2.75</v>
      </c>
      <c r="M1331">
        <v>210.44</v>
      </c>
      <c r="N1331">
        <v>14</v>
      </c>
      <c r="O1331">
        <v>5</v>
      </c>
      <c r="P1331">
        <v>30389</v>
      </c>
      <c r="Q1331">
        <v>10247</v>
      </c>
      <c r="R1331">
        <v>552</v>
      </c>
      <c r="S1331">
        <v>6062</v>
      </c>
      <c r="T1331">
        <v>61</v>
      </c>
      <c r="U1331">
        <v>13467</v>
      </c>
      <c r="V1331" s="1">
        <f t="shared" si="60"/>
        <v>0.1174</v>
      </c>
      <c r="W1331" s="1">
        <f t="shared" si="61"/>
        <v>2.8E-3</v>
      </c>
      <c r="X1331" s="1">
        <f t="shared" si="62"/>
        <v>1E-3</v>
      </c>
    </row>
    <row r="1332" spans="1:24" x14ac:dyDescent="0.25">
      <c r="A1332">
        <v>2015</v>
      </c>
      <c r="B1332">
        <v>7</v>
      </c>
      <c r="C1332" t="s">
        <v>35</v>
      </c>
      <c r="D1332" t="str">
        <f>_xlfn.XLOOKUP(C1332,'Carrier Name Rename'!A:A,'Carrier Name Rename'!B:B)</f>
        <v>JetBlue Airways</v>
      </c>
      <c r="E1332" t="s">
        <v>23</v>
      </c>
      <c r="F1332" t="s">
        <v>24</v>
      </c>
      <c r="G1332">
        <v>337</v>
      </c>
      <c r="H1332">
        <v>91</v>
      </c>
      <c r="I1332">
        <v>23.97</v>
      </c>
      <c r="J1332">
        <v>2.48</v>
      </c>
      <c r="K1332">
        <v>38.28</v>
      </c>
      <c r="L1332">
        <v>0.48</v>
      </c>
      <c r="M1332">
        <v>25.79</v>
      </c>
      <c r="N1332">
        <v>2</v>
      </c>
      <c r="O1332">
        <v>0</v>
      </c>
      <c r="P1332">
        <v>4502</v>
      </c>
      <c r="Q1332">
        <v>1547</v>
      </c>
      <c r="R1332">
        <v>199</v>
      </c>
      <c r="S1332">
        <v>1164</v>
      </c>
      <c r="T1332">
        <v>19</v>
      </c>
      <c r="U1332">
        <v>1573</v>
      </c>
      <c r="V1332" s="1">
        <f t="shared" si="60"/>
        <v>0.27</v>
      </c>
      <c r="W1332" s="1">
        <f t="shared" si="61"/>
        <v>5.8999999999999999E-3</v>
      </c>
      <c r="X1332" s="1">
        <f t="shared" si="62"/>
        <v>0</v>
      </c>
    </row>
    <row r="1333" spans="1:24" x14ac:dyDescent="0.25">
      <c r="A1333">
        <v>2015</v>
      </c>
      <c r="B1333">
        <v>7</v>
      </c>
      <c r="C1333" t="s">
        <v>37</v>
      </c>
      <c r="D1333" t="str">
        <f>_xlfn.XLOOKUP(C1333,'Carrier Name Rename'!A:A,'Carrier Name Rename'!B:B)</f>
        <v>Delta Air Lines Inc.</v>
      </c>
      <c r="E1333" t="s">
        <v>23</v>
      </c>
      <c r="F1333" t="s">
        <v>24</v>
      </c>
      <c r="G1333">
        <v>1590</v>
      </c>
      <c r="H1333">
        <v>241</v>
      </c>
      <c r="I1333">
        <v>88.46</v>
      </c>
      <c r="J1333">
        <v>10.89</v>
      </c>
      <c r="K1333">
        <v>81.290000000000006</v>
      </c>
      <c r="L1333">
        <v>0</v>
      </c>
      <c r="M1333">
        <v>60.35</v>
      </c>
      <c r="N1333">
        <v>0</v>
      </c>
      <c r="O1333">
        <v>2</v>
      </c>
      <c r="P1333">
        <v>10216</v>
      </c>
      <c r="Q1333">
        <v>4572</v>
      </c>
      <c r="R1333">
        <v>654</v>
      </c>
      <c r="S1333">
        <v>2409</v>
      </c>
      <c r="T1333">
        <v>0</v>
      </c>
      <c r="U1333">
        <v>2581</v>
      </c>
      <c r="V1333" s="1">
        <f t="shared" si="60"/>
        <v>0.15160000000000001</v>
      </c>
      <c r="W1333" s="1">
        <f t="shared" si="61"/>
        <v>0</v>
      </c>
      <c r="X1333" s="1">
        <f t="shared" si="62"/>
        <v>1.2999999999999999E-3</v>
      </c>
    </row>
    <row r="1334" spans="1:24" x14ac:dyDescent="0.25">
      <c r="A1334">
        <v>2015</v>
      </c>
      <c r="B1334">
        <v>7</v>
      </c>
      <c r="C1334" t="s">
        <v>39</v>
      </c>
      <c r="D1334" t="str">
        <f>_xlfn.XLOOKUP(C1334,'Carrier Name Rename'!A:A,'Carrier Name Rename'!B:B)</f>
        <v>Frontier Airlines Inc.</v>
      </c>
      <c r="E1334" t="s">
        <v>23</v>
      </c>
      <c r="F1334" t="s">
        <v>24</v>
      </c>
      <c r="G1334">
        <v>93</v>
      </c>
      <c r="H1334">
        <v>33</v>
      </c>
      <c r="I1334">
        <v>15.03</v>
      </c>
      <c r="J1334">
        <v>0</v>
      </c>
      <c r="K1334">
        <v>12.57</v>
      </c>
      <c r="L1334">
        <v>0</v>
      </c>
      <c r="M1334">
        <v>5.4</v>
      </c>
      <c r="N1334">
        <v>0</v>
      </c>
      <c r="O1334">
        <v>0</v>
      </c>
      <c r="P1334">
        <v>1609</v>
      </c>
      <c r="Q1334">
        <v>594</v>
      </c>
      <c r="R1334">
        <v>0</v>
      </c>
      <c r="S1334">
        <v>645</v>
      </c>
      <c r="T1334">
        <v>0</v>
      </c>
      <c r="U1334">
        <v>370</v>
      </c>
      <c r="V1334" s="1">
        <f t="shared" si="60"/>
        <v>0.3548</v>
      </c>
      <c r="W1334" s="1">
        <f t="shared" si="61"/>
        <v>0</v>
      </c>
      <c r="X1334" s="1">
        <f t="shared" si="62"/>
        <v>0</v>
      </c>
    </row>
    <row r="1335" spans="1:24" x14ac:dyDescent="0.25">
      <c r="A1335">
        <v>2015</v>
      </c>
      <c r="B1335">
        <v>7</v>
      </c>
      <c r="C1335" t="s">
        <v>21</v>
      </c>
      <c r="D1335" t="str">
        <f>_xlfn.XLOOKUP(C1335,'Carrier Name Rename'!A:A,'Carrier Name Rename'!B:B)</f>
        <v>Hawaiian Airlines Inc.</v>
      </c>
      <c r="E1335" t="s">
        <v>23</v>
      </c>
      <c r="F1335" t="s">
        <v>24</v>
      </c>
      <c r="G1335">
        <v>62</v>
      </c>
      <c r="H1335">
        <v>25</v>
      </c>
      <c r="I1335">
        <v>23.07</v>
      </c>
      <c r="J1335">
        <v>0</v>
      </c>
      <c r="K1335">
        <v>0.16</v>
      </c>
      <c r="L1335">
        <v>0.5</v>
      </c>
      <c r="M1335">
        <v>1.27</v>
      </c>
      <c r="N1335">
        <v>0</v>
      </c>
      <c r="O1335">
        <v>0</v>
      </c>
      <c r="P1335">
        <v>699</v>
      </c>
      <c r="Q1335">
        <v>637</v>
      </c>
      <c r="R1335">
        <v>0</v>
      </c>
      <c r="S1335">
        <v>4</v>
      </c>
      <c r="T1335">
        <v>8</v>
      </c>
      <c r="U1335">
        <v>50</v>
      </c>
      <c r="V1335" s="1">
        <f t="shared" si="60"/>
        <v>0.4032</v>
      </c>
      <c r="W1335" s="1">
        <f t="shared" si="61"/>
        <v>0</v>
      </c>
      <c r="X1335" s="1">
        <f t="shared" si="62"/>
        <v>0</v>
      </c>
    </row>
    <row r="1336" spans="1:24" x14ac:dyDescent="0.25">
      <c r="A1336">
        <v>2015</v>
      </c>
      <c r="B1336">
        <v>7</v>
      </c>
      <c r="C1336" t="s">
        <v>27</v>
      </c>
      <c r="D1336" t="str">
        <f>_xlfn.XLOOKUP(C1336,'Carrier Name Rename'!A:A,'Carrier Name Rename'!B:B)</f>
        <v>SkyWest Airlines Inc.</v>
      </c>
      <c r="E1336" t="s">
        <v>23</v>
      </c>
      <c r="F1336" t="s">
        <v>24</v>
      </c>
      <c r="G1336">
        <v>1327</v>
      </c>
      <c r="H1336">
        <v>186</v>
      </c>
      <c r="I1336">
        <v>43.36</v>
      </c>
      <c r="J1336">
        <v>2.31</v>
      </c>
      <c r="K1336">
        <v>43.31</v>
      </c>
      <c r="L1336">
        <v>0.7</v>
      </c>
      <c r="M1336">
        <v>96.31</v>
      </c>
      <c r="N1336">
        <v>9</v>
      </c>
      <c r="O1336">
        <v>1</v>
      </c>
      <c r="P1336">
        <v>11553</v>
      </c>
      <c r="Q1336">
        <v>3883</v>
      </c>
      <c r="R1336">
        <v>127</v>
      </c>
      <c r="S1336">
        <v>1168</v>
      </c>
      <c r="T1336">
        <v>19</v>
      </c>
      <c r="U1336">
        <v>6356</v>
      </c>
      <c r="V1336" s="1">
        <f t="shared" si="60"/>
        <v>0.14019999999999999</v>
      </c>
      <c r="W1336" s="1">
        <f t="shared" si="61"/>
        <v>6.7999999999999996E-3</v>
      </c>
      <c r="X1336" s="1">
        <f t="shared" si="62"/>
        <v>8.0000000000000004E-4</v>
      </c>
    </row>
    <row r="1337" spans="1:24" x14ac:dyDescent="0.25">
      <c r="A1337">
        <v>2015</v>
      </c>
      <c r="B1337">
        <v>7</v>
      </c>
      <c r="C1337" t="s">
        <v>41</v>
      </c>
      <c r="D1337" t="str">
        <f>_xlfn.XLOOKUP(C1337,'Carrier Name Rename'!A:A,'Carrier Name Rename'!B:B)</f>
        <v>United Air Lines Inc.</v>
      </c>
      <c r="E1337" t="s">
        <v>23</v>
      </c>
      <c r="F1337" t="s">
        <v>24</v>
      </c>
      <c r="G1337">
        <v>961</v>
      </c>
      <c r="H1337">
        <v>257</v>
      </c>
      <c r="I1337">
        <v>119.57</v>
      </c>
      <c r="J1337">
        <v>5.6</v>
      </c>
      <c r="K1337">
        <v>45.22</v>
      </c>
      <c r="L1337">
        <v>0</v>
      </c>
      <c r="M1337">
        <v>86.62</v>
      </c>
      <c r="N1337">
        <v>6</v>
      </c>
      <c r="O1337">
        <v>0</v>
      </c>
      <c r="P1337">
        <v>16554</v>
      </c>
      <c r="Q1337">
        <v>6599</v>
      </c>
      <c r="R1337">
        <v>304</v>
      </c>
      <c r="S1337">
        <v>2195</v>
      </c>
      <c r="T1337">
        <v>0</v>
      </c>
      <c r="U1337">
        <v>7456</v>
      </c>
      <c r="V1337" s="1">
        <f t="shared" si="60"/>
        <v>0.26740000000000003</v>
      </c>
      <c r="W1337" s="1">
        <f t="shared" si="61"/>
        <v>6.1999999999999998E-3</v>
      </c>
      <c r="X1337" s="1">
        <f t="shared" si="62"/>
        <v>0</v>
      </c>
    </row>
    <row r="1338" spans="1:24" x14ac:dyDescent="0.25">
      <c r="A1338">
        <v>2015</v>
      </c>
      <c r="B1338">
        <v>7</v>
      </c>
      <c r="C1338" t="s">
        <v>51</v>
      </c>
      <c r="D1338" t="str">
        <f>_xlfn.XLOOKUP(C1338,'Carrier Name Rename'!A:A,'Carrier Name Rename'!B:B)</f>
        <v>Virgin America</v>
      </c>
      <c r="E1338" t="s">
        <v>23</v>
      </c>
      <c r="F1338" t="s">
        <v>24</v>
      </c>
      <c r="G1338">
        <v>198</v>
      </c>
      <c r="H1338">
        <v>48</v>
      </c>
      <c r="I1338">
        <v>12.03</v>
      </c>
      <c r="J1338">
        <v>1.06</v>
      </c>
      <c r="K1338">
        <v>9.76</v>
      </c>
      <c r="L1338">
        <v>0</v>
      </c>
      <c r="M1338">
        <v>25.14</v>
      </c>
      <c r="N1338">
        <v>0</v>
      </c>
      <c r="O1338">
        <v>0</v>
      </c>
      <c r="P1338">
        <v>2171</v>
      </c>
      <c r="Q1338">
        <v>595</v>
      </c>
      <c r="R1338">
        <v>23</v>
      </c>
      <c r="S1338">
        <v>324</v>
      </c>
      <c r="T1338">
        <v>0</v>
      </c>
      <c r="U1338">
        <v>1229</v>
      </c>
      <c r="V1338" s="1">
        <f t="shared" si="60"/>
        <v>0.2424</v>
      </c>
      <c r="W1338" s="1">
        <f t="shared" si="61"/>
        <v>0</v>
      </c>
      <c r="X1338" s="1">
        <f t="shared" si="62"/>
        <v>0</v>
      </c>
    </row>
    <row r="1339" spans="1:24" x14ac:dyDescent="0.25">
      <c r="A1339">
        <v>2015</v>
      </c>
      <c r="B1339">
        <v>7</v>
      </c>
      <c r="C1339" t="s">
        <v>43</v>
      </c>
      <c r="D1339" t="str">
        <f>_xlfn.XLOOKUP(C1339,'Carrier Name Rename'!A:A,'Carrier Name Rename'!B:B)</f>
        <v>Southwest Airlines Co.</v>
      </c>
      <c r="E1339" t="s">
        <v>23</v>
      </c>
      <c r="F1339" t="s">
        <v>24</v>
      </c>
      <c r="G1339">
        <v>1438</v>
      </c>
      <c r="H1339">
        <v>358</v>
      </c>
      <c r="I1339">
        <v>144.08000000000001</v>
      </c>
      <c r="J1339">
        <v>0.84</v>
      </c>
      <c r="K1339">
        <v>49.93</v>
      </c>
      <c r="L1339">
        <v>0</v>
      </c>
      <c r="M1339">
        <v>163.15</v>
      </c>
      <c r="N1339">
        <v>3</v>
      </c>
      <c r="O1339">
        <v>2</v>
      </c>
      <c r="P1339">
        <v>19601</v>
      </c>
      <c r="Q1339">
        <v>6831</v>
      </c>
      <c r="R1339">
        <v>52</v>
      </c>
      <c r="S1339">
        <v>2140</v>
      </c>
      <c r="T1339">
        <v>0</v>
      </c>
      <c r="U1339">
        <v>10578</v>
      </c>
      <c r="V1339" s="1">
        <f t="shared" si="60"/>
        <v>0.249</v>
      </c>
      <c r="W1339" s="1">
        <f t="shared" si="61"/>
        <v>2.0999999999999999E-3</v>
      </c>
      <c r="X1339" s="1">
        <f t="shared" si="62"/>
        <v>1.4E-3</v>
      </c>
    </row>
    <row r="1340" spans="1:24" x14ac:dyDescent="0.25">
      <c r="A1340">
        <v>2015</v>
      </c>
      <c r="B1340">
        <v>6</v>
      </c>
      <c r="C1340" t="s">
        <v>31</v>
      </c>
      <c r="D1340" t="str">
        <f>_xlfn.XLOOKUP(C1340,'Carrier Name Rename'!A:A,'Carrier Name Rename'!B:B)</f>
        <v>American Airlines Inc.</v>
      </c>
      <c r="E1340" t="s">
        <v>23</v>
      </c>
      <c r="F1340" t="s">
        <v>24</v>
      </c>
      <c r="G1340">
        <v>519</v>
      </c>
      <c r="H1340">
        <v>138</v>
      </c>
      <c r="I1340">
        <v>55.16</v>
      </c>
      <c r="J1340">
        <v>5.66</v>
      </c>
      <c r="K1340">
        <v>29.19</v>
      </c>
      <c r="L1340">
        <v>0.13</v>
      </c>
      <c r="M1340">
        <v>47.85</v>
      </c>
      <c r="N1340">
        <v>3</v>
      </c>
      <c r="O1340">
        <v>0</v>
      </c>
      <c r="P1340">
        <v>7694</v>
      </c>
      <c r="Q1340">
        <v>3406</v>
      </c>
      <c r="R1340">
        <v>405</v>
      </c>
      <c r="S1340">
        <v>1170</v>
      </c>
      <c r="T1340">
        <v>20</v>
      </c>
      <c r="U1340">
        <v>2693</v>
      </c>
      <c r="V1340" s="1">
        <f t="shared" si="60"/>
        <v>0.26590000000000003</v>
      </c>
      <c r="W1340" s="1">
        <f t="shared" si="61"/>
        <v>5.7999999999999996E-3</v>
      </c>
      <c r="X1340" s="1">
        <f t="shared" si="62"/>
        <v>0</v>
      </c>
    </row>
    <row r="1341" spans="1:24" x14ac:dyDescent="0.25">
      <c r="A1341">
        <v>2015</v>
      </c>
      <c r="B1341">
        <v>6</v>
      </c>
      <c r="C1341" t="s">
        <v>33</v>
      </c>
      <c r="D1341" t="str">
        <f>_xlfn.XLOOKUP(C1341,'Carrier Name Rename'!A:A,'Carrier Name Rename'!B:B)</f>
        <v>Alaska Airlines Inc.</v>
      </c>
      <c r="E1341" t="s">
        <v>23</v>
      </c>
      <c r="F1341" t="s">
        <v>24</v>
      </c>
      <c r="G1341">
        <v>4791</v>
      </c>
      <c r="H1341">
        <v>518</v>
      </c>
      <c r="I1341">
        <v>147.51</v>
      </c>
      <c r="J1341">
        <v>20.58</v>
      </c>
      <c r="K1341">
        <v>164.05</v>
      </c>
      <c r="L1341">
        <v>1.97</v>
      </c>
      <c r="M1341">
        <v>183.9</v>
      </c>
      <c r="N1341">
        <v>25</v>
      </c>
      <c r="O1341">
        <v>5</v>
      </c>
      <c r="P1341">
        <v>29348</v>
      </c>
      <c r="Q1341">
        <v>12340</v>
      </c>
      <c r="R1341">
        <v>1842</v>
      </c>
      <c r="S1341">
        <v>4848</v>
      </c>
      <c r="T1341">
        <v>69</v>
      </c>
      <c r="U1341">
        <v>10249</v>
      </c>
      <c r="V1341" s="1">
        <f t="shared" si="60"/>
        <v>0.1081</v>
      </c>
      <c r="W1341" s="1">
        <f t="shared" si="61"/>
        <v>5.1999999999999998E-3</v>
      </c>
      <c r="X1341" s="1">
        <f t="shared" si="62"/>
        <v>1E-3</v>
      </c>
    </row>
    <row r="1342" spans="1:24" x14ac:dyDescent="0.25">
      <c r="A1342">
        <v>2015</v>
      </c>
      <c r="B1342">
        <v>6</v>
      </c>
      <c r="C1342" t="s">
        <v>35</v>
      </c>
      <c r="D1342" t="str">
        <f>_xlfn.XLOOKUP(C1342,'Carrier Name Rename'!A:A,'Carrier Name Rename'!B:B)</f>
        <v>JetBlue Airways</v>
      </c>
      <c r="E1342" t="s">
        <v>23</v>
      </c>
      <c r="F1342" t="s">
        <v>24</v>
      </c>
      <c r="G1342">
        <v>240</v>
      </c>
      <c r="H1342">
        <v>73</v>
      </c>
      <c r="I1342">
        <v>18.170000000000002</v>
      </c>
      <c r="J1342">
        <v>0</v>
      </c>
      <c r="K1342">
        <v>41.63</v>
      </c>
      <c r="L1342">
        <v>0.75</v>
      </c>
      <c r="M1342">
        <v>12.45</v>
      </c>
      <c r="N1342">
        <v>1</v>
      </c>
      <c r="O1342">
        <v>0</v>
      </c>
      <c r="P1342">
        <v>3258</v>
      </c>
      <c r="Q1342">
        <v>1046</v>
      </c>
      <c r="R1342">
        <v>0</v>
      </c>
      <c r="S1342">
        <v>1459</v>
      </c>
      <c r="T1342">
        <v>18</v>
      </c>
      <c r="U1342">
        <v>735</v>
      </c>
      <c r="V1342" s="1">
        <f t="shared" si="60"/>
        <v>0.30420000000000003</v>
      </c>
      <c r="W1342" s="1">
        <f t="shared" si="61"/>
        <v>4.1999999999999997E-3</v>
      </c>
      <c r="X1342" s="1">
        <f t="shared" si="62"/>
        <v>0</v>
      </c>
    </row>
    <row r="1343" spans="1:24" x14ac:dyDescent="0.25">
      <c r="A1343">
        <v>2015</v>
      </c>
      <c r="B1343">
        <v>6</v>
      </c>
      <c r="C1343" t="s">
        <v>37</v>
      </c>
      <c r="D1343" t="str">
        <f>_xlfn.XLOOKUP(C1343,'Carrier Name Rename'!A:A,'Carrier Name Rename'!B:B)</f>
        <v>Delta Air Lines Inc.</v>
      </c>
      <c r="E1343" t="s">
        <v>23</v>
      </c>
      <c r="F1343" t="s">
        <v>24</v>
      </c>
      <c r="G1343">
        <v>1434</v>
      </c>
      <c r="H1343">
        <v>265</v>
      </c>
      <c r="I1343">
        <v>78.45</v>
      </c>
      <c r="J1343">
        <v>11.96</v>
      </c>
      <c r="K1343">
        <v>104.56</v>
      </c>
      <c r="L1343">
        <v>0</v>
      </c>
      <c r="M1343">
        <v>70.03</v>
      </c>
      <c r="N1343">
        <v>1</v>
      </c>
      <c r="O1343">
        <v>2</v>
      </c>
      <c r="P1343">
        <v>14469</v>
      </c>
      <c r="Q1343">
        <v>6241</v>
      </c>
      <c r="R1343">
        <v>1310</v>
      </c>
      <c r="S1343">
        <v>3224</v>
      </c>
      <c r="T1343">
        <v>0</v>
      </c>
      <c r="U1343">
        <v>3694</v>
      </c>
      <c r="V1343" s="1">
        <f t="shared" si="60"/>
        <v>0.18479999999999999</v>
      </c>
      <c r="W1343" s="1">
        <f t="shared" si="61"/>
        <v>6.9999999999999999E-4</v>
      </c>
      <c r="X1343" s="1">
        <f t="shared" si="62"/>
        <v>1.4E-3</v>
      </c>
    </row>
    <row r="1344" spans="1:24" x14ac:dyDescent="0.25">
      <c r="A1344">
        <v>2015</v>
      </c>
      <c r="B1344">
        <v>6</v>
      </c>
      <c r="C1344" t="s">
        <v>39</v>
      </c>
      <c r="D1344" t="str">
        <f>_xlfn.XLOOKUP(C1344,'Carrier Name Rename'!A:A,'Carrier Name Rename'!B:B)</f>
        <v>Frontier Airlines Inc.</v>
      </c>
      <c r="E1344" t="s">
        <v>23</v>
      </c>
      <c r="F1344" t="s">
        <v>24</v>
      </c>
      <c r="G1344">
        <v>89</v>
      </c>
      <c r="H1344">
        <v>27</v>
      </c>
      <c r="I1344">
        <v>11.13</v>
      </c>
      <c r="J1344">
        <v>0.5</v>
      </c>
      <c r="K1344">
        <v>11.23</v>
      </c>
      <c r="L1344">
        <v>0</v>
      </c>
      <c r="M1344">
        <v>4.1399999999999997</v>
      </c>
      <c r="N1344">
        <v>1</v>
      </c>
      <c r="O1344">
        <v>0</v>
      </c>
      <c r="P1344">
        <v>1338</v>
      </c>
      <c r="Q1344">
        <v>401</v>
      </c>
      <c r="R1344">
        <v>22</v>
      </c>
      <c r="S1344">
        <v>522</v>
      </c>
      <c r="T1344">
        <v>0</v>
      </c>
      <c r="U1344">
        <v>393</v>
      </c>
      <c r="V1344" s="1">
        <f t="shared" si="60"/>
        <v>0.3034</v>
      </c>
      <c r="W1344" s="1">
        <f t="shared" si="61"/>
        <v>1.12E-2</v>
      </c>
      <c r="X1344" s="1">
        <f t="shared" si="62"/>
        <v>0</v>
      </c>
    </row>
    <row r="1345" spans="1:24" x14ac:dyDescent="0.25">
      <c r="A1345">
        <v>2015</v>
      </c>
      <c r="B1345">
        <v>6</v>
      </c>
      <c r="C1345" t="s">
        <v>21</v>
      </c>
      <c r="D1345" t="str">
        <f>_xlfn.XLOOKUP(C1345,'Carrier Name Rename'!A:A,'Carrier Name Rename'!B:B)</f>
        <v>Hawaiian Airlines Inc.</v>
      </c>
      <c r="E1345" t="s">
        <v>23</v>
      </c>
      <c r="F1345" t="s">
        <v>24</v>
      </c>
      <c r="G1345">
        <v>60</v>
      </c>
      <c r="H1345">
        <v>9</v>
      </c>
      <c r="I1345">
        <v>8.9499999999999993</v>
      </c>
      <c r="J1345">
        <v>0</v>
      </c>
      <c r="K1345">
        <v>0</v>
      </c>
      <c r="L1345">
        <v>0</v>
      </c>
      <c r="M1345">
        <v>0.05</v>
      </c>
      <c r="N1345">
        <v>0</v>
      </c>
      <c r="O1345">
        <v>0</v>
      </c>
      <c r="P1345">
        <v>355</v>
      </c>
      <c r="Q1345">
        <v>353</v>
      </c>
      <c r="R1345">
        <v>0</v>
      </c>
      <c r="S1345">
        <v>0</v>
      </c>
      <c r="T1345">
        <v>0</v>
      </c>
      <c r="U1345">
        <v>2</v>
      </c>
      <c r="V1345" s="1">
        <f t="shared" si="60"/>
        <v>0.15</v>
      </c>
      <c r="W1345" s="1">
        <f t="shared" si="61"/>
        <v>0</v>
      </c>
      <c r="X1345" s="1">
        <f t="shared" si="62"/>
        <v>0</v>
      </c>
    </row>
    <row r="1346" spans="1:24" x14ac:dyDescent="0.25">
      <c r="A1346">
        <v>2015</v>
      </c>
      <c r="B1346">
        <v>6</v>
      </c>
      <c r="C1346" t="s">
        <v>27</v>
      </c>
      <c r="D1346" t="str">
        <f>_xlfn.XLOOKUP(C1346,'Carrier Name Rename'!A:A,'Carrier Name Rename'!B:B)</f>
        <v>SkyWest Airlines Inc.</v>
      </c>
      <c r="E1346" t="s">
        <v>23</v>
      </c>
      <c r="F1346" t="s">
        <v>24</v>
      </c>
      <c r="G1346">
        <v>1158</v>
      </c>
      <c r="H1346">
        <v>164</v>
      </c>
      <c r="I1346">
        <v>45.72</v>
      </c>
      <c r="J1346">
        <v>1.92</v>
      </c>
      <c r="K1346">
        <v>34.369999999999997</v>
      </c>
      <c r="L1346">
        <v>0</v>
      </c>
      <c r="M1346">
        <v>81.98</v>
      </c>
      <c r="N1346">
        <v>12</v>
      </c>
      <c r="O1346">
        <v>0</v>
      </c>
      <c r="P1346">
        <v>10170</v>
      </c>
      <c r="Q1346">
        <v>4163</v>
      </c>
      <c r="R1346">
        <v>202</v>
      </c>
      <c r="S1346">
        <v>945</v>
      </c>
      <c r="T1346">
        <v>0</v>
      </c>
      <c r="U1346">
        <v>4860</v>
      </c>
      <c r="V1346" s="1">
        <f t="shared" si="60"/>
        <v>0.1416</v>
      </c>
      <c r="W1346" s="1">
        <f t="shared" si="61"/>
        <v>1.04E-2</v>
      </c>
      <c r="X1346" s="1">
        <f t="shared" si="62"/>
        <v>0</v>
      </c>
    </row>
    <row r="1347" spans="1:24" x14ac:dyDescent="0.25">
      <c r="A1347">
        <v>2015</v>
      </c>
      <c r="B1347">
        <v>6</v>
      </c>
      <c r="C1347" t="s">
        <v>41</v>
      </c>
      <c r="D1347" t="str">
        <f>_xlfn.XLOOKUP(C1347,'Carrier Name Rename'!A:A,'Carrier Name Rename'!B:B)</f>
        <v>United Air Lines Inc.</v>
      </c>
      <c r="E1347" t="s">
        <v>23</v>
      </c>
      <c r="F1347" t="s">
        <v>24</v>
      </c>
      <c r="G1347">
        <v>1000</v>
      </c>
      <c r="H1347">
        <v>366</v>
      </c>
      <c r="I1347">
        <v>159.28</v>
      </c>
      <c r="J1347">
        <v>17.510000000000002</v>
      </c>
      <c r="K1347">
        <v>63.41</v>
      </c>
      <c r="L1347">
        <v>0</v>
      </c>
      <c r="M1347">
        <v>125.81</v>
      </c>
      <c r="N1347">
        <v>24</v>
      </c>
      <c r="O1347">
        <v>3</v>
      </c>
      <c r="P1347">
        <v>22505</v>
      </c>
      <c r="Q1347">
        <v>8515</v>
      </c>
      <c r="R1347">
        <v>1211</v>
      </c>
      <c r="S1347">
        <v>3019</v>
      </c>
      <c r="T1347">
        <v>0</v>
      </c>
      <c r="U1347">
        <v>9760</v>
      </c>
      <c r="V1347" s="1">
        <f t="shared" ref="V1347:V1410" si="63">ROUND(H1347/G1347,4)</f>
        <v>0.36599999999999999</v>
      </c>
      <c r="W1347" s="1">
        <f t="shared" ref="W1347:W1410" si="64">ROUND(N1347/G1347,4)</f>
        <v>2.4E-2</v>
      </c>
      <c r="X1347" s="1">
        <f t="shared" ref="X1347:X1410" si="65">ROUND(O1347/G1347,4)</f>
        <v>3.0000000000000001E-3</v>
      </c>
    </row>
    <row r="1348" spans="1:24" x14ac:dyDescent="0.25">
      <c r="A1348">
        <v>2015</v>
      </c>
      <c r="B1348">
        <v>6</v>
      </c>
      <c r="C1348" t="s">
        <v>61</v>
      </c>
      <c r="D1348" t="str">
        <f>_xlfn.XLOOKUP(C1348,'Carrier Name Rename'!A:A,'Carrier Name Rename'!B:B)</f>
        <v>US Airways Inc.</v>
      </c>
      <c r="E1348" t="s">
        <v>23</v>
      </c>
      <c r="F1348" t="s">
        <v>24</v>
      </c>
      <c r="G1348">
        <v>401</v>
      </c>
      <c r="H1348">
        <v>89</v>
      </c>
      <c r="I1348">
        <v>28.77</v>
      </c>
      <c r="J1348">
        <v>5.38</v>
      </c>
      <c r="K1348">
        <v>35.36</v>
      </c>
      <c r="L1348">
        <v>0.67</v>
      </c>
      <c r="M1348">
        <v>18.82</v>
      </c>
      <c r="N1348">
        <v>1</v>
      </c>
      <c r="O1348">
        <v>0</v>
      </c>
      <c r="P1348">
        <v>4353</v>
      </c>
      <c r="Q1348">
        <v>1575</v>
      </c>
      <c r="R1348">
        <v>580</v>
      </c>
      <c r="S1348">
        <v>1154</v>
      </c>
      <c r="T1348">
        <v>14</v>
      </c>
      <c r="U1348">
        <v>1030</v>
      </c>
      <c r="V1348" s="1">
        <f t="shared" si="63"/>
        <v>0.22189999999999999</v>
      </c>
      <c r="W1348" s="1">
        <f t="shared" si="64"/>
        <v>2.5000000000000001E-3</v>
      </c>
      <c r="X1348" s="1">
        <f t="shared" si="65"/>
        <v>0</v>
      </c>
    </row>
    <row r="1349" spans="1:24" x14ac:dyDescent="0.25">
      <c r="A1349">
        <v>2015</v>
      </c>
      <c r="B1349">
        <v>6</v>
      </c>
      <c r="C1349" t="s">
        <v>51</v>
      </c>
      <c r="D1349" t="str">
        <f>_xlfn.XLOOKUP(C1349,'Carrier Name Rename'!A:A,'Carrier Name Rename'!B:B)</f>
        <v>Virgin America</v>
      </c>
      <c r="E1349" t="s">
        <v>23</v>
      </c>
      <c r="F1349" t="s">
        <v>24</v>
      </c>
      <c r="G1349">
        <v>194</v>
      </c>
      <c r="H1349">
        <v>20</v>
      </c>
      <c r="I1349">
        <v>6.81</v>
      </c>
      <c r="J1349">
        <v>1.35</v>
      </c>
      <c r="K1349">
        <v>0.85</v>
      </c>
      <c r="L1349">
        <v>0.69</v>
      </c>
      <c r="M1349">
        <v>10.3</v>
      </c>
      <c r="N1349">
        <v>0</v>
      </c>
      <c r="O1349">
        <v>0</v>
      </c>
      <c r="P1349">
        <v>987</v>
      </c>
      <c r="Q1349">
        <v>359</v>
      </c>
      <c r="R1349">
        <v>22</v>
      </c>
      <c r="S1349">
        <v>17</v>
      </c>
      <c r="T1349">
        <v>35</v>
      </c>
      <c r="U1349">
        <v>554</v>
      </c>
      <c r="V1349" s="1">
        <f t="shared" si="63"/>
        <v>0.1031</v>
      </c>
      <c r="W1349" s="1">
        <f t="shared" si="64"/>
        <v>0</v>
      </c>
      <c r="X1349" s="1">
        <f t="shared" si="65"/>
        <v>0</v>
      </c>
    </row>
    <row r="1350" spans="1:24" x14ac:dyDescent="0.25">
      <c r="A1350">
        <v>2015</v>
      </c>
      <c r="B1350">
        <v>6</v>
      </c>
      <c r="C1350" t="s">
        <v>43</v>
      </c>
      <c r="D1350" t="str">
        <f>_xlfn.XLOOKUP(C1350,'Carrier Name Rename'!A:A,'Carrier Name Rename'!B:B)</f>
        <v>Southwest Airlines Co.</v>
      </c>
      <c r="E1350" t="s">
        <v>23</v>
      </c>
      <c r="F1350" t="s">
        <v>24</v>
      </c>
      <c r="G1350">
        <v>1305</v>
      </c>
      <c r="H1350">
        <v>358</v>
      </c>
      <c r="I1350">
        <v>142.81</v>
      </c>
      <c r="J1350">
        <v>7.99</v>
      </c>
      <c r="K1350">
        <v>45.12</v>
      </c>
      <c r="L1350">
        <v>0</v>
      </c>
      <c r="M1350">
        <v>162.08000000000001</v>
      </c>
      <c r="N1350">
        <v>7</v>
      </c>
      <c r="O1350">
        <v>1</v>
      </c>
      <c r="P1350">
        <v>18277</v>
      </c>
      <c r="Q1350">
        <v>6776</v>
      </c>
      <c r="R1350">
        <v>381</v>
      </c>
      <c r="S1350">
        <v>1704</v>
      </c>
      <c r="T1350">
        <v>0</v>
      </c>
      <c r="U1350">
        <v>9416</v>
      </c>
      <c r="V1350" s="1">
        <f t="shared" si="63"/>
        <v>0.27429999999999999</v>
      </c>
      <c r="W1350" s="1">
        <f t="shared" si="64"/>
        <v>5.4000000000000003E-3</v>
      </c>
      <c r="X1350" s="1">
        <f t="shared" si="65"/>
        <v>8.0000000000000004E-4</v>
      </c>
    </row>
    <row r="1351" spans="1:24" x14ac:dyDescent="0.25">
      <c r="A1351">
        <v>2015</v>
      </c>
      <c r="B1351">
        <v>5</v>
      </c>
      <c r="C1351" t="s">
        <v>31</v>
      </c>
      <c r="D1351" t="str">
        <f>_xlfn.XLOOKUP(C1351,'Carrier Name Rename'!A:A,'Carrier Name Rename'!B:B)</f>
        <v>American Airlines Inc.</v>
      </c>
      <c r="E1351" t="s">
        <v>23</v>
      </c>
      <c r="F1351" t="s">
        <v>24</v>
      </c>
      <c r="G1351">
        <v>424</v>
      </c>
      <c r="H1351">
        <v>79</v>
      </c>
      <c r="I1351">
        <v>24.8</v>
      </c>
      <c r="J1351">
        <v>10.95</v>
      </c>
      <c r="K1351">
        <v>12.5</v>
      </c>
      <c r="L1351">
        <v>0</v>
      </c>
      <c r="M1351">
        <v>30.74</v>
      </c>
      <c r="N1351">
        <v>4</v>
      </c>
      <c r="O1351">
        <v>0</v>
      </c>
      <c r="P1351">
        <v>4250</v>
      </c>
      <c r="Q1351">
        <v>1112</v>
      </c>
      <c r="R1351">
        <v>859</v>
      </c>
      <c r="S1351">
        <v>498</v>
      </c>
      <c r="T1351">
        <v>0</v>
      </c>
      <c r="U1351">
        <v>1781</v>
      </c>
      <c r="V1351" s="1">
        <f t="shared" si="63"/>
        <v>0.18629999999999999</v>
      </c>
      <c r="W1351" s="1">
        <f t="shared" si="64"/>
        <v>9.4000000000000004E-3</v>
      </c>
      <c r="X1351" s="1">
        <f t="shared" si="65"/>
        <v>0</v>
      </c>
    </row>
    <row r="1352" spans="1:24" x14ac:dyDescent="0.25">
      <c r="A1352">
        <v>2015</v>
      </c>
      <c r="B1352">
        <v>5</v>
      </c>
      <c r="C1352" t="s">
        <v>33</v>
      </c>
      <c r="D1352" t="str">
        <f>_xlfn.XLOOKUP(C1352,'Carrier Name Rename'!A:A,'Carrier Name Rename'!B:B)</f>
        <v>Alaska Airlines Inc.</v>
      </c>
      <c r="E1352" t="s">
        <v>23</v>
      </c>
      <c r="F1352" t="s">
        <v>24</v>
      </c>
      <c r="G1352">
        <v>4739</v>
      </c>
      <c r="H1352">
        <v>492</v>
      </c>
      <c r="I1352">
        <v>115.06</v>
      </c>
      <c r="J1352">
        <v>7.64</v>
      </c>
      <c r="K1352">
        <v>178.37</v>
      </c>
      <c r="L1352">
        <v>3.4</v>
      </c>
      <c r="M1352">
        <v>187.53</v>
      </c>
      <c r="N1352">
        <v>12</v>
      </c>
      <c r="O1352">
        <v>9</v>
      </c>
      <c r="P1352">
        <v>21136</v>
      </c>
      <c r="Q1352">
        <v>6433</v>
      </c>
      <c r="R1352">
        <v>543</v>
      </c>
      <c r="S1352">
        <v>4799</v>
      </c>
      <c r="T1352">
        <v>160</v>
      </c>
      <c r="U1352">
        <v>9201</v>
      </c>
      <c r="V1352" s="1">
        <f t="shared" si="63"/>
        <v>0.1038</v>
      </c>
      <c r="W1352" s="1">
        <f t="shared" si="64"/>
        <v>2.5000000000000001E-3</v>
      </c>
      <c r="X1352" s="1">
        <f t="shared" si="65"/>
        <v>1.9E-3</v>
      </c>
    </row>
    <row r="1353" spans="1:24" x14ac:dyDescent="0.25">
      <c r="A1353">
        <v>2015</v>
      </c>
      <c r="B1353">
        <v>5</v>
      </c>
      <c r="C1353" t="s">
        <v>35</v>
      </c>
      <c r="D1353" t="str">
        <f>_xlfn.XLOOKUP(C1353,'Carrier Name Rename'!A:A,'Carrier Name Rename'!B:B)</f>
        <v>JetBlue Airways</v>
      </c>
      <c r="E1353" t="s">
        <v>23</v>
      </c>
      <c r="F1353" t="s">
        <v>24</v>
      </c>
      <c r="G1353">
        <v>178</v>
      </c>
      <c r="H1353">
        <v>19</v>
      </c>
      <c r="I1353">
        <v>7.05</v>
      </c>
      <c r="J1353">
        <v>0.52</v>
      </c>
      <c r="K1353">
        <v>4.84</v>
      </c>
      <c r="L1353">
        <v>0.7</v>
      </c>
      <c r="M1353">
        <v>5.89</v>
      </c>
      <c r="N1353">
        <v>1</v>
      </c>
      <c r="O1353">
        <v>0</v>
      </c>
      <c r="P1353">
        <v>929</v>
      </c>
      <c r="Q1353">
        <v>479</v>
      </c>
      <c r="R1353">
        <v>27</v>
      </c>
      <c r="S1353">
        <v>128</v>
      </c>
      <c r="T1353">
        <v>14</v>
      </c>
      <c r="U1353">
        <v>281</v>
      </c>
      <c r="V1353" s="1">
        <f t="shared" si="63"/>
        <v>0.1067</v>
      </c>
      <c r="W1353" s="1">
        <f t="shared" si="64"/>
        <v>5.5999999999999999E-3</v>
      </c>
      <c r="X1353" s="1">
        <f t="shared" si="65"/>
        <v>0</v>
      </c>
    </row>
    <row r="1354" spans="1:24" x14ac:dyDescent="0.25">
      <c r="A1354">
        <v>2015</v>
      </c>
      <c r="B1354">
        <v>5</v>
      </c>
      <c r="C1354" t="s">
        <v>37</v>
      </c>
      <c r="D1354" t="str">
        <f>_xlfn.XLOOKUP(C1354,'Carrier Name Rename'!A:A,'Carrier Name Rename'!B:B)</f>
        <v>Delta Air Lines Inc.</v>
      </c>
      <c r="E1354" t="s">
        <v>23</v>
      </c>
      <c r="F1354" t="s">
        <v>24</v>
      </c>
      <c r="G1354">
        <v>1249</v>
      </c>
      <c r="H1354">
        <v>158</v>
      </c>
      <c r="I1354">
        <v>57.55</v>
      </c>
      <c r="J1354">
        <v>4.76</v>
      </c>
      <c r="K1354">
        <v>55.66</v>
      </c>
      <c r="L1354">
        <v>0</v>
      </c>
      <c r="M1354">
        <v>40.03</v>
      </c>
      <c r="N1354">
        <v>0</v>
      </c>
      <c r="O1354">
        <v>1</v>
      </c>
      <c r="P1354">
        <v>6683</v>
      </c>
      <c r="Q1354">
        <v>2631</v>
      </c>
      <c r="R1354">
        <v>162</v>
      </c>
      <c r="S1354">
        <v>1610</v>
      </c>
      <c r="T1354">
        <v>0</v>
      </c>
      <c r="U1354">
        <v>2280</v>
      </c>
      <c r="V1354" s="1">
        <f t="shared" si="63"/>
        <v>0.1265</v>
      </c>
      <c r="W1354" s="1">
        <f t="shared" si="64"/>
        <v>0</v>
      </c>
      <c r="X1354" s="1">
        <f t="shared" si="65"/>
        <v>8.0000000000000004E-4</v>
      </c>
    </row>
    <row r="1355" spans="1:24" x14ac:dyDescent="0.25">
      <c r="A1355">
        <v>2015</v>
      </c>
      <c r="B1355">
        <v>5</v>
      </c>
      <c r="C1355" t="s">
        <v>39</v>
      </c>
      <c r="D1355" t="str">
        <f>_xlfn.XLOOKUP(C1355,'Carrier Name Rename'!A:A,'Carrier Name Rename'!B:B)</f>
        <v>Frontier Airlines Inc.</v>
      </c>
      <c r="E1355" t="s">
        <v>23</v>
      </c>
      <c r="F1355" t="s">
        <v>24</v>
      </c>
      <c r="G1355">
        <v>91</v>
      </c>
      <c r="H1355">
        <v>13</v>
      </c>
      <c r="I1355">
        <v>6.41</v>
      </c>
      <c r="J1355">
        <v>0</v>
      </c>
      <c r="K1355">
        <v>5.41</v>
      </c>
      <c r="L1355">
        <v>0</v>
      </c>
      <c r="M1355">
        <v>1.18</v>
      </c>
      <c r="N1355">
        <v>1</v>
      </c>
      <c r="O1355">
        <v>0</v>
      </c>
      <c r="P1355">
        <v>498</v>
      </c>
      <c r="Q1355">
        <v>210</v>
      </c>
      <c r="R1355">
        <v>0</v>
      </c>
      <c r="S1355">
        <v>231</v>
      </c>
      <c r="T1355">
        <v>0</v>
      </c>
      <c r="U1355">
        <v>57</v>
      </c>
      <c r="V1355" s="1">
        <f t="shared" si="63"/>
        <v>0.1429</v>
      </c>
      <c r="W1355" s="1">
        <f t="shared" si="64"/>
        <v>1.0999999999999999E-2</v>
      </c>
      <c r="X1355" s="1">
        <f t="shared" si="65"/>
        <v>0</v>
      </c>
    </row>
    <row r="1356" spans="1:24" x14ac:dyDescent="0.25">
      <c r="A1356">
        <v>2015</v>
      </c>
      <c r="B1356">
        <v>5</v>
      </c>
      <c r="C1356" t="s">
        <v>21</v>
      </c>
      <c r="D1356" t="str">
        <f>_xlfn.XLOOKUP(C1356,'Carrier Name Rename'!A:A,'Carrier Name Rename'!B:B)</f>
        <v>Hawaiian Airlines Inc.</v>
      </c>
      <c r="E1356" t="s">
        <v>23</v>
      </c>
      <c r="F1356" t="s">
        <v>24</v>
      </c>
      <c r="G1356">
        <v>62</v>
      </c>
      <c r="H1356">
        <v>13</v>
      </c>
      <c r="I1356">
        <v>9.3000000000000007</v>
      </c>
      <c r="J1356">
        <v>0</v>
      </c>
      <c r="K1356">
        <v>0.41</v>
      </c>
      <c r="L1356">
        <v>0</v>
      </c>
      <c r="M1356">
        <v>3.29</v>
      </c>
      <c r="N1356">
        <v>0</v>
      </c>
      <c r="O1356">
        <v>0</v>
      </c>
      <c r="P1356">
        <v>580</v>
      </c>
      <c r="Q1356">
        <v>240</v>
      </c>
      <c r="R1356">
        <v>0</v>
      </c>
      <c r="S1356">
        <v>19</v>
      </c>
      <c r="T1356">
        <v>0</v>
      </c>
      <c r="U1356">
        <v>321</v>
      </c>
      <c r="V1356" s="1">
        <f t="shared" si="63"/>
        <v>0.2097</v>
      </c>
      <c r="W1356" s="1">
        <f t="shared" si="64"/>
        <v>0</v>
      </c>
      <c r="X1356" s="1">
        <f t="shared" si="65"/>
        <v>0</v>
      </c>
    </row>
    <row r="1357" spans="1:24" x14ac:dyDescent="0.25">
      <c r="A1357">
        <v>2015</v>
      </c>
      <c r="B1357">
        <v>5</v>
      </c>
      <c r="C1357" t="s">
        <v>27</v>
      </c>
      <c r="D1357" t="str">
        <f>_xlfn.XLOOKUP(C1357,'Carrier Name Rename'!A:A,'Carrier Name Rename'!B:B)</f>
        <v>SkyWest Airlines Inc.</v>
      </c>
      <c r="E1357" t="s">
        <v>23</v>
      </c>
      <c r="F1357" t="s">
        <v>24</v>
      </c>
      <c r="G1357">
        <v>1162</v>
      </c>
      <c r="H1357">
        <v>104</v>
      </c>
      <c r="I1357">
        <v>31.48</v>
      </c>
      <c r="J1357">
        <v>1</v>
      </c>
      <c r="K1357">
        <v>17.010000000000002</v>
      </c>
      <c r="L1357">
        <v>0</v>
      </c>
      <c r="M1357">
        <v>54.52</v>
      </c>
      <c r="N1357">
        <v>11</v>
      </c>
      <c r="O1357">
        <v>1</v>
      </c>
      <c r="P1357">
        <v>6336</v>
      </c>
      <c r="Q1357">
        <v>2385</v>
      </c>
      <c r="R1357">
        <v>84</v>
      </c>
      <c r="S1357">
        <v>499</v>
      </c>
      <c r="T1357">
        <v>0</v>
      </c>
      <c r="U1357">
        <v>3368</v>
      </c>
      <c r="V1357" s="1">
        <f t="shared" si="63"/>
        <v>8.9499999999999996E-2</v>
      </c>
      <c r="W1357" s="1">
        <f t="shared" si="64"/>
        <v>9.4999999999999998E-3</v>
      </c>
      <c r="X1357" s="1">
        <f t="shared" si="65"/>
        <v>8.9999999999999998E-4</v>
      </c>
    </row>
    <row r="1358" spans="1:24" x14ac:dyDescent="0.25">
      <c r="A1358">
        <v>2015</v>
      </c>
      <c r="B1358">
        <v>5</v>
      </c>
      <c r="C1358" t="s">
        <v>41</v>
      </c>
      <c r="D1358" t="str">
        <f>_xlfn.XLOOKUP(C1358,'Carrier Name Rename'!A:A,'Carrier Name Rename'!B:B)</f>
        <v>United Air Lines Inc.</v>
      </c>
      <c r="E1358" t="s">
        <v>23</v>
      </c>
      <c r="F1358" t="s">
        <v>24</v>
      </c>
      <c r="G1358">
        <v>875</v>
      </c>
      <c r="H1358">
        <v>191</v>
      </c>
      <c r="I1358">
        <v>74.05</v>
      </c>
      <c r="J1358">
        <v>13.49</v>
      </c>
      <c r="K1358">
        <v>32.46</v>
      </c>
      <c r="L1358">
        <v>0</v>
      </c>
      <c r="M1358">
        <v>71</v>
      </c>
      <c r="N1358">
        <v>3</v>
      </c>
      <c r="O1358">
        <v>1</v>
      </c>
      <c r="P1358">
        <v>10772</v>
      </c>
      <c r="Q1358">
        <v>3168</v>
      </c>
      <c r="R1358">
        <v>1158</v>
      </c>
      <c r="S1358">
        <v>1234</v>
      </c>
      <c r="T1358">
        <v>0</v>
      </c>
      <c r="U1358">
        <v>5212</v>
      </c>
      <c r="V1358" s="1">
        <f t="shared" si="63"/>
        <v>0.21829999999999999</v>
      </c>
      <c r="W1358" s="1">
        <f t="shared" si="64"/>
        <v>3.3999999999999998E-3</v>
      </c>
      <c r="X1358" s="1">
        <f t="shared" si="65"/>
        <v>1.1000000000000001E-3</v>
      </c>
    </row>
    <row r="1359" spans="1:24" x14ac:dyDescent="0.25">
      <c r="A1359">
        <v>2015</v>
      </c>
      <c r="B1359">
        <v>5</v>
      </c>
      <c r="C1359" t="s">
        <v>61</v>
      </c>
      <c r="D1359" t="str">
        <f>_xlfn.XLOOKUP(C1359,'Carrier Name Rename'!A:A,'Carrier Name Rename'!B:B)</f>
        <v>US Airways Inc.</v>
      </c>
      <c r="E1359" t="s">
        <v>23</v>
      </c>
      <c r="F1359" t="s">
        <v>24</v>
      </c>
      <c r="G1359">
        <v>272</v>
      </c>
      <c r="H1359">
        <v>26</v>
      </c>
      <c r="I1359">
        <v>10.93</v>
      </c>
      <c r="J1359">
        <v>0.56999999999999995</v>
      </c>
      <c r="K1359">
        <v>5.81</v>
      </c>
      <c r="L1359">
        <v>0</v>
      </c>
      <c r="M1359">
        <v>8.69</v>
      </c>
      <c r="N1359">
        <v>0</v>
      </c>
      <c r="O1359">
        <v>0</v>
      </c>
      <c r="P1359">
        <v>1270</v>
      </c>
      <c r="Q1359">
        <v>530</v>
      </c>
      <c r="R1359">
        <v>29</v>
      </c>
      <c r="S1359">
        <v>357</v>
      </c>
      <c r="T1359">
        <v>0</v>
      </c>
      <c r="U1359">
        <v>354</v>
      </c>
      <c r="V1359" s="1">
        <f t="shared" si="63"/>
        <v>9.5600000000000004E-2</v>
      </c>
      <c r="W1359" s="1">
        <f t="shared" si="64"/>
        <v>0</v>
      </c>
      <c r="X1359" s="1">
        <f t="shared" si="65"/>
        <v>0</v>
      </c>
    </row>
    <row r="1360" spans="1:24" x14ac:dyDescent="0.25">
      <c r="A1360">
        <v>2015</v>
      </c>
      <c r="B1360">
        <v>5</v>
      </c>
      <c r="C1360" t="s">
        <v>51</v>
      </c>
      <c r="D1360" t="str">
        <f>_xlfn.XLOOKUP(C1360,'Carrier Name Rename'!A:A,'Carrier Name Rename'!B:B)</f>
        <v>Virgin America</v>
      </c>
      <c r="E1360" t="s">
        <v>23</v>
      </c>
      <c r="F1360" t="s">
        <v>24</v>
      </c>
      <c r="G1360">
        <v>195</v>
      </c>
      <c r="H1360">
        <v>23</v>
      </c>
      <c r="I1360">
        <v>3.17</v>
      </c>
      <c r="J1360">
        <v>0.21</v>
      </c>
      <c r="K1360">
        <v>0</v>
      </c>
      <c r="L1360">
        <v>0</v>
      </c>
      <c r="M1360">
        <v>19.62</v>
      </c>
      <c r="N1360">
        <v>0</v>
      </c>
      <c r="O1360">
        <v>0</v>
      </c>
      <c r="P1360">
        <v>894</v>
      </c>
      <c r="Q1360">
        <v>118</v>
      </c>
      <c r="R1360">
        <v>8</v>
      </c>
      <c r="S1360">
        <v>0</v>
      </c>
      <c r="T1360">
        <v>0</v>
      </c>
      <c r="U1360">
        <v>768</v>
      </c>
      <c r="V1360" s="1">
        <f t="shared" si="63"/>
        <v>0.1179</v>
      </c>
      <c r="W1360" s="1">
        <f t="shared" si="64"/>
        <v>0</v>
      </c>
      <c r="X1360" s="1">
        <f t="shared" si="65"/>
        <v>0</v>
      </c>
    </row>
    <row r="1361" spans="1:24" x14ac:dyDescent="0.25">
      <c r="A1361">
        <v>2015</v>
      </c>
      <c r="B1361">
        <v>5</v>
      </c>
      <c r="C1361" t="s">
        <v>43</v>
      </c>
      <c r="D1361" t="str">
        <f>_xlfn.XLOOKUP(C1361,'Carrier Name Rename'!A:A,'Carrier Name Rename'!B:B)</f>
        <v>Southwest Airlines Co.</v>
      </c>
      <c r="E1361" t="s">
        <v>23</v>
      </c>
      <c r="F1361" t="s">
        <v>24</v>
      </c>
      <c r="G1361">
        <v>1094</v>
      </c>
      <c r="H1361">
        <v>222</v>
      </c>
      <c r="I1361">
        <v>91.6</v>
      </c>
      <c r="J1361">
        <v>2.11</v>
      </c>
      <c r="K1361">
        <v>16.920000000000002</v>
      </c>
      <c r="L1361">
        <v>0</v>
      </c>
      <c r="M1361">
        <v>111.37</v>
      </c>
      <c r="N1361">
        <v>4</v>
      </c>
      <c r="O1361">
        <v>1</v>
      </c>
      <c r="P1361">
        <v>12609</v>
      </c>
      <c r="Q1361">
        <v>5795</v>
      </c>
      <c r="R1361">
        <v>244</v>
      </c>
      <c r="S1361">
        <v>536</v>
      </c>
      <c r="T1361">
        <v>0</v>
      </c>
      <c r="U1361">
        <v>6034</v>
      </c>
      <c r="V1361" s="1">
        <f t="shared" si="63"/>
        <v>0.2029</v>
      </c>
      <c r="W1361" s="1">
        <f t="shared" si="64"/>
        <v>3.7000000000000002E-3</v>
      </c>
      <c r="X1361" s="1">
        <f t="shared" si="65"/>
        <v>8.9999999999999998E-4</v>
      </c>
    </row>
    <row r="1362" spans="1:24" x14ac:dyDescent="0.25">
      <c r="A1362">
        <v>2015</v>
      </c>
      <c r="B1362">
        <v>4</v>
      </c>
      <c r="C1362" t="s">
        <v>31</v>
      </c>
      <c r="D1362" t="str">
        <f>_xlfn.XLOOKUP(C1362,'Carrier Name Rename'!A:A,'Carrier Name Rename'!B:B)</f>
        <v>American Airlines Inc.</v>
      </c>
      <c r="E1362" t="s">
        <v>23</v>
      </c>
      <c r="F1362" t="s">
        <v>24</v>
      </c>
      <c r="G1362">
        <v>390</v>
      </c>
      <c r="H1362">
        <v>95</v>
      </c>
      <c r="I1362">
        <v>31.76</v>
      </c>
      <c r="J1362">
        <v>6.67</v>
      </c>
      <c r="K1362">
        <v>11.98</v>
      </c>
      <c r="L1362">
        <v>0</v>
      </c>
      <c r="M1362">
        <v>44.6</v>
      </c>
      <c r="N1362">
        <v>3</v>
      </c>
      <c r="O1362">
        <v>1</v>
      </c>
      <c r="P1362">
        <v>4836</v>
      </c>
      <c r="Q1362">
        <v>1373</v>
      </c>
      <c r="R1362">
        <v>365</v>
      </c>
      <c r="S1362">
        <v>502</v>
      </c>
      <c r="T1362">
        <v>0</v>
      </c>
      <c r="U1362">
        <v>2596</v>
      </c>
      <c r="V1362" s="1">
        <f t="shared" si="63"/>
        <v>0.24360000000000001</v>
      </c>
      <c r="W1362" s="1">
        <f t="shared" si="64"/>
        <v>7.7000000000000002E-3</v>
      </c>
      <c r="X1362" s="1">
        <f t="shared" si="65"/>
        <v>2.5999999999999999E-3</v>
      </c>
    </row>
    <row r="1363" spans="1:24" x14ac:dyDescent="0.25">
      <c r="A1363">
        <v>2015</v>
      </c>
      <c r="B1363">
        <v>4</v>
      </c>
      <c r="C1363" t="s">
        <v>33</v>
      </c>
      <c r="D1363" t="str">
        <f>_xlfn.XLOOKUP(C1363,'Carrier Name Rename'!A:A,'Carrier Name Rename'!B:B)</f>
        <v>Alaska Airlines Inc.</v>
      </c>
      <c r="E1363" t="s">
        <v>23</v>
      </c>
      <c r="F1363" t="s">
        <v>24</v>
      </c>
      <c r="G1363">
        <v>4455</v>
      </c>
      <c r="H1363">
        <v>403</v>
      </c>
      <c r="I1363">
        <v>109.25</v>
      </c>
      <c r="J1363">
        <v>7.44</v>
      </c>
      <c r="K1363">
        <v>137.91999999999999</v>
      </c>
      <c r="L1363">
        <v>0</v>
      </c>
      <c r="M1363">
        <v>148.4</v>
      </c>
      <c r="N1363">
        <v>26</v>
      </c>
      <c r="O1363">
        <v>2</v>
      </c>
      <c r="P1363">
        <v>22367</v>
      </c>
      <c r="Q1363">
        <v>9047</v>
      </c>
      <c r="R1363">
        <v>543</v>
      </c>
      <c r="S1363">
        <v>3918</v>
      </c>
      <c r="T1363">
        <v>0</v>
      </c>
      <c r="U1363">
        <v>8859</v>
      </c>
      <c r="V1363" s="1">
        <f t="shared" si="63"/>
        <v>9.0499999999999997E-2</v>
      </c>
      <c r="W1363" s="1">
        <f t="shared" si="64"/>
        <v>5.7999999999999996E-3</v>
      </c>
      <c r="X1363" s="1">
        <f t="shared" si="65"/>
        <v>4.0000000000000002E-4</v>
      </c>
    </row>
    <row r="1364" spans="1:24" x14ac:dyDescent="0.25">
      <c r="A1364">
        <v>2015</v>
      </c>
      <c r="B1364">
        <v>4</v>
      </c>
      <c r="C1364" t="s">
        <v>35</v>
      </c>
      <c r="D1364" t="str">
        <f>_xlfn.XLOOKUP(C1364,'Carrier Name Rename'!A:A,'Carrier Name Rename'!B:B)</f>
        <v>JetBlue Airways</v>
      </c>
      <c r="E1364" t="s">
        <v>23</v>
      </c>
      <c r="F1364" t="s">
        <v>24</v>
      </c>
      <c r="G1364">
        <v>147</v>
      </c>
      <c r="H1364">
        <v>21</v>
      </c>
      <c r="I1364">
        <v>10.95</v>
      </c>
      <c r="J1364">
        <v>0</v>
      </c>
      <c r="K1364">
        <v>5.18</v>
      </c>
      <c r="L1364">
        <v>7.0000000000000007E-2</v>
      </c>
      <c r="M1364">
        <v>4.8</v>
      </c>
      <c r="N1364">
        <v>0</v>
      </c>
      <c r="O1364">
        <v>1</v>
      </c>
      <c r="P1364">
        <v>1111</v>
      </c>
      <c r="Q1364">
        <v>636</v>
      </c>
      <c r="R1364">
        <v>0</v>
      </c>
      <c r="S1364">
        <v>145</v>
      </c>
      <c r="T1364">
        <v>4</v>
      </c>
      <c r="U1364">
        <v>326</v>
      </c>
      <c r="V1364" s="1">
        <f t="shared" si="63"/>
        <v>0.1429</v>
      </c>
      <c r="W1364" s="1">
        <f t="shared" si="64"/>
        <v>0</v>
      </c>
      <c r="X1364" s="1">
        <f t="shared" si="65"/>
        <v>6.7999999999999996E-3</v>
      </c>
    </row>
    <row r="1365" spans="1:24" x14ac:dyDescent="0.25">
      <c r="A1365">
        <v>2015</v>
      </c>
      <c r="B1365">
        <v>4</v>
      </c>
      <c r="C1365" t="s">
        <v>37</v>
      </c>
      <c r="D1365" t="str">
        <f>_xlfn.XLOOKUP(C1365,'Carrier Name Rename'!A:A,'Carrier Name Rename'!B:B)</f>
        <v>Delta Air Lines Inc.</v>
      </c>
      <c r="E1365" t="s">
        <v>23</v>
      </c>
      <c r="F1365" t="s">
        <v>24</v>
      </c>
      <c r="G1365">
        <v>1054</v>
      </c>
      <c r="H1365">
        <v>119</v>
      </c>
      <c r="I1365">
        <v>54.53</v>
      </c>
      <c r="J1365">
        <v>5.76</v>
      </c>
      <c r="K1365">
        <v>37.299999999999997</v>
      </c>
      <c r="L1365">
        <v>0</v>
      </c>
      <c r="M1365">
        <v>21.41</v>
      </c>
      <c r="N1365">
        <v>1</v>
      </c>
      <c r="O1365">
        <v>2</v>
      </c>
      <c r="P1365">
        <v>6889</v>
      </c>
      <c r="Q1365">
        <v>3914</v>
      </c>
      <c r="R1365">
        <v>326</v>
      </c>
      <c r="S1365">
        <v>1053</v>
      </c>
      <c r="T1365">
        <v>0</v>
      </c>
      <c r="U1365">
        <v>1596</v>
      </c>
      <c r="V1365" s="1">
        <f t="shared" si="63"/>
        <v>0.1129</v>
      </c>
      <c r="W1365" s="1">
        <f t="shared" si="64"/>
        <v>8.9999999999999998E-4</v>
      </c>
      <c r="X1365" s="1">
        <f t="shared" si="65"/>
        <v>1.9E-3</v>
      </c>
    </row>
    <row r="1366" spans="1:24" x14ac:dyDescent="0.25">
      <c r="A1366">
        <v>2015</v>
      </c>
      <c r="B1366">
        <v>4</v>
      </c>
      <c r="C1366" t="s">
        <v>39</v>
      </c>
      <c r="D1366" t="str">
        <f>_xlfn.XLOOKUP(C1366,'Carrier Name Rename'!A:A,'Carrier Name Rename'!B:B)</f>
        <v>Frontier Airlines Inc.</v>
      </c>
      <c r="E1366" t="s">
        <v>23</v>
      </c>
      <c r="F1366" t="s">
        <v>24</v>
      </c>
      <c r="G1366">
        <v>58</v>
      </c>
      <c r="H1366">
        <v>8</v>
      </c>
      <c r="I1366">
        <v>2.5299999999999998</v>
      </c>
      <c r="J1366">
        <v>0</v>
      </c>
      <c r="K1366">
        <v>5.15</v>
      </c>
      <c r="L1366">
        <v>0</v>
      </c>
      <c r="M1366">
        <v>0.31</v>
      </c>
      <c r="N1366">
        <v>0</v>
      </c>
      <c r="O1366">
        <v>0</v>
      </c>
      <c r="P1366">
        <v>274</v>
      </c>
      <c r="Q1366">
        <v>58</v>
      </c>
      <c r="R1366">
        <v>0</v>
      </c>
      <c r="S1366">
        <v>199</v>
      </c>
      <c r="T1366">
        <v>0</v>
      </c>
      <c r="U1366">
        <v>17</v>
      </c>
      <c r="V1366" s="1">
        <f t="shared" si="63"/>
        <v>0.13789999999999999</v>
      </c>
      <c r="W1366" s="1">
        <f t="shared" si="64"/>
        <v>0</v>
      </c>
      <c r="X1366" s="1">
        <f t="shared" si="65"/>
        <v>0</v>
      </c>
    </row>
    <row r="1367" spans="1:24" x14ac:dyDescent="0.25">
      <c r="A1367">
        <v>2015</v>
      </c>
      <c r="B1367">
        <v>4</v>
      </c>
      <c r="C1367" t="s">
        <v>21</v>
      </c>
      <c r="D1367" t="str">
        <f>_xlfn.XLOOKUP(C1367,'Carrier Name Rename'!A:A,'Carrier Name Rename'!B:B)</f>
        <v>Hawaiian Airlines Inc.</v>
      </c>
      <c r="E1367" t="s">
        <v>23</v>
      </c>
      <c r="F1367" t="s">
        <v>24</v>
      </c>
      <c r="G1367">
        <v>60</v>
      </c>
      <c r="H1367">
        <v>8</v>
      </c>
      <c r="I1367">
        <v>8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180</v>
      </c>
      <c r="Q1367">
        <v>180</v>
      </c>
      <c r="R1367">
        <v>0</v>
      </c>
      <c r="S1367">
        <v>0</v>
      </c>
      <c r="T1367">
        <v>0</v>
      </c>
      <c r="U1367">
        <v>0</v>
      </c>
      <c r="V1367" s="1">
        <f t="shared" si="63"/>
        <v>0.1333</v>
      </c>
      <c r="W1367" s="1">
        <f t="shared" si="64"/>
        <v>0</v>
      </c>
      <c r="X1367" s="1">
        <f t="shared" si="65"/>
        <v>0</v>
      </c>
    </row>
    <row r="1368" spans="1:24" x14ac:dyDescent="0.25">
      <c r="A1368">
        <v>2015</v>
      </c>
      <c r="B1368">
        <v>4</v>
      </c>
      <c r="C1368" t="s">
        <v>27</v>
      </c>
      <c r="D1368" t="str">
        <f>_xlfn.XLOOKUP(C1368,'Carrier Name Rename'!A:A,'Carrier Name Rename'!B:B)</f>
        <v>SkyWest Airlines Inc.</v>
      </c>
      <c r="E1368" t="s">
        <v>23</v>
      </c>
      <c r="F1368" t="s">
        <v>24</v>
      </c>
      <c r="G1368">
        <v>924</v>
      </c>
      <c r="H1368">
        <v>108</v>
      </c>
      <c r="I1368">
        <v>32.159999999999997</v>
      </c>
      <c r="J1368">
        <v>1</v>
      </c>
      <c r="K1368">
        <v>26.24</v>
      </c>
      <c r="L1368">
        <v>0</v>
      </c>
      <c r="M1368">
        <v>48.6</v>
      </c>
      <c r="N1368">
        <v>13</v>
      </c>
      <c r="O1368">
        <v>0</v>
      </c>
      <c r="P1368">
        <v>6575</v>
      </c>
      <c r="Q1368">
        <v>2332</v>
      </c>
      <c r="R1368">
        <v>61</v>
      </c>
      <c r="S1368">
        <v>734</v>
      </c>
      <c r="T1368">
        <v>0</v>
      </c>
      <c r="U1368">
        <v>3448</v>
      </c>
      <c r="V1368" s="1">
        <f t="shared" si="63"/>
        <v>0.1169</v>
      </c>
      <c r="W1368" s="1">
        <f t="shared" si="64"/>
        <v>1.41E-2</v>
      </c>
      <c r="X1368" s="1">
        <f t="shared" si="65"/>
        <v>0</v>
      </c>
    </row>
    <row r="1369" spans="1:24" x14ac:dyDescent="0.25">
      <c r="A1369">
        <v>2015</v>
      </c>
      <c r="B1369">
        <v>4</v>
      </c>
      <c r="C1369" t="s">
        <v>41</v>
      </c>
      <c r="D1369" t="str">
        <f>_xlfn.XLOOKUP(C1369,'Carrier Name Rename'!A:A,'Carrier Name Rename'!B:B)</f>
        <v>United Air Lines Inc.</v>
      </c>
      <c r="E1369" t="s">
        <v>23</v>
      </c>
      <c r="F1369" t="s">
        <v>24</v>
      </c>
      <c r="G1369">
        <v>779</v>
      </c>
      <c r="H1369">
        <v>133</v>
      </c>
      <c r="I1369">
        <v>61.01</v>
      </c>
      <c r="J1369">
        <v>3.28</v>
      </c>
      <c r="K1369">
        <v>15.73</v>
      </c>
      <c r="L1369">
        <v>0</v>
      </c>
      <c r="M1369">
        <v>52.98</v>
      </c>
      <c r="N1369">
        <v>5</v>
      </c>
      <c r="O1369">
        <v>0</v>
      </c>
      <c r="P1369">
        <v>8297</v>
      </c>
      <c r="Q1369">
        <v>2940</v>
      </c>
      <c r="R1369">
        <v>449</v>
      </c>
      <c r="S1369">
        <v>581</v>
      </c>
      <c r="T1369">
        <v>0</v>
      </c>
      <c r="U1369">
        <v>4327</v>
      </c>
      <c r="V1369" s="1">
        <f t="shared" si="63"/>
        <v>0.17069999999999999</v>
      </c>
      <c r="W1369" s="1">
        <f t="shared" si="64"/>
        <v>6.4000000000000003E-3</v>
      </c>
      <c r="X1369" s="1">
        <f t="shared" si="65"/>
        <v>0</v>
      </c>
    </row>
    <row r="1370" spans="1:24" x14ac:dyDescent="0.25">
      <c r="A1370">
        <v>2015</v>
      </c>
      <c r="B1370">
        <v>4</v>
      </c>
      <c r="C1370" t="s">
        <v>61</v>
      </c>
      <c r="D1370" t="str">
        <f>_xlfn.XLOOKUP(C1370,'Carrier Name Rename'!A:A,'Carrier Name Rename'!B:B)</f>
        <v>US Airways Inc.</v>
      </c>
      <c r="E1370" t="s">
        <v>23</v>
      </c>
      <c r="F1370" t="s">
        <v>24</v>
      </c>
      <c r="G1370">
        <v>227</v>
      </c>
      <c r="H1370">
        <v>45</v>
      </c>
      <c r="I1370">
        <v>21.62</v>
      </c>
      <c r="J1370">
        <v>1</v>
      </c>
      <c r="K1370">
        <v>16.600000000000001</v>
      </c>
      <c r="L1370">
        <v>0</v>
      </c>
      <c r="M1370">
        <v>5.79</v>
      </c>
      <c r="N1370">
        <v>0</v>
      </c>
      <c r="O1370">
        <v>0</v>
      </c>
      <c r="P1370">
        <v>1335</v>
      </c>
      <c r="Q1370">
        <v>660</v>
      </c>
      <c r="R1370">
        <v>56</v>
      </c>
      <c r="S1370">
        <v>432</v>
      </c>
      <c r="T1370">
        <v>0</v>
      </c>
      <c r="U1370">
        <v>187</v>
      </c>
      <c r="V1370" s="1">
        <f t="shared" si="63"/>
        <v>0.19819999999999999</v>
      </c>
      <c r="W1370" s="1">
        <f t="shared" si="64"/>
        <v>0</v>
      </c>
      <c r="X1370" s="1">
        <f t="shared" si="65"/>
        <v>0</v>
      </c>
    </row>
    <row r="1371" spans="1:24" x14ac:dyDescent="0.25">
      <c r="A1371">
        <v>2015</v>
      </c>
      <c r="B1371">
        <v>4</v>
      </c>
      <c r="C1371" t="s">
        <v>51</v>
      </c>
      <c r="D1371" t="str">
        <f>_xlfn.XLOOKUP(C1371,'Carrier Name Rename'!A:A,'Carrier Name Rename'!B:B)</f>
        <v>Virgin America</v>
      </c>
      <c r="E1371" t="s">
        <v>23</v>
      </c>
      <c r="F1371" t="s">
        <v>24</v>
      </c>
      <c r="G1371">
        <v>213</v>
      </c>
      <c r="H1371">
        <v>26</v>
      </c>
      <c r="I1371">
        <v>5.14</v>
      </c>
      <c r="J1371">
        <v>5.18</v>
      </c>
      <c r="K1371">
        <v>2.6</v>
      </c>
      <c r="L1371">
        <v>0</v>
      </c>
      <c r="M1371">
        <v>13.09</v>
      </c>
      <c r="N1371">
        <v>1</v>
      </c>
      <c r="O1371">
        <v>0</v>
      </c>
      <c r="P1371">
        <v>994</v>
      </c>
      <c r="Q1371">
        <v>335</v>
      </c>
      <c r="R1371">
        <v>106</v>
      </c>
      <c r="S1371">
        <v>61</v>
      </c>
      <c r="T1371">
        <v>0</v>
      </c>
      <c r="U1371">
        <v>492</v>
      </c>
      <c r="V1371" s="1">
        <f t="shared" si="63"/>
        <v>0.1221</v>
      </c>
      <c r="W1371" s="1">
        <f t="shared" si="64"/>
        <v>4.7000000000000002E-3</v>
      </c>
      <c r="X1371" s="1">
        <f t="shared" si="65"/>
        <v>0</v>
      </c>
    </row>
    <row r="1372" spans="1:24" x14ac:dyDescent="0.25">
      <c r="A1372">
        <v>2015</v>
      </c>
      <c r="B1372">
        <v>4</v>
      </c>
      <c r="C1372" t="s">
        <v>43</v>
      </c>
      <c r="D1372" t="str">
        <f>_xlfn.XLOOKUP(C1372,'Carrier Name Rename'!A:A,'Carrier Name Rename'!B:B)</f>
        <v>Southwest Airlines Co.</v>
      </c>
      <c r="E1372" t="s">
        <v>23</v>
      </c>
      <c r="F1372" t="s">
        <v>24</v>
      </c>
      <c r="G1372">
        <v>947</v>
      </c>
      <c r="H1372">
        <v>153</v>
      </c>
      <c r="I1372">
        <v>58.28</v>
      </c>
      <c r="J1372">
        <v>0.82</v>
      </c>
      <c r="K1372">
        <v>14.14</v>
      </c>
      <c r="L1372">
        <v>0</v>
      </c>
      <c r="M1372">
        <v>79.75</v>
      </c>
      <c r="N1372">
        <v>0</v>
      </c>
      <c r="O1372">
        <v>0</v>
      </c>
      <c r="P1372">
        <v>7203</v>
      </c>
      <c r="Q1372">
        <v>2400</v>
      </c>
      <c r="R1372">
        <v>49</v>
      </c>
      <c r="S1372">
        <v>421</v>
      </c>
      <c r="T1372">
        <v>0</v>
      </c>
      <c r="U1372">
        <v>4333</v>
      </c>
      <c r="V1372" s="1">
        <f t="shared" si="63"/>
        <v>0.16159999999999999</v>
      </c>
      <c r="W1372" s="1">
        <f t="shared" si="64"/>
        <v>0</v>
      </c>
      <c r="X1372" s="1">
        <f t="shared" si="65"/>
        <v>0</v>
      </c>
    </row>
    <row r="1373" spans="1:24" x14ac:dyDescent="0.25">
      <c r="A1373">
        <v>2015</v>
      </c>
      <c r="B1373">
        <v>3</v>
      </c>
      <c r="C1373" t="s">
        <v>31</v>
      </c>
      <c r="D1373" t="str">
        <f>_xlfn.XLOOKUP(C1373,'Carrier Name Rename'!A:A,'Carrier Name Rename'!B:B)</f>
        <v>American Airlines Inc.</v>
      </c>
      <c r="E1373" t="s">
        <v>23</v>
      </c>
      <c r="F1373" t="s">
        <v>24</v>
      </c>
      <c r="G1373">
        <v>374</v>
      </c>
      <c r="H1373">
        <v>67</v>
      </c>
      <c r="I1373">
        <v>26.17</v>
      </c>
      <c r="J1373">
        <v>3.56</v>
      </c>
      <c r="K1373">
        <v>13.33</v>
      </c>
      <c r="L1373">
        <v>0</v>
      </c>
      <c r="M1373">
        <v>23.95</v>
      </c>
      <c r="N1373">
        <v>8</v>
      </c>
      <c r="O1373">
        <v>0</v>
      </c>
      <c r="P1373">
        <v>4142</v>
      </c>
      <c r="Q1373">
        <v>1607</v>
      </c>
      <c r="R1373">
        <v>550</v>
      </c>
      <c r="S1373">
        <v>551</v>
      </c>
      <c r="T1373">
        <v>0</v>
      </c>
      <c r="U1373">
        <v>1434</v>
      </c>
      <c r="V1373" s="1">
        <f t="shared" si="63"/>
        <v>0.17910000000000001</v>
      </c>
      <c r="W1373" s="1">
        <f t="shared" si="64"/>
        <v>2.1399999999999999E-2</v>
      </c>
      <c r="X1373" s="1">
        <f t="shared" si="65"/>
        <v>0</v>
      </c>
    </row>
    <row r="1374" spans="1:24" x14ac:dyDescent="0.25">
      <c r="A1374">
        <v>2015</v>
      </c>
      <c r="B1374">
        <v>3</v>
      </c>
      <c r="C1374" t="s">
        <v>33</v>
      </c>
      <c r="D1374" t="str">
        <f>_xlfn.XLOOKUP(C1374,'Carrier Name Rename'!A:A,'Carrier Name Rename'!B:B)</f>
        <v>Alaska Airlines Inc.</v>
      </c>
      <c r="E1374" t="s">
        <v>23</v>
      </c>
      <c r="F1374" t="s">
        <v>24</v>
      </c>
      <c r="G1374">
        <v>4496</v>
      </c>
      <c r="H1374">
        <v>525</v>
      </c>
      <c r="I1374">
        <v>111.2</v>
      </c>
      <c r="J1374">
        <v>12.63</v>
      </c>
      <c r="K1374">
        <v>160.12</v>
      </c>
      <c r="L1374">
        <v>1.26</v>
      </c>
      <c r="M1374">
        <v>239.79</v>
      </c>
      <c r="N1374">
        <v>12</v>
      </c>
      <c r="O1374">
        <v>5</v>
      </c>
      <c r="P1374">
        <v>28862</v>
      </c>
      <c r="Q1374">
        <v>8135</v>
      </c>
      <c r="R1374">
        <v>1066</v>
      </c>
      <c r="S1374">
        <v>5046</v>
      </c>
      <c r="T1374">
        <v>47</v>
      </c>
      <c r="U1374">
        <v>14568</v>
      </c>
      <c r="V1374" s="1">
        <f t="shared" si="63"/>
        <v>0.1168</v>
      </c>
      <c r="W1374" s="1">
        <f t="shared" si="64"/>
        <v>2.7000000000000001E-3</v>
      </c>
      <c r="X1374" s="1">
        <f t="shared" si="65"/>
        <v>1.1000000000000001E-3</v>
      </c>
    </row>
    <row r="1375" spans="1:24" x14ac:dyDescent="0.25">
      <c r="A1375">
        <v>2015</v>
      </c>
      <c r="B1375">
        <v>3</v>
      </c>
      <c r="C1375" t="s">
        <v>35</v>
      </c>
      <c r="D1375" t="str">
        <f>_xlfn.XLOOKUP(C1375,'Carrier Name Rename'!A:A,'Carrier Name Rename'!B:B)</f>
        <v>JetBlue Airways</v>
      </c>
      <c r="E1375" t="s">
        <v>23</v>
      </c>
      <c r="F1375" t="s">
        <v>24</v>
      </c>
      <c r="G1375">
        <v>151</v>
      </c>
      <c r="H1375">
        <v>48</v>
      </c>
      <c r="I1375">
        <v>15.59</v>
      </c>
      <c r="J1375">
        <v>0</v>
      </c>
      <c r="K1375">
        <v>20.440000000000001</v>
      </c>
      <c r="L1375">
        <v>0</v>
      </c>
      <c r="M1375">
        <v>11.97</v>
      </c>
      <c r="N1375">
        <v>0</v>
      </c>
      <c r="O1375">
        <v>4</v>
      </c>
      <c r="P1375">
        <v>2420</v>
      </c>
      <c r="Q1375">
        <v>780</v>
      </c>
      <c r="R1375">
        <v>0</v>
      </c>
      <c r="S1375">
        <v>883</v>
      </c>
      <c r="T1375">
        <v>0</v>
      </c>
      <c r="U1375">
        <v>757</v>
      </c>
      <c r="V1375" s="1">
        <f t="shared" si="63"/>
        <v>0.31790000000000002</v>
      </c>
      <c r="W1375" s="1">
        <f t="shared" si="64"/>
        <v>0</v>
      </c>
      <c r="X1375" s="1">
        <f t="shared" si="65"/>
        <v>2.6499999999999999E-2</v>
      </c>
    </row>
    <row r="1376" spans="1:24" x14ac:dyDescent="0.25">
      <c r="A1376">
        <v>2015</v>
      </c>
      <c r="B1376">
        <v>3</v>
      </c>
      <c r="C1376" t="s">
        <v>37</v>
      </c>
      <c r="D1376" t="str">
        <f>_xlfn.XLOOKUP(C1376,'Carrier Name Rename'!A:A,'Carrier Name Rename'!B:B)</f>
        <v>Delta Air Lines Inc.</v>
      </c>
      <c r="E1376" t="s">
        <v>23</v>
      </c>
      <c r="F1376" t="s">
        <v>24</v>
      </c>
      <c r="G1376">
        <v>967</v>
      </c>
      <c r="H1376">
        <v>178</v>
      </c>
      <c r="I1376">
        <v>70.81</v>
      </c>
      <c r="J1376">
        <v>8.4600000000000009</v>
      </c>
      <c r="K1376">
        <v>56.32</v>
      </c>
      <c r="L1376">
        <v>0</v>
      </c>
      <c r="M1376">
        <v>42.42</v>
      </c>
      <c r="N1376">
        <v>0</v>
      </c>
      <c r="O1376">
        <v>1</v>
      </c>
      <c r="P1376">
        <v>10201</v>
      </c>
      <c r="Q1376">
        <v>4283</v>
      </c>
      <c r="R1376">
        <v>1134</v>
      </c>
      <c r="S1376">
        <v>2043</v>
      </c>
      <c r="T1376">
        <v>0</v>
      </c>
      <c r="U1376">
        <v>2741</v>
      </c>
      <c r="V1376" s="1">
        <f t="shared" si="63"/>
        <v>0.18410000000000001</v>
      </c>
      <c r="W1376" s="1">
        <f t="shared" si="64"/>
        <v>0</v>
      </c>
      <c r="X1376" s="1">
        <f t="shared" si="65"/>
        <v>1E-3</v>
      </c>
    </row>
    <row r="1377" spans="1:24" x14ac:dyDescent="0.25">
      <c r="A1377">
        <v>2015</v>
      </c>
      <c r="B1377">
        <v>3</v>
      </c>
      <c r="C1377" t="s">
        <v>39</v>
      </c>
      <c r="D1377" t="str">
        <f>_xlfn.XLOOKUP(C1377,'Carrier Name Rename'!A:A,'Carrier Name Rename'!B:B)</f>
        <v>Frontier Airlines Inc.</v>
      </c>
      <c r="E1377" t="s">
        <v>23</v>
      </c>
      <c r="F1377" t="s">
        <v>24</v>
      </c>
      <c r="G1377">
        <v>55</v>
      </c>
      <c r="H1377">
        <v>7</v>
      </c>
      <c r="I1377">
        <v>2.44</v>
      </c>
      <c r="J1377">
        <v>0</v>
      </c>
      <c r="K1377">
        <v>1.93</v>
      </c>
      <c r="L1377">
        <v>0</v>
      </c>
      <c r="M1377">
        <v>2.63</v>
      </c>
      <c r="N1377">
        <v>0</v>
      </c>
      <c r="O1377">
        <v>0</v>
      </c>
      <c r="P1377">
        <v>927</v>
      </c>
      <c r="Q1377">
        <v>254</v>
      </c>
      <c r="R1377">
        <v>0</v>
      </c>
      <c r="S1377">
        <v>230</v>
      </c>
      <c r="T1377">
        <v>0</v>
      </c>
      <c r="U1377">
        <v>443</v>
      </c>
      <c r="V1377" s="1">
        <f t="shared" si="63"/>
        <v>0.1273</v>
      </c>
      <c r="W1377" s="1">
        <f t="shared" si="64"/>
        <v>0</v>
      </c>
      <c r="X1377" s="1">
        <f t="shared" si="65"/>
        <v>0</v>
      </c>
    </row>
    <row r="1378" spans="1:24" x14ac:dyDescent="0.25">
      <c r="A1378">
        <v>2015</v>
      </c>
      <c r="B1378">
        <v>3</v>
      </c>
      <c r="C1378" t="s">
        <v>21</v>
      </c>
      <c r="D1378" t="str">
        <f>_xlfn.XLOOKUP(C1378,'Carrier Name Rename'!A:A,'Carrier Name Rename'!B:B)</f>
        <v>Hawaiian Airlines Inc.</v>
      </c>
      <c r="E1378" t="s">
        <v>23</v>
      </c>
      <c r="F1378" t="s">
        <v>24</v>
      </c>
      <c r="G1378">
        <v>62</v>
      </c>
      <c r="H1378">
        <v>7</v>
      </c>
      <c r="I1378">
        <v>2.81</v>
      </c>
      <c r="J1378">
        <v>0</v>
      </c>
      <c r="K1378">
        <v>0.81</v>
      </c>
      <c r="L1378">
        <v>0</v>
      </c>
      <c r="M1378">
        <v>3.38</v>
      </c>
      <c r="N1378">
        <v>0</v>
      </c>
      <c r="O1378">
        <v>0</v>
      </c>
      <c r="P1378">
        <v>547</v>
      </c>
      <c r="Q1378">
        <v>140</v>
      </c>
      <c r="R1378">
        <v>0</v>
      </c>
      <c r="S1378">
        <v>16</v>
      </c>
      <c r="T1378">
        <v>0</v>
      </c>
      <c r="U1378">
        <v>391</v>
      </c>
      <c r="V1378" s="1">
        <f t="shared" si="63"/>
        <v>0.1129</v>
      </c>
      <c r="W1378" s="1">
        <f t="shared" si="64"/>
        <v>0</v>
      </c>
      <c r="X1378" s="1">
        <f t="shared" si="65"/>
        <v>0</v>
      </c>
    </row>
    <row r="1379" spans="1:24" x14ac:dyDescent="0.25">
      <c r="A1379">
        <v>2015</v>
      </c>
      <c r="B1379">
        <v>3</v>
      </c>
      <c r="C1379" t="s">
        <v>27</v>
      </c>
      <c r="D1379" t="str">
        <f>_xlfn.XLOOKUP(C1379,'Carrier Name Rename'!A:A,'Carrier Name Rename'!B:B)</f>
        <v>SkyWest Airlines Inc.</v>
      </c>
      <c r="E1379" t="s">
        <v>23</v>
      </c>
      <c r="F1379" t="s">
        <v>24</v>
      </c>
      <c r="G1379">
        <v>1085</v>
      </c>
      <c r="H1379">
        <v>135</v>
      </c>
      <c r="I1379">
        <v>36.17</v>
      </c>
      <c r="J1379">
        <v>6.81</v>
      </c>
      <c r="K1379">
        <v>30.29</v>
      </c>
      <c r="L1379">
        <v>0</v>
      </c>
      <c r="M1379">
        <v>61.73</v>
      </c>
      <c r="N1379">
        <v>3</v>
      </c>
      <c r="O1379">
        <v>0</v>
      </c>
      <c r="P1379">
        <v>9044</v>
      </c>
      <c r="Q1379">
        <v>3416</v>
      </c>
      <c r="R1379">
        <v>403</v>
      </c>
      <c r="S1379">
        <v>1028</v>
      </c>
      <c r="T1379">
        <v>0</v>
      </c>
      <c r="U1379">
        <v>4197</v>
      </c>
      <c r="V1379" s="1">
        <f t="shared" si="63"/>
        <v>0.1244</v>
      </c>
      <c r="W1379" s="1">
        <f t="shared" si="64"/>
        <v>2.8E-3</v>
      </c>
      <c r="X1379" s="1">
        <f t="shared" si="65"/>
        <v>0</v>
      </c>
    </row>
    <row r="1380" spans="1:24" x14ac:dyDescent="0.25">
      <c r="A1380">
        <v>2015</v>
      </c>
      <c r="B1380">
        <v>3</v>
      </c>
      <c r="C1380" t="s">
        <v>41</v>
      </c>
      <c r="D1380" t="str">
        <f>_xlfn.XLOOKUP(C1380,'Carrier Name Rename'!A:A,'Carrier Name Rename'!B:B)</f>
        <v>United Air Lines Inc.</v>
      </c>
      <c r="E1380" t="s">
        <v>23</v>
      </c>
      <c r="F1380" t="s">
        <v>24</v>
      </c>
      <c r="G1380">
        <v>773</v>
      </c>
      <c r="H1380">
        <v>126</v>
      </c>
      <c r="I1380">
        <v>52.58</v>
      </c>
      <c r="J1380">
        <v>6.39</v>
      </c>
      <c r="K1380">
        <v>14.92</v>
      </c>
      <c r="L1380">
        <v>0</v>
      </c>
      <c r="M1380">
        <v>52.11</v>
      </c>
      <c r="N1380">
        <v>0</v>
      </c>
      <c r="O1380">
        <v>1</v>
      </c>
      <c r="P1380">
        <v>8015</v>
      </c>
      <c r="Q1380">
        <v>2462</v>
      </c>
      <c r="R1380">
        <v>708</v>
      </c>
      <c r="S1380">
        <v>882</v>
      </c>
      <c r="T1380">
        <v>0</v>
      </c>
      <c r="U1380">
        <v>3963</v>
      </c>
      <c r="V1380" s="1">
        <f t="shared" si="63"/>
        <v>0.16300000000000001</v>
      </c>
      <c r="W1380" s="1">
        <f t="shared" si="64"/>
        <v>0</v>
      </c>
      <c r="X1380" s="1">
        <f t="shared" si="65"/>
        <v>1.2999999999999999E-3</v>
      </c>
    </row>
    <row r="1381" spans="1:24" x14ac:dyDescent="0.25">
      <c r="A1381">
        <v>2015</v>
      </c>
      <c r="B1381">
        <v>3</v>
      </c>
      <c r="C1381" t="s">
        <v>61</v>
      </c>
      <c r="D1381" t="str">
        <f>_xlfn.XLOOKUP(C1381,'Carrier Name Rename'!A:A,'Carrier Name Rename'!B:B)</f>
        <v>US Airways Inc.</v>
      </c>
      <c r="E1381" t="s">
        <v>23</v>
      </c>
      <c r="F1381" t="s">
        <v>24</v>
      </c>
      <c r="G1381">
        <v>258</v>
      </c>
      <c r="H1381">
        <v>33</v>
      </c>
      <c r="I1381">
        <v>14.56</v>
      </c>
      <c r="J1381">
        <v>0.17</v>
      </c>
      <c r="K1381">
        <v>11.42</v>
      </c>
      <c r="L1381">
        <v>0.28999999999999998</v>
      </c>
      <c r="M1381">
        <v>6.56</v>
      </c>
      <c r="N1381">
        <v>1</v>
      </c>
      <c r="O1381">
        <v>6</v>
      </c>
      <c r="P1381">
        <v>1178</v>
      </c>
      <c r="Q1381">
        <v>555</v>
      </c>
      <c r="R1381">
        <v>7</v>
      </c>
      <c r="S1381">
        <v>405</v>
      </c>
      <c r="T1381">
        <v>5</v>
      </c>
      <c r="U1381">
        <v>206</v>
      </c>
      <c r="V1381" s="1">
        <f t="shared" si="63"/>
        <v>0.12790000000000001</v>
      </c>
      <c r="W1381" s="1">
        <f t="shared" si="64"/>
        <v>3.8999999999999998E-3</v>
      </c>
      <c r="X1381" s="1">
        <f t="shared" si="65"/>
        <v>2.3300000000000001E-2</v>
      </c>
    </row>
    <row r="1382" spans="1:24" x14ac:dyDescent="0.25">
      <c r="A1382">
        <v>2015</v>
      </c>
      <c r="B1382">
        <v>3</v>
      </c>
      <c r="C1382" t="s">
        <v>51</v>
      </c>
      <c r="D1382" t="str">
        <f>_xlfn.XLOOKUP(C1382,'Carrier Name Rename'!A:A,'Carrier Name Rename'!B:B)</f>
        <v>Virgin America</v>
      </c>
      <c r="E1382" t="s">
        <v>23</v>
      </c>
      <c r="F1382" t="s">
        <v>24</v>
      </c>
      <c r="G1382">
        <v>196</v>
      </c>
      <c r="H1382">
        <v>21</v>
      </c>
      <c r="I1382">
        <v>3.97</v>
      </c>
      <c r="J1382">
        <v>0.06</v>
      </c>
      <c r="K1382">
        <v>3.74</v>
      </c>
      <c r="L1382">
        <v>0</v>
      </c>
      <c r="M1382">
        <v>13.24</v>
      </c>
      <c r="N1382">
        <v>0</v>
      </c>
      <c r="O1382">
        <v>0</v>
      </c>
      <c r="P1382">
        <v>975</v>
      </c>
      <c r="Q1382">
        <v>209</v>
      </c>
      <c r="R1382">
        <v>1</v>
      </c>
      <c r="S1382">
        <v>180</v>
      </c>
      <c r="T1382">
        <v>0</v>
      </c>
      <c r="U1382">
        <v>585</v>
      </c>
      <c r="V1382" s="1">
        <f t="shared" si="63"/>
        <v>0.1071</v>
      </c>
      <c r="W1382" s="1">
        <f t="shared" si="64"/>
        <v>0</v>
      </c>
      <c r="X1382" s="1">
        <f t="shared" si="65"/>
        <v>0</v>
      </c>
    </row>
    <row r="1383" spans="1:24" x14ac:dyDescent="0.25">
      <c r="A1383">
        <v>2015</v>
      </c>
      <c r="B1383">
        <v>3</v>
      </c>
      <c r="C1383" t="s">
        <v>43</v>
      </c>
      <c r="D1383" t="str">
        <f>_xlfn.XLOOKUP(C1383,'Carrier Name Rename'!A:A,'Carrier Name Rename'!B:B)</f>
        <v>Southwest Airlines Co.</v>
      </c>
      <c r="E1383" t="s">
        <v>23</v>
      </c>
      <c r="F1383" t="s">
        <v>24</v>
      </c>
      <c r="G1383">
        <v>849</v>
      </c>
      <c r="H1383">
        <v>166</v>
      </c>
      <c r="I1383">
        <v>64.819999999999993</v>
      </c>
      <c r="J1383">
        <v>2.2000000000000002</v>
      </c>
      <c r="K1383">
        <v>25</v>
      </c>
      <c r="L1383">
        <v>0</v>
      </c>
      <c r="M1383">
        <v>73.98</v>
      </c>
      <c r="N1383">
        <v>0</v>
      </c>
      <c r="O1383">
        <v>1</v>
      </c>
      <c r="P1383">
        <v>7646</v>
      </c>
      <c r="Q1383">
        <v>2933</v>
      </c>
      <c r="R1383">
        <v>109</v>
      </c>
      <c r="S1383">
        <v>736</v>
      </c>
      <c r="T1383">
        <v>0</v>
      </c>
      <c r="U1383">
        <v>3868</v>
      </c>
      <c r="V1383" s="1">
        <f t="shared" si="63"/>
        <v>0.19550000000000001</v>
      </c>
      <c r="W1383" s="1">
        <f t="shared" si="64"/>
        <v>0</v>
      </c>
      <c r="X1383" s="1">
        <f t="shared" si="65"/>
        <v>1.1999999999999999E-3</v>
      </c>
    </row>
    <row r="1384" spans="1:24" x14ac:dyDescent="0.25">
      <c r="A1384">
        <v>2015</v>
      </c>
      <c r="B1384">
        <v>2</v>
      </c>
      <c r="C1384" t="s">
        <v>31</v>
      </c>
      <c r="D1384" t="str">
        <f>_xlfn.XLOOKUP(C1384,'Carrier Name Rename'!A:A,'Carrier Name Rename'!B:B)</f>
        <v>American Airlines Inc.</v>
      </c>
      <c r="E1384" t="s">
        <v>23</v>
      </c>
      <c r="F1384" t="s">
        <v>24</v>
      </c>
      <c r="G1384">
        <v>332</v>
      </c>
      <c r="H1384">
        <v>74</v>
      </c>
      <c r="I1384">
        <v>28.41</v>
      </c>
      <c r="J1384">
        <v>10.68</v>
      </c>
      <c r="K1384">
        <v>18.91</v>
      </c>
      <c r="L1384">
        <v>0.94</v>
      </c>
      <c r="M1384">
        <v>15.05</v>
      </c>
      <c r="N1384">
        <v>18</v>
      </c>
      <c r="O1384">
        <v>0</v>
      </c>
      <c r="P1384">
        <v>3702</v>
      </c>
      <c r="Q1384">
        <v>1651</v>
      </c>
      <c r="R1384">
        <v>666</v>
      </c>
      <c r="S1384">
        <v>633</v>
      </c>
      <c r="T1384">
        <v>17</v>
      </c>
      <c r="U1384">
        <v>735</v>
      </c>
      <c r="V1384" s="1">
        <f t="shared" si="63"/>
        <v>0.22289999999999999</v>
      </c>
      <c r="W1384" s="1">
        <f t="shared" si="64"/>
        <v>5.4199999999999998E-2</v>
      </c>
      <c r="X1384" s="1">
        <f t="shared" si="65"/>
        <v>0</v>
      </c>
    </row>
    <row r="1385" spans="1:24" x14ac:dyDescent="0.25">
      <c r="A1385">
        <v>2015</v>
      </c>
      <c r="B1385">
        <v>2</v>
      </c>
      <c r="C1385" t="s">
        <v>33</v>
      </c>
      <c r="D1385" t="str">
        <f>_xlfn.XLOOKUP(C1385,'Carrier Name Rename'!A:A,'Carrier Name Rename'!B:B)</f>
        <v>Alaska Airlines Inc.</v>
      </c>
      <c r="E1385" t="s">
        <v>23</v>
      </c>
      <c r="F1385" t="s">
        <v>24</v>
      </c>
      <c r="G1385">
        <v>3766</v>
      </c>
      <c r="H1385">
        <v>461</v>
      </c>
      <c r="I1385">
        <v>83.53</v>
      </c>
      <c r="J1385">
        <v>9.35</v>
      </c>
      <c r="K1385">
        <v>180.58</v>
      </c>
      <c r="L1385">
        <v>0.59</v>
      </c>
      <c r="M1385">
        <v>186.96</v>
      </c>
      <c r="N1385">
        <v>22</v>
      </c>
      <c r="O1385">
        <v>4</v>
      </c>
      <c r="P1385">
        <v>24841</v>
      </c>
      <c r="Q1385">
        <v>4863</v>
      </c>
      <c r="R1385">
        <v>894</v>
      </c>
      <c r="S1385">
        <v>5169</v>
      </c>
      <c r="T1385">
        <v>33</v>
      </c>
      <c r="U1385">
        <v>13882</v>
      </c>
      <c r="V1385" s="1">
        <f t="shared" si="63"/>
        <v>0.12239999999999999</v>
      </c>
      <c r="W1385" s="1">
        <f t="shared" si="64"/>
        <v>5.7999999999999996E-3</v>
      </c>
      <c r="X1385" s="1">
        <f t="shared" si="65"/>
        <v>1.1000000000000001E-3</v>
      </c>
    </row>
    <row r="1386" spans="1:24" x14ac:dyDescent="0.25">
      <c r="A1386">
        <v>2015</v>
      </c>
      <c r="B1386">
        <v>2</v>
      </c>
      <c r="C1386" t="s">
        <v>35</v>
      </c>
      <c r="D1386" t="str">
        <f>_xlfn.XLOOKUP(C1386,'Carrier Name Rename'!A:A,'Carrier Name Rename'!B:B)</f>
        <v>JetBlue Airways</v>
      </c>
      <c r="E1386" t="s">
        <v>23</v>
      </c>
      <c r="F1386" t="s">
        <v>24</v>
      </c>
      <c r="G1386">
        <v>132</v>
      </c>
      <c r="H1386">
        <v>33</v>
      </c>
      <c r="I1386">
        <v>11.6</v>
      </c>
      <c r="J1386">
        <v>1.26</v>
      </c>
      <c r="K1386">
        <v>11.08</v>
      </c>
      <c r="L1386">
        <v>0.09</v>
      </c>
      <c r="M1386">
        <v>8.9499999999999993</v>
      </c>
      <c r="N1386">
        <v>6</v>
      </c>
      <c r="O1386">
        <v>2</v>
      </c>
      <c r="P1386">
        <v>2207</v>
      </c>
      <c r="Q1386">
        <v>679</v>
      </c>
      <c r="R1386">
        <v>143</v>
      </c>
      <c r="S1386">
        <v>566</v>
      </c>
      <c r="T1386">
        <v>4</v>
      </c>
      <c r="U1386">
        <v>815</v>
      </c>
      <c r="V1386" s="1">
        <f t="shared" si="63"/>
        <v>0.25</v>
      </c>
      <c r="W1386" s="1">
        <f t="shared" si="64"/>
        <v>4.5499999999999999E-2</v>
      </c>
      <c r="X1386" s="1">
        <f t="shared" si="65"/>
        <v>1.52E-2</v>
      </c>
    </row>
    <row r="1387" spans="1:24" x14ac:dyDescent="0.25">
      <c r="A1387">
        <v>2015</v>
      </c>
      <c r="B1387">
        <v>2</v>
      </c>
      <c r="C1387" t="s">
        <v>37</v>
      </c>
      <c r="D1387" t="str">
        <f>_xlfn.XLOOKUP(C1387,'Carrier Name Rename'!A:A,'Carrier Name Rename'!B:B)</f>
        <v>Delta Air Lines Inc.</v>
      </c>
      <c r="E1387" t="s">
        <v>23</v>
      </c>
      <c r="F1387" t="s">
        <v>24</v>
      </c>
      <c r="G1387">
        <v>799</v>
      </c>
      <c r="H1387">
        <v>151</v>
      </c>
      <c r="I1387">
        <v>59.69</v>
      </c>
      <c r="J1387">
        <v>12.88</v>
      </c>
      <c r="K1387">
        <v>49.93</v>
      </c>
      <c r="L1387">
        <v>0</v>
      </c>
      <c r="M1387">
        <v>28.49</v>
      </c>
      <c r="N1387">
        <v>5</v>
      </c>
      <c r="O1387">
        <v>2</v>
      </c>
      <c r="P1387">
        <v>9421</v>
      </c>
      <c r="Q1387">
        <v>4522</v>
      </c>
      <c r="R1387">
        <v>1145</v>
      </c>
      <c r="S1387">
        <v>1605</v>
      </c>
      <c r="T1387">
        <v>0</v>
      </c>
      <c r="U1387">
        <v>2149</v>
      </c>
      <c r="V1387" s="1">
        <f t="shared" si="63"/>
        <v>0.189</v>
      </c>
      <c r="W1387" s="1">
        <f t="shared" si="64"/>
        <v>6.3E-3</v>
      </c>
      <c r="X1387" s="1">
        <f t="shared" si="65"/>
        <v>2.5000000000000001E-3</v>
      </c>
    </row>
    <row r="1388" spans="1:24" x14ac:dyDescent="0.25">
      <c r="A1388">
        <v>2015</v>
      </c>
      <c r="B1388">
        <v>2</v>
      </c>
      <c r="C1388" t="s">
        <v>39</v>
      </c>
      <c r="D1388" t="str">
        <f>_xlfn.XLOOKUP(C1388,'Carrier Name Rename'!A:A,'Carrier Name Rename'!B:B)</f>
        <v>Frontier Airlines Inc.</v>
      </c>
      <c r="E1388" t="s">
        <v>23</v>
      </c>
      <c r="F1388" t="s">
        <v>24</v>
      </c>
      <c r="G1388">
        <v>36</v>
      </c>
      <c r="H1388">
        <v>14</v>
      </c>
      <c r="I1388">
        <v>1.3</v>
      </c>
      <c r="J1388">
        <v>0.03</v>
      </c>
      <c r="K1388">
        <v>8.7799999999999994</v>
      </c>
      <c r="L1388">
        <v>0</v>
      </c>
      <c r="M1388">
        <v>3.89</v>
      </c>
      <c r="N1388">
        <v>0</v>
      </c>
      <c r="O1388">
        <v>0</v>
      </c>
      <c r="P1388">
        <v>1247</v>
      </c>
      <c r="Q1388">
        <v>60</v>
      </c>
      <c r="R1388">
        <v>7</v>
      </c>
      <c r="S1388">
        <v>572</v>
      </c>
      <c r="T1388">
        <v>0</v>
      </c>
      <c r="U1388">
        <v>608</v>
      </c>
      <c r="V1388" s="1">
        <f t="shared" si="63"/>
        <v>0.38890000000000002</v>
      </c>
      <c r="W1388" s="1">
        <f t="shared" si="64"/>
        <v>0</v>
      </c>
      <c r="X1388" s="1">
        <f t="shared" si="65"/>
        <v>0</v>
      </c>
    </row>
    <row r="1389" spans="1:24" x14ac:dyDescent="0.25">
      <c r="A1389">
        <v>2015</v>
      </c>
      <c r="B1389">
        <v>2</v>
      </c>
      <c r="C1389" t="s">
        <v>21</v>
      </c>
      <c r="D1389" t="str">
        <f>_xlfn.XLOOKUP(C1389,'Carrier Name Rename'!A:A,'Carrier Name Rename'!B:B)</f>
        <v>Hawaiian Airlines Inc.</v>
      </c>
      <c r="E1389" t="s">
        <v>23</v>
      </c>
      <c r="F1389" t="s">
        <v>24</v>
      </c>
      <c r="G1389">
        <v>56</v>
      </c>
      <c r="H1389">
        <v>6</v>
      </c>
      <c r="I1389">
        <v>4</v>
      </c>
      <c r="J1389">
        <v>1</v>
      </c>
      <c r="K1389">
        <v>0</v>
      </c>
      <c r="L1389">
        <v>0</v>
      </c>
      <c r="M1389">
        <v>1</v>
      </c>
      <c r="N1389">
        <v>0</v>
      </c>
      <c r="O1389">
        <v>0</v>
      </c>
      <c r="P1389">
        <v>454</v>
      </c>
      <c r="Q1389">
        <v>201</v>
      </c>
      <c r="R1389">
        <v>206</v>
      </c>
      <c r="S1389">
        <v>0</v>
      </c>
      <c r="T1389">
        <v>0</v>
      </c>
      <c r="U1389">
        <v>47</v>
      </c>
      <c r="V1389" s="1">
        <f t="shared" si="63"/>
        <v>0.1071</v>
      </c>
      <c r="W1389" s="1">
        <f t="shared" si="64"/>
        <v>0</v>
      </c>
      <c r="X1389" s="1">
        <f t="shared" si="65"/>
        <v>0</v>
      </c>
    </row>
    <row r="1390" spans="1:24" x14ac:dyDescent="0.25">
      <c r="A1390">
        <v>2015</v>
      </c>
      <c r="B1390">
        <v>2</v>
      </c>
      <c r="C1390" t="s">
        <v>27</v>
      </c>
      <c r="D1390" t="str">
        <f>_xlfn.XLOOKUP(C1390,'Carrier Name Rename'!A:A,'Carrier Name Rename'!B:B)</f>
        <v>SkyWest Airlines Inc.</v>
      </c>
      <c r="E1390" t="s">
        <v>23</v>
      </c>
      <c r="F1390" t="s">
        <v>24</v>
      </c>
      <c r="G1390">
        <v>922</v>
      </c>
      <c r="H1390">
        <v>115</v>
      </c>
      <c r="I1390">
        <v>31.06</v>
      </c>
      <c r="J1390">
        <v>1.78</v>
      </c>
      <c r="K1390">
        <v>31.98</v>
      </c>
      <c r="L1390">
        <v>0</v>
      </c>
      <c r="M1390">
        <v>50.18</v>
      </c>
      <c r="N1390">
        <v>8</v>
      </c>
      <c r="O1390">
        <v>1</v>
      </c>
      <c r="P1390">
        <v>5305</v>
      </c>
      <c r="Q1390">
        <v>1770</v>
      </c>
      <c r="R1390">
        <v>79</v>
      </c>
      <c r="S1390">
        <v>749</v>
      </c>
      <c r="T1390">
        <v>0</v>
      </c>
      <c r="U1390">
        <v>2707</v>
      </c>
      <c r="V1390" s="1">
        <f t="shared" si="63"/>
        <v>0.12470000000000001</v>
      </c>
      <c r="W1390" s="1">
        <f t="shared" si="64"/>
        <v>8.6999999999999994E-3</v>
      </c>
      <c r="X1390" s="1">
        <f t="shared" si="65"/>
        <v>1.1000000000000001E-3</v>
      </c>
    </row>
    <row r="1391" spans="1:24" x14ac:dyDescent="0.25">
      <c r="A1391">
        <v>2015</v>
      </c>
      <c r="B1391">
        <v>2</v>
      </c>
      <c r="C1391" t="s">
        <v>41</v>
      </c>
      <c r="D1391" t="str">
        <f>_xlfn.XLOOKUP(C1391,'Carrier Name Rename'!A:A,'Carrier Name Rename'!B:B)</f>
        <v>United Air Lines Inc.</v>
      </c>
      <c r="E1391" t="s">
        <v>23</v>
      </c>
      <c r="F1391" t="s">
        <v>24</v>
      </c>
      <c r="G1391">
        <v>617</v>
      </c>
      <c r="H1391">
        <v>135</v>
      </c>
      <c r="I1391">
        <v>64.86</v>
      </c>
      <c r="J1391">
        <v>7.32</v>
      </c>
      <c r="K1391">
        <v>20.58</v>
      </c>
      <c r="L1391">
        <v>0</v>
      </c>
      <c r="M1391">
        <v>42.24</v>
      </c>
      <c r="N1391">
        <v>7</v>
      </c>
      <c r="O1391">
        <v>0</v>
      </c>
      <c r="P1391">
        <v>6998</v>
      </c>
      <c r="Q1391">
        <v>3156</v>
      </c>
      <c r="R1391">
        <v>481</v>
      </c>
      <c r="S1391">
        <v>866</v>
      </c>
      <c r="T1391">
        <v>0</v>
      </c>
      <c r="U1391">
        <v>2495</v>
      </c>
      <c r="V1391" s="1">
        <f t="shared" si="63"/>
        <v>0.21879999999999999</v>
      </c>
      <c r="W1391" s="1">
        <f t="shared" si="64"/>
        <v>1.1299999999999999E-2</v>
      </c>
      <c r="X1391" s="1">
        <f t="shared" si="65"/>
        <v>0</v>
      </c>
    </row>
    <row r="1392" spans="1:24" x14ac:dyDescent="0.25">
      <c r="A1392">
        <v>2015</v>
      </c>
      <c r="B1392">
        <v>2</v>
      </c>
      <c r="C1392" t="s">
        <v>61</v>
      </c>
      <c r="D1392" t="str">
        <f>_xlfn.XLOOKUP(C1392,'Carrier Name Rename'!A:A,'Carrier Name Rename'!B:B)</f>
        <v>US Airways Inc.</v>
      </c>
      <c r="E1392" t="s">
        <v>23</v>
      </c>
      <c r="F1392" t="s">
        <v>24</v>
      </c>
      <c r="G1392">
        <v>210</v>
      </c>
      <c r="H1392">
        <v>43</v>
      </c>
      <c r="I1392">
        <v>10.95</v>
      </c>
      <c r="J1392">
        <v>2.59</v>
      </c>
      <c r="K1392">
        <v>18.88</v>
      </c>
      <c r="L1392">
        <v>1</v>
      </c>
      <c r="M1392">
        <v>9.58</v>
      </c>
      <c r="N1392">
        <v>3</v>
      </c>
      <c r="O1392">
        <v>1</v>
      </c>
      <c r="P1392">
        <v>1809</v>
      </c>
      <c r="Q1392">
        <v>385</v>
      </c>
      <c r="R1392">
        <v>256</v>
      </c>
      <c r="S1392">
        <v>616</v>
      </c>
      <c r="T1392">
        <v>15</v>
      </c>
      <c r="U1392">
        <v>537</v>
      </c>
      <c r="V1392" s="1">
        <f t="shared" si="63"/>
        <v>0.20480000000000001</v>
      </c>
      <c r="W1392" s="1">
        <f t="shared" si="64"/>
        <v>1.43E-2</v>
      </c>
      <c r="X1392" s="1">
        <f t="shared" si="65"/>
        <v>4.7999999999999996E-3</v>
      </c>
    </row>
    <row r="1393" spans="1:24" x14ac:dyDescent="0.25">
      <c r="A1393">
        <v>2015</v>
      </c>
      <c r="B1393">
        <v>2</v>
      </c>
      <c r="C1393" t="s">
        <v>51</v>
      </c>
      <c r="D1393" t="str">
        <f>_xlfn.XLOOKUP(C1393,'Carrier Name Rename'!A:A,'Carrier Name Rename'!B:B)</f>
        <v>Virgin America</v>
      </c>
      <c r="E1393" t="s">
        <v>23</v>
      </c>
      <c r="F1393" t="s">
        <v>24</v>
      </c>
      <c r="G1393">
        <v>167</v>
      </c>
      <c r="H1393">
        <v>22</v>
      </c>
      <c r="I1393">
        <v>2.16</v>
      </c>
      <c r="J1393">
        <v>0.05</v>
      </c>
      <c r="K1393">
        <v>1.55</v>
      </c>
      <c r="L1393">
        <v>0</v>
      </c>
      <c r="M1393">
        <v>18.239999999999998</v>
      </c>
      <c r="N1393">
        <v>1</v>
      </c>
      <c r="O1393">
        <v>0</v>
      </c>
      <c r="P1393">
        <v>1039</v>
      </c>
      <c r="Q1393">
        <v>45</v>
      </c>
      <c r="R1393">
        <v>2</v>
      </c>
      <c r="S1393">
        <v>52</v>
      </c>
      <c r="T1393">
        <v>0</v>
      </c>
      <c r="U1393">
        <v>940</v>
      </c>
      <c r="V1393" s="1">
        <f t="shared" si="63"/>
        <v>0.13170000000000001</v>
      </c>
      <c r="W1393" s="1">
        <f t="shared" si="64"/>
        <v>6.0000000000000001E-3</v>
      </c>
      <c r="X1393" s="1">
        <f t="shared" si="65"/>
        <v>0</v>
      </c>
    </row>
    <row r="1394" spans="1:24" x14ac:dyDescent="0.25">
      <c r="A1394">
        <v>2015</v>
      </c>
      <c r="B1394">
        <v>2</v>
      </c>
      <c r="C1394" t="s">
        <v>43</v>
      </c>
      <c r="D1394" t="str">
        <f>_xlfn.XLOOKUP(C1394,'Carrier Name Rename'!A:A,'Carrier Name Rename'!B:B)</f>
        <v>Southwest Airlines Co.</v>
      </c>
      <c r="E1394" t="s">
        <v>23</v>
      </c>
      <c r="F1394" t="s">
        <v>24</v>
      </c>
      <c r="G1394">
        <v>685</v>
      </c>
      <c r="H1394">
        <v>159</v>
      </c>
      <c r="I1394">
        <v>47.91</v>
      </c>
      <c r="J1394">
        <v>0.25</v>
      </c>
      <c r="K1394">
        <v>20.39</v>
      </c>
      <c r="L1394">
        <v>0</v>
      </c>
      <c r="M1394">
        <v>90.45</v>
      </c>
      <c r="N1394">
        <v>6</v>
      </c>
      <c r="O1394">
        <v>0</v>
      </c>
      <c r="P1394">
        <v>7217</v>
      </c>
      <c r="Q1394">
        <v>1867</v>
      </c>
      <c r="R1394">
        <v>10</v>
      </c>
      <c r="S1394">
        <v>710</v>
      </c>
      <c r="T1394">
        <v>0</v>
      </c>
      <c r="U1394">
        <v>4630</v>
      </c>
      <c r="V1394" s="1">
        <f t="shared" si="63"/>
        <v>0.2321</v>
      </c>
      <c r="W1394" s="1">
        <f t="shared" si="64"/>
        <v>8.8000000000000005E-3</v>
      </c>
      <c r="X1394" s="1">
        <f t="shared" si="65"/>
        <v>0</v>
      </c>
    </row>
    <row r="1395" spans="1:24" x14ac:dyDescent="0.25">
      <c r="A1395">
        <v>2015</v>
      </c>
      <c r="B1395">
        <v>1</v>
      </c>
      <c r="C1395" t="s">
        <v>31</v>
      </c>
      <c r="D1395" t="str">
        <f>_xlfn.XLOOKUP(C1395,'Carrier Name Rename'!A:A,'Carrier Name Rename'!B:B)</f>
        <v>American Airlines Inc.</v>
      </c>
      <c r="E1395" t="s">
        <v>23</v>
      </c>
      <c r="F1395" t="s">
        <v>24</v>
      </c>
      <c r="G1395">
        <v>371</v>
      </c>
      <c r="H1395">
        <v>92</v>
      </c>
      <c r="I1395">
        <v>35.840000000000003</v>
      </c>
      <c r="J1395">
        <v>7.58</v>
      </c>
      <c r="K1395">
        <v>18.5</v>
      </c>
      <c r="L1395">
        <v>0.22</v>
      </c>
      <c r="M1395">
        <v>29.87</v>
      </c>
      <c r="N1395">
        <v>2</v>
      </c>
      <c r="O1395">
        <v>4</v>
      </c>
      <c r="P1395">
        <v>4852</v>
      </c>
      <c r="Q1395">
        <v>1991</v>
      </c>
      <c r="R1395">
        <v>407</v>
      </c>
      <c r="S1395">
        <v>792</v>
      </c>
      <c r="T1395">
        <v>5</v>
      </c>
      <c r="U1395">
        <v>1657</v>
      </c>
      <c r="V1395" s="1">
        <f t="shared" si="63"/>
        <v>0.248</v>
      </c>
      <c r="W1395" s="1">
        <f t="shared" si="64"/>
        <v>5.4000000000000003E-3</v>
      </c>
      <c r="X1395" s="1">
        <f t="shared" si="65"/>
        <v>1.0800000000000001E-2</v>
      </c>
    </row>
    <row r="1396" spans="1:24" x14ac:dyDescent="0.25">
      <c r="A1396">
        <v>2015</v>
      </c>
      <c r="B1396">
        <v>1</v>
      </c>
      <c r="C1396" t="s">
        <v>33</v>
      </c>
      <c r="D1396" t="str">
        <f>_xlfn.XLOOKUP(C1396,'Carrier Name Rename'!A:A,'Carrier Name Rename'!B:B)</f>
        <v>Alaska Airlines Inc.</v>
      </c>
      <c r="E1396" t="s">
        <v>23</v>
      </c>
      <c r="F1396" t="s">
        <v>24</v>
      </c>
      <c r="G1396">
        <v>4058</v>
      </c>
      <c r="H1396">
        <v>603</v>
      </c>
      <c r="I1396">
        <v>109.99</v>
      </c>
      <c r="J1396">
        <v>27.78</v>
      </c>
      <c r="K1396">
        <v>237.25</v>
      </c>
      <c r="L1396">
        <v>0.1</v>
      </c>
      <c r="M1396">
        <v>227.88</v>
      </c>
      <c r="N1396">
        <v>21</v>
      </c>
      <c r="O1396">
        <v>5</v>
      </c>
      <c r="P1396">
        <v>31053</v>
      </c>
      <c r="Q1396">
        <v>6173</v>
      </c>
      <c r="R1396">
        <v>2789</v>
      </c>
      <c r="S1396">
        <v>7562</v>
      </c>
      <c r="T1396">
        <v>2</v>
      </c>
      <c r="U1396">
        <v>14527</v>
      </c>
      <c r="V1396" s="1">
        <f t="shared" si="63"/>
        <v>0.14860000000000001</v>
      </c>
      <c r="W1396" s="1">
        <f t="shared" si="64"/>
        <v>5.1999999999999998E-3</v>
      </c>
      <c r="X1396" s="1">
        <f t="shared" si="65"/>
        <v>1.1999999999999999E-3</v>
      </c>
    </row>
    <row r="1397" spans="1:24" x14ac:dyDescent="0.25">
      <c r="A1397">
        <v>2015</v>
      </c>
      <c r="B1397">
        <v>1</v>
      </c>
      <c r="C1397" t="s">
        <v>35</v>
      </c>
      <c r="D1397" t="str">
        <f>_xlfn.XLOOKUP(C1397,'Carrier Name Rename'!A:A,'Carrier Name Rename'!B:B)</f>
        <v>JetBlue Airways</v>
      </c>
      <c r="E1397" t="s">
        <v>23</v>
      </c>
      <c r="F1397" t="s">
        <v>24</v>
      </c>
      <c r="G1397">
        <v>142</v>
      </c>
      <c r="H1397">
        <v>35</v>
      </c>
      <c r="I1397">
        <v>10.73</v>
      </c>
      <c r="J1397">
        <v>0.91</v>
      </c>
      <c r="K1397">
        <v>17.440000000000001</v>
      </c>
      <c r="L1397">
        <v>0</v>
      </c>
      <c r="M1397">
        <v>5.92</v>
      </c>
      <c r="N1397">
        <v>5</v>
      </c>
      <c r="O1397">
        <v>3</v>
      </c>
      <c r="P1397">
        <v>1792</v>
      </c>
      <c r="Q1397">
        <v>575</v>
      </c>
      <c r="R1397">
        <v>75</v>
      </c>
      <c r="S1397">
        <v>847</v>
      </c>
      <c r="T1397">
        <v>0</v>
      </c>
      <c r="U1397">
        <v>295</v>
      </c>
      <c r="V1397" s="1">
        <f t="shared" si="63"/>
        <v>0.2465</v>
      </c>
      <c r="W1397" s="1">
        <f t="shared" si="64"/>
        <v>3.5200000000000002E-2</v>
      </c>
      <c r="X1397" s="1">
        <f t="shared" si="65"/>
        <v>2.1100000000000001E-2</v>
      </c>
    </row>
    <row r="1398" spans="1:24" x14ac:dyDescent="0.25">
      <c r="A1398">
        <v>2015</v>
      </c>
      <c r="B1398">
        <v>1</v>
      </c>
      <c r="C1398" t="s">
        <v>37</v>
      </c>
      <c r="D1398" t="str">
        <f>_xlfn.XLOOKUP(C1398,'Carrier Name Rename'!A:A,'Carrier Name Rename'!B:B)</f>
        <v>Delta Air Lines Inc.</v>
      </c>
      <c r="E1398" t="s">
        <v>23</v>
      </c>
      <c r="F1398" t="s">
        <v>24</v>
      </c>
      <c r="G1398">
        <v>897</v>
      </c>
      <c r="H1398">
        <v>138</v>
      </c>
      <c r="I1398">
        <v>45.16</v>
      </c>
      <c r="J1398">
        <v>11.84</v>
      </c>
      <c r="K1398">
        <v>50.48</v>
      </c>
      <c r="L1398">
        <v>0</v>
      </c>
      <c r="M1398">
        <v>30.52</v>
      </c>
      <c r="N1398">
        <v>5</v>
      </c>
      <c r="O1398">
        <v>2</v>
      </c>
      <c r="P1398">
        <v>6945</v>
      </c>
      <c r="Q1398">
        <v>2358</v>
      </c>
      <c r="R1398">
        <v>685</v>
      </c>
      <c r="S1398">
        <v>1810</v>
      </c>
      <c r="T1398">
        <v>0</v>
      </c>
      <c r="U1398">
        <v>2092</v>
      </c>
      <c r="V1398" s="1">
        <f t="shared" si="63"/>
        <v>0.15379999999999999</v>
      </c>
      <c r="W1398" s="1">
        <f t="shared" si="64"/>
        <v>5.5999999999999999E-3</v>
      </c>
      <c r="X1398" s="1">
        <f t="shared" si="65"/>
        <v>2.2000000000000001E-3</v>
      </c>
    </row>
    <row r="1399" spans="1:24" x14ac:dyDescent="0.25">
      <c r="A1399">
        <v>2015</v>
      </c>
      <c r="B1399">
        <v>1</v>
      </c>
      <c r="C1399" t="s">
        <v>39</v>
      </c>
      <c r="D1399" t="str">
        <f>_xlfn.XLOOKUP(C1399,'Carrier Name Rename'!A:A,'Carrier Name Rename'!B:B)</f>
        <v>Frontier Airlines Inc.</v>
      </c>
      <c r="E1399" t="s">
        <v>23</v>
      </c>
      <c r="F1399" t="s">
        <v>24</v>
      </c>
      <c r="G1399">
        <v>44</v>
      </c>
      <c r="H1399">
        <v>18</v>
      </c>
      <c r="I1399">
        <v>3.48</v>
      </c>
      <c r="J1399">
        <v>0.05</v>
      </c>
      <c r="K1399">
        <v>8.5500000000000007</v>
      </c>
      <c r="L1399">
        <v>0</v>
      </c>
      <c r="M1399">
        <v>5.92</v>
      </c>
      <c r="N1399">
        <v>0</v>
      </c>
      <c r="O1399">
        <v>0</v>
      </c>
      <c r="P1399">
        <v>824</v>
      </c>
      <c r="Q1399">
        <v>79</v>
      </c>
      <c r="R1399">
        <v>8</v>
      </c>
      <c r="S1399">
        <v>386</v>
      </c>
      <c r="T1399">
        <v>0</v>
      </c>
      <c r="U1399">
        <v>351</v>
      </c>
      <c r="V1399" s="1">
        <f t="shared" si="63"/>
        <v>0.40910000000000002</v>
      </c>
      <c r="W1399" s="1">
        <f t="shared" si="64"/>
        <v>0</v>
      </c>
      <c r="X1399" s="1">
        <f t="shared" si="65"/>
        <v>0</v>
      </c>
    </row>
    <row r="1400" spans="1:24" x14ac:dyDescent="0.25">
      <c r="A1400">
        <v>2015</v>
      </c>
      <c r="B1400">
        <v>1</v>
      </c>
      <c r="C1400" t="s">
        <v>21</v>
      </c>
      <c r="D1400" t="str">
        <f>_xlfn.XLOOKUP(C1400,'Carrier Name Rename'!A:A,'Carrier Name Rename'!B:B)</f>
        <v>Hawaiian Airlines Inc.</v>
      </c>
      <c r="E1400" t="s">
        <v>23</v>
      </c>
      <c r="F1400" t="s">
        <v>24</v>
      </c>
      <c r="G1400">
        <v>62</v>
      </c>
      <c r="H1400">
        <v>9</v>
      </c>
      <c r="I1400">
        <v>4.46</v>
      </c>
      <c r="J1400">
        <v>1</v>
      </c>
      <c r="K1400">
        <v>0.67</v>
      </c>
      <c r="L1400">
        <v>0</v>
      </c>
      <c r="M1400">
        <v>2.87</v>
      </c>
      <c r="N1400">
        <v>0</v>
      </c>
      <c r="O1400">
        <v>1</v>
      </c>
      <c r="P1400">
        <v>287</v>
      </c>
      <c r="Q1400">
        <v>115</v>
      </c>
      <c r="R1400">
        <v>25</v>
      </c>
      <c r="S1400">
        <v>12</v>
      </c>
      <c r="T1400">
        <v>0</v>
      </c>
      <c r="U1400">
        <v>135</v>
      </c>
      <c r="V1400" s="1">
        <f t="shared" si="63"/>
        <v>0.1452</v>
      </c>
      <c r="W1400" s="1">
        <f t="shared" si="64"/>
        <v>0</v>
      </c>
      <c r="X1400" s="1">
        <f t="shared" si="65"/>
        <v>1.61E-2</v>
      </c>
    </row>
    <row r="1401" spans="1:24" x14ac:dyDescent="0.25">
      <c r="A1401">
        <v>2015</v>
      </c>
      <c r="B1401">
        <v>1</v>
      </c>
      <c r="C1401" t="s">
        <v>27</v>
      </c>
      <c r="D1401" t="str">
        <f>_xlfn.XLOOKUP(C1401,'Carrier Name Rename'!A:A,'Carrier Name Rename'!B:B)</f>
        <v>SkyWest Airlines Inc.</v>
      </c>
      <c r="E1401" t="s">
        <v>23</v>
      </c>
      <c r="F1401" t="s">
        <v>24</v>
      </c>
      <c r="G1401">
        <v>977</v>
      </c>
      <c r="H1401">
        <v>247</v>
      </c>
      <c r="I1401">
        <v>51.66</v>
      </c>
      <c r="J1401">
        <v>17.690000000000001</v>
      </c>
      <c r="K1401">
        <v>56.17</v>
      </c>
      <c r="L1401">
        <v>0</v>
      </c>
      <c r="M1401">
        <v>121.48</v>
      </c>
      <c r="N1401">
        <v>26</v>
      </c>
      <c r="O1401">
        <v>10</v>
      </c>
      <c r="P1401">
        <v>19619</v>
      </c>
      <c r="Q1401">
        <v>5190</v>
      </c>
      <c r="R1401">
        <v>2119</v>
      </c>
      <c r="S1401">
        <v>2150</v>
      </c>
      <c r="T1401">
        <v>0</v>
      </c>
      <c r="U1401">
        <v>10160</v>
      </c>
      <c r="V1401" s="1">
        <f t="shared" si="63"/>
        <v>0.25280000000000002</v>
      </c>
      <c r="W1401" s="1">
        <f t="shared" si="64"/>
        <v>2.6599999999999999E-2</v>
      </c>
      <c r="X1401" s="1">
        <f t="shared" si="65"/>
        <v>1.0200000000000001E-2</v>
      </c>
    </row>
    <row r="1402" spans="1:24" x14ac:dyDescent="0.25">
      <c r="A1402">
        <v>2015</v>
      </c>
      <c r="B1402">
        <v>1</v>
      </c>
      <c r="C1402" t="s">
        <v>41</v>
      </c>
      <c r="D1402" t="str">
        <f>_xlfn.XLOOKUP(C1402,'Carrier Name Rename'!A:A,'Carrier Name Rename'!B:B)</f>
        <v>United Air Lines Inc.</v>
      </c>
      <c r="E1402" t="s">
        <v>23</v>
      </c>
      <c r="F1402" t="s">
        <v>24</v>
      </c>
      <c r="G1402">
        <v>670</v>
      </c>
      <c r="H1402">
        <v>153</v>
      </c>
      <c r="I1402">
        <v>73.41</v>
      </c>
      <c r="J1402">
        <v>8.7899999999999991</v>
      </c>
      <c r="K1402">
        <v>29.89</v>
      </c>
      <c r="L1402">
        <v>0</v>
      </c>
      <c r="M1402">
        <v>40.909999999999997</v>
      </c>
      <c r="N1402">
        <v>6</v>
      </c>
      <c r="O1402">
        <v>8</v>
      </c>
      <c r="P1402">
        <v>7722</v>
      </c>
      <c r="Q1402">
        <v>3081</v>
      </c>
      <c r="R1402">
        <v>777</v>
      </c>
      <c r="S1402">
        <v>1343</v>
      </c>
      <c r="T1402">
        <v>0</v>
      </c>
      <c r="U1402">
        <v>2521</v>
      </c>
      <c r="V1402" s="1">
        <f t="shared" si="63"/>
        <v>0.22839999999999999</v>
      </c>
      <c r="W1402" s="1">
        <f t="shared" si="64"/>
        <v>8.9999999999999993E-3</v>
      </c>
      <c r="X1402" s="1">
        <f t="shared" si="65"/>
        <v>1.1900000000000001E-2</v>
      </c>
    </row>
    <row r="1403" spans="1:24" x14ac:dyDescent="0.25">
      <c r="A1403">
        <v>2015</v>
      </c>
      <c r="B1403">
        <v>1</v>
      </c>
      <c r="C1403" t="s">
        <v>61</v>
      </c>
      <c r="D1403" t="str">
        <f>_xlfn.XLOOKUP(C1403,'Carrier Name Rename'!A:A,'Carrier Name Rename'!B:B)</f>
        <v>US Airways Inc.</v>
      </c>
      <c r="E1403" t="s">
        <v>23</v>
      </c>
      <c r="F1403" t="s">
        <v>24</v>
      </c>
      <c r="G1403">
        <v>224</v>
      </c>
      <c r="H1403">
        <v>45</v>
      </c>
      <c r="I1403">
        <v>15.17</v>
      </c>
      <c r="J1403">
        <v>0</v>
      </c>
      <c r="K1403">
        <v>23.69</v>
      </c>
      <c r="L1403">
        <v>0</v>
      </c>
      <c r="M1403">
        <v>6.14</v>
      </c>
      <c r="N1403">
        <v>1</v>
      </c>
      <c r="O1403">
        <v>7</v>
      </c>
      <c r="P1403">
        <v>1567</v>
      </c>
      <c r="Q1403">
        <v>563</v>
      </c>
      <c r="R1403">
        <v>0</v>
      </c>
      <c r="S1403">
        <v>645</v>
      </c>
      <c r="T1403">
        <v>0</v>
      </c>
      <c r="U1403">
        <v>359</v>
      </c>
      <c r="V1403" s="1">
        <f t="shared" si="63"/>
        <v>0.2009</v>
      </c>
      <c r="W1403" s="1">
        <f t="shared" si="64"/>
        <v>4.4999999999999997E-3</v>
      </c>
      <c r="X1403" s="1">
        <f t="shared" si="65"/>
        <v>3.1300000000000001E-2</v>
      </c>
    </row>
    <row r="1404" spans="1:24" x14ac:dyDescent="0.25">
      <c r="A1404">
        <v>2015</v>
      </c>
      <c r="B1404">
        <v>1</v>
      </c>
      <c r="C1404" t="s">
        <v>51</v>
      </c>
      <c r="D1404" t="str">
        <f>_xlfn.XLOOKUP(C1404,'Carrier Name Rename'!A:A,'Carrier Name Rename'!B:B)</f>
        <v>Virgin America</v>
      </c>
      <c r="E1404" t="s">
        <v>23</v>
      </c>
      <c r="F1404" t="s">
        <v>24</v>
      </c>
      <c r="G1404">
        <v>192</v>
      </c>
      <c r="H1404">
        <v>28</v>
      </c>
      <c r="I1404">
        <v>10.49</v>
      </c>
      <c r="J1404">
        <v>0.79</v>
      </c>
      <c r="K1404">
        <v>1.21</v>
      </c>
      <c r="L1404">
        <v>0</v>
      </c>
      <c r="M1404">
        <v>15.51</v>
      </c>
      <c r="N1404">
        <v>0</v>
      </c>
      <c r="O1404">
        <v>0</v>
      </c>
      <c r="P1404">
        <v>1155</v>
      </c>
      <c r="Q1404">
        <v>383</v>
      </c>
      <c r="R1404">
        <v>15</v>
      </c>
      <c r="S1404">
        <v>48</v>
      </c>
      <c r="T1404">
        <v>0</v>
      </c>
      <c r="U1404">
        <v>709</v>
      </c>
      <c r="V1404" s="1">
        <f t="shared" si="63"/>
        <v>0.14580000000000001</v>
      </c>
      <c r="W1404" s="1">
        <f t="shared" si="64"/>
        <v>0</v>
      </c>
      <c r="X1404" s="1">
        <f t="shared" si="65"/>
        <v>0</v>
      </c>
    </row>
    <row r="1405" spans="1:24" x14ac:dyDescent="0.25">
      <c r="A1405">
        <v>2015</v>
      </c>
      <c r="B1405">
        <v>1</v>
      </c>
      <c r="C1405" t="s">
        <v>43</v>
      </c>
      <c r="D1405" t="str">
        <f>_xlfn.XLOOKUP(C1405,'Carrier Name Rename'!A:A,'Carrier Name Rename'!B:B)</f>
        <v>Southwest Airlines Co.</v>
      </c>
      <c r="E1405" t="s">
        <v>23</v>
      </c>
      <c r="F1405" t="s">
        <v>24</v>
      </c>
      <c r="G1405">
        <v>789</v>
      </c>
      <c r="H1405">
        <v>176</v>
      </c>
      <c r="I1405">
        <v>65.959999999999994</v>
      </c>
      <c r="J1405">
        <v>1</v>
      </c>
      <c r="K1405">
        <v>31.46</v>
      </c>
      <c r="L1405">
        <v>0</v>
      </c>
      <c r="M1405">
        <v>77.58</v>
      </c>
      <c r="N1405">
        <v>1</v>
      </c>
      <c r="O1405">
        <v>2</v>
      </c>
      <c r="P1405">
        <v>7932</v>
      </c>
      <c r="Q1405">
        <v>2675</v>
      </c>
      <c r="R1405">
        <v>56</v>
      </c>
      <c r="S1405">
        <v>1123</v>
      </c>
      <c r="T1405">
        <v>0</v>
      </c>
      <c r="U1405">
        <v>4078</v>
      </c>
      <c r="V1405" s="1">
        <f t="shared" si="63"/>
        <v>0.22309999999999999</v>
      </c>
      <c r="W1405" s="1">
        <f t="shared" si="64"/>
        <v>1.2999999999999999E-3</v>
      </c>
      <c r="X1405" s="1">
        <f t="shared" si="65"/>
        <v>2.5000000000000001E-3</v>
      </c>
    </row>
    <row r="1406" spans="1:24" x14ac:dyDescent="0.25">
      <c r="A1406">
        <v>2014</v>
      </c>
      <c r="B1406">
        <v>12</v>
      </c>
      <c r="C1406" t="s">
        <v>31</v>
      </c>
      <c r="D1406" t="str">
        <f>_xlfn.XLOOKUP(C1406,'Carrier Name Rename'!A:A,'Carrier Name Rename'!B:B)</f>
        <v>American Airlines Inc.</v>
      </c>
      <c r="E1406" t="s">
        <v>23</v>
      </c>
      <c r="F1406" t="s">
        <v>24</v>
      </c>
      <c r="G1406">
        <v>414</v>
      </c>
      <c r="H1406">
        <v>101</v>
      </c>
      <c r="I1406">
        <v>41.8</v>
      </c>
      <c r="J1406">
        <v>0</v>
      </c>
      <c r="K1406">
        <v>30.83</v>
      </c>
      <c r="L1406">
        <v>0</v>
      </c>
      <c r="M1406">
        <v>28.37</v>
      </c>
      <c r="N1406">
        <v>0</v>
      </c>
      <c r="O1406">
        <v>0</v>
      </c>
      <c r="P1406">
        <v>4091</v>
      </c>
      <c r="Q1406">
        <v>1952</v>
      </c>
      <c r="R1406">
        <v>0</v>
      </c>
      <c r="S1406">
        <v>918</v>
      </c>
      <c r="T1406">
        <v>0</v>
      </c>
      <c r="U1406">
        <v>1221</v>
      </c>
      <c r="V1406" s="1">
        <f t="shared" si="63"/>
        <v>0.24399999999999999</v>
      </c>
      <c r="W1406" s="1">
        <f t="shared" si="64"/>
        <v>0</v>
      </c>
      <c r="X1406" s="1">
        <f t="shared" si="65"/>
        <v>0</v>
      </c>
    </row>
    <row r="1407" spans="1:24" x14ac:dyDescent="0.25">
      <c r="A1407">
        <v>2014</v>
      </c>
      <c r="B1407">
        <v>12</v>
      </c>
      <c r="C1407" t="s">
        <v>33</v>
      </c>
      <c r="D1407" t="str">
        <f>_xlfn.XLOOKUP(C1407,'Carrier Name Rename'!A:A,'Carrier Name Rename'!B:B)</f>
        <v>Alaska Airlines Inc.</v>
      </c>
      <c r="E1407" t="s">
        <v>23</v>
      </c>
      <c r="F1407" t="s">
        <v>24</v>
      </c>
      <c r="G1407">
        <v>4256</v>
      </c>
      <c r="H1407">
        <v>762</v>
      </c>
      <c r="I1407">
        <v>134.1</v>
      </c>
      <c r="J1407">
        <v>5.46</v>
      </c>
      <c r="K1407">
        <v>353.01</v>
      </c>
      <c r="L1407">
        <v>1.63</v>
      </c>
      <c r="M1407">
        <v>267.8</v>
      </c>
      <c r="N1407">
        <v>19</v>
      </c>
      <c r="O1407">
        <v>6</v>
      </c>
      <c r="P1407">
        <v>39750</v>
      </c>
      <c r="Q1407">
        <v>11040</v>
      </c>
      <c r="R1407">
        <v>267</v>
      </c>
      <c r="S1407">
        <v>9938</v>
      </c>
      <c r="T1407">
        <v>202</v>
      </c>
      <c r="U1407">
        <v>18303</v>
      </c>
      <c r="V1407" s="1">
        <f t="shared" si="63"/>
        <v>0.17899999999999999</v>
      </c>
      <c r="W1407" s="1">
        <f t="shared" si="64"/>
        <v>4.4999999999999997E-3</v>
      </c>
      <c r="X1407" s="1">
        <f t="shared" si="65"/>
        <v>1.4E-3</v>
      </c>
    </row>
    <row r="1408" spans="1:24" x14ac:dyDescent="0.25">
      <c r="A1408">
        <v>2014</v>
      </c>
      <c r="B1408">
        <v>12</v>
      </c>
      <c r="C1408" t="s">
        <v>35</v>
      </c>
      <c r="D1408" t="str">
        <f>_xlfn.XLOOKUP(C1408,'Carrier Name Rename'!A:A,'Carrier Name Rename'!B:B)</f>
        <v>JetBlue Airways</v>
      </c>
      <c r="E1408" t="s">
        <v>23</v>
      </c>
      <c r="F1408" t="s">
        <v>24</v>
      </c>
      <c r="G1408">
        <v>143</v>
      </c>
      <c r="H1408">
        <v>24</v>
      </c>
      <c r="I1408">
        <v>10.68</v>
      </c>
      <c r="J1408">
        <v>0.96</v>
      </c>
      <c r="K1408">
        <v>5.83</v>
      </c>
      <c r="L1408">
        <v>0.83</v>
      </c>
      <c r="M1408">
        <v>5.71</v>
      </c>
      <c r="N1408">
        <v>0</v>
      </c>
      <c r="O1408">
        <v>0</v>
      </c>
      <c r="P1408">
        <v>1192</v>
      </c>
      <c r="Q1408">
        <v>621</v>
      </c>
      <c r="R1408">
        <v>43</v>
      </c>
      <c r="S1408">
        <v>214</v>
      </c>
      <c r="T1408">
        <v>83</v>
      </c>
      <c r="U1408">
        <v>231</v>
      </c>
      <c r="V1408" s="1">
        <f t="shared" si="63"/>
        <v>0.1678</v>
      </c>
      <c r="W1408" s="1">
        <f t="shared" si="64"/>
        <v>0</v>
      </c>
      <c r="X1408" s="1">
        <f t="shared" si="65"/>
        <v>0</v>
      </c>
    </row>
    <row r="1409" spans="1:24" x14ac:dyDescent="0.25">
      <c r="A1409">
        <v>2014</v>
      </c>
      <c r="B1409">
        <v>12</v>
      </c>
      <c r="C1409" t="s">
        <v>37</v>
      </c>
      <c r="D1409" t="str">
        <f>_xlfn.XLOOKUP(C1409,'Carrier Name Rename'!A:A,'Carrier Name Rename'!B:B)</f>
        <v>Delta Air Lines Inc.</v>
      </c>
      <c r="E1409" t="s">
        <v>23</v>
      </c>
      <c r="F1409" t="s">
        <v>24</v>
      </c>
      <c r="G1409">
        <v>927</v>
      </c>
      <c r="H1409">
        <v>89</v>
      </c>
      <c r="I1409">
        <v>34.44</v>
      </c>
      <c r="J1409">
        <v>4.51</v>
      </c>
      <c r="K1409">
        <v>26.69</v>
      </c>
      <c r="L1409">
        <v>0</v>
      </c>
      <c r="M1409">
        <v>23.37</v>
      </c>
      <c r="N1409">
        <v>1</v>
      </c>
      <c r="O1409">
        <v>0</v>
      </c>
      <c r="P1409">
        <v>5022</v>
      </c>
      <c r="Q1409">
        <v>2585</v>
      </c>
      <c r="R1409">
        <v>187</v>
      </c>
      <c r="S1409">
        <v>785</v>
      </c>
      <c r="T1409">
        <v>0</v>
      </c>
      <c r="U1409">
        <v>1465</v>
      </c>
      <c r="V1409" s="1">
        <f t="shared" si="63"/>
        <v>9.6000000000000002E-2</v>
      </c>
      <c r="W1409" s="1">
        <f t="shared" si="64"/>
        <v>1.1000000000000001E-3</v>
      </c>
      <c r="X1409" s="1">
        <f t="shared" si="65"/>
        <v>0</v>
      </c>
    </row>
    <row r="1410" spans="1:24" x14ac:dyDescent="0.25">
      <c r="A1410">
        <v>2014</v>
      </c>
      <c r="B1410">
        <v>12</v>
      </c>
      <c r="C1410" t="s">
        <v>39</v>
      </c>
      <c r="D1410" t="str">
        <f>_xlfn.XLOOKUP(C1410,'Carrier Name Rename'!A:A,'Carrier Name Rename'!B:B)</f>
        <v>Frontier Airlines Inc.</v>
      </c>
      <c r="E1410" t="s">
        <v>23</v>
      </c>
      <c r="F1410" t="s">
        <v>24</v>
      </c>
      <c r="G1410">
        <v>72</v>
      </c>
      <c r="H1410">
        <v>19</v>
      </c>
      <c r="I1410">
        <v>2.56</v>
      </c>
      <c r="J1410">
        <v>0</v>
      </c>
      <c r="K1410">
        <v>12.44</v>
      </c>
      <c r="L1410">
        <v>0</v>
      </c>
      <c r="M1410">
        <v>4</v>
      </c>
      <c r="N1410">
        <v>0</v>
      </c>
      <c r="O1410">
        <v>0</v>
      </c>
      <c r="P1410">
        <v>832</v>
      </c>
      <c r="Q1410">
        <v>178</v>
      </c>
      <c r="R1410">
        <v>0</v>
      </c>
      <c r="S1410">
        <v>461</v>
      </c>
      <c r="T1410">
        <v>0</v>
      </c>
      <c r="U1410">
        <v>193</v>
      </c>
      <c r="V1410" s="1">
        <f t="shared" si="63"/>
        <v>0.26390000000000002</v>
      </c>
      <c r="W1410" s="1">
        <f t="shared" si="64"/>
        <v>0</v>
      </c>
      <c r="X1410" s="1">
        <f t="shared" si="65"/>
        <v>0</v>
      </c>
    </row>
    <row r="1411" spans="1:24" x14ac:dyDescent="0.25">
      <c r="A1411">
        <v>2014</v>
      </c>
      <c r="B1411">
        <v>12</v>
      </c>
      <c r="C1411" t="s">
        <v>21</v>
      </c>
      <c r="D1411" t="str">
        <f>_xlfn.XLOOKUP(C1411,'Carrier Name Rename'!A:A,'Carrier Name Rename'!B:B)</f>
        <v>Hawaiian Airlines Inc.</v>
      </c>
      <c r="E1411" t="s">
        <v>23</v>
      </c>
      <c r="F1411" t="s">
        <v>24</v>
      </c>
      <c r="G1411">
        <v>62</v>
      </c>
      <c r="H1411">
        <v>3</v>
      </c>
      <c r="I1411">
        <v>2</v>
      </c>
      <c r="J1411">
        <v>0</v>
      </c>
      <c r="K1411">
        <v>0</v>
      </c>
      <c r="L1411">
        <v>0</v>
      </c>
      <c r="M1411">
        <v>1</v>
      </c>
      <c r="N1411">
        <v>0</v>
      </c>
      <c r="O1411">
        <v>0</v>
      </c>
      <c r="P1411">
        <v>305</v>
      </c>
      <c r="Q1411">
        <v>127</v>
      </c>
      <c r="R1411">
        <v>0</v>
      </c>
      <c r="S1411">
        <v>0</v>
      </c>
      <c r="T1411">
        <v>0</v>
      </c>
      <c r="U1411">
        <v>178</v>
      </c>
      <c r="V1411" s="1">
        <f t="shared" ref="V1411:V1474" si="66">ROUND(H1411/G1411,4)</f>
        <v>4.8399999999999999E-2</v>
      </c>
      <c r="W1411" s="1">
        <f t="shared" ref="W1411:W1474" si="67">ROUND(N1411/G1411,4)</f>
        <v>0</v>
      </c>
      <c r="X1411" s="1">
        <f t="shared" ref="X1411:X1474" si="68">ROUND(O1411/G1411,4)</f>
        <v>0</v>
      </c>
    </row>
    <row r="1412" spans="1:24" x14ac:dyDescent="0.25">
      <c r="A1412">
        <v>2014</v>
      </c>
      <c r="B1412">
        <v>12</v>
      </c>
      <c r="C1412" t="s">
        <v>27</v>
      </c>
      <c r="D1412" t="str">
        <f>_xlfn.XLOOKUP(C1412,'Carrier Name Rename'!A:A,'Carrier Name Rename'!B:B)</f>
        <v>SkyWest Airlines Inc.</v>
      </c>
      <c r="E1412" t="s">
        <v>23</v>
      </c>
      <c r="F1412" t="s">
        <v>24</v>
      </c>
      <c r="G1412">
        <v>857</v>
      </c>
      <c r="H1412">
        <v>193</v>
      </c>
      <c r="I1412">
        <v>32.799999999999997</v>
      </c>
      <c r="J1412">
        <v>3.55</v>
      </c>
      <c r="K1412">
        <v>69.760000000000005</v>
      </c>
      <c r="L1412">
        <v>0</v>
      </c>
      <c r="M1412">
        <v>86.9</v>
      </c>
      <c r="N1412">
        <v>6</v>
      </c>
      <c r="O1412">
        <v>3</v>
      </c>
      <c r="P1412">
        <v>11044</v>
      </c>
      <c r="Q1412">
        <v>1620</v>
      </c>
      <c r="R1412">
        <v>462</v>
      </c>
      <c r="S1412">
        <v>2087</v>
      </c>
      <c r="T1412">
        <v>0</v>
      </c>
      <c r="U1412">
        <v>6875</v>
      </c>
      <c r="V1412" s="1">
        <f t="shared" si="66"/>
        <v>0.22520000000000001</v>
      </c>
      <c r="W1412" s="1">
        <f t="shared" si="67"/>
        <v>7.0000000000000001E-3</v>
      </c>
      <c r="X1412" s="1">
        <f t="shared" si="68"/>
        <v>3.5000000000000001E-3</v>
      </c>
    </row>
    <row r="1413" spans="1:24" x14ac:dyDescent="0.25">
      <c r="A1413">
        <v>2014</v>
      </c>
      <c r="B1413">
        <v>12</v>
      </c>
      <c r="C1413" t="s">
        <v>41</v>
      </c>
      <c r="D1413" t="str">
        <f>_xlfn.XLOOKUP(C1413,'Carrier Name Rename'!A:A,'Carrier Name Rename'!B:B)</f>
        <v>United Air Lines Inc.</v>
      </c>
      <c r="E1413" t="s">
        <v>23</v>
      </c>
      <c r="F1413" t="s">
        <v>24</v>
      </c>
      <c r="G1413">
        <v>831</v>
      </c>
      <c r="H1413">
        <v>239</v>
      </c>
      <c r="I1413">
        <v>115.79</v>
      </c>
      <c r="J1413">
        <v>2.98</v>
      </c>
      <c r="K1413">
        <v>37.020000000000003</v>
      </c>
      <c r="L1413">
        <v>0</v>
      </c>
      <c r="M1413">
        <v>83.21</v>
      </c>
      <c r="N1413">
        <v>7</v>
      </c>
      <c r="O1413">
        <v>0</v>
      </c>
      <c r="P1413">
        <v>12313</v>
      </c>
      <c r="Q1413">
        <v>5147</v>
      </c>
      <c r="R1413">
        <v>252</v>
      </c>
      <c r="S1413">
        <v>1406</v>
      </c>
      <c r="T1413">
        <v>0</v>
      </c>
      <c r="U1413">
        <v>5508</v>
      </c>
      <c r="V1413" s="1">
        <f t="shared" si="66"/>
        <v>0.28760000000000002</v>
      </c>
      <c r="W1413" s="1">
        <f t="shared" si="67"/>
        <v>8.3999999999999995E-3</v>
      </c>
      <c r="X1413" s="1">
        <f t="shared" si="68"/>
        <v>0</v>
      </c>
    </row>
    <row r="1414" spans="1:24" x14ac:dyDescent="0.25">
      <c r="A1414">
        <v>2014</v>
      </c>
      <c r="B1414">
        <v>12</v>
      </c>
      <c r="C1414" t="s">
        <v>61</v>
      </c>
      <c r="D1414" t="str">
        <f>_xlfn.XLOOKUP(C1414,'Carrier Name Rename'!A:A,'Carrier Name Rename'!B:B)</f>
        <v>US Airways Inc.</v>
      </c>
      <c r="E1414" t="s">
        <v>23</v>
      </c>
      <c r="F1414" t="s">
        <v>24</v>
      </c>
      <c r="G1414">
        <v>253</v>
      </c>
      <c r="H1414">
        <v>52</v>
      </c>
      <c r="I1414">
        <v>20.43</v>
      </c>
      <c r="J1414">
        <v>0</v>
      </c>
      <c r="K1414">
        <v>26.19</v>
      </c>
      <c r="L1414">
        <v>0</v>
      </c>
      <c r="M1414">
        <v>5.38</v>
      </c>
      <c r="N1414">
        <v>0</v>
      </c>
      <c r="O1414">
        <v>0</v>
      </c>
      <c r="P1414">
        <v>1433</v>
      </c>
      <c r="Q1414">
        <v>583</v>
      </c>
      <c r="R1414">
        <v>0</v>
      </c>
      <c r="S1414">
        <v>679</v>
      </c>
      <c r="T1414">
        <v>0</v>
      </c>
      <c r="U1414">
        <v>171</v>
      </c>
      <c r="V1414" s="1">
        <f t="shared" si="66"/>
        <v>0.20549999999999999</v>
      </c>
      <c r="W1414" s="1">
        <f t="shared" si="67"/>
        <v>0</v>
      </c>
      <c r="X1414" s="1">
        <f t="shared" si="68"/>
        <v>0</v>
      </c>
    </row>
    <row r="1415" spans="1:24" x14ac:dyDescent="0.25">
      <c r="A1415">
        <v>2014</v>
      </c>
      <c r="B1415">
        <v>12</v>
      </c>
      <c r="C1415" t="s">
        <v>51</v>
      </c>
      <c r="D1415" t="str">
        <f>_xlfn.XLOOKUP(C1415,'Carrier Name Rename'!A:A,'Carrier Name Rename'!B:B)</f>
        <v>Virgin America</v>
      </c>
      <c r="E1415" t="s">
        <v>23</v>
      </c>
      <c r="F1415" t="s">
        <v>24</v>
      </c>
      <c r="G1415">
        <v>229</v>
      </c>
      <c r="H1415">
        <v>56</v>
      </c>
      <c r="I1415">
        <v>9.08</v>
      </c>
      <c r="J1415">
        <v>8.8699999999999992</v>
      </c>
      <c r="K1415">
        <v>4.8099999999999996</v>
      </c>
      <c r="L1415">
        <v>0.26</v>
      </c>
      <c r="M1415">
        <v>32.979999999999997</v>
      </c>
      <c r="N1415">
        <v>2</v>
      </c>
      <c r="O1415">
        <v>0</v>
      </c>
      <c r="P1415">
        <v>3841</v>
      </c>
      <c r="Q1415">
        <v>479</v>
      </c>
      <c r="R1415">
        <v>237</v>
      </c>
      <c r="S1415">
        <v>226</v>
      </c>
      <c r="T1415">
        <v>19</v>
      </c>
      <c r="U1415">
        <v>2880</v>
      </c>
      <c r="V1415" s="1">
        <f t="shared" si="66"/>
        <v>0.2445</v>
      </c>
      <c r="W1415" s="1">
        <f t="shared" si="67"/>
        <v>8.6999999999999994E-3</v>
      </c>
      <c r="X1415" s="1">
        <f t="shared" si="68"/>
        <v>0</v>
      </c>
    </row>
    <row r="1416" spans="1:24" x14ac:dyDescent="0.25">
      <c r="A1416">
        <v>2014</v>
      </c>
      <c r="B1416">
        <v>12</v>
      </c>
      <c r="C1416" t="s">
        <v>43</v>
      </c>
      <c r="D1416" t="str">
        <f>_xlfn.XLOOKUP(C1416,'Carrier Name Rename'!A:A,'Carrier Name Rename'!B:B)</f>
        <v>Southwest Airlines Co.</v>
      </c>
      <c r="E1416" t="s">
        <v>23</v>
      </c>
      <c r="F1416" t="s">
        <v>24</v>
      </c>
      <c r="G1416">
        <v>947</v>
      </c>
      <c r="H1416">
        <v>376</v>
      </c>
      <c r="I1416">
        <v>119.78</v>
      </c>
      <c r="J1416">
        <v>2.04</v>
      </c>
      <c r="K1416">
        <v>57.76</v>
      </c>
      <c r="L1416">
        <v>0.77</v>
      </c>
      <c r="M1416">
        <v>195.64</v>
      </c>
      <c r="N1416">
        <v>1</v>
      </c>
      <c r="O1416">
        <v>1</v>
      </c>
      <c r="P1416">
        <v>18922</v>
      </c>
      <c r="Q1416">
        <v>5404</v>
      </c>
      <c r="R1416">
        <v>84</v>
      </c>
      <c r="S1416">
        <v>1991</v>
      </c>
      <c r="T1416">
        <v>27</v>
      </c>
      <c r="U1416">
        <v>11416</v>
      </c>
      <c r="V1416" s="1">
        <f t="shared" si="66"/>
        <v>0.39700000000000002</v>
      </c>
      <c r="W1416" s="1">
        <f t="shared" si="67"/>
        <v>1.1000000000000001E-3</v>
      </c>
      <c r="X1416" s="1">
        <f t="shared" si="68"/>
        <v>1.1000000000000001E-3</v>
      </c>
    </row>
    <row r="1417" spans="1:24" x14ac:dyDescent="0.25">
      <c r="A1417">
        <v>2014</v>
      </c>
      <c r="B1417">
        <v>11</v>
      </c>
      <c r="C1417" t="s">
        <v>21</v>
      </c>
      <c r="D1417" t="str">
        <f>_xlfn.XLOOKUP(C1417,'Carrier Name Rename'!A:A,'Carrier Name Rename'!B:B)</f>
        <v>Hawaiian Airlines Inc.</v>
      </c>
      <c r="E1417" t="s">
        <v>23</v>
      </c>
      <c r="F1417" t="s">
        <v>24</v>
      </c>
      <c r="G1417">
        <v>60</v>
      </c>
      <c r="H1417">
        <v>9</v>
      </c>
      <c r="I1417">
        <v>7.89</v>
      </c>
      <c r="J1417">
        <v>0</v>
      </c>
      <c r="K1417">
        <v>0</v>
      </c>
      <c r="L1417">
        <v>0</v>
      </c>
      <c r="M1417">
        <v>1.1100000000000001</v>
      </c>
      <c r="N1417">
        <v>0</v>
      </c>
      <c r="O1417">
        <v>0</v>
      </c>
      <c r="P1417">
        <v>312</v>
      </c>
      <c r="Q1417">
        <v>286</v>
      </c>
      <c r="R1417">
        <v>0</v>
      </c>
      <c r="S1417">
        <v>0</v>
      </c>
      <c r="T1417">
        <v>0</v>
      </c>
      <c r="U1417">
        <v>26</v>
      </c>
      <c r="V1417" s="1">
        <f t="shared" si="66"/>
        <v>0.15</v>
      </c>
      <c r="W1417" s="1">
        <f t="shared" si="67"/>
        <v>0</v>
      </c>
      <c r="X1417" s="1">
        <f t="shared" si="68"/>
        <v>0</v>
      </c>
    </row>
    <row r="1418" spans="1:24" x14ac:dyDescent="0.25">
      <c r="A1418">
        <v>2014</v>
      </c>
      <c r="B1418">
        <v>11</v>
      </c>
      <c r="C1418" t="s">
        <v>27</v>
      </c>
      <c r="D1418" t="str">
        <f>_xlfn.XLOOKUP(C1418,'Carrier Name Rename'!A:A,'Carrier Name Rename'!B:B)</f>
        <v>SkyWest Airlines Inc.</v>
      </c>
      <c r="E1418" t="s">
        <v>23</v>
      </c>
      <c r="F1418" t="s">
        <v>24</v>
      </c>
      <c r="G1418">
        <v>788</v>
      </c>
      <c r="H1418">
        <v>113</v>
      </c>
      <c r="I1418">
        <v>22.51</v>
      </c>
      <c r="J1418">
        <v>1</v>
      </c>
      <c r="K1418">
        <v>35.1</v>
      </c>
      <c r="L1418">
        <v>0</v>
      </c>
      <c r="M1418">
        <v>54.39</v>
      </c>
      <c r="N1418">
        <v>9</v>
      </c>
      <c r="O1418">
        <v>1</v>
      </c>
      <c r="P1418">
        <v>6078</v>
      </c>
      <c r="Q1418">
        <v>1390</v>
      </c>
      <c r="R1418">
        <v>213</v>
      </c>
      <c r="S1418">
        <v>859</v>
      </c>
      <c r="T1418">
        <v>0</v>
      </c>
      <c r="U1418">
        <v>3616</v>
      </c>
      <c r="V1418" s="1">
        <f t="shared" si="66"/>
        <v>0.1434</v>
      </c>
      <c r="W1418" s="1">
        <f t="shared" si="67"/>
        <v>1.14E-2</v>
      </c>
      <c r="X1418" s="1">
        <f t="shared" si="68"/>
        <v>1.2999999999999999E-3</v>
      </c>
    </row>
    <row r="1419" spans="1:24" x14ac:dyDescent="0.25">
      <c r="A1419">
        <v>2014</v>
      </c>
      <c r="B1419">
        <v>11</v>
      </c>
      <c r="C1419" t="s">
        <v>41</v>
      </c>
      <c r="D1419" t="str">
        <f>_xlfn.XLOOKUP(C1419,'Carrier Name Rename'!A:A,'Carrier Name Rename'!B:B)</f>
        <v>United Air Lines Inc.</v>
      </c>
      <c r="E1419" t="s">
        <v>23</v>
      </c>
      <c r="F1419" t="s">
        <v>24</v>
      </c>
      <c r="G1419">
        <v>794</v>
      </c>
      <c r="H1419">
        <v>153</v>
      </c>
      <c r="I1419">
        <v>82.48</v>
      </c>
      <c r="J1419">
        <v>11.47</v>
      </c>
      <c r="K1419">
        <v>25.23</v>
      </c>
      <c r="L1419">
        <v>0</v>
      </c>
      <c r="M1419">
        <v>33.82</v>
      </c>
      <c r="N1419">
        <v>6</v>
      </c>
      <c r="O1419">
        <v>0</v>
      </c>
      <c r="P1419">
        <v>8385</v>
      </c>
      <c r="Q1419">
        <v>4035</v>
      </c>
      <c r="R1419">
        <v>735</v>
      </c>
      <c r="S1419">
        <v>893</v>
      </c>
      <c r="T1419">
        <v>0</v>
      </c>
      <c r="U1419">
        <v>2722</v>
      </c>
      <c r="V1419" s="1">
        <f t="shared" si="66"/>
        <v>0.19270000000000001</v>
      </c>
      <c r="W1419" s="1">
        <f t="shared" si="67"/>
        <v>7.6E-3</v>
      </c>
      <c r="X1419" s="1">
        <f t="shared" si="68"/>
        <v>0</v>
      </c>
    </row>
    <row r="1420" spans="1:24" x14ac:dyDescent="0.25">
      <c r="A1420">
        <v>2014</v>
      </c>
      <c r="B1420">
        <v>11</v>
      </c>
      <c r="C1420" t="s">
        <v>61</v>
      </c>
      <c r="D1420" t="str">
        <f>_xlfn.XLOOKUP(C1420,'Carrier Name Rename'!A:A,'Carrier Name Rename'!B:B)</f>
        <v>US Airways Inc.</v>
      </c>
      <c r="E1420" t="s">
        <v>23</v>
      </c>
      <c r="F1420" t="s">
        <v>24</v>
      </c>
      <c r="G1420">
        <v>221</v>
      </c>
      <c r="H1420">
        <v>50</v>
      </c>
      <c r="I1420">
        <v>18.190000000000001</v>
      </c>
      <c r="J1420">
        <v>0</v>
      </c>
      <c r="K1420">
        <v>21.69</v>
      </c>
      <c r="L1420">
        <v>0</v>
      </c>
      <c r="M1420">
        <v>10.11</v>
      </c>
      <c r="N1420">
        <v>0</v>
      </c>
      <c r="O1420">
        <v>0</v>
      </c>
      <c r="P1420">
        <v>1604</v>
      </c>
      <c r="Q1420">
        <v>704</v>
      </c>
      <c r="R1420">
        <v>0</v>
      </c>
      <c r="S1420">
        <v>555</v>
      </c>
      <c r="T1420">
        <v>0</v>
      </c>
      <c r="U1420">
        <v>345</v>
      </c>
      <c r="V1420" s="1">
        <f t="shared" si="66"/>
        <v>0.22620000000000001</v>
      </c>
      <c r="W1420" s="1">
        <f t="shared" si="67"/>
        <v>0</v>
      </c>
      <c r="X1420" s="1">
        <f t="shared" si="68"/>
        <v>0</v>
      </c>
    </row>
    <row r="1421" spans="1:24" x14ac:dyDescent="0.25">
      <c r="A1421">
        <v>2014</v>
      </c>
      <c r="B1421">
        <v>11</v>
      </c>
      <c r="C1421" t="s">
        <v>51</v>
      </c>
      <c r="D1421" t="str">
        <f>_xlfn.XLOOKUP(C1421,'Carrier Name Rename'!A:A,'Carrier Name Rename'!B:B)</f>
        <v>Virgin America</v>
      </c>
      <c r="E1421" t="s">
        <v>23</v>
      </c>
      <c r="F1421" t="s">
        <v>24</v>
      </c>
      <c r="G1421">
        <v>219</v>
      </c>
      <c r="H1421">
        <v>30</v>
      </c>
      <c r="I1421">
        <v>5.68</v>
      </c>
      <c r="J1421">
        <v>6.32</v>
      </c>
      <c r="K1421">
        <v>1.1100000000000001</v>
      </c>
      <c r="L1421">
        <v>0</v>
      </c>
      <c r="M1421">
        <v>16.88</v>
      </c>
      <c r="N1421">
        <v>0</v>
      </c>
      <c r="O1421">
        <v>0</v>
      </c>
      <c r="P1421">
        <v>1614</v>
      </c>
      <c r="Q1421">
        <v>225</v>
      </c>
      <c r="R1421">
        <v>125</v>
      </c>
      <c r="S1421">
        <v>23</v>
      </c>
      <c r="T1421">
        <v>0</v>
      </c>
      <c r="U1421">
        <v>1241</v>
      </c>
      <c r="V1421" s="1">
        <f t="shared" si="66"/>
        <v>0.13700000000000001</v>
      </c>
      <c r="W1421" s="1">
        <f t="shared" si="67"/>
        <v>0</v>
      </c>
      <c r="X1421" s="1">
        <f t="shared" si="68"/>
        <v>0</v>
      </c>
    </row>
    <row r="1422" spans="1:24" x14ac:dyDescent="0.25">
      <c r="A1422">
        <v>2014</v>
      </c>
      <c r="B1422">
        <v>11</v>
      </c>
      <c r="C1422" t="s">
        <v>43</v>
      </c>
      <c r="D1422" t="str">
        <f>_xlfn.XLOOKUP(C1422,'Carrier Name Rename'!A:A,'Carrier Name Rename'!B:B)</f>
        <v>Southwest Airlines Co.</v>
      </c>
      <c r="E1422" t="s">
        <v>23</v>
      </c>
      <c r="F1422" t="s">
        <v>24</v>
      </c>
      <c r="G1422">
        <v>903</v>
      </c>
      <c r="H1422">
        <v>232</v>
      </c>
      <c r="I1422">
        <v>71.48</v>
      </c>
      <c r="J1422">
        <v>0</v>
      </c>
      <c r="K1422">
        <v>64.260000000000005</v>
      </c>
      <c r="L1422">
        <v>0</v>
      </c>
      <c r="M1422">
        <v>96.26</v>
      </c>
      <c r="N1422">
        <v>1</v>
      </c>
      <c r="O1422">
        <v>0</v>
      </c>
      <c r="P1422">
        <v>9366</v>
      </c>
      <c r="Q1422">
        <v>3032</v>
      </c>
      <c r="R1422">
        <v>0</v>
      </c>
      <c r="S1422">
        <v>1908</v>
      </c>
      <c r="T1422">
        <v>0</v>
      </c>
      <c r="U1422">
        <v>4426</v>
      </c>
      <c r="V1422" s="1">
        <f t="shared" si="66"/>
        <v>0.25690000000000002</v>
      </c>
      <c r="W1422" s="1">
        <f t="shared" si="67"/>
        <v>1.1000000000000001E-3</v>
      </c>
      <c r="X1422" s="1">
        <f t="shared" si="68"/>
        <v>0</v>
      </c>
    </row>
    <row r="1423" spans="1:24" x14ac:dyDescent="0.25">
      <c r="A1423">
        <v>2014</v>
      </c>
      <c r="B1423">
        <v>11</v>
      </c>
      <c r="C1423" t="s">
        <v>31</v>
      </c>
      <c r="D1423" t="str">
        <f>_xlfn.XLOOKUP(C1423,'Carrier Name Rename'!A:A,'Carrier Name Rename'!B:B)</f>
        <v>American Airlines Inc.</v>
      </c>
      <c r="E1423" t="s">
        <v>23</v>
      </c>
      <c r="F1423" t="s">
        <v>24</v>
      </c>
      <c r="G1423">
        <v>403</v>
      </c>
      <c r="H1423">
        <v>108</v>
      </c>
      <c r="I1423">
        <v>27.16</v>
      </c>
      <c r="J1423">
        <v>4.54</v>
      </c>
      <c r="K1423">
        <v>44.81</v>
      </c>
      <c r="L1423">
        <v>0</v>
      </c>
      <c r="M1423">
        <v>31.49</v>
      </c>
      <c r="N1423">
        <v>0</v>
      </c>
      <c r="O1423">
        <v>0</v>
      </c>
      <c r="P1423">
        <v>4799</v>
      </c>
      <c r="Q1423">
        <v>1352</v>
      </c>
      <c r="R1423">
        <v>164</v>
      </c>
      <c r="S1423">
        <v>1350</v>
      </c>
      <c r="T1423">
        <v>0</v>
      </c>
      <c r="U1423">
        <v>1933</v>
      </c>
      <c r="V1423" s="1">
        <f t="shared" si="66"/>
        <v>0.26800000000000002</v>
      </c>
      <c r="W1423" s="1">
        <f t="shared" si="67"/>
        <v>0</v>
      </c>
      <c r="X1423" s="1">
        <f t="shared" si="68"/>
        <v>0</v>
      </c>
    </row>
    <row r="1424" spans="1:24" x14ac:dyDescent="0.25">
      <c r="A1424">
        <v>2014</v>
      </c>
      <c r="B1424">
        <v>11</v>
      </c>
      <c r="C1424" t="s">
        <v>33</v>
      </c>
      <c r="D1424" t="str">
        <f>_xlfn.XLOOKUP(C1424,'Carrier Name Rename'!A:A,'Carrier Name Rename'!B:B)</f>
        <v>Alaska Airlines Inc.</v>
      </c>
      <c r="E1424" t="s">
        <v>23</v>
      </c>
      <c r="F1424" t="s">
        <v>24</v>
      </c>
      <c r="G1424">
        <v>4026</v>
      </c>
      <c r="H1424">
        <v>633</v>
      </c>
      <c r="I1424">
        <v>116.02</v>
      </c>
      <c r="J1424">
        <v>9.8699999999999992</v>
      </c>
      <c r="K1424">
        <v>309.05</v>
      </c>
      <c r="L1424">
        <v>0.63</v>
      </c>
      <c r="M1424">
        <v>197.43</v>
      </c>
      <c r="N1424">
        <v>8</v>
      </c>
      <c r="O1424">
        <v>3</v>
      </c>
      <c r="P1424">
        <v>26482</v>
      </c>
      <c r="Q1424">
        <v>6504</v>
      </c>
      <c r="R1424">
        <v>466</v>
      </c>
      <c r="S1424">
        <v>8626</v>
      </c>
      <c r="T1424">
        <v>15</v>
      </c>
      <c r="U1424">
        <v>10871</v>
      </c>
      <c r="V1424" s="1">
        <f t="shared" si="66"/>
        <v>0.15720000000000001</v>
      </c>
      <c r="W1424" s="1">
        <f t="shared" si="67"/>
        <v>2E-3</v>
      </c>
      <c r="X1424" s="1">
        <f t="shared" si="68"/>
        <v>6.9999999999999999E-4</v>
      </c>
    </row>
    <row r="1425" spans="1:24" x14ac:dyDescent="0.25">
      <c r="A1425">
        <v>2014</v>
      </c>
      <c r="B1425">
        <v>11</v>
      </c>
      <c r="C1425" t="s">
        <v>35</v>
      </c>
      <c r="D1425" t="str">
        <f>_xlfn.XLOOKUP(C1425,'Carrier Name Rename'!A:A,'Carrier Name Rename'!B:B)</f>
        <v>JetBlue Airways</v>
      </c>
      <c r="E1425" t="s">
        <v>23</v>
      </c>
      <c r="F1425" t="s">
        <v>24</v>
      </c>
      <c r="G1425">
        <v>135</v>
      </c>
      <c r="H1425">
        <v>26</v>
      </c>
      <c r="I1425">
        <v>10.46</v>
      </c>
      <c r="J1425">
        <v>0</v>
      </c>
      <c r="K1425">
        <v>8.94</v>
      </c>
      <c r="L1425">
        <v>0</v>
      </c>
      <c r="M1425">
        <v>6.61</v>
      </c>
      <c r="N1425">
        <v>0</v>
      </c>
      <c r="O1425">
        <v>0</v>
      </c>
      <c r="P1425">
        <v>1014</v>
      </c>
      <c r="Q1425">
        <v>345</v>
      </c>
      <c r="R1425">
        <v>0</v>
      </c>
      <c r="S1425">
        <v>254</v>
      </c>
      <c r="T1425">
        <v>0</v>
      </c>
      <c r="U1425">
        <v>415</v>
      </c>
      <c r="V1425" s="1">
        <f t="shared" si="66"/>
        <v>0.19259999999999999</v>
      </c>
      <c r="W1425" s="1">
        <f t="shared" si="67"/>
        <v>0</v>
      </c>
      <c r="X1425" s="1">
        <f t="shared" si="68"/>
        <v>0</v>
      </c>
    </row>
    <row r="1426" spans="1:24" x14ac:dyDescent="0.25">
      <c r="A1426">
        <v>2014</v>
      </c>
      <c r="B1426">
        <v>11</v>
      </c>
      <c r="C1426" t="s">
        <v>37</v>
      </c>
      <c r="D1426" t="str">
        <f>_xlfn.XLOOKUP(C1426,'Carrier Name Rename'!A:A,'Carrier Name Rename'!B:B)</f>
        <v>Delta Air Lines Inc.</v>
      </c>
      <c r="E1426" t="s">
        <v>23</v>
      </c>
      <c r="F1426" t="s">
        <v>24</v>
      </c>
      <c r="G1426">
        <v>951</v>
      </c>
      <c r="H1426">
        <v>155</v>
      </c>
      <c r="I1426">
        <v>54.12</v>
      </c>
      <c r="J1426">
        <v>3.48</v>
      </c>
      <c r="K1426">
        <v>72.05</v>
      </c>
      <c r="L1426">
        <v>0</v>
      </c>
      <c r="M1426">
        <v>25.35</v>
      </c>
      <c r="N1426">
        <v>0</v>
      </c>
      <c r="O1426">
        <v>1</v>
      </c>
      <c r="P1426">
        <v>6046</v>
      </c>
      <c r="Q1426">
        <v>2298</v>
      </c>
      <c r="R1426">
        <v>188</v>
      </c>
      <c r="S1426">
        <v>2138</v>
      </c>
      <c r="T1426">
        <v>0</v>
      </c>
      <c r="U1426">
        <v>1422</v>
      </c>
      <c r="V1426" s="1">
        <f t="shared" si="66"/>
        <v>0.16300000000000001</v>
      </c>
      <c r="W1426" s="1">
        <f t="shared" si="67"/>
        <v>0</v>
      </c>
      <c r="X1426" s="1">
        <f t="shared" si="68"/>
        <v>1.1000000000000001E-3</v>
      </c>
    </row>
    <row r="1427" spans="1:24" x14ac:dyDescent="0.25">
      <c r="A1427">
        <v>2014</v>
      </c>
      <c r="B1427">
        <v>11</v>
      </c>
      <c r="C1427" t="s">
        <v>39</v>
      </c>
      <c r="D1427" t="str">
        <f>_xlfn.XLOOKUP(C1427,'Carrier Name Rename'!A:A,'Carrier Name Rename'!B:B)</f>
        <v>Frontier Airlines Inc.</v>
      </c>
      <c r="E1427" t="s">
        <v>23</v>
      </c>
      <c r="F1427" t="s">
        <v>24</v>
      </c>
      <c r="G1427">
        <v>86</v>
      </c>
      <c r="H1427">
        <v>23</v>
      </c>
      <c r="I1427">
        <v>5.73</v>
      </c>
      <c r="J1427">
        <v>0</v>
      </c>
      <c r="K1427">
        <v>11.3</v>
      </c>
      <c r="L1427">
        <v>0</v>
      </c>
      <c r="M1427">
        <v>5.97</v>
      </c>
      <c r="N1427">
        <v>1</v>
      </c>
      <c r="O1427">
        <v>0</v>
      </c>
      <c r="P1427">
        <v>1001</v>
      </c>
      <c r="Q1427">
        <v>187</v>
      </c>
      <c r="R1427">
        <v>0</v>
      </c>
      <c r="S1427">
        <v>366</v>
      </c>
      <c r="T1427">
        <v>0</v>
      </c>
      <c r="U1427">
        <v>448</v>
      </c>
      <c r="V1427" s="1">
        <f t="shared" si="66"/>
        <v>0.26740000000000003</v>
      </c>
      <c r="W1427" s="1">
        <f t="shared" si="67"/>
        <v>1.1599999999999999E-2</v>
      </c>
      <c r="X1427" s="1">
        <f t="shared" si="68"/>
        <v>0</v>
      </c>
    </row>
    <row r="1428" spans="1:24" x14ac:dyDescent="0.25">
      <c r="A1428">
        <v>2014</v>
      </c>
      <c r="B1428">
        <v>10</v>
      </c>
      <c r="C1428" t="s">
        <v>31</v>
      </c>
      <c r="D1428" t="str">
        <f>_xlfn.XLOOKUP(C1428,'Carrier Name Rename'!A:A,'Carrier Name Rename'!B:B)</f>
        <v>American Airlines Inc.</v>
      </c>
      <c r="E1428" t="s">
        <v>23</v>
      </c>
      <c r="F1428" t="s">
        <v>24</v>
      </c>
      <c r="G1428">
        <v>460</v>
      </c>
      <c r="H1428">
        <v>148</v>
      </c>
      <c r="I1428">
        <v>38.08</v>
      </c>
      <c r="J1428">
        <v>3.79</v>
      </c>
      <c r="K1428">
        <v>52.8</v>
      </c>
      <c r="L1428">
        <v>0.35</v>
      </c>
      <c r="M1428">
        <v>52.97</v>
      </c>
      <c r="N1428">
        <v>1</v>
      </c>
      <c r="O1428">
        <v>1</v>
      </c>
      <c r="P1428">
        <v>7512</v>
      </c>
      <c r="Q1428">
        <v>1873</v>
      </c>
      <c r="R1428">
        <v>245</v>
      </c>
      <c r="S1428">
        <v>1652</v>
      </c>
      <c r="T1428">
        <v>17</v>
      </c>
      <c r="U1428">
        <v>3725</v>
      </c>
      <c r="V1428" s="1">
        <f t="shared" si="66"/>
        <v>0.32169999999999999</v>
      </c>
      <c r="W1428" s="1">
        <f t="shared" si="67"/>
        <v>2.2000000000000001E-3</v>
      </c>
      <c r="X1428" s="1">
        <f t="shared" si="68"/>
        <v>2.2000000000000001E-3</v>
      </c>
    </row>
    <row r="1429" spans="1:24" x14ac:dyDescent="0.25">
      <c r="A1429">
        <v>2014</v>
      </c>
      <c r="B1429">
        <v>10</v>
      </c>
      <c r="C1429" t="s">
        <v>33</v>
      </c>
      <c r="D1429" t="str">
        <f>_xlfn.XLOOKUP(C1429,'Carrier Name Rename'!A:A,'Carrier Name Rename'!B:B)</f>
        <v>Alaska Airlines Inc.</v>
      </c>
      <c r="E1429" t="s">
        <v>23</v>
      </c>
      <c r="F1429" t="s">
        <v>24</v>
      </c>
      <c r="G1429">
        <v>4205</v>
      </c>
      <c r="H1429">
        <v>495</v>
      </c>
      <c r="I1429">
        <v>120.54</v>
      </c>
      <c r="J1429">
        <v>3.21</v>
      </c>
      <c r="K1429">
        <v>209.7</v>
      </c>
      <c r="L1429">
        <v>2.19</v>
      </c>
      <c r="M1429">
        <v>159.35</v>
      </c>
      <c r="N1429">
        <v>9</v>
      </c>
      <c r="O1429">
        <v>4</v>
      </c>
      <c r="P1429">
        <v>20730</v>
      </c>
      <c r="Q1429">
        <v>6282</v>
      </c>
      <c r="R1429">
        <v>363</v>
      </c>
      <c r="S1429">
        <v>5448</v>
      </c>
      <c r="T1429">
        <v>149</v>
      </c>
      <c r="U1429">
        <v>8488</v>
      </c>
      <c r="V1429" s="1">
        <f t="shared" si="66"/>
        <v>0.1177</v>
      </c>
      <c r="W1429" s="1">
        <f t="shared" si="67"/>
        <v>2.0999999999999999E-3</v>
      </c>
      <c r="X1429" s="1">
        <f t="shared" si="68"/>
        <v>1E-3</v>
      </c>
    </row>
    <row r="1430" spans="1:24" x14ac:dyDescent="0.25">
      <c r="A1430">
        <v>2014</v>
      </c>
      <c r="B1430">
        <v>10</v>
      </c>
      <c r="C1430" t="s">
        <v>35</v>
      </c>
      <c r="D1430" t="str">
        <f>_xlfn.XLOOKUP(C1430,'Carrier Name Rename'!A:A,'Carrier Name Rename'!B:B)</f>
        <v>JetBlue Airways</v>
      </c>
      <c r="E1430" t="s">
        <v>23</v>
      </c>
      <c r="F1430" t="s">
        <v>24</v>
      </c>
      <c r="G1430">
        <v>170</v>
      </c>
      <c r="H1430">
        <v>33</v>
      </c>
      <c r="I1430">
        <v>9.36</v>
      </c>
      <c r="J1430">
        <v>1.08</v>
      </c>
      <c r="K1430">
        <v>20.73</v>
      </c>
      <c r="L1430">
        <v>0</v>
      </c>
      <c r="M1430">
        <v>1.83</v>
      </c>
      <c r="N1430">
        <v>1</v>
      </c>
      <c r="O1430">
        <v>0</v>
      </c>
      <c r="P1430">
        <v>914</v>
      </c>
      <c r="Q1430">
        <v>264</v>
      </c>
      <c r="R1430">
        <v>47</v>
      </c>
      <c r="S1430">
        <v>526</v>
      </c>
      <c r="T1430">
        <v>0</v>
      </c>
      <c r="U1430">
        <v>77</v>
      </c>
      <c r="V1430" s="1">
        <f t="shared" si="66"/>
        <v>0.19409999999999999</v>
      </c>
      <c r="W1430" s="1">
        <f t="shared" si="67"/>
        <v>5.8999999999999999E-3</v>
      </c>
      <c r="X1430" s="1">
        <f t="shared" si="68"/>
        <v>0</v>
      </c>
    </row>
    <row r="1431" spans="1:24" x14ac:dyDescent="0.25">
      <c r="A1431">
        <v>2014</v>
      </c>
      <c r="B1431">
        <v>10</v>
      </c>
      <c r="C1431" t="s">
        <v>37</v>
      </c>
      <c r="D1431" t="str">
        <f>_xlfn.XLOOKUP(C1431,'Carrier Name Rename'!A:A,'Carrier Name Rename'!B:B)</f>
        <v>Delta Air Lines Inc.</v>
      </c>
      <c r="E1431" t="s">
        <v>23</v>
      </c>
      <c r="F1431" t="s">
        <v>24</v>
      </c>
      <c r="G1431">
        <v>1116</v>
      </c>
      <c r="H1431">
        <v>146</v>
      </c>
      <c r="I1431">
        <v>54.08</v>
      </c>
      <c r="J1431">
        <v>3.86</v>
      </c>
      <c r="K1431">
        <v>62.32</v>
      </c>
      <c r="L1431">
        <v>0</v>
      </c>
      <c r="M1431">
        <v>25.74</v>
      </c>
      <c r="N1431">
        <v>0</v>
      </c>
      <c r="O1431">
        <v>0</v>
      </c>
      <c r="P1431">
        <v>5545</v>
      </c>
      <c r="Q1431">
        <v>2467</v>
      </c>
      <c r="R1431">
        <v>160</v>
      </c>
      <c r="S1431">
        <v>1734</v>
      </c>
      <c r="T1431">
        <v>0</v>
      </c>
      <c r="U1431">
        <v>1184</v>
      </c>
      <c r="V1431" s="1">
        <f t="shared" si="66"/>
        <v>0.1308</v>
      </c>
      <c r="W1431" s="1">
        <f t="shared" si="67"/>
        <v>0</v>
      </c>
      <c r="X1431" s="1">
        <f t="shared" si="68"/>
        <v>0</v>
      </c>
    </row>
    <row r="1432" spans="1:24" x14ac:dyDescent="0.25">
      <c r="A1432">
        <v>2014</v>
      </c>
      <c r="B1432">
        <v>10</v>
      </c>
      <c r="C1432" t="s">
        <v>39</v>
      </c>
      <c r="D1432" t="str">
        <f>_xlfn.XLOOKUP(C1432,'Carrier Name Rename'!A:A,'Carrier Name Rename'!B:B)</f>
        <v>Frontier Airlines Inc.</v>
      </c>
      <c r="E1432" t="s">
        <v>23</v>
      </c>
      <c r="F1432" t="s">
        <v>24</v>
      </c>
      <c r="G1432">
        <v>116</v>
      </c>
      <c r="H1432">
        <v>18</v>
      </c>
      <c r="I1432">
        <v>3.48</v>
      </c>
      <c r="J1432">
        <v>0</v>
      </c>
      <c r="K1432">
        <v>9.3000000000000007</v>
      </c>
      <c r="L1432">
        <v>0</v>
      </c>
      <c r="M1432">
        <v>5.23</v>
      </c>
      <c r="N1432">
        <v>0</v>
      </c>
      <c r="O1432">
        <v>0</v>
      </c>
      <c r="P1432">
        <v>980</v>
      </c>
      <c r="Q1432">
        <v>231</v>
      </c>
      <c r="R1432">
        <v>0</v>
      </c>
      <c r="S1432">
        <v>345</v>
      </c>
      <c r="T1432">
        <v>0</v>
      </c>
      <c r="U1432">
        <v>404</v>
      </c>
      <c r="V1432" s="1">
        <f t="shared" si="66"/>
        <v>0.1552</v>
      </c>
      <c r="W1432" s="1">
        <f t="shared" si="67"/>
        <v>0</v>
      </c>
      <c r="X1432" s="1">
        <f t="shared" si="68"/>
        <v>0</v>
      </c>
    </row>
    <row r="1433" spans="1:24" x14ac:dyDescent="0.25">
      <c r="A1433">
        <v>2014</v>
      </c>
      <c r="B1433">
        <v>10</v>
      </c>
      <c r="C1433" t="s">
        <v>21</v>
      </c>
      <c r="D1433" t="str">
        <f>_xlfn.XLOOKUP(C1433,'Carrier Name Rename'!A:A,'Carrier Name Rename'!B:B)</f>
        <v>Hawaiian Airlines Inc.</v>
      </c>
      <c r="E1433" t="s">
        <v>23</v>
      </c>
      <c r="F1433" t="s">
        <v>24</v>
      </c>
      <c r="G1433">
        <v>62</v>
      </c>
      <c r="H1433">
        <v>7</v>
      </c>
      <c r="I1433">
        <v>5.86</v>
      </c>
      <c r="J1433">
        <v>0</v>
      </c>
      <c r="K1433">
        <v>0</v>
      </c>
      <c r="L1433">
        <v>0</v>
      </c>
      <c r="M1433">
        <v>1.1399999999999999</v>
      </c>
      <c r="N1433">
        <v>0</v>
      </c>
      <c r="O1433">
        <v>0</v>
      </c>
      <c r="P1433">
        <v>351</v>
      </c>
      <c r="Q1433">
        <v>311</v>
      </c>
      <c r="R1433">
        <v>0</v>
      </c>
      <c r="S1433">
        <v>0</v>
      </c>
      <c r="T1433">
        <v>0</v>
      </c>
      <c r="U1433">
        <v>40</v>
      </c>
      <c r="V1433" s="1">
        <f t="shared" si="66"/>
        <v>0.1129</v>
      </c>
      <c r="W1433" s="1">
        <f t="shared" si="67"/>
        <v>0</v>
      </c>
      <c r="X1433" s="1">
        <f t="shared" si="68"/>
        <v>0</v>
      </c>
    </row>
    <row r="1434" spans="1:24" x14ac:dyDescent="0.25">
      <c r="A1434">
        <v>2014</v>
      </c>
      <c r="B1434">
        <v>10</v>
      </c>
      <c r="C1434" t="s">
        <v>27</v>
      </c>
      <c r="D1434" t="str">
        <f>_xlfn.XLOOKUP(C1434,'Carrier Name Rename'!A:A,'Carrier Name Rename'!B:B)</f>
        <v>SkyWest Airlines Inc.</v>
      </c>
      <c r="E1434" t="s">
        <v>23</v>
      </c>
      <c r="F1434" t="s">
        <v>24</v>
      </c>
      <c r="G1434">
        <v>684</v>
      </c>
      <c r="H1434">
        <v>94</v>
      </c>
      <c r="I1434">
        <v>21.72</v>
      </c>
      <c r="J1434">
        <v>2.68</v>
      </c>
      <c r="K1434">
        <v>29.63</v>
      </c>
      <c r="L1434">
        <v>0</v>
      </c>
      <c r="M1434">
        <v>39.96</v>
      </c>
      <c r="N1434">
        <v>7</v>
      </c>
      <c r="O1434">
        <v>3</v>
      </c>
      <c r="P1434">
        <v>5390</v>
      </c>
      <c r="Q1434">
        <v>1532</v>
      </c>
      <c r="R1434">
        <v>254</v>
      </c>
      <c r="S1434">
        <v>777</v>
      </c>
      <c r="T1434">
        <v>0</v>
      </c>
      <c r="U1434">
        <v>2827</v>
      </c>
      <c r="V1434" s="1">
        <f t="shared" si="66"/>
        <v>0.13739999999999999</v>
      </c>
      <c r="W1434" s="1">
        <f t="shared" si="67"/>
        <v>1.0200000000000001E-2</v>
      </c>
      <c r="X1434" s="1">
        <f t="shared" si="68"/>
        <v>4.4000000000000003E-3</v>
      </c>
    </row>
    <row r="1435" spans="1:24" x14ac:dyDescent="0.25">
      <c r="A1435">
        <v>2014</v>
      </c>
      <c r="B1435">
        <v>10</v>
      </c>
      <c r="C1435" t="s">
        <v>41</v>
      </c>
      <c r="D1435" t="str">
        <f>_xlfn.XLOOKUP(C1435,'Carrier Name Rename'!A:A,'Carrier Name Rename'!B:B)</f>
        <v>United Air Lines Inc.</v>
      </c>
      <c r="E1435" t="s">
        <v>23</v>
      </c>
      <c r="F1435" t="s">
        <v>24</v>
      </c>
      <c r="G1435">
        <v>933</v>
      </c>
      <c r="H1435">
        <v>204</v>
      </c>
      <c r="I1435">
        <v>84.87</v>
      </c>
      <c r="J1435">
        <v>6.65</v>
      </c>
      <c r="K1435">
        <v>47.91</v>
      </c>
      <c r="L1435">
        <v>0</v>
      </c>
      <c r="M1435">
        <v>64.569999999999993</v>
      </c>
      <c r="N1435">
        <v>5</v>
      </c>
      <c r="O1435">
        <v>1</v>
      </c>
      <c r="P1435">
        <v>10960</v>
      </c>
      <c r="Q1435">
        <v>4277</v>
      </c>
      <c r="R1435">
        <v>404</v>
      </c>
      <c r="S1435">
        <v>1811</v>
      </c>
      <c r="T1435">
        <v>0</v>
      </c>
      <c r="U1435">
        <v>4468</v>
      </c>
      <c r="V1435" s="1">
        <f t="shared" si="66"/>
        <v>0.21859999999999999</v>
      </c>
      <c r="W1435" s="1">
        <f t="shared" si="67"/>
        <v>5.4000000000000003E-3</v>
      </c>
      <c r="X1435" s="1">
        <f t="shared" si="68"/>
        <v>1.1000000000000001E-3</v>
      </c>
    </row>
    <row r="1436" spans="1:24" x14ac:dyDescent="0.25">
      <c r="A1436">
        <v>2014</v>
      </c>
      <c r="B1436">
        <v>10</v>
      </c>
      <c r="C1436" t="s">
        <v>61</v>
      </c>
      <c r="D1436" t="str">
        <f>_xlfn.XLOOKUP(C1436,'Carrier Name Rename'!A:A,'Carrier Name Rename'!B:B)</f>
        <v>US Airways Inc.</v>
      </c>
      <c r="E1436" t="s">
        <v>23</v>
      </c>
      <c r="F1436" t="s">
        <v>24</v>
      </c>
      <c r="G1436">
        <v>251</v>
      </c>
      <c r="H1436">
        <v>50</v>
      </c>
      <c r="I1436">
        <v>19.16</v>
      </c>
      <c r="J1436">
        <v>0</v>
      </c>
      <c r="K1436">
        <v>26</v>
      </c>
      <c r="L1436">
        <v>0.13</v>
      </c>
      <c r="M1436">
        <v>4.72</v>
      </c>
      <c r="N1436">
        <v>0</v>
      </c>
      <c r="O1436">
        <v>0</v>
      </c>
      <c r="P1436">
        <v>1848</v>
      </c>
      <c r="Q1436">
        <v>819</v>
      </c>
      <c r="R1436">
        <v>0</v>
      </c>
      <c r="S1436">
        <v>765</v>
      </c>
      <c r="T1436">
        <v>4</v>
      </c>
      <c r="U1436">
        <v>260</v>
      </c>
      <c r="V1436" s="1">
        <f t="shared" si="66"/>
        <v>0.19919999999999999</v>
      </c>
      <c r="W1436" s="1">
        <f t="shared" si="67"/>
        <v>0</v>
      </c>
      <c r="X1436" s="1">
        <f t="shared" si="68"/>
        <v>0</v>
      </c>
    </row>
    <row r="1437" spans="1:24" x14ac:dyDescent="0.25">
      <c r="A1437">
        <v>2014</v>
      </c>
      <c r="B1437">
        <v>10</v>
      </c>
      <c r="C1437" t="s">
        <v>51</v>
      </c>
      <c r="D1437" t="str">
        <f>_xlfn.XLOOKUP(C1437,'Carrier Name Rename'!A:A,'Carrier Name Rename'!B:B)</f>
        <v>Virgin America</v>
      </c>
      <c r="E1437" t="s">
        <v>23</v>
      </c>
      <c r="F1437" t="s">
        <v>24</v>
      </c>
      <c r="G1437">
        <v>227</v>
      </c>
      <c r="H1437">
        <v>25</v>
      </c>
      <c r="I1437">
        <v>8.6999999999999993</v>
      </c>
      <c r="J1437">
        <v>3.05</v>
      </c>
      <c r="K1437">
        <v>4.78</v>
      </c>
      <c r="L1437">
        <v>0</v>
      </c>
      <c r="M1437">
        <v>8.4600000000000009</v>
      </c>
      <c r="N1437">
        <v>0</v>
      </c>
      <c r="O1437">
        <v>0</v>
      </c>
      <c r="P1437">
        <v>1713</v>
      </c>
      <c r="Q1437">
        <v>590</v>
      </c>
      <c r="R1437">
        <v>52</v>
      </c>
      <c r="S1437">
        <v>105</v>
      </c>
      <c r="T1437">
        <v>0</v>
      </c>
      <c r="U1437">
        <v>966</v>
      </c>
      <c r="V1437" s="1">
        <f t="shared" si="66"/>
        <v>0.1101</v>
      </c>
      <c r="W1437" s="1">
        <f t="shared" si="67"/>
        <v>0</v>
      </c>
      <c r="X1437" s="1">
        <f t="shared" si="68"/>
        <v>0</v>
      </c>
    </row>
    <row r="1438" spans="1:24" x14ac:dyDescent="0.25">
      <c r="A1438">
        <v>2014</v>
      </c>
      <c r="B1438">
        <v>10</v>
      </c>
      <c r="C1438" t="s">
        <v>43</v>
      </c>
      <c r="D1438" t="str">
        <f>_xlfn.XLOOKUP(C1438,'Carrier Name Rename'!A:A,'Carrier Name Rename'!B:B)</f>
        <v>Southwest Airlines Co.</v>
      </c>
      <c r="E1438" t="s">
        <v>23</v>
      </c>
      <c r="F1438" t="s">
        <v>24</v>
      </c>
      <c r="G1438">
        <v>1008</v>
      </c>
      <c r="H1438">
        <v>182</v>
      </c>
      <c r="I1438">
        <v>60.02</v>
      </c>
      <c r="J1438">
        <v>0</v>
      </c>
      <c r="K1438">
        <v>36.94</v>
      </c>
      <c r="L1438">
        <v>0</v>
      </c>
      <c r="M1438">
        <v>85.04</v>
      </c>
      <c r="N1438">
        <v>3</v>
      </c>
      <c r="O1438">
        <v>1</v>
      </c>
      <c r="P1438">
        <v>6819</v>
      </c>
      <c r="Q1438">
        <v>2073</v>
      </c>
      <c r="R1438">
        <v>0</v>
      </c>
      <c r="S1438">
        <v>994</v>
      </c>
      <c r="T1438">
        <v>0</v>
      </c>
      <c r="U1438">
        <v>3752</v>
      </c>
      <c r="V1438" s="1">
        <f t="shared" si="66"/>
        <v>0.18060000000000001</v>
      </c>
      <c r="W1438" s="1">
        <f t="shared" si="67"/>
        <v>3.0000000000000001E-3</v>
      </c>
      <c r="X1438" s="1">
        <f t="shared" si="68"/>
        <v>1E-3</v>
      </c>
    </row>
    <row r="1439" spans="1:24" x14ac:dyDescent="0.25">
      <c r="A1439">
        <v>2014</v>
      </c>
      <c r="B1439">
        <v>9</v>
      </c>
      <c r="C1439" t="s">
        <v>31</v>
      </c>
      <c r="D1439" t="str">
        <f>_xlfn.XLOOKUP(C1439,'Carrier Name Rename'!A:A,'Carrier Name Rename'!B:B)</f>
        <v>American Airlines Inc.</v>
      </c>
      <c r="E1439" t="s">
        <v>23</v>
      </c>
      <c r="F1439" t="s">
        <v>24</v>
      </c>
      <c r="G1439">
        <v>460</v>
      </c>
      <c r="H1439">
        <v>91</v>
      </c>
      <c r="I1439">
        <v>26.56</v>
      </c>
      <c r="J1439">
        <v>0.48</v>
      </c>
      <c r="K1439">
        <v>25.89</v>
      </c>
      <c r="L1439">
        <v>0</v>
      </c>
      <c r="M1439">
        <v>38.07</v>
      </c>
      <c r="N1439">
        <v>5</v>
      </c>
      <c r="O1439">
        <v>0</v>
      </c>
      <c r="P1439">
        <v>4297</v>
      </c>
      <c r="Q1439">
        <v>1460</v>
      </c>
      <c r="R1439">
        <v>42</v>
      </c>
      <c r="S1439">
        <v>743</v>
      </c>
      <c r="T1439">
        <v>0</v>
      </c>
      <c r="U1439">
        <v>2052</v>
      </c>
      <c r="V1439" s="1">
        <f t="shared" si="66"/>
        <v>0.1978</v>
      </c>
      <c r="W1439" s="1">
        <f t="shared" si="67"/>
        <v>1.09E-2</v>
      </c>
      <c r="X1439" s="1">
        <f t="shared" si="68"/>
        <v>0</v>
      </c>
    </row>
    <row r="1440" spans="1:24" x14ac:dyDescent="0.25">
      <c r="A1440">
        <v>2014</v>
      </c>
      <c r="B1440">
        <v>9</v>
      </c>
      <c r="C1440" t="s">
        <v>33</v>
      </c>
      <c r="D1440" t="str">
        <f>_xlfn.XLOOKUP(C1440,'Carrier Name Rename'!A:A,'Carrier Name Rename'!B:B)</f>
        <v>Alaska Airlines Inc.</v>
      </c>
      <c r="E1440" t="s">
        <v>23</v>
      </c>
      <c r="F1440" t="s">
        <v>24</v>
      </c>
      <c r="G1440">
        <v>4220</v>
      </c>
      <c r="H1440">
        <v>478</v>
      </c>
      <c r="I1440">
        <v>98.18</v>
      </c>
      <c r="J1440">
        <v>10.44</v>
      </c>
      <c r="K1440">
        <v>182.16</v>
      </c>
      <c r="L1440">
        <v>2.0099999999999998</v>
      </c>
      <c r="M1440">
        <v>185.22</v>
      </c>
      <c r="N1440">
        <v>10</v>
      </c>
      <c r="O1440">
        <v>3</v>
      </c>
      <c r="P1440">
        <v>24714</v>
      </c>
      <c r="Q1440">
        <v>7949</v>
      </c>
      <c r="R1440">
        <v>709</v>
      </c>
      <c r="S1440">
        <v>5216</v>
      </c>
      <c r="T1440">
        <v>49</v>
      </c>
      <c r="U1440">
        <v>10791</v>
      </c>
      <c r="V1440" s="1">
        <f t="shared" si="66"/>
        <v>0.1133</v>
      </c>
      <c r="W1440" s="1">
        <f t="shared" si="67"/>
        <v>2.3999999999999998E-3</v>
      </c>
      <c r="X1440" s="1">
        <f t="shared" si="68"/>
        <v>6.9999999999999999E-4</v>
      </c>
    </row>
    <row r="1441" spans="1:24" x14ac:dyDescent="0.25">
      <c r="A1441">
        <v>2014</v>
      </c>
      <c r="B1441">
        <v>9</v>
      </c>
      <c r="C1441" t="s">
        <v>35</v>
      </c>
      <c r="D1441" t="str">
        <f>_xlfn.XLOOKUP(C1441,'Carrier Name Rename'!A:A,'Carrier Name Rename'!B:B)</f>
        <v>JetBlue Airways</v>
      </c>
      <c r="E1441" t="s">
        <v>23</v>
      </c>
      <c r="F1441" t="s">
        <v>24</v>
      </c>
      <c r="G1441">
        <v>204</v>
      </c>
      <c r="H1441">
        <v>27</v>
      </c>
      <c r="I1441">
        <v>8.92</v>
      </c>
      <c r="J1441">
        <v>1.47</v>
      </c>
      <c r="K1441">
        <v>11.04</v>
      </c>
      <c r="L1441">
        <v>0</v>
      </c>
      <c r="M1441">
        <v>5.58</v>
      </c>
      <c r="N1441">
        <v>0</v>
      </c>
      <c r="O1441">
        <v>0</v>
      </c>
      <c r="P1441">
        <v>1246</v>
      </c>
      <c r="Q1441">
        <v>435</v>
      </c>
      <c r="R1441">
        <v>54</v>
      </c>
      <c r="S1441">
        <v>361</v>
      </c>
      <c r="T1441">
        <v>0</v>
      </c>
      <c r="U1441">
        <v>396</v>
      </c>
      <c r="V1441" s="1">
        <f t="shared" si="66"/>
        <v>0.13239999999999999</v>
      </c>
      <c r="W1441" s="1">
        <f t="shared" si="67"/>
        <v>0</v>
      </c>
      <c r="X1441" s="1">
        <f t="shared" si="68"/>
        <v>0</v>
      </c>
    </row>
    <row r="1442" spans="1:24" x14ac:dyDescent="0.25">
      <c r="A1442">
        <v>2014</v>
      </c>
      <c r="B1442">
        <v>9</v>
      </c>
      <c r="C1442" t="s">
        <v>37</v>
      </c>
      <c r="D1442" t="str">
        <f>_xlfn.XLOOKUP(C1442,'Carrier Name Rename'!A:A,'Carrier Name Rename'!B:B)</f>
        <v>Delta Air Lines Inc.</v>
      </c>
      <c r="E1442" t="s">
        <v>23</v>
      </c>
      <c r="F1442" t="s">
        <v>24</v>
      </c>
      <c r="G1442">
        <v>1142</v>
      </c>
      <c r="H1442">
        <v>129</v>
      </c>
      <c r="I1442">
        <v>52.7</v>
      </c>
      <c r="J1442">
        <v>5.26</v>
      </c>
      <c r="K1442">
        <v>51.37</v>
      </c>
      <c r="L1442">
        <v>0</v>
      </c>
      <c r="M1442">
        <v>19.670000000000002</v>
      </c>
      <c r="N1442">
        <v>1</v>
      </c>
      <c r="O1442">
        <v>1</v>
      </c>
      <c r="P1442">
        <v>6099</v>
      </c>
      <c r="Q1442">
        <v>3404</v>
      </c>
      <c r="R1442">
        <v>225</v>
      </c>
      <c r="S1442">
        <v>1469</v>
      </c>
      <c r="T1442">
        <v>0</v>
      </c>
      <c r="U1442">
        <v>1001</v>
      </c>
      <c r="V1442" s="1">
        <f t="shared" si="66"/>
        <v>0.113</v>
      </c>
      <c r="W1442" s="1">
        <f t="shared" si="67"/>
        <v>8.9999999999999998E-4</v>
      </c>
      <c r="X1442" s="1">
        <f t="shared" si="68"/>
        <v>8.9999999999999998E-4</v>
      </c>
    </row>
    <row r="1443" spans="1:24" x14ac:dyDescent="0.25">
      <c r="A1443">
        <v>2014</v>
      </c>
      <c r="B1443">
        <v>9</v>
      </c>
      <c r="C1443" t="s">
        <v>39</v>
      </c>
      <c r="D1443" t="str">
        <f>_xlfn.XLOOKUP(C1443,'Carrier Name Rename'!A:A,'Carrier Name Rename'!B:B)</f>
        <v>Frontier Airlines Inc.</v>
      </c>
      <c r="E1443" t="s">
        <v>23</v>
      </c>
      <c r="F1443" t="s">
        <v>24</v>
      </c>
      <c r="G1443">
        <v>118</v>
      </c>
      <c r="H1443">
        <v>29</v>
      </c>
      <c r="I1443">
        <v>7.31</v>
      </c>
      <c r="J1443">
        <v>0</v>
      </c>
      <c r="K1443">
        <v>14.26</v>
      </c>
      <c r="L1443">
        <v>0</v>
      </c>
      <c r="M1443">
        <v>7.43</v>
      </c>
      <c r="N1443">
        <v>0</v>
      </c>
      <c r="O1443">
        <v>0</v>
      </c>
      <c r="P1443">
        <v>1492</v>
      </c>
      <c r="Q1443">
        <v>579</v>
      </c>
      <c r="R1443">
        <v>0</v>
      </c>
      <c r="S1443">
        <v>568</v>
      </c>
      <c r="T1443">
        <v>0</v>
      </c>
      <c r="U1443">
        <v>345</v>
      </c>
      <c r="V1443" s="1">
        <f t="shared" si="66"/>
        <v>0.24579999999999999</v>
      </c>
      <c r="W1443" s="1">
        <f t="shared" si="67"/>
        <v>0</v>
      </c>
      <c r="X1443" s="1">
        <f t="shared" si="68"/>
        <v>0</v>
      </c>
    </row>
    <row r="1444" spans="1:24" x14ac:dyDescent="0.25">
      <c r="A1444">
        <v>2014</v>
      </c>
      <c r="B1444">
        <v>9</v>
      </c>
      <c r="C1444" t="s">
        <v>21</v>
      </c>
      <c r="D1444" t="str">
        <f>_xlfn.XLOOKUP(C1444,'Carrier Name Rename'!A:A,'Carrier Name Rename'!B:B)</f>
        <v>Hawaiian Airlines Inc.</v>
      </c>
      <c r="E1444" t="s">
        <v>23</v>
      </c>
      <c r="F1444" t="s">
        <v>24</v>
      </c>
      <c r="G1444">
        <v>60</v>
      </c>
      <c r="H1444">
        <v>8</v>
      </c>
      <c r="I1444">
        <v>7</v>
      </c>
      <c r="J1444">
        <v>0</v>
      </c>
      <c r="K1444">
        <v>0</v>
      </c>
      <c r="L1444">
        <v>0</v>
      </c>
      <c r="M1444">
        <v>1</v>
      </c>
      <c r="N1444">
        <v>0</v>
      </c>
      <c r="O1444">
        <v>0</v>
      </c>
      <c r="P1444">
        <v>1715</v>
      </c>
      <c r="Q1444">
        <v>1472</v>
      </c>
      <c r="R1444">
        <v>0</v>
      </c>
      <c r="S1444">
        <v>0</v>
      </c>
      <c r="T1444">
        <v>0</v>
      </c>
      <c r="U1444">
        <v>243</v>
      </c>
      <c r="V1444" s="1">
        <f t="shared" si="66"/>
        <v>0.1333</v>
      </c>
      <c r="W1444" s="1">
        <f t="shared" si="67"/>
        <v>0</v>
      </c>
      <c r="X1444" s="1">
        <f t="shared" si="68"/>
        <v>0</v>
      </c>
    </row>
    <row r="1445" spans="1:24" x14ac:dyDescent="0.25">
      <c r="A1445">
        <v>2014</v>
      </c>
      <c r="B1445">
        <v>9</v>
      </c>
      <c r="C1445" t="s">
        <v>27</v>
      </c>
      <c r="D1445" t="str">
        <f>_xlfn.XLOOKUP(C1445,'Carrier Name Rename'!A:A,'Carrier Name Rename'!B:B)</f>
        <v>SkyWest Airlines Inc.</v>
      </c>
      <c r="E1445" t="s">
        <v>23</v>
      </c>
      <c r="F1445" t="s">
        <v>24</v>
      </c>
      <c r="G1445">
        <v>660</v>
      </c>
      <c r="H1445">
        <v>63</v>
      </c>
      <c r="I1445">
        <v>8.75</v>
      </c>
      <c r="J1445">
        <v>0.9</v>
      </c>
      <c r="K1445">
        <v>15.35</v>
      </c>
      <c r="L1445">
        <v>0</v>
      </c>
      <c r="M1445">
        <v>38</v>
      </c>
      <c r="N1445">
        <v>3</v>
      </c>
      <c r="O1445">
        <v>2</v>
      </c>
      <c r="P1445">
        <v>2858</v>
      </c>
      <c r="Q1445">
        <v>576</v>
      </c>
      <c r="R1445">
        <v>37</v>
      </c>
      <c r="S1445">
        <v>391</v>
      </c>
      <c r="T1445">
        <v>0</v>
      </c>
      <c r="U1445">
        <v>1854</v>
      </c>
      <c r="V1445" s="1">
        <f t="shared" si="66"/>
        <v>9.5500000000000002E-2</v>
      </c>
      <c r="W1445" s="1">
        <f t="shared" si="67"/>
        <v>4.4999999999999997E-3</v>
      </c>
      <c r="X1445" s="1">
        <f t="shared" si="68"/>
        <v>3.0000000000000001E-3</v>
      </c>
    </row>
    <row r="1446" spans="1:24" x14ac:dyDescent="0.25">
      <c r="A1446">
        <v>2014</v>
      </c>
      <c r="B1446">
        <v>9</v>
      </c>
      <c r="C1446" t="s">
        <v>41</v>
      </c>
      <c r="D1446" t="str">
        <f>_xlfn.XLOOKUP(C1446,'Carrier Name Rename'!A:A,'Carrier Name Rename'!B:B)</f>
        <v>United Air Lines Inc.</v>
      </c>
      <c r="E1446" t="s">
        <v>23</v>
      </c>
      <c r="F1446" t="s">
        <v>24</v>
      </c>
      <c r="G1446">
        <v>916</v>
      </c>
      <c r="H1446">
        <v>150</v>
      </c>
      <c r="I1446">
        <v>54.48</v>
      </c>
      <c r="J1446">
        <v>2.82</v>
      </c>
      <c r="K1446">
        <v>35.51</v>
      </c>
      <c r="L1446">
        <v>0</v>
      </c>
      <c r="M1446">
        <v>57.19</v>
      </c>
      <c r="N1446">
        <v>1</v>
      </c>
      <c r="O1446">
        <v>2</v>
      </c>
      <c r="P1446">
        <v>8574</v>
      </c>
      <c r="Q1446">
        <v>2853</v>
      </c>
      <c r="R1446">
        <v>136</v>
      </c>
      <c r="S1446">
        <v>1215</v>
      </c>
      <c r="T1446">
        <v>0</v>
      </c>
      <c r="U1446">
        <v>4370</v>
      </c>
      <c r="V1446" s="1">
        <f t="shared" si="66"/>
        <v>0.1638</v>
      </c>
      <c r="W1446" s="1">
        <f t="shared" si="67"/>
        <v>1.1000000000000001E-3</v>
      </c>
      <c r="X1446" s="1">
        <f t="shared" si="68"/>
        <v>2.2000000000000001E-3</v>
      </c>
    </row>
    <row r="1447" spans="1:24" x14ac:dyDescent="0.25">
      <c r="A1447">
        <v>2014</v>
      </c>
      <c r="B1447">
        <v>9</v>
      </c>
      <c r="C1447" t="s">
        <v>61</v>
      </c>
      <c r="D1447" t="str">
        <f>_xlfn.XLOOKUP(C1447,'Carrier Name Rename'!A:A,'Carrier Name Rename'!B:B)</f>
        <v>US Airways Inc.</v>
      </c>
      <c r="E1447" t="s">
        <v>23</v>
      </c>
      <c r="F1447" t="s">
        <v>24</v>
      </c>
      <c r="G1447">
        <v>300</v>
      </c>
      <c r="H1447">
        <v>52</v>
      </c>
      <c r="I1447">
        <v>14.44</v>
      </c>
      <c r="J1447">
        <v>3.39</v>
      </c>
      <c r="K1447">
        <v>26.27</v>
      </c>
      <c r="L1447">
        <v>0</v>
      </c>
      <c r="M1447">
        <v>7.91</v>
      </c>
      <c r="N1447">
        <v>1</v>
      </c>
      <c r="O1447">
        <v>2</v>
      </c>
      <c r="P1447">
        <v>2468</v>
      </c>
      <c r="Q1447">
        <v>675</v>
      </c>
      <c r="R1447">
        <v>273</v>
      </c>
      <c r="S1447">
        <v>1034</v>
      </c>
      <c r="T1447">
        <v>0</v>
      </c>
      <c r="U1447">
        <v>486</v>
      </c>
      <c r="V1447" s="1">
        <f t="shared" si="66"/>
        <v>0.17330000000000001</v>
      </c>
      <c r="W1447" s="1">
        <f t="shared" si="67"/>
        <v>3.3E-3</v>
      </c>
      <c r="X1447" s="1">
        <f t="shared" si="68"/>
        <v>6.7000000000000002E-3</v>
      </c>
    </row>
    <row r="1448" spans="1:24" x14ac:dyDescent="0.25">
      <c r="A1448">
        <v>2014</v>
      </c>
      <c r="B1448">
        <v>9</v>
      </c>
      <c r="C1448" t="s">
        <v>51</v>
      </c>
      <c r="D1448" t="str">
        <f>_xlfn.XLOOKUP(C1448,'Carrier Name Rename'!A:A,'Carrier Name Rename'!B:B)</f>
        <v>Virgin America</v>
      </c>
      <c r="E1448" t="s">
        <v>23</v>
      </c>
      <c r="F1448" t="s">
        <v>24</v>
      </c>
      <c r="G1448">
        <v>217</v>
      </c>
      <c r="H1448">
        <v>17</v>
      </c>
      <c r="I1448">
        <v>5.31</v>
      </c>
      <c r="J1448">
        <v>1.18</v>
      </c>
      <c r="K1448">
        <v>1.88</v>
      </c>
      <c r="L1448">
        <v>0.76</v>
      </c>
      <c r="M1448">
        <v>7.86</v>
      </c>
      <c r="N1448">
        <v>0</v>
      </c>
      <c r="O1448">
        <v>0</v>
      </c>
      <c r="P1448">
        <v>634</v>
      </c>
      <c r="Q1448">
        <v>194</v>
      </c>
      <c r="R1448">
        <v>37</v>
      </c>
      <c r="S1448">
        <v>45</v>
      </c>
      <c r="T1448">
        <v>41</v>
      </c>
      <c r="U1448">
        <v>317</v>
      </c>
      <c r="V1448" s="1">
        <f t="shared" si="66"/>
        <v>7.8299999999999995E-2</v>
      </c>
      <c r="W1448" s="1">
        <f t="shared" si="67"/>
        <v>0</v>
      </c>
      <c r="X1448" s="1">
        <f t="shared" si="68"/>
        <v>0</v>
      </c>
    </row>
    <row r="1449" spans="1:24" x14ac:dyDescent="0.25">
      <c r="A1449">
        <v>2014</v>
      </c>
      <c r="B1449">
        <v>9</v>
      </c>
      <c r="C1449" t="s">
        <v>43</v>
      </c>
      <c r="D1449" t="str">
        <f>_xlfn.XLOOKUP(C1449,'Carrier Name Rename'!A:A,'Carrier Name Rename'!B:B)</f>
        <v>Southwest Airlines Co.</v>
      </c>
      <c r="E1449" t="s">
        <v>23</v>
      </c>
      <c r="F1449" t="s">
        <v>24</v>
      </c>
      <c r="G1449">
        <v>1017</v>
      </c>
      <c r="H1449">
        <v>216</v>
      </c>
      <c r="I1449">
        <v>67.739999999999995</v>
      </c>
      <c r="J1449">
        <v>0.59</v>
      </c>
      <c r="K1449">
        <v>39.770000000000003</v>
      </c>
      <c r="L1449">
        <v>0</v>
      </c>
      <c r="M1449">
        <v>107.9</v>
      </c>
      <c r="N1449">
        <v>4</v>
      </c>
      <c r="O1449">
        <v>3</v>
      </c>
      <c r="P1449">
        <v>10129</v>
      </c>
      <c r="Q1449">
        <v>3007</v>
      </c>
      <c r="R1449">
        <v>53</v>
      </c>
      <c r="S1449">
        <v>1042</v>
      </c>
      <c r="T1449">
        <v>0</v>
      </c>
      <c r="U1449">
        <v>6027</v>
      </c>
      <c r="V1449" s="1">
        <f t="shared" si="66"/>
        <v>0.21240000000000001</v>
      </c>
      <c r="W1449" s="1">
        <f t="shared" si="67"/>
        <v>3.8999999999999998E-3</v>
      </c>
      <c r="X1449" s="1">
        <f t="shared" si="68"/>
        <v>2.8999999999999998E-3</v>
      </c>
    </row>
    <row r="1450" spans="1:24" x14ac:dyDescent="0.25">
      <c r="A1450">
        <v>2014</v>
      </c>
      <c r="B1450">
        <v>8</v>
      </c>
      <c r="C1450" t="s">
        <v>31</v>
      </c>
      <c r="D1450" t="str">
        <f>_xlfn.XLOOKUP(C1450,'Carrier Name Rename'!A:A,'Carrier Name Rename'!B:B)</f>
        <v>American Airlines Inc.</v>
      </c>
      <c r="E1450" t="s">
        <v>23</v>
      </c>
      <c r="F1450" t="s">
        <v>24</v>
      </c>
      <c r="G1450">
        <v>542</v>
      </c>
      <c r="H1450">
        <v>115</v>
      </c>
      <c r="I1450">
        <v>40.75</v>
      </c>
      <c r="J1450">
        <v>6.89</v>
      </c>
      <c r="K1450">
        <v>19.79</v>
      </c>
      <c r="L1450">
        <v>0</v>
      </c>
      <c r="M1450">
        <v>47.56</v>
      </c>
      <c r="N1450">
        <v>4</v>
      </c>
      <c r="O1450">
        <v>1</v>
      </c>
      <c r="P1450">
        <v>5964</v>
      </c>
      <c r="Q1450">
        <v>1734</v>
      </c>
      <c r="R1450">
        <v>606</v>
      </c>
      <c r="S1450">
        <v>759</v>
      </c>
      <c r="T1450">
        <v>0</v>
      </c>
      <c r="U1450">
        <v>2865</v>
      </c>
      <c r="V1450" s="1">
        <f t="shared" si="66"/>
        <v>0.2122</v>
      </c>
      <c r="W1450" s="1">
        <f t="shared" si="67"/>
        <v>7.4000000000000003E-3</v>
      </c>
      <c r="X1450" s="1">
        <f t="shared" si="68"/>
        <v>1.8E-3</v>
      </c>
    </row>
    <row r="1451" spans="1:24" x14ac:dyDescent="0.25">
      <c r="A1451">
        <v>2014</v>
      </c>
      <c r="B1451">
        <v>8</v>
      </c>
      <c r="C1451" t="s">
        <v>33</v>
      </c>
      <c r="D1451" t="str">
        <f>_xlfn.XLOOKUP(C1451,'Carrier Name Rename'!A:A,'Carrier Name Rename'!B:B)</f>
        <v>Alaska Airlines Inc.</v>
      </c>
      <c r="E1451" t="s">
        <v>23</v>
      </c>
      <c r="F1451" t="s">
        <v>24</v>
      </c>
      <c r="G1451">
        <v>4803</v>
      </c>
      <c r="H1451">
        <v>756</v>
      </c>
      <c r="I1451">
        <v>140.97</v>
      </c>
      <c r="J1451">
        <v>10.31</v>
      </c>
      <c r="K1451">
        <v>321.64999999999998</v>
      </c>
      <c r="L1451">
        <v>5.63</v>
      </c>
      <c r="M1451">
        <v>277.45</v>
      </c>
      <c r="N1451">
        <v>14</v>
      </c>
      <c r="O1451">
        <v>2</v>
      </c>
      <c r="P1451">
        <v>34740</v>
      </c>
      <c r="Q1451">
        <v>9857</v>
      </c>
      <c r="R1451">
        <v>461</v>
      </c>
      <c r="S1451">
        <v>9012</v>
      </c>
      <c r="T1451">
        <v>162</v>
      </c>
      <c r="U1451">
        <v>15248</v>
      </c>
      <c r="V1451" s="1">
        <f t="shared" si="66"/>
        <v>0.15740000000000001</v>
      </c>
      <c r="W1451" s="1">
        <f t="shared" si="67"/>
        <v>2.8999999999999998E-3</v>
      </c>
      <c r="X1451" s="1">
        <f t="shared" si="68"/>
        <v>4.0000000000000002E-4</v>
      </c>
    </row>
    <row r="1452" spans="1:24" x14ac:dyDescent="0.25">
      <c r="A1452">
        <v>2014</v>
      </c>
      <c r="B1452">
        <v>8</v>
      </c>
      <c r="C1452" t="s">
        <v>35</v>
      </c>
      <c r="D1452" t="str">
        <f>_xlfn.XLOOKUP(C1452,'Carrier Name Rename'!A:A,'Carrier Name Rename'!B:B)</f>
        <v>JetBlue Airways</v>
      </c>
      <c r="E1452" t="s">
        <v>23</v>
      </c>
      <c r="F1452" t="s">
        <v>24</v>
      </c>
      <c r="G1452">
        <v>274</v>
      </c>
      <c r="H1452">
        <v>41</v>
      </c>
      <c r="I1452">
        <v>14.81</v>
      </c>
      <c r="J1452">
        <v>0</v>
      </c>
      <c r="K1452">
        <v>15.63</v>
      </c>
      <c r="L1452">
        <v>0</v>
      </c>
      <c r="M1452">
        <v>10.56</v>
      </c>
      <c r="N1452">
        <v>0</v>
      </c>
      <c r="O1452">
        <v>0</v>
      </c>
      <c r="P1452">
        <v>1939</v>
      </c>
      <c r="Q1452">
        <v>809</v>
      </c>
      <c r="R1452">
        <v>0</v>
      </c>
      <c r="S1452">
        <v>490</v>
      </c>
      <c r="T1452">
        <v>0</v>
      </c>
      <c r="U1452">
        <v>640</v>
      </c>
      <c r="V1452" s="1">
        <f t="shared" si="66"/>
        <v>0.14960000000000001</v>
      </c>
      <c r="W1452" s="1">
        <f t="shared" si="67"/>
        <v>0</v>
      </c>
      <c r="X1452" s="1">
        <f t="shared" si="68"/>
        <v>0</v>
      </c>
    </row>
    <row r="1453" spans="1:24" x14ac:dyDescent="0.25">
      <c r="A1453">
        <v>2014</v>
      </c>
      <c r="B1453">
        <v>8</v>
      </c>
      <c r="C1453" t="s">
        <v>37</v>
      </c>
      <c r="D1453" t="str">
        <f>_xlfn.XLOOKUP(C1453,'Carrier Name Rename'!A:A,'Carrier Name Rename'!B:B)</f>
        <v>Delta Air Lines Inc.</v>
      </c>
      <c r="E1453" t="s">
        <v>23</v>
      </c>
      <c r="F1453" t="s">
        <v>24</v>
      </c>
      <c r="G1453">
        <v>1452</v>
      </c>
      <c r="H1453">
        <v>164</v>
      </c>
      <c r="I1453">
        <v>68.239999999999995</v>
      </c>
      <c r="J1453">
        <v>7.92</v>
      </c>
      <c r="K1453">
        <v>46.84</v>
      </c>
      <c r="L1453">
        <v>0</v>
      </c>
      <c r="M1453">
        <v>41</v>
      </c>
      <c r="N1453">
        <v>1</v>
      </c>
      <c r="O1453">
        <v>0</v>
      </c>
      <c r="P1453">
        <v>8666</v>
      </c>
      <c r="Q1453">
        <v>4580</v>
      </c>
      <c r="R1453">
        <v>353</v>
      </c>
      <c r="S1453">
        <v>1337</v>
      </c>
      <c r="T1453">
        <v>0</v>
      </c>
      <c r="U1453">
        <v>2396</v>
      </c>
      <c r="V1453" s="1">
        <f t="shared" si="66"/>
        <v>0.1129</v>
      </c>
      <c r="W1453" s="1">
        <f t="shared" si="67"/>
        <v>6.9999999999999999E-4</v>
      </c>
      <c r="X1453" s="1">
        <f t="shared" si="68"/>
        <v>0</v>
      </c>
    </row>
    <row r="1454" spans="1:24" x14ac:dyDescent="0.25">
      <c r="A1454">
        <v>2014</v>
      </c>
      <c r="B1454">
        <v>8</v>
      </c>
      <c r="C1454" t="s">
        <v>39</v>
      </c>
      <c r="D1454" t="str">
        <f>_xlfn.XLOOKUP(C1454,'Carrier Name Rename'!A:A,'Carrier Name Rename'!B:B)</f>
        <v>Frontier Airlines Inc.</v>
      </c>
      <c r="E1454" t="s">
        <v>23</v>
      </c>
      <c r="F1454" t="s">
        <v>24</v>
      </c>
      <c r="G1454">
        <v>135</v>
      </c>
      <c r="H1454">
        <v>27</v>
      </c>
      <c r="I1454">
        <v>4.8899999999999997</v>
      </c>
      <c r="J1454">
        <v>0</v>
      </c>
      <c r="K1454">
        <v>11.76</v>
      </c>
      <c r="L1454">
        <v>0</v>
      </c>
      <c r="M1454">
        <v>10.36</v>
      </c>
      <c r="N1454">
        <v>1</v>
      </c>
      <c r="O1454">
        <v>0</v>
      </c>
      <c r="P1454">
        <v>1296</v>
      </c>
      <c r="Q1454">
        <v>222</v>
      </c>
      <c r="R1454">
        <v>0</v>
      </c>
      <c r="S1454">
        <v>385</v>
      </c>
      <c r="T1454">
        <v>0</v>
      </c>
      <c r="U1454">
        <v>689</v>
      </c>
      <c r="V1454" s="1">
        <f t="shared" si="66"/>
        <v>0.2</v>
      </c>
      <c r="W1454" s="1">
        <f t="shared" si="67"/>
        <v>7.4000000000000003E-3</v>
      </c>
      <c r="X1454" s="1">
        <f t="shared" si="68"/>
        <v>0</v>
      </c>
    </row>
    <row r="1455" spans="1:24" x14ac:dyDescent="0.25">
      <c r="A1455">
        <v>2014</v>
      </c>
      <c r="B1455">
        <v>8</v>
      </c>
      <c r="C1455" t="s">
        <v>21</v>
      </c>
      <c r="D1455" t="str">
        <f>_xlfn.XLOOKUP(C1455,'Carrier Name Rename'!A:A,'Carrier Name Rename'!B:B)</f>
        <v>Hawaiian Airlines Inc.</v>
      </c>
      <c r="E1455" t="s">
        <v>23</v>
      </c>
      <c r="F1455" t="s">
        <v>24</v>
      </c>
      <c r="G1455">
        <v>62</v>
      </c>
      <c r="H1455">
        <v>6</v>
      </c>
      <c r="I1455">
        <v>5</v>
      </c>
      <c r="J1455">
        <v>0</v>
      </c>
      <c r="K1455">
        <v>0</v>
      </c>
      <c r="L1455">
        <v>0</v>
      </c>
      <c r="M1455">
        <v>1</v>
      </c>
      <c r="N1455">
        <v>0</v>
      </c>
      <c r="O1455">
        <v>0</v>
      </c>
      <c r="P1455">
        <v>279</v>
      </c>
      <c r="Q1455">
        <v>263</v>
      </c>
      <c r="R1455">
        <v>0</v>
      </c>
      <c r="S1455">
        <v>0</v>
      </c>
      <c r="T1455">
        <v>0</v>
      </c>
      <c r="U1455">
        <v>16</v>
      </c>
      <c r="V1455" s="1">
        <f t="shared" si="66"/>
        <v>9.6799999999999997E-2</v>
      </c>
      <c r="W1455" s="1">
        <f t="shared" si="67"/>
        <v>0</v>
      </c>
      <c r="X1455" s="1">
        <f t="shared" si="68"/>
        <v>0</v>
      </c>
    </row>
    <row r="1456" spans="1:24" x14ac:dyDescent="0.25">
      <c r="A1456">
        <v>2014</v>
      </c>
      <c r="B1456">
        <v>8</v>
      </c>
      <c r="C1456" t="s">
        <v>27</v>
      </c>
      <c r="D1456" t="str">
        <f>_xlfn.XLOOKUP(C1456,'Carrier Name Rename'!A:A,'Carrier Name Rename'!B:B)</f>
        <v>SkyWest Airlines Inc.</v>
      </c>
      <c r="E1456" t="s">
        <v>23</v>
      </c>
      <c r="F1456" t="s">
        <v>24</v>
      </c>
      <c r="G1456">
        <v>798</v>
      </c>
      <c r="H1456">
        <v>106</v>
      </c>
      <c r="I1456">
        <v>27.21</v>
      </c>
      <c r="J1456">
        <v>2.02</v>
      </c>
      <c r="K1456">
        <v>37.72</v>
      </c>
      <c r="L1456">
        <v>0</v>
      </c>
      <c r="M1456">
        <v>39.04</v>
      </c>
      <c r="N1456">
        <v>12</v>
      </c>
      <c r="O1456">
        <v>2</v>
      </c>
      <c r="P1456">
        <v>4927</v>
      </c>
      <c r="Q1456">
        <v>1450</v>
      </c>
      <c r="R1456">
        <v>66</v>
      </c>
      <c r="S1456">
        <v>945</v>
      </c>
      <c r="T1456">
        <v>0</v>
      </c>
      <c r="U1456">
        <v>2466</v>
      </c>
      <c r="V1456" s="1">
        <f t="shared" si="66"/>
        <v>0.1328</v>
      </c>
      <c r="W1456" s="1">
        <f t="shared" si="67"/>
        <v>1.4999999999999999E-2</v>
      </c>
      <c r="X1456" s="1">
        <f t="shared" si="68"/>
        <v>2.5000000000000001E-3</v>
      </c>
    </row>
    <row r="1457" spans="1:24" x14ac:dyDescent="0.25">
      <c r="A1457">
        <v>2014</v>
      </c>
      <c r="B1457">
        <v>8</v>
      </c>
      <c r="C1457" t="s">
        <v>41</v>
      </c>
      <c r="D1457" t="str">
        <f>_xlfn.XLOOKUP(C1457,'Carrier Name Rename'!A:A,'Carrier Name Rename'!B:B)</f>
        <v>United Air Lines Inc.</v>
      </c>
      <c r="E1457" t="s">
        <v>23</v>
      </c>
      <c r="F1457" t="s">
        <v>24</v>
      </c>
      <c r="G1457">
        <v>1041</v>
      </c>
      <c r="H1457">
        <v>220</v>
      </c>
      <c r="I1457">
        <v>76.87</v>
      </c>
      <c r="J1457">
        <v>9.1300000000000008</v>
      </c>
      <c r="K1457">
        <v>36.979999999999997</v>
      </c>
      <c r="L1457">
        <v>0</v>
      </c>
      <c r="M1457">
        <v>97.02</v>
      </c>
      <c r="N1457">
        <v>8</v>
      </c>
      <c r="O1457">
        <v>0</v>
      </c>
      <c r="P1457">
        <v>13184</v>
      </c>
      <c r="Q1457">
        <v>4111</v>
      </c>
      <c r="R1457">
        <v>920</v>
      </c>
      <c r="S1457">
        <v>1789</v>
      </c>
      <c r="T1457">
        <v>0</v>
      </c>
      <c r="U1457">
        <v>6364</v>
      </c>
      <c r="V1457" s="1">
        <f t="shared" si="66"/>
        <v>0.21129999999999999</v>
      </c>
      <c r="W1457" s="1">
        <f t="shared" si="67"/>
        <v>7.7000000000000002E-3</v>
      </c>
      <c r="X1457" s="1">
        <f t="shared" si="68"/>
        <v>0</v>
      </c>
    </row>
    <row r="1458" spans="1:24" x14ac:dyDescent="0.25">
      <c r="A1458">
        <v>2014</v>
      </c>
      <c r="B1458">
        <v>8</v>
      </c>
      <c r="C1458" t="s">
        <v>61</v>
      </c>
      <c r="D1458" t="str">
        <f>_xlfn.XLOOKUP(C1458,'Carrier Name Rename'!A:A,'Carrier Name Rename'!B:B)</f>
        <v>US Airways Inc.</v>
      </c>
      <c r="E1458" t="s">
        <v>23</v>
      </c>
      <c r="F1458" t="s">
        <v>24</v>
      </c>
      <c r="G1458">
        <v>396</v>
      </c>
      <c r="H1458">
        <v>76</v>
      </c>
      <c r="I1458">
        <v>35.549999999999997</v>
      </c>
      <c r="J1458">
        <v>1.01</v>
      </c>
      <c r="K1458">
        <v>24.22</v>
      </c>
      <c r="L1458">
        <v>1</v>
      </c>
      <c r="M1458">
        <v>14.22</v>
      </c>
      <c r="N1458">
        <v>2</v>
      </c>
      <c r="O1458">
        <v>0</v>
      </c>
      <c r="P1458">
        <v>3609</v>
      </c>
      <c r="Q1458">
        <v>1540</v>
      </c>
      <c r="R1458">
        <v>89</v>
      </c>
      <c r="S1458">
        <v>871</v>
      </c>
      <c r="T1458">
        <v>125</v>
      </c>
      <c r="U1458">
        <v>984</v>
      </c>
      <c r="V1458" s="1">
        <f t="shared" si="66"/>
        <v>0.19189999999999999</v>
      </c>
      <c r="W1458" s="1">
        <f t="shared" si="67"/>
        <v>5.1000000000000004E-3</v>
      </c>
      <c r="X1458" s="1">
        <f t="shared" si="68"/>
        <v>0</v>
      </c>
    </row>
    <row r="1459" spans="1:24" x14ac:dyDescent="0.25">
      <c r="A1459">
        <v>2014</v>
      </c>
      <c r="B1459">
        <v>8</v>
      </c>
      <c r="C1459" t="s">
        <v>51</v>
      </c>
      <c r="D1459" t="str">
        <f>_xlfn.XLOOKUP(C1459,'Carrier Name Rename'!A:A,'Carrier Name Rename'!B:B)</f>
        <v>Virgin America</v>
      </c>
      <c r="E1459" t="s">
        <v>23</v>
      </c>
      <c r="F1459" t="s">
        <v>24</v>
      </c>
      <c r="G1459">
        <v>231</v>
      </c>
      <c r="H1459">
        <v>24</v>
      </c>
      <c r="I1459">
        <v>10.17</v>
      </c>
      <c r="J1459">
        <v>2.67</v>
      </c>
      <c r="K1459">
        <v>4.1399999999999997</v>
      </c>
      <c r="L1459">
        <v>0</v>
      </c>
      <c r="M1459">
        <v>7.02</v>
      </c>
      <c r="N1459">
        <v>0</v>
      </c>
      <c r="O1459">
        <v>0</v>
      </c>
      <c r="P1459">
        <v>778</v>
      </c>
      <c r="Q1459">
        <v>416</v>
      </c>
      <c r="R1459">
        <v>55</v>
      </c>
      <c r="S1459">
        <v>108</v>
      </c>
      <c r="T1459">
        <v>0</v>
      </c>
      <c r="U1459">
        <v>199</v>
      </c>
      <c r="V1459" s="1">
        <f t="shared" si="66"/>
        <v>0.10390000000000001</v>
      </c>
      <c r="W1459" s="1">
        <f t="shared" si="67"/>
        <v>0</v>
      </c>
      <c r="X1459" s="1">
        <f t="shared" si="68"/>
        <v>0</v>
      </c>
    </row>
    <row r="1460" spans="1:24" x14ac:dyDescent="0.25">
      <c r="A1460">
        <v>2014</v>
      </c>
      <c r="B1460">
        <v>8</v>
      </c>
      <c r="C1460" t="s">
        <v>43</v>
      </c>
      <c r="D1460" t="str">
        <f>_xlfn.XLOOKUP(C1460,'Carrier Name Rename'!A:A,'Carrier Name Rename'!B:B)</f>
        <v>Southwest Airlines Co.</v>
      </c>
      <c r="E1460" t="s">
        <v>23</v>
      </c>
      <c r="F1460" t="s">
        <v>24</v>
      </c>
      <c r="G1460">
        <v>1257</v>
      </c>
      <c r="H1460">
        <v>350</v>
      </c>
      <c r="I1460">
        <v>112.82</v>
      </c>
      <c r="J1460">
        <v>2.52</v>
      </c>
      <c r="K1460">
        <v>84.69</v>
      </c>
      <c r="L1460">
        <v>1.31</v>
      </c>
      <c r="M1460">
        <v>148.65</v>
      </c>
      <c r="N1460">
        <v>1</v>
      </c>
      <c r="O1460">
        <v>0</v>
      </c>
      <c r="P1460">
        <v>14407</v>
      </c>
      <c r="Q1460">
        <v>4608</v>
      </c>
      <c r="R1460">
        <v>130</v>
      </c>
      <c r="S1460">
        <v>2448</v>
      </c>
      <c r="T1460">
        <v>38</v>
      </c>
      <c r="U1460">
        <v>7183</v>
      </c>
      <c r="V1460" s="1">
        <f t="shared" si="66"/>
        <v>0.27839999999999998</v>
      </c>
      <c r="W1460" s="1">
        <f t="shared" si="67"/>
        <v>8.0000000000000004E-4</v>
      </c>
      <c r="X1460" s="1">
        <f t="shared" si="68"/>
        <v>0</v>
      </c>
    </row>
    <row r="1461" spans="1:24" x14ac:dyDescent="0.25">
      <c r="A1461">
        <v>2014</v>
      </c>
      <c r="B1461">
        <v>7</v>
      </c>
      <c r="C1461" t="s">
        <v>31</v>
      </c>
      <c r="D1461" t="str">
        <f>_xlfn.XLOOKUP(C1461,'Carrier Name Rename'!A:A,'Carrier Name Rename'!B:B)</f>
        <v>American Airlines Inc.</v>
      </c>
      <c r="E1461" t="s">
        <v>23</v>
      </c>
      <c r="F1461" t="s">
        <v>24</v>
      </c>
      <c r="G1461">
        <v>579</v>
      </c>
      <c r="H1461">
        <v>166</v>
      </c>
      <c r="I1461">
        <v>59.26</v>
      </c>
      <c r="J1461">
        <v>4.0599999999999996</v>
      </c>
      <c r="K1461">
        <v>43.6</v>
      </c>
      <c r="L1461">
        <v>0</v>
      </c>
      <c r="M1461">
        <v>59.08</v>
      </c>
      <c r="N1461">
        <v>1</v>
      </c>
      <c r="O1461">
        <v>0</v>
      </c>
      <c r="P1461">
        <v>9060</v>
      </c>
      <c r="Q1461">
        <v>3000</v>
      </c>
      <c r="R1461">
        <v>527</v>
      </c>
      <c r="S1461">
        <v>1800</v>
      </c>
      <c r="T1461">
        <v>0</v>
      </c>
      <c r="U1461">
        <v>3733</v>
      </c>
      <c r="V1461" s="1">
        <f t="shared" si="66"/>
        <v>0.28670000000000001</v>
      </c>
      <c r="W1461" s="1">
        <f t="shared" si="67"/>
        <v>1.6999999999999999E-3</v>
      </c>
      <c r="X1461" s="1">
        <f t="shared" si="68"/>
        <v>0</v>
      </c>
    </row>
    <row r="1462" spans="1:24" x14ac:dyDescent="0.25">
      <c r="A1462">
        <v>2014</v>
      </c>
      <c r="B1462">
        <v>7</v>
      </c>
      <c r="C1462" t="s">
        <v>33</v>
      </c>
      <c r="D1462" t="str">
        <f>_xlfn.XLOOKUP(C1462,'Carrier Name Rename'!A:A,'Carrier Name Rename'!B:B)</f>
        <v>Alaska Airlines Inc.</v>
      </c>
      <c r="E1462" t="s">
        <v>23</v>
      </c>
      <c r="F1462" t="s">
        <v>24</v>
      </c>
      <c r="G1462">
        <v>4672</v>
      </c>
      <c r="H1462">
        <v>698</v>
      </c>
      <c r="I1462">
        <v>125.27</v>
      </c>
      <c r="J1462">
        <v>11.62</v>
      </c>
      <c r="K1462">
        <v>253.79</v>
      </c>
      <c r="L1462">
        <v>2.04</v>
      </c>
      <c r="M1462">
        <v>305.29000000000002</v>
      </c>
      <c r="N1462">
        <v>14</v>
      </c>
      <c r="O1462">
        <v>7</v>
      </c>
      <c r="P1462">
        <v>32564</v>
      </c>
      <c r="Q1462">
        <v>8541</v>
      </c>
      <c r="R1462">
        <v>738</v>
      </c>
      <c r="S1462">
        <v>8162</v>
      </c>
      <c r="T1462">
        <v>63</v>
      </c>
      <c r="U1462">
        <v>15060</v>
      </c>
      <c r="V1462" s="1">
        <f t="shared" si="66"/>
        <v>0.14940000000000001</v>
      </c>
      <c r="W1462" s="1">
        <f t="shared" si="67"/>
        <v>3.0000000000000001E-3</v>
      </c>
      <c r="X1462" s="1">
        <f t="shared" si="68"/>
        <v>1.5E-3</v>
      </c>
    </row>
    <row r="1463" spans="1:24" x14ac:dyDescent="0.25">
      <c r="A1463">
        <v>2014</v>
      </c>
      <c r="B1463">
        <v>7</v>
      </c>
      <c r="C1463" t="s">
        <v>35</v>
      </c>
      <c r="D1463" t="str">
        <f>_xlfn.XLOOKUP(C1463,'Carrier Name Rename'!A:A,'Carrier Name Rename'!B:B)</f>
        <v>JetBlue Airways</v>
      </c>
      <c r="E1463" t="s">
        <v>23</v>
      </c>
      <c r="F1463" t="s">
        <v>24</v>
      </c>
      <c r="G1463">
        <v>274</v>
      </c>
      <c r="H1463">
        <v>79</v>
      </c>
      <c r="I1463">
        <v>23.49</v>
      </c>
      <c r="J1463">
        <v>3.45</v>
      </c>
      <c r="K1463">
        <v>22.4</v>
      </c>
      <c r="L1463">
        <v>0</v>
      </c>
      <c r="M1463">
        <v>29.66</v>
      </c>
      <c r="N1463">
        <v>3</v>
      </c>
      <c r="O1463">
        <v>1</v>
      </c>
      <c r="P1463">
        <v>4832</v>
      </c>
      <c r="Q1463">
        <v>1265</v>
      </c>
      <c r="R1463">
        <v>751</v>
      </c>
      <c r="S1463">
        <v>969</v>
      </c>
      <c r="T1463">
        <v>0</v>
      </c>
      <c r="U1463">
        <v>1847</v>
      </c>
      <c r="V1463" s="1">
        <f t="shared" si="66"/>
        <v>0.2883</v>
      </c>
      <c r="W1463" s="1">
        <f t="shared" si="67"/>
        <v>1.09E-2</v>
      </c>
      <c r="X1463" s="1">
        <f t="shared" si="68"/>
        <v>3.5999999999999999E-3</v>
      </c>
    </row>
    <row r="1464" spans="1:24" x14ac:dyDescent="0.25">
      <c r="A1464">
        <v>2014</v>
      </c>
      <c r="B1464">
        <v>7</v>
      </c>
      <c r="C1464" t="s">
        <v>37</v>
      </c>
      <c r="D1464" t="str">
        <f>_xlfn.XLOOKUP(C1464,'Carrier Name Rename'!A:A,'Carrier Name Rename'!B:B)</f>
        <v>Delta Air Lines Inc.</v>
      </c>
      <c r="E1464" t="s">
        <v>23</v>
      </c>
      <c r="F1464" t="s">
        <v>24</v>
      </c>
      <c r="G1464">
        <v>1209</v>
      </c>
      <c r="H1464">
        <v>155</v>
      </c>
      <c r="I1464">
        <v>71.88</v>
      </c>
      <c r="J1464">
        <v>9.5</v>
      </c>
      <c r="K1464">
        <v>42.43</v>
      </c>
      <c r="L1464">
        <v>0</v>
      </c>
      <c r="M1464">
        <v>31.19</v>
      </c>
      <c r="N1464">
        <v>1</v>
      </c>
      <c r="O1464">
        <v>0</v>
      </c>
      <c r="P1464">
        <v>9143</v>
      </c>
      <c r="Q1464">
        <v>4473</v>
      </c>
      <c r="R1464">
        <v>1210</v>
      </c>
      <c r="S1464">
        <v>1637</v>
      </c>
      <c r="T1464">
        <v>0</v>
      </c>
      <c r="U1464">
        <v>1823</v>
      </c>
      <c r="V1464" s="1">
        <f t="shared" si="66"/>
        <v>0.12820000000000001</v>
      </c>
      <c r="W1464" s="1">
        <f t="shared" si="67"/>
        <v>8.0000000000000004E-4</v>
      </c>
      <c r="X1464" s="1">
        <f t="shared" si="68"/>
        <v>0</v>
      </c>
    </row>
    <row r="1465" spans="1:24" x14ac:dyDescent="0.25">
      <c r="A1465">
        <v>2014</v>
      </c>
      <c r="B1465">
        <v>7</v>
      </c>
      <c r="C1465" t="s">
        <v>39</v>
      </c>
      <c r="D1465" t="str">
        <f>_xlfn.XLOOKUP(C1465,'Carrier Name Rename'!A:A,'Carrier Name Rename'!B:B)</f>
        <v>Frontier Airlines Inc.</v>
      </c>
      <c r="E1465" t="s">
        <v>23</v>
      </c>
      <c r="F1465" t="s">
        <v>24</v>
      </c>
      <c r="G1465">
        <v>138</v>
      </c>
      <c r="H1465">
        <v>44</v>
      </c>
      <c r="I1465">
        <v>9.6999999999999993</v>
      </c>
      <c r="J1465">
        <v>0.01</v>
      </c>
      <c r="K1465">
        <v>21.46</v>
      </c>
      <c r="L1465">
        <v>0</v>
      </c>
      <c r="M1465">
        <v>12.83</v>
      </c>
      <c r="N1465">
        <v>0</v>
      </c>
      <c r="O1465">
        <v>0</v>
      </c>
      <c r="P1465">
        <v>2747</v>
      </c>
      <c r="Q1465">
        <v>481</v>
      </c>
      <c r="R1465">
        <v>2</v>
      </c>
      <c r="S1465">
        <v>1265</v>
      </c>
      <c r="T1465">
        <v>0</v>
      </c>
      <c r="U1465">
        <v>999</v>
      </c>
      <c r="V1465" s="1">
        <f t="shared" si="66"/>
        <v>0.31879999999999997</v>
      </c>
      <c r="W1465" s="1">
        <f t="shared" si="67"/>
        <v>0</v>
      </c>
      <c r="X1465" s="1">
        <f t="shared" si="68"/>
        <v>0</v>
      </c>
    </row>
    <row r="1466" spans="1:24" x14ac:dyDescent="0.25">
      <c r="A1466">
        <v>2014</v>
      </c>
      <c r="B1466">
        <v>7</v>
      </c>
      <c r="C1466" t="s">
        <v>21</v>
      </c>
      <c r="D1466" t="str">
        <f>_xlfn.XLOOKUP(C1466,'Carrier Name Rename'!A:A,'Carrier Name Rename'!B:B)</f>
        <v>Hawaiian Airlines Inc.</v>
      </c>
      <c r="E1466" t="s">
        <v>23</v>
      </c>
      <c r="F1466" t="s">
        <v>24</v>
      </c>
      <c r="G1466">
        <v>62</v>
      </c>
      <c r="H1466">
        <v>5</v>
      </c>
      <c r="I1466">
        <v>3.6</v>
      </c>
      <c r="J1466">
        <v>0</v>
      </c>
      <c r="K1466">
        <v>0</v>
      </c>
      <c r="L1466">
        <v>0</v>
      </c>
      <c r="M1466">
        <v>1.4</v>
      </c>
      <c r="N1466">
        <v>0</v>
      </c>
      <c r="O1466">
        <v>1</v>
      </c>
      <c r="P1466">
        <v>122</v>
      </c>
      <c r="Q1466">
        <v>99</v>
      </c>
      <c r="R1466">
        <v>0</v>
      </c>
      <c r="S1466">
        <v>0</v>
      </c>
      <c r="T1466">
        <v>0</v>
      </c>
      <c r="U1466">
        <v>23</v>
      </c>
      <c r="V1466" s="1">
        <f t="shared" si="66"/>
        <v>8.0600000000000005E-2</v>
      </c>
      <c r="W1466" s="1">
        <f t="shared" si="67"/>
        <v>0</v>
      </c>
      <c r="X1466" s="1">
        <f t="shared" si="68"/>
        <v>1.61E-2</v>
      </c>
    </row>
    <row r="1467" spans="1:24" x14ac:dyDescent="0.25">
      <c r="A1467">
        <v>2014</v>
      </c>
      <c r="B1467">
        <v>7</v>
      </c>
      <c r="C1467" t="s">
        <v>27</v>
      </c>
      <c r="D1467" t="str">
        <f>_xlfn.XLOOKUP(C1467,'Carrier Name Rename'!A:A,'Carrier Name Rename'!B:B)</f>
        <v>SkyWest Airlines Inc.</v>
      </c>
      <c r="E1467" t="s">
        <v>23</v>
      </c>
      <c r="F1467" t="s">
        <v>24</v>
      </c>
      <c r="G1467">
        <v>695</v>
      </c>
      <c r="H1467">
        <v>83</v>
      </c>
      <c r="I1467">
        <v>21.2</v>
      </c>
      <c r="J1467">
        <v>0.96</v>
      </c>
      <c r="K1467">
        <v>17.66</v>
      </c>
      <c r="L1467">
        <v>0</v>
      </c>
      <c r="M1467">
        <v>43.19</v>
      </c>
      <c r="N1467">
        <v>3</v>
      </c>
      <c r="O1467">
        <v>1</v>
      </c>
      <c r="P1467">
        <v>4755</v>
      </c>
      <c r="Q1467">
        <v>1229</v>
      </c>
      <c r="R1467">
        <v>136</v>
      </c>
      <c r="S1467">
        <v>692</v>
      </c>
      <c r="T1467">
        <v>0</v>
      </c>
      <c r="U1467">
        <v>2698</v>
      </c>
      <c r="V1467" s="1">
        <f t="shared" si="66"/>
        <v>0.11940000000000001</v>
      </c>
      <c r="W1467" s="1">
        <f t="shared" si="67"/>
        <v>4.3E-3</v>
      </c>
      <c r="X1467" s="1">
        <f t="shared" si="68"/>
        <v>1.4E-3</v>
      </c>
    </row>
    <row r="1468" spans="1:24" x14ac:dyDescent="0.25">
      <c r="A1468">
        <v>2014</v>
      </c>
      <c r="B1468">
        <v>7</v>
      </c>
      <c r="C1468" t="s">
        <v>41</v>
      </c>
      <c r="D1468" t="str">
        <f>_xlfn.XLOOKUP(C1468,'Carrier Name Rename'!A:A,'Carrier Name Rename'!B:B)</f>
        <v>United Air Lines Inc.</v>
      </c>
      <c r="E1468" t="s">
        <v>23</v>
      </c>
      <c r="F1468" t="s">
        <v>24</v>
      </c>
      <c r="G1468">
        <v>1077</v>
      </c>
      <c r="H1468">
        <v>281</v>
      </c>
      <c r="I1468">
        <v>111.86</v>
      </c>
      <c r="J1468">
        <v>7.59</v>
      </c>
      <c r="K1468">
        <v>53.91</v>
      </c>
      <c r="L1468">
        <v>0</v>
      </c>
      <c r="M1468">
        <v>107.64</v>
      </c>
      <c r="N1468">
        <v>9</v>
      </c>
      <c r="O1468">
        <v>0</v>
      </c>
      <c r="P1468">
        <v>16210</v>
      </c>
      <c r="Q1468">
        <v>5671</v>
      </c>
      <c r="R1468">
        <v>867</v>
      </c>
      <c r="S1468">
        <v>2107</v>
      </c>
      <c r="T1468">
        <v>0</v>
      </c>
      <c r="U1468">
        <v>7565</v>
      </c>
      <c r="V1468" s="1">
        <f t="shared" si="66"/>
        <v>0.26090000000000002</v>
      </c>
      <c r="W1468" s="1">
        <f t="shared" si="67"/>
        <v>8.3999999999999995E-3</v>
      </c>
      <c r="X1468" s="1">
        <f t="shared" si="68"/>
        <v>0</v>
      </c>
    </row>
    <row r="1469" spans="1:24" x14ac:dyDescent="0.25">
      <c r="A1469">
        <v>2014</v>
      </c>
      <c r="B1469">
        <v>7</v>
      </c>
      <c r="C1469" t="s">
        <v>61</v>
      </c>
      <c r="D1469" t="str">
        <f>_xlfn.XLOOKUP(C1469,'Carrier Name Rename'!A:A,'Carrier Name Rename'!B:B)</f>
        <v>US Airways Inc.</v>
      </c>
      <c r="E1469" t="s">
        <v>23</v>
      </c>
      <c r="F1469" t="s">
        <v>24</v>
      </c>
      <c r="G1469">
        <v>400</v>
      </c>
      <c r="H1469">
        <v>92</v>
      </c>
      <c r="I1469">
        <v>33.96</v>
      </c>
      <c r="J1469">
        <v>6.23</v>
      </c>
      <c r="K1469">
        <v>35.71</v>
      </c>
      <c r="L1469">
        <v>0.95</v>
      </c>
      <c r="M1469">
        <v>15.16</v>
      </c>
      <c r="N1469">
        <v>3</v>
      </c>
      <c r="O1469">
        <v>0</v>
      </c>
      <c r="P1469">
        <v>5725</v>
      </c>
      <c r="Q1469">
        <v>2113</v>
      </c>
      <c r="R1469">
        <v>672</v>
      </c>
      <c r="S1469">
        <v>1818</v>
      </c>
      <c r="T1469">
        <v>18</v>
      </c>
      <c r="U1469">
        <v>1104</v>
      </c>
      <c r="V1469" s="1">
        <f t="shared" si="66"/>
        <v>0.23</v>
      </c>
      <c r="W1469" s="1">
        <f t="shared" si="67"/>
        <v>7.4999999999999997E-3</v>
      </c>
      <c r="X1469" s="1">
        <f t="shared" si="68"/>
        <v>0</v>
      </c>
    </row>
    <row r="1470" spans="1:24" x14ac:dyDescent="0.25">
      <c r="A1470">
        <v>2014</v>
      </c>
      <c r="B1470">
        <v>7</v>
      </c>
      <c r="C1470" t="s">
        <v>51</v>
      </c>
      <c r="D1470" t="str">
        <f>_xlfn.XLOOKUP(C1470,'Carrier Name Rename'!A:A,'Carrier Name Rename'!B:B)</f>
        <v>Virgin America</v>
      </c>
      <c r="E1470" t="s">
        <v>23</v>
      </c>
      <c r="F1470" t="s">
        <v>24</v>
      </c>
      <c r="G1470">
        <v>233</v>
      </c>
      <c r="H1470">
        <v>22</v>
      </c>
      <c r="I1470">
        <v>4.46</v>
      </c>
      <c r="J1470">
        <v>2</v>
      </c>
      <c r="K1470">
        <v>3.15</v>
      </c>
      <c r="L1470">
        <v>1</v>
      </c>
      <c r="M1470">
        <v>11.39</v>
      </c>
      <c r="N1470">
        <v>0</v>
      </c>
      <c r="O1470">
        <v>0</v>
      </c>
      <c r="P1470">
        <v>802</v>
      </c>
      <c r="Q1470">
        <v>264</v>
      </c>
      <c r="R1470">
        <v>38</v>
      </c>
      <c r="S1470">
        <v>74</v>
      </c>
      <c r="T1470">
        <v>19</v>
      </c>
      <c r="U1470">
        <v>407</v>
      </c>
      <c r="V1470" s="1">
        <f t="shared" si="66"/>
        <v>9.4399999999999998E-2</v>
      </c>
      <c r="W1470" s="1">
        <f t="shared" si="67"/>
        <v>0</v>
      </c>
      <c r="X1470" s="1">
        <f t="shared" si="68"/>
        <v>0</v>
      </c>
    </row>
    <row r="1471" spans="1:24" x14ac:dyDescent="0.25">
      <c r="A1471">
        <v>2014</v>
      </c>
      <c r="B1471">
        <v>7</v>
      </c>
      <c r="C1471" t="s">
        <v>43</v>
      </c>
      <c r="D1471" t="str">
        <f>_xlfn.XLOOKUP(C1471,'Carrier Name Rename'!A:A,'Carrier Name Rename'!B:B)</f>
        <v>Southwest Airlines Co.</v>
      </c>
      <c r="E1471" t="s">
        <v>23</v>
      </c>
      <c r="F1471" t="s">
        <v>24</v>
      </c>
      <c r="G1471">
        <v>1408</v>
      </c>
      <c r="H1471">
        <v>485</v>
      </c>
      <c r="I1471">
        <v>151.63999999999999</v>
      </c>
      <c r="J1471">
        <v>4.5599999999999996</v>
      </c>
      <c r="K1471">
        <v>95.04</v>
      </c>
      <c r="L1471">
        <v>0.11</v>
      </c>
      <c r="M1471">
        <v>233.65</v>
      </c>
      <c r="N1471">
        <v>0</v>
      </c>
      <c r="O1471">
        <v>1</v>
      </c>
      <c r="P1471">
        <v>23442</v>
      </c>
      <c r="Q1471">
        <v>7565</v>
      </c>
      <c r="R1471">
        <v>270</v>
      </c>
      <c r="S1471">
        <v>3101</v>
      </c>
      <c r="T1471">
        <v>3</v>
      </c>
      <c r="U1471">
        <v>12503</v>
      </c>
      <c r="V1471" s="1">
        <f t="shared" si="66"/>
        <v>0.34449999999999997</v>
      </c>
      <c r="W1471" s="1">
        <f t="shared" si="67"/>
        <v>0</v>
      </c>
      <c r="X1471" s="1">
        <f t="shared" si="68"/>
        <v>6.9999999999999999E-4</v>
      </c>
    </row>
    <row r="1472" spans="1:24" x14ac:dyDescent="0.25">
      <c r="A1472">
        <v>2014</v>
      </c>
      <c r="B1472">
        <v>6</v>
      </c>
      <c r="C1472" t="s">
        <v>31</v>
      </c>
      <c r="D1472" t="str">
        <f>_xlfn.XLOOKUP(C1472,'Carrier Name Rename'!A:A,'Carrier Name Rename'!B:B)</f>
        <v>American Airlines Inc.</v>
      </c>
      <c r="E1472" t="s">
        <v>23</v>
      </c>
      <c r="F1472" t="s">
        <v>24</v>
      </c>
      <c r="G1472">
        <v>515</v>
      </c>
      <c r="H1472">
        <v>166</v>
      </c>
      <c r="I1472">
        <v>48.9</v>
      </c>
      <c r="J1472">
        <v>10.66</v>
      </c>
      <c r="K1472">
        <v>48.02</v>
      </c>
      <c r="L1472">
        <v>0</v>
      </c>
      <c r="M1472">
        <v>58.42</v>
      </c>
      <c r="N1472">
        <v>4</v>
      </c>
      <c r="O1472">
        <v>0</v>
      </c>
      <c r="P1472">
        <v>8344</v>
      </c>
      <c r="Q1472">
        <v>2034</v>
      </c>
      <c r="R1472">
        <v>815</v>
      </c>
      <c r="S1472">
        <v>1943</v>
      </c>
      <c r="T1472">
        <v>0</v>
      </c>
      <c r="U1472">
        <v>3552</v>
      </c>
      <c r="V1472" s="1">
        <f t="shared" si="66"/>
        <v>0.32229999999999998</v>
      </c>
      <c r="W1472" s="1">
        <f t="shared" si="67"/>
        <v>7.7999999999999996E-3</v>
      </c>
      <c r="X1472" s="1">
        <f t="shared" si="68"/>
        <v>0</v>
      </c>
    </row>
    <row r="1473" spans="1:24" x14ac:dyDescent="0.25">
      <c r="A1473">
        <v>2014</v>
      </c>
      <c r="B1473">
        <v>6</v>
      </c>
      <c r="C1473" t="s">
        <v>33</v>
      </c>
      <c r="D1473" t="str">
        <f>_xlfn.XLOOKUP(C1473,'Carrier Name Rename'!A:A,'Carrier Name Rename'!B:B)</f>
        <v>Alaska Airlines Inc.</v>
      </c>
      <c r="E1473" t="s">
        <v>23</v>
      </c>
      <c r="F1473" t="s">
        <v>24</v>
      </c>
      <c r="G1473">
        <v>4438</v>
      </c>
      <c r="H1473">
        <v>653</v>
      </c>
      <c r="I1473">
        <v>139.9</v>
      </c>
      <c r="J1473">
        <v>6.71</v>
      </c>
      <c r="K1473">
        <v>327.04000000000002</v>
      </c>
      <c r="L1473">
        <v>2.33</v>
      </c>
      <c r="M1473">
        <v>177.02</v>
      </c>
      <c r="N1473">
        <v>9</v>
      </c>
      <c r="O1473">
        <v>3</v>
      </c>
      <c r="P1473">
        <v>27699</v>
      </c>
      <c r="Q1473">
        <v>8341</v>
      </c>
      <c r="R1473">
        <v>645</v>
      </c>
      <c r="S1473">
        <v>8467</v>
      </c>
      <c r="T1473">
        <v>63</v>
      </c>
      <c r="U1473">
        <v>10183</v>
      </c>
      <c r="V1473" s="1">
        <f t="shared" si="66"/>
        <v>0.14710000000000001</v>
      </c>
      <c r="W1473" s="1">
        <f t="shared" si="67"/>
        <v>2E-3</v>
      </c>
      <c r="X1473" s="1">
        <f t="shared" si="68"/>
        <v>6.9999999999999999E-4</v>
      </c>
    </row>
    <row r="1474" spans="1:24" x14ac:dyDescent="0.25">
      <c r="A1474">
        <v>2014</v>
      </c>
      <c r="B1474">
        <v>6</v>
      </c>
      <c r="C1474" t="s">
        <v>35</v>
      </c>
      <c r="D1474" t="str">
        <f>_xlfn.XLOOKUP(C1474,'Carrier Name Rename'!A:A,'Carrier Name Rename'!B:B)</f>
        <v>JetBlue Airways</v>
      </c>
      <c r="E1474" t="s">
        <v>23</v>
      </c>
      <c r="F1474" t="s">
        <v>24</v>
      </c>
      <c r="G1474">
        <v>266</v>
      </c>
      <c r="H1474">
        <v>39</v>
      </c>
      <c r="I1474">
        <v>14.77</v>
      </c>
      <c r="J1474">
        <v>0</v>
      </c>
      <c r="K1474">
        <v>12.93</v>
      </c>
      <c r="L1474">
        <v>0</v>
      </c>
      <c r="M1474">
        <v>11.3</v>
      </c>
      <c r="N1474">
        <v>2</v>
      </c>
      <c r="O1474">
        <v>1</v>
      </c>
      <c r="P1474">
        <v>1724</v>
      </c>
      <c r="Q1474">
        <v>662</v>
      </c>
      <c r="R1474">
        <v>0</v>
      </c>
      <c r="S1474">
        <v>430</v>
      </c>
      <c r="T1474">
        <v>0</v>
      </c>
      <c r="U1474">
        <v>632</v>
      </c>
      <c r="V1474" s="1">
        <f t="shared" si="66"/>
        <v>0.14660000000000001</v>
      </c>
      <c r="W1474" s="1">
        <f t="shared" si="67"/>
        <v>7.4999999999999997E-3</v>
      </c>
      <c r="X1474" s="1">
        <f t="shared" si="68"/>
        <v>3.8E-3</v>
      </c>
    </row>
    <row r="1475" spans="1:24" x14ac:dyDescent="0.25">
      <c r="A1475">
        <v>2014</v>
      </c>
      <c r="B1475">
        <v>6</v>
      </c>
      <c r="C1475" t="s">
        <v>37</v>
      </c>
      <c r="D1475" t="str">
        <f>_xlfn.XLOOKUP(C1475,'Carrier Name Rename'!A:A,'Carrier Name Rename'!B:B)</f>
        <v>Delta Air Lines Inc.</v>
      </c>
      <c r="E1475" t="s">
        <v>23</v>
      </c>
      <c r="F1475" t="s">
        <v>24</v>
      </c>
      <c r="G1475">
        <v>1113</v>
      </c>
      <c r="H1475">
        <v>171</v>
      </c>
      <c r="I1475">
        <v>70.16</v>
      </c>
      <c r="J1475">
        <v>7.14</v>
      </c>
      <c r="K1475">
        <v>48.75</v>
      </c>
      <c r="L1475">
        <v>0.65</v>
      </c>
      <c r="M1475">
        <v>44.29</v>
      </c>
      <c r="N1475">
        <v>1</v>
      </c>
      <c r="O1475">
        <v>0</v>
      </c>
      <c r="P1475">
        <v>8760</v>
      </c>
      <c r="Q1475">
        <v>4631</v>
      </c>
      <c r="R1475">
        <v>343</v>
      </c>
      <c r="S1475">
        <v>1521</v>
      </c>
      <c r="T1475">
        <v>49</v>
      </c>
      <c r="U1475">
        <v>2216</v>
      </c>
      <c r="V1475" s="1">
        <f t="shared" ref="V1475:V1538" si="69">ROUND(H1475/G1475,4)</f>
        <v>0.15359999999999999</v>
      </c>
      <c r="W1475" s="1">
        <f t="shared" ref="W1475:W1538" si="70">ROUND(N1475/G1475,4)</f>
        <v>8.9999999999999998E-4</v>
      </c>
      <c r="X1475" s="1">
        <f t="shared" ref="X1475:X1538" si="71">ROUND(O1475/G1475,4)</f>
        <v>0</v>
      </c>
    </row>
    <row r="1476" spans="1:24" x14ac:dyDescent="0.25">
      <c r="A1476">
        <v>2014</v>
      </c>
      <c r="B1476">
        <v>6</v>
      </c>
      <c r="C1476" t="s">
        <v>39</v>
      </c>
      <c r="D1476" t="str">
        <f>_xlfn.XLOOKUP(C1476,'Carrier Name Rename'!A:A,'Carrier Name Rename'!B:B)</f>
        <v>Frontier Airlines Inc.</v>
      </c>
      <c r="E1476" t="s">
        <v>23</v>
      </c>
      <c r="F1476" t="s">
        <v>24</v>
      </c>
      <c r="G1476">
        <v>133</v>
      </c>
      <c r="H1476">
        <v>49</v>
      </c>
      <c r="I1476">
        <v>7.67</v>
      </c>
      <c r="J1476">
        <v>1.98</v>
      </c>
      <c r="K1476">
        <v>26.4</v>
      </c>
      <c r="L1476">
        <v>0</v>
      </c>
      <c r="M1476">
        <v>12.95</v>
      </c>
      <c r="N1476">
        <v>0</v>
      </c>
      <c r="O1476">
        <v>0</v>
      </c>
      <c r="P1476">
        <v>2291</v>
      </c>
      <c r="Q1476">
        <v>269</v>
      </c>
      <c r="R1476">
        <v>114</v>
      </c>
      <c r="S1476">
        <v>882</v>
      </c>
      <c r="T1476">
        <v>0</v>
      </c>
      <c r="U1476">
        <v>1026</v>
      </c>
      <c r="V1476" s="1">
        <f t="shared" si="69"/>
        <v>0.36840000000000001</v>
      </c>
      <c r="W1476" s="1">
        <f t="shared" si="70"/>
        <v>0</v>
      </c>
      <c r="X1476" s="1">
        <f t="shared" si="71"/>
        <v>0</v>
      </c>
    </row>
    <row r="1477" spans="1:24" x14ac:dyDescent="0.25">
      <c r="A1477">
        <v>2014</v>
      </c>
      <c r="B1477">
        <v>6</v>
      </c>
      <c r="C1477" t="s">
        <v>21</v>
      </c>
      <c r="D1477" t="str">
        <f>_xlfn.XLOOKUP(C1477,'Carrier Name Rename'!A:A,'Carrier Name Rename'!B:B)</f>
        <v>Hawaiian Airlines Inc.</v>
      </c>
      <c r="E1477" t="s">
        <v>23</v>
      </c>
      <c r="F1477" t="s">
        <v>24</v>
      </c>
      <c r="G1477">
        <v>60</v>
      </c>
      <c r="H1477">
        <v>10</v>
      </c>
      <c r="I1477">
        <v>9</v>
      </c>
      <c r="J1477">
        <v>0</v>
      </c>
      <c r="K1477">
        <v>1</v>
      </c>
      <c r="L1477">
        <v>0</v>
      </c>
      <c r="M1477">
        <v>0</v>
      </c>
      <c r="N1477">
        <v>0</v>
      </c>
      <c r="O1477">
        <v>0</v>
      </c>
      <c r="P1477">
        <v>301</v>
      </c>
      <c r="Q1477">
        <v>278</v>
      </c>
      <c r="R1477">
        <v>0</v>
      </c>
      <c r="S1477">
        <v>23</v>
      </c>
      <c r="T1477">
        <v>0</v>
      </c>
      <c r="U1477">
        <v>0</v>
      </c>
      <c r="V1477" s="1">
        <f t="shared" si="69"/>
        <v>0.16669999999999999</v>
      </c>
      <c r="W1477" s="1">
        <f t="shared" si="70"/>
        <v>0</v>
      </c>
      <c r="X1477" s="1">
        <f t="shared" si="71"/>
        <v>0</v>
      </c>
    </row>
    <row r="1478" spans="1:24" x14ac:dyDescent="0.25">
      <c r="A1478">
        <v>2014</v>
      </c>
      <c r="B1478">
        <v>6</v>
      </c>
      <c r="C1478" t="s">
        <v>27</v>
      </c>
      <c r="D1478" t="str">
        <f>_xlfn.XLOOKUP(C1478,'Carrier Name Rename'!A:A,'Carrier Name Rename'!B:B)</f>
        <v>SkyWest Airlines Inc.</v>
      </c>
      <c r="E1478" t="s">
        <v>23</v>
      </c>
      <c r="F1478" t="s">
        <v>24</v>
      </c>
      <c r="G1478">
        <v>672</v>
      </c>
      <c r="H1478">
        <v>71</v>
      </c>
      <c r="I1478">
        <v>12.78</v>
      </c>
      <c r="J1478">
        <v>0</v>
      </c>
      <c r="K1478">
        <v>23.44</v>
      </c>
      <c r="L1478">
        <v>0</v>
      </c>
      <c r="M1478">
        <v>34.78</v>
      </c>
      <c r="N1478">
        <v>5</v>
      </c>
      <c r="O1478">
        <v>0</v>
      </c>
      <c r="P1478">
        <v>3416</v>
      </c>
      <c r="Q1478">
        <v>1106</v>
      </c>
      <c r="R1478">
        <v>0</v>
      </c>
      <c r="S1478">
        <v>516</v>
      </c>
      <c r="T1478">
        <v>0</v>
      </c>
      <c r="U1478">
        <v>1794</v>
      </c>
      <c r="V1478" s="1">
        <f t="shared" si="69"/>
        <v>0.1057</v>
      </c>
      <c r="W1478" s="1">
        <f t="shared" si="70"/>
        <v>7.4000000000000003E-3</v>
      </c>
      <c r="X1478" s="1">
        <f t="shared" si="71"/>
        <v>0</v>
      </c>
    </row>
    <row r="1479" spans="1:24" x14ac:dyDescent="0.25">
      <c r="A1479">
        <v>2014</v>
      </c>
      <c r="B1479">
        <v>6</v>
      </c>
      <c r="C1479" t="s">
        <v>41</v>
      </c>
      <c r="D1479" t="str">
        <f>_xlfn.XLOOKUP(C1479,'Carrier Name Rename'!A:A,'Carrier Name Rename'!B:B)</f>
        <v>United Air Lines Inc.</v>
      </c>
      <c r="E1479" t="s">
        <v>23</v>
      </c>
      <c r="F1479" t="s">
        <v>24</v>
      </c>
      <c r="G1479">
        <v>1027</v>
      </c>
      <c r="H1479">
        <v>312</v>
      </c>
      <c r="I1479">
        <v>136.85</v>
      </c>
      <c r="J1479">
        <v>10.99</v>
      </c>
      <c r="K1479">
        <v>63.28</v>
      </c>
      <c r="L1479">
        <v>0</v>
      </c>
      <c r="M1479">
        <v>100.89</v>
      </c>
      <c r="N1479">
        <v>8</v>
      </c>
      <c r="O1479">
        <v>0</v>
      </c>
      <c r="P1479">
        <v>18866</v>
      </c>
      <c r="Q1479">
        <v>6275</v>
      </c>
      <c r="R1479">
        <v>1443</v>
      </c>
      <c r="S1479">
        <v>2645</v>
      </c>
      <c r="T1479">
        <v>0</v>
      </c>
      <c r="U1479">
        <v>8503</v>
      </c>
      <c r="V1479" s="1">
        <f t="shared" si="69"/>
        <v>0.30380000000000001</v>
      </c>
      <c r="W1479" s="1">
        <f t="shared" si="70"/>
        <v>7.7999999999999996E-3</v>
      </c>
      <c r="X1479" s="1">
        <f t="shared" si="71"/>
        <v>0</v>
      </c>
    </row>
    <row r="1480" spans="1:24" x14ac:dyDescent="0.25">
      <c r="A1480">
        <v>2014</v>
      </c>
      <c r="B1480">
        <v>6</v>
      </c>
      <c r="C1480" t="s">
        <v>61</v>
      </c>
      <c r="D1480" t="str">
        <f>_xlfn.XLOOKUP(C1480,'Carrier Name Rename'!A:A,'Carrier Name Rename'!B:B)</f>
        <v>US Airways Inc.</v>
      </c>
      <c r="E1480" t="s">
        <v>23</v>
      </c>
      <c r="F1480" t="s">
        <v>24</v>
      </c>
      <c r="G1480">
        <v>412</v>
      </c>
      <c r="H1480">
        <v>106</v>
      </c>
      <c r="I1480">
        <v>43.9</v>
      </c>
      <c r="J1480">
        <v>3.57</v>
      </c>
      <c r="K1480">
        <v>36.950000000000003</v>
      </c>
      <c r="L1480">
        <v>0.79</v>
      </c>
      <c r="M1480">
        <v>20.78</v>
      </c>
      <c r="N1480">
        <v>2</v>
      </c>
      <c r="O1480">
        <v>1</v>
      </c>
      <c r="P1480">
        <v>5830</v>
      </c>
      <c r="Q1480">
        <v>2672</v>
      </c>
      <c r="R1480">
        <v>700</v>
      </c>
      <c r="S1480">
        <v>1413</v>
      </c>
      <c r="T1480">
        <v>23</v>
      </c>
      <c r="U1480">
        <v>1022</v>
      </c>
      <c r="V1480" s="1">
        <f t="shared" si="69"/>
        <v>0.25729999999999997</v>
      </c>
      <c r="W1480" s="1">
        <f t="shared" si="70"/>
        <v>4.8999999999999998E-3</v>
      </c>
      <c r="X1480" s="1">
        <f t="shared" si="71"/>
        <v>2.3999999999999998E-3</v>
      </c>
    </row>
    <row r="1481" spans="1:24" x14ac:dyDescent="0.25">
      <c r="A1481">
        <v>2014</v>
      </c>
      <c r="B1481">
        <v>6</v>
      </c>
      <c r="C1481" t="s">
        <v>51</v>
      </c>
      <c r="D1481" t="str">
        <f>_xlfn.XLOOKUP(C1481,'Carrier Name Rename'!A:A,'Carrier Name Rename'!B:B)</f>
        <v>Virgin America</v>
      </c>
      <c r="E1481" t="s">
        <v>23</v>
      </c>
      <c r="F1481" t="s">
        <v>24</v>
      </c>
      <c r="G1481">
        <v>226</v>
      </c>
      <c r="H1481">
        <v>27</v>
      </c>
      <c r="I1481">
        <v>9.43</v>
      </c>
      <c r="J1481">
        <v>0.46</v>
      </c>
      <c r="K1481">
        <v>2.27</v>
      </c>
      <c r="L1481">
        <v>0</v>
      </c>
      <c r="M1481">
        <v>14.84</v>
      </c>
      <c r="N1481">
        <v>0</v>
      </c>
      <c r="O1481">
        <v>0</v>
      </c>
      <c r="P1481">
        <v>1360</v>
      </c>
      <c r="Q1481">
        <v>660</v>
      </c>
      <c r="R1481">
        <v>28</v>
      </c>
      <c r="S1481">
        <v>52</v>
      </c>
      <c r="T1481">
        <v>0</v>
      </c>
      <c r="U1481">
        <v>620</v>
      </c>
      <c r="V1481" s="1">
        <f t="shared" si="69"/>
        <v>0.1195</v>
      </c>
      <c r="W1481" s="1">
        <f t="shared" si="70"/>
        <v>0</v>
      </c>
      <c r="X1481" s="1">
        <f t="shared" si="71"/>
        <v>0</v>
      </c>
    </row>
    <row r="1482" spans="1:24" x14ac:dyDescent="0.25">
      <c r="A1482">
        <v>2014</v>
      </c>
      <c r="B1482">
        <v>6</v>
      </c>
      <c r="C1482" t="s">
        <v>43</v>
      </c>
      <c r="D1482" t="str">
        <f>_xlfn.XLOOKUP(C1482,'Carrier Name Rename'!A:A,'Carrier Name Rename'!B:B)</f>
        <v>Southwest Airlines Co.</v>
      </c>
      <c r="E1482" t="s">
        <v>23</v>
      </c>
      <c r="F1482" t="s">
        <v>24</v>
      </c>
      <c r="G1482">
        <v>1279</v>
      </c>
      <c r="H1482">
        <v>519</v>
      </c>
      <c r="I1482">
        <v>156.44999999999999</v>
      </c>
      <c r="J1482">
        <v>2.83</v>
      </c>
      <c r="K1482">
        <v>126.41</v>
      </c>
      <c r="L1482">
        <v>0.12</v>
      </c>
      <c r="M1482">
        <v>233.19</v>
      </c>
      <c r="N1482">
        <v>4</v>
      </c>
      <c r="O1482">
        <v>2</v>
      </c>
      <c r="P1482">
        <v>25299</v>
      </c>
      <c r="Q1482">
        <v>7362</v>
      </c>
      <c r="R1482">
        <v>241</v>
      </c>
      <c r="S1482">
        <v>4092</v>
      </c>
      <c r="T1482">
        <v>5</v>
      </c>
      <c r="U1482">
        <v>13599</v>
      </c>
      <c r="V1482" s="1">
        <f t="shared" si="69"/>
        <v>0.40579999999999999</v>
      </c>
      <c r="W1482" s="1">
        <f t="shared" si="70"/>
        <v>3.0999999999999999E-3</v>
      </c>
      <c r="X1482" s="1">
        <f t="shared" si="71"/>
        <v>1.6000000000000001E-3</v>
      </c>
    </row>
    <row r="1483" spans="1:24" x14ac:dyDescent="0.25">
      <c r="A1483">
        <v>2014</v>
      </c>
      <c r="B1483">
        <v>5</v>
      </c>
      <c r="C1483" t="s">
        <v>31</v>
      </c>
      <c r="D1483" t="str">
        <f>_xlfn.XLOOKUP(C1483,'Carrier Name Rename'!A:A,'Carrier Name Rename'!B:B)</f>
        <v>American Airlines Inc.</v>
      </c>
      <c r="E1483" t="s">
        <v>23</v>
      </c>
      <c r="F1483" t="s">
        <v>24</v>
      </c>
      <c r="G1483">
        <v>470</v>
      </c>
      <c r="H1483">
        <v>93</v>
      </c>
      <c r="I1483">
        <v>28.4</v>
      </c>
      <c r="J1483">
        <v>8.6999999999999993</v>
      </c>
      <c r="K1483">
        <v>23.52</v>
      </c>
      <c r="L1483">
        <v>0</v>
      </c>
      <c r="M1483">
        <v>32.380000000000003</v>
      </c>
      <c r="N1483">
        <v>4</v>
      </c>
      <c r="O1483">
        <v>0</v>
      </c>
      <c r="P1483">
        <v>5452</v>
      </c>
      <c r="Q1483">
        <v>1406</v>
      </c>
      <c r="R1483">
        <v>863</v>
      </c>
      <c r="S1483">
        <v>992</v>
      </c>
      <c r="T1483">
        <v>0</v>
      </c>
      <c r="U1483">
        <v>2191</v>
      </c>
      <c r="V1483" s="1">
        <f t="shared" si="69"/>
        <v>0.19789999999999999</v>
      </c>
      <c r="W1483" s="1">
        <f t="shared" si="70"/>
        <v>8.5000000000000006E-3</v>
      </c>
      <c r="X1483" s="1">
        <f t="shared" si="71"/>
        <v>0</v>
      </c>
    </row>
    <row r="1484" spans="1:24" x14ac:dyDescent="0.25">
      <c r="A1484">
        <v>2014</v>
      </c>
      <c r="B1484">
        <v>5</v>
      </c>
      <c r="C1484" t="s">
        <v>33</v>
      </c>
      <c r="D1484" t="str">
        <f>_xlfn.XLOOKUP(C1484,'Carrier Name Rename'!A:A,'Carrier Name Rename'!B:B)</f>
        <v>Alaska Airlines Inc.</v>
      </c>
      <c r="E1484" t="s">
        <v>23</v>
      </c>
      <c r="F1484" t="s">
        <v>24</v>
      </c>
      <c r="G1484">
        <v>4147</v>
      </c>
      <c r="H1484">
        <v>392</v>
      </c>
      <c r="I1484">
        <v>96.9</v>
      </c>
      <c r="J1484">
        <v>2.52</v>
      </c>
      <c r="K1484">
        <v>168.64</v>
      </c>
      <c r="L1484">
        <v>2.04</v>
      </c>
      <c r="M1484">
        <v>121.9</v>
      </c>
      <c r="N1484">
        <v>5</v>
      </c>
      <c r="O1484">
        <v>4</v>
      </c>
      <c r="P1484">
        <v>19444</v>
      </c>
      <c r="Q1484">
        <v>6018</v>
      </c>
      <c r="R1484">
        <v>314</v>
      </c>
      <c r="S1484">
        <v>4521</v>
      </c>
      <c r="T1484">
        <v>54</v>
      </c>
      <c r="U1484">
        <v>8537</v>
      </c>
      <c r="V1484" s="1">
        <f t="shared" si="69"/>
        <v>9.4500000000000001E-2</v>
      </c>
      <c r="W1484" s="1">
        <f t="shared" si="70"/>
        <v>1.1999999999999999E-3</v>
      </c>
      <c r="X1484" s="1">
        <f t="shared" si="71"/>
        <v>1E-3</v>
      </c>
    </row>
    <row r="1485" spans="1:24" x14ac:dyDescent="0.25">
      <c r="A1485">
        <v>2014</v>
      </c>
      <c r="B1485">
        <v>5</v>
      </c>
      <c r="C1485" t="s">
        <v>35</v>
      </c>
      <c r="D1485" t="str">
        <f>_xlfn.XLOOKUP(C1485,'Carrier Name Rename'!A:A,'Carrier Name Rename'!B:B)</f>
        <v>JetBlue Airways</v>
      </c>
      <c r="E1485" t="s">
        <v>23</v>
      </c>
      <c r="F1485" t="s">
        <v>24</v>
      </c>
      <c r="G1485">
        <v>219</v>
      </c>
      <c r="H1485">
        <v>31</v>
      </c>
      <c r="I1485">
        <v>11.01</v>
      </c>
      <c r="J1485">
        <v>0.91</v>
      </c>
      <c r="K1485">
        <v>8.9499999999999993</v>
      </c>
      <c r="L1485">
        <v>0</v>
      </c>
      <c r="M1485">
        <v>10.130000000000001</v>
      </c>
      <c r="N1485">
        <v>5</v>
      </c>
      <c r="O1485">
        <v>0</v>
      </c>
      <c r="P1485">
        <v>1581</v>
      </c>
      <c r="Q1485">
        <v>655</v>
      </c>
      <c r="R1485">
        <v>157</v>
      </c>
      <c r="S1485">
        <v>216</v>
      </c>
      <c r="T1485">
        <v>0</v>
      </c>
      <c r="U1485">
        <v>553</v>
      </c>
      <c r="V1485" s="1">
        <f t="shared" si="69"/>
        <v>0.1416</v>
      </c>
      <c r="W1485" s="1">
        <f t="shared" si="70"/>
        <v>2.2800000000000001E-2</v>
      </c>
      <c r="X1485" s="1">
        <f t="shared" si="71"/>
        <v>0</v>
      </c>
    </row>
    <row r="1486" spans="1:24" x14ac:dyDescent="0.25">
      <c r="A1486">
        <v>2014</v>
      </c>
      <c r="B1486">
        <v>5</v>
      </c>
      <c r="C1486" t="s">
        <v>37</v>
      </c>
      <c r="D1486" t="str">
        <f>_xlfn.XLOOKUP(C1486,'Carrier Name Rename'!A:A,'Carrier Name Rename'!B:B)</f>
        <v>Delta Air Lines Inc.</v>
      </c>
      <c r="E1486" t="s">
        <v>23</v>
      </c>
      <c r="F1486" t="s">
        <v>24</v>
      </c>
      <c r="G1486">
        <v>848</v>
      </c>
      <c r="H1486">
        <v>134</v>
      </c>
      <c r="I1486">
        <v>56.11</v>
      </c>
      <c r="J1486">
        <v>3.27</v>
      </c>
      <c r="K1486">
        <v>47.47</v>
      </c>
      <c r="L1486">
        <v>1</v>
      </c>
      <c r="M1486">
        <v>26.16</v>
      </c>
      <c r="N1486">
        <v>1</v>
      </c>
      <c r="O1486">
        <v>0</v>
      </c>
      <c r="P1486">
        <v>6359</v>
      </c>
      <c r="Q1486">
        <v>2925</v>
      </c>
      <c r="R1486">
        <v>156</v>
      </c>
      <c r="S1486">
        <v>1526</v>
      </c>
      <c r="T1486">
        <v>190</v>
      </c>
      <c r="U1486">
        <v>1562</v>
      </c>
      <c r="V1486" s="1">
        <f t="shared" si="69"/>
        <v>0.158</v>
      </c>
      <c r="W1486" s="1">
        <f t="shared" si="70"/>
        <v>1.1999999999999999E-3</v>
      </c>
      <c r="X1486" s="1">
        <f t="shared" si="71"/>
        <v>0</v>
      </c>
    </row>
    <row r="1487" spans="1:24" x14ac:dyDescent="0.25">
      <c r="A1487">
        <v>2014</v>
      </c>
      <c r="B1487">
        <v>5</v>
      </c>
      <c r="C1487" t="s">
        <v>39</v>
      </c>
      <c r="D1487" t="str">
        <f>_xlfn.XLOOKUP(C1487,'Carrier Name Rename'!A:A,'Carrier Name Rename'!B:B)</f>
        <v>Frontier Airlines Inc.</v>
      </c>
      <c r="E1487" t="s">
        <v>23</v>
      </c>
      <c r="F1487" t="s">
        <v>24</v>
      </c>
      <c r="G1487">
        <v>140</v>
      </c>
      <c r="H1487">
        <v>35</v>
      </c>
      <c r="I1487">
        <v>9.25</v>
      </c>
      <c r="J1487">
        <v>0.08</v>
      </c>
      <c r="K1487">
        <v>10.9</v>
      </c>
      <c r="L1487">
        <v>0</v>
      </c>
      <c r="M1487">
        <v>14.77</v>
      </c>
      <c r="N1487">
        <v>1</v>
      </c>
      <c r="O1487">
        <v>0</v>
      </c>
      <c r="P1487">
        <v>2207</v>
      </c>
      <c r="Q1487">
        <v>406</v>
      </c>
      <c r="R1487">
        <v>7</v>
      </c>
      <c r="S1487">
        <v>664</v>
      </c>
      <c r="T1487">
        <v>0</v>
      </c>
      <c r="U1487">
        <v>1130</v>
      </c>
      <c r="V1487" s="1">
        <f t="shared" si="69"/>
        <v>0.25</v>
      </c>
      <c r="W1487" s="1">
        <f t="shared" si="70"/>
        <v>7.1000000000000004E-3</v>
      </c>
      <c r="X1487" s="1">
        <f t="shared" si="71"/>
        <v>0</v>
      </c>
    </row>
    <row r="1488" spans="1:24" x14ac:dyDescent="0.25">
      <c r="A1488">
        <v>2014</v>
      </c>
      <c r="B1488">
        <v>5</v>
      </c>
      <c r="C1488" t="s">
        <v>21</v>
      </c>
      <c r="D1488" t="str">
        <f>_xlfn.XLOOKUP(C1488,'Carrier Name Rename'!A:A,'Carrier Name Rename'!B:B)</f>
        <v>Hawaiian Airlines Inc.</v>
      </c>
      <c r="E1488" t="s">
        <v>23</v>
      </c>
      <c r="F1488" t="s">
        <v>24</v>
      </c>
      <c r="G1488">
        <v>62</v>
      </c>
      <c r="H1488">
        <v>5</v>
      </c>
      <c r="I1488">
        <v>4</v>
      </c>
      <c r="J1488">
        <v>0</v>
      </c>
      <c r="K1488">
        <v>0</v>
      </c>
      <c r="L1488">
        <v>0</v>
      </c>
      <c r="M1488">
        <v>1</v>
      </c>
      <c r="N1488">
        <v>0</v>
      </c>
      <c r="O1488">
        <v>0</v>
      </c>
      <c r="P1488">
        <v>143</v>
      </c>
      <c r="Q1488">
        <v>125</v>
      </c>
      <c r="R1488">
        <v>0</v>
      </c>
      <c r="S1488">
        <v>0</v>
      </c>
      <c r="T1488">
        <v>0</v>
      </c>
      <c r="U1488">
        <v>18</v>
      </c>
      <c r="V1488" s="1">
        <f t="shared" si="69"/>
        <v>8.0600000000000005E-2</v>
      </c>
      <c r="W1488" s="1">
        <f t="shared" si="70"/>
        <v>0</v>
      </c>
      <c r="X1488" s="1">
        <f t="shared" si="71"/>
        <v>0</v>
      </c>
    </row>
    <row r="1489" spans="1:24" x14ac:dyDescent="0.25">
      <c r="A1489">
        <v>2014</v>
      </c>
      <c r="B1489">
        <v>5</v>
      </c>
      <c r="C1489" t="s">
        <v>27</v>
      </c>
      <c r="D1489" t="str">
        <f>_xlfn.XLOOKUP(C1489,'Carrier Name Rename'!A:A,'Carrier Name Rename'!B:B)</f>
        <v>SkyWest Airlines Inc.</v>
      </c>
      <c r="E1489" t="s">
        <v>23</v>
      </c>
      <c r="F1489" t="s">
        <v>24</v>
      </c>
      <c r="G1489">
        <v>736</v>
      </c>
      <c r="H1489">
        <v>79</v>
      </c>
      <c r="I1489">
        <v>28.46</v>
      </c>
      <c r="J1489">
        <v>0</v>
      </c>
      <c r="K1489">
        <v>18.239999999999998</v>
      </c>
      <c r="L1489">
        <v>0</v>
      </c>
      <c r="M1489">
        <v>32.299999999999997</v>
      </c>
      <c r="N1489">
        <v>4</v>
      </c>
      <c r="O1489">
        <v>0</v>
      </c>
      <c r="P1489">
        <v>4138</v>
      </c>
      <c r="Q1489">
        <v>2056</v>
      </c>
      <c r="R1489">
        <v>0</v>
      </c>
      <c r="S1489">
        <v>457</v>
      </c>
      <c r="T1489">
        <v>0</v>
      </c>
      <c r="U1489">
        <v>1625</v>
      </c>
      <c r="V1489" s="1">
        <f t="shared" si="69"/>
        <v>0.10730000000000001</v>
      </c>
      <c r="W1489" s="1">
        <f t="shared" si="70"/>
        <v>5.4000000000000003E-3</v>
      </c>
      <c r="X1489" s="1">
        <f t="shared" si="71"/>
        <v>0</v>
      </c>
    </row>
    <row r="1490" spans="1:24" x14ac:dyDescent="0.25">
      <c r="A1490">
        <v>2014</v>
      </c>
      <c r="B1490">
        <v>5</v>
      </c>
      <c r="C1490" t="s">
        <v>41</v>
      </c>
      <c r="D1490" t="str">
        <f>_xlfn.XLOOKUP(C1490,'Carrier Name Rename'!A:A,'Carrier Name Rename'!B:B)</f>
        <v>United Air Lines Inc.</v>
      </c>
      <c r="E1490" t="s">
        <v>23</v>
      </c>
      <c r="F1490" t="s">
        <v>24</v>
      </c>
      <c r="G1490">
        <v>1001</v>
      </c>
      <c r="H1490">
        <v>172</v>
      </c>
      <c r="I1490">
        <v>61.97</v>
      </c>
      <c r="J1490">
        <v>7.18</v>
      </c>
      <c r="K1490">
        <v>42.27</v>
      </c>
      <c r="L1490">
        <v>0</v>
      </c>
      <c r="M1490">
        <v>60.58</v>
      </c>
      <c r="N1490">
        <v>8</v>
      </c>
      <c r="O1490">
        <v>0</v>
      </c>
      <c r="P1490">
        <v>10508</v>
      </c>
      <c r="Q1490">
        <v>3418</v>
      </c>
      <c r="R1490">
        <v>348</v>
      </c>
      <c r="S1490">
        <v>2299</v>
      </c>
      <c r="T1490">
        <v>0</v>
      </c>
      <c r="U1490">
        <v>4443</v>
      </c>
      <c r="V1490" s="1">
        <f t="shared" si="69"/>
        <v>0.17180000000000001</v>
      </c>
      <c r="W1490" s="1">
        <f t="shared" si="70"/>
        <v>8.0000000000000002E-3</v>
      </c>
      <c r="X1490" s="1">
        <f t="shared" si="71"/>
        <v>0</v>
      </c>
    </row>
    <row r="1491" spans="1:24" x14ac:dyDescent="0.25">
      <c r="A1491">
        <v>2014</v>
      </c>
      <c r="B1491">
        <v>5</v>
      </c>
      <c r="C1491" t="s">
        <v>61</v>
      </c>
      <c r="D1491" t="str">
        <f>_xlfn.XLOOKUP(C1491,'Carrier Name Rename'!A:A,'Carrier Name Rename'!B:B)</f>
        <v>US Airways Inc.</v>
      </c>
      <c r="E1491" t="s">
        <v>23</v>
      </c>
      <c r="F1491" t="s">
        <v>24</v>
      </c>
      <c r="G1491">
        <v>356</v>
      </c>
      <c r="H1491">
        <v>64</v>
      </c>
      <c r="I1491">
        <v>27.52</v>
      </c>
      <c r="J1491">
        <v>1.37</v>
      </c>
      <c r="K1491">
        <v>23.38</v>
      </c>
      <c r="L1491">
        <v>0.63</v>
      </c>
      <c r="M1491">
        <v>11.09</v>
      </c>
      <c r="N1491">
        <v>0</v>
      </c>
      <c r="O1491">
        <v>1</v>
      </c>
      <c r="P1491">
        <v>2683</v>
      </c>
      <c r="Q1491">
        <v>1321</v>
      </c>
      <c r="R1491">
        <v>80</v>
      </c>
      <c r="S1491">
        <v>724</v>
      </c>
      <c r="T1491">
        <v>30</v>
      </c>
      <c r="U1491">
        <v>528</v>
      </c>
      <c r="V1491" s="1">
        <f t="shared" si="69"/>
        <v>0.17979999999999999</v>
      </c>
      <c r="W1491" s="1">
        <f t="shared" si="70"/>
        <v>0</v>
      </c>
      <c r="X1491" s="1">
        <f t="shared" si="71"/>
        <v>2.8E-3</v>
      </c>
    </row>
    <row r="1492" spans="1:24" x14ac:dyDescent="0.25">
      <c r="A1492">
        <v>2014</v>
      </c>
      <c r="B1492">
        <v>5</v>
      </c>
      <c r="C1492" t="s">
        <v>51</v>
      </c>
      <c r="D1492" t="str">
        <f>_xlfn.XLOOKUP(C1492,'Carrier Name Rename'!A:A,'Carrier Name Rename'!B:B)</f>
        <v>Virgin America</v>
      </c>
      <c r="E1492" t="s">
        <v>23</v>
      </c>
      <c r="F1492" t="s">
        <v>24</v>
      </c>
      <c r="G1492">
        <v>232</v>
      </c>
      <c r="H1492">
        <v>29</v>
      </c>
      <c r="I1492">
        <v>4.6399999999999997</v>
      </c>
      <c r="J1492">
        <v>2.04</v>
      </c>
      <c r="K1492">
        <v>3.71</v>
      </c>
      <c r="L1492">
        <v>0</v>
      </c>
      <c r="M1492">
        <v>18.62</v>
      </c>
      <c r="N1492">
        <v>0</v>
      </c>
      <c r="O1492">
        <v>0</v>
      </c>
      <c r="P1492">
        <v>1414</v>
      </c>
      <c r="Q1492">
        <v>281</v>
      </c>
      <c r="R1492">
        <v>52</v>
      </c>
      <c r="S1492">
        <v>147</v>
      </c>
      <c r="T1492">
        <v>0</v>
      </c>
      <c r="U1492">
        <v>934</v>
      </c>
      <c r="V1492" s="1">
        <f t="shared" si="69"/>
        <v>0.125</v>
      </c>
      <c r="W1492" s="1">
        <f t="shared" si="70"/>
        <v>0</v>
      </c>
      <c r="X1492" s="1">
        <f t="shared" si="71"/>
        <v>0</v>
      </c>
    </row>
    <row r="1493" spans="1:24" x14ac:dyDescent="0.25">
      <c r="A1493">
        <v>2014</v>
      </c>
      <c r="B1493">
        <v>5</v>
      </c>
      <c r="C1493" t="s">
        <v>43</v>
      </c>
      <c r="D1493" t="str">
        <f>_xlfn.XLOOKUP(C1493,'Carrier Name Rename'!A:A,'Carrier Name Rename'!B:B)</f>
        <v>Southwest Airlines Co.</v>
      </c>
      <c r="E1493" t="s">
        <v>23</v>
      </c>
      <c r="F1493" t="s">
        <v>24</v>
      </c>
      <c r="G1493">
        <v>997</v>
      </c>
      <c r="H1493">
        <v>320</v>
      </c>
      <c r="I1493">
        <v>103.95</v>
      </c>
      <c r="J1493">
        <v>0.99</v>
      </c>
      <c r="K1493">
        <v>34.57</v>
      </c>
      <c r="L1493">
        <v>0</v>
      </c>
      <c r="M1493">
        <v>180.49</v>
      </c>
      <c r="N1493">
        <v>1</v>
      </c>
      <c r="O1493">
        <v>0</v>
      </c>
      <c r="P1493">
        <v>16019</v>
      </c>
      <c r="Q1493">
        <v>4529</v>
      </c>
      <c r="R1493">
        <v>152</v>
      </c>
      <c r="S1493">
        <v>1203</v>
      </c>
      <c r="T1493">
        <v>0</v>
      </c>
      <c r="U1493">
        <v>10135</v>
      </c>
      <c r="V1493" s="1">
        <f t="shared" si="69"/>
        <v>0.32100000000000001</v>
      </c>
      <c r="W1493" s="1">
        <f t="shared" si="70"/>
        <v>1E-3</v>
      </c>
      <c r="X1493" s="1">
        <f t="shared" si="71"/>
        <v>0</v>
      </c>
    </row>
    <row r="1494" spans="1:24" x14ac:dyDescent="0.25">
      <c r="A1494">
        <v>2014</v>
      </c>
      <c r="B1494">
        <v>4</v>
      </c>
      <c r="C1494" t="s">
        <v>33</v>
      </c>
      <c r="D1494" t="str">
        <f>_xlfn.XLOOKUP(C1494,'Carrier Name Rename'!A:A,'Carrier Name Rename'!B:B)</f>
        <v>Alaska Airlines Inc.</v>
      </c>
      <c r="E1494" t="s">
        <v>23</v>
      </c>
      <c r="F1494" t="s">
        <v>24</v>
      </c>
      <c r="G1494">
        <v>3908</v>
      </c>
      <c r="H1494">
        <v>313</v>
      </c>
      <c r="I1494">
        <v>74.62</v>
      </c>
      <c r="J1494">
        <v>2</v>
      </c>
      <c r="K1494">
        <v>116.38</v>
      </c>
      <c r="L1494">
        <v>2.06</v>
      </c>
      <c r="M1494">
        <v>117.95</v>
      </c>
      <c r="N1494">
        <v>12</v>
      </c>
      <c r="O1494">
        <v>4</v>
      </c>
      <c r="P1494">
        <v>17319</v>
      </c>
      <c r="Q1494">
        <v>5757</v>
      </c>
      <c r="R1494">
        <v>114</v>
      </c>
      <c r="S1494">
        <v>3987</v>
      </c>
      <c r="T1494">
        <v>128</v>
      </c>
      <c r="U1494">
        <v>7333</v>
      </c>
      <c r="V1494" s="1">
        <f t="shared" si="69"/>
        <v>8.0100000000000005E-2</v>
      </c>
      <c r="W1494" s="1">
        <f t="shared" si="70"/>
        <v>3.0999999999999999E-3</v>
      </c>
      <c r="X1494" s="1">
        <f t="shared" si="71"/>
        <v>1E-3</v>
      </c>
    </row>
    <row r="1495" spans="1:24" x14ac:dyDescent="0.25">
      <c r="A1495">
        <v>2014</v>
      </c>
      <c r="B1495">
        <v>4</v>
      </c>
      <c r="C1495" t="s">
        <v>35</v>
      </c>
      <c r="D1495" t="str">
        <f>_xlfn.XLOOKUP(C1495,'Carrier Name Rename'!A:A,'Carrier Name Rename'!B:B)</f>
        <v>JetBlue Airways</v>
      </c>
      <c r="E1495" t="s">
        <v>23</v>
      </c>
      <c r="F1495" t="s">
        <v>24</v>
      </c>
      <c r="G1495">
        <v>146</v>
      </c>
      <c r="H1495">
        <v>38</v>
      </c>
      <c r="I1495">
        <v>14.16</v>
      </c>
      <c r="J1495">
        <v>1</v>
      </c>
      <c r="K1495">
        <v>17.3</v>
      </c>
      <c r="L1495">
        <v>0.28999999999999998</v>
      </c>
      <c r="M1495">
        <v>5.25</v>
      </c>
      <c r="N1495">
        <v>0</v>
      </c>
      <c r="O1495">
        <v>0</v>
      </c>
      <c r="P1495">
        <v>1867</v>
      </c>
      <c r="Q1495">
        <v>904</v>
      </c>
      <c r="R1495">
        <v>54</v>
      </c>
      <c r="S1495">
        <v>513</v>
      </c>
      <c r="T1495">
        <v>9</v>
      </c>
      <c r="U1495">
        <v>387</v>
      </c>
      <c r="V1495" s="1">
        <f t="shared" si="69"/>
        <v>0.26029999999999998</v>
      </c>
      <c r="W1495" s="1">
        <f t="shared" si="70"/>
        <v>0</v>
      </c>
      <c r="X1495" s="1">
        <f t="shared" si="71"/>
        <v>0</v>
      </c>
    </row>
    <row r="1496" spans="1:24" x14ac:dyDescent="0.25">
      <c r="A1496">
        <v>2014</v>
      </c>
      <c r="B1496">
        <v>4</v>
      </c>
      <c r="C1496" t="s">
        <v>37</v>
      </c>
      <c r="D1496" t="str">
        <f>_xlfn.XLOOKUP(C1496,'Carrier Name Rename'!A:A,'Carrier Name Rename'!B:B)</f>
        <v>Delta Air Lines Inc.</v>
      </c>
      <c r="E1496" t="s">
        <v>23</v>
      </c>
      <c r="F1496" t="s">
        <v>24</v>
      </c>
      <c r="G1496">
        <v>752</v>
      </c>
      <c r="H1496">
        <v>77</v>
      </c>
      <c r="I1496">
        <v>28.48</v>
      </c>
      <c r="J1496">
        <v>4.4000000000000004</v>
      </c>
      <c r="K1496">
        <v>30.61</v>
      </c>
      <c r="L1496">
        <v>0</v>
      </c>
      <c r="M1496">
        <v>13.51</v>
      </c>
      <c r="N1496">
        <v>0</v>
      </c>
      <c r="O1496">
        <v>0</v>
      </c>
      <c r="P1496">
        <v>3390</v>
      </c>
      <c r="Q1496">
        <v>1669</v>
      </c>
      <c r="R1496">
        <v>120</v>
      </c>
      <c r="S1496">
        <v>881</v>
      </c>
      <c r="T1496">
        <v>0</v>
      </c>
      <c r="U1496">
        <v>720</v>
      </c>
      <c r="V1496" s="1">
        <f t="shared" si="69"/>
        <v>0.1024</v>
      </c>
      <c r="W1496" s="1">
        <f t="shared" si="70"/>
        <v>0</v>
      </c>
      <c r="X1496" s="1">
        <f t="shared" si="71"/>
        <v>0</v>
      </c>
    </row>
    <row r="1497" spans="1:24" x14ac:dyDescent="0.25">
      <c r="A1497">
        <v>2014</v>
      </c>
      <c r="B1497">
        <v>4</v>
      </c>
      <c r="C1497" t="s">
        <v>39</v>
      </c>
      <c r="D1497" t="str">
        <f>_xlfn.XLOOKUP(C1497,'Carrier Name Rename'!A:A,'Carrier Name Rename'!B:B)</f>
        <v>Frontier Airlines Inc.</v>
      </c>
      <c r="E1497" t="s">
        <v>23</v>
      </c>
      <c r="F1497" t="s">
        <v>24</v>
      </c>
      <c r="G1497">
        <v>104</v>
      </c>
      <c r="H1497">
        <v>30</v>
      </c>
      <c r="I1497">
        <v>9.35</v>
      </c>
      <c r="J1497">
        <v>0.31</v>
      </c>
      <c r="K1497">
        <v>11.69</v>
      </c>
      <c r="L1497">
        <v>0</v>
      </c>
      <c r="M1497">
        <v>8.64</v>
      </c>
      <c r="N1497">
        <v>0</v>
      </c>
      <c r="O1497">
        <v>0</v>
      </c>
      <c r="P1497">
        <v>1760</v>
      </c>
      <c r="Q1497">
        <v>362</v>
      </c>
      <c r="R1497">
        <v>5</v>
      </c>
      <c r="S1497">
        <v>562</v>
      </c>
      <c r="T1497">
        <v>0</v>
      </c>
      <c r="U1497">
        <v>831</v>
      </c>
      <c r="V1497" s="1">
        <f t="shared" si="69"/>
        <v>0.28849999999999998</v>
      </c>
      <c r="W1497" s="1">
        <f t="shared" si="70"/>
        <v>0</v>
      </c>
      <c r="X1497" s="1">
        <f t="shared" si="71"/>
        <v>0</v>
      </c>
    </row>
    <row r="1498" spans="1:24" x14ac:dyDescent="0.25">
      <c r="A1498">
        <v>2014</v>
      </c>
      <c r="B1498">
        <v>4</v>
      </c>
      <c r="C1498" t="s">
        <v>21</v>
      </c>
      <c r="D1498" t="str">
        <f>_xlfn.XLOOKUP(C1498,'Carrier Name Rename'!A:A,'Carrier Name Rename'!B:B)</f>
        <v>Hawaiian Airlines Inc.</v>
      </c>
      <c r="E1498" t="s">
        <v>23</v>
      </c>
      <c r="F1498" t="s">
        <v>24</v>
      </c>
      <c r="G1498">
        <v>60</v>
      </c>
      <c r="H1498">
        <v>4</v>
      </c>
      <c r="I1498">
        <v>2.62</v>
      </c>
      <c r="J1498">
        <v>0</v>
      </c>
      <c r="K1498">
        <v>0</v>
      </c>
      <c r="L1498">
        <v>0</v>
      </c>
      <c r="M1498">
        <v>1.38</v>
      </c>
      <c r="N1498">
        <v>0</v>
      </c>
      <c r="O1498">
        <v>0</v>
      </c>
      <c r="P1498">
        <v>270</v>
      </c>
      <c r="Q1498">
        <v>140</v>
      </c>
      <c r="R1498">
        <v>0</v>
      </c>
      <c r="S1498">
        <v>0</v>
      </c>
      <c r="T1498">
        <v>0</v>
      </c>
      <c r="U1498">
        <v>130</v>
      </c>
      <c r="V1498" s="1">
        <f t="shared" si="69"/>
        <v>6.6699999999999995E-2</v>
      </c>
      <c r="W1498" s="1">
        <f t="shared" si="70"/>
        <v>0</v>
      </c>
      <c r="X1498" s="1">
        <f t="shared" si="71"/>
        <v>0</v>
      </c>
    </row>
    <row r="1499" spans="1:24" x14ac:dyDescent="0.25">
      <c r="A1499">
        <v>2014</v>
      </c>
      <c r="B1499">
        <v>4</v>
      </c>
      <c r="C1499" t="s">
        <v>27</v>
      </c>
      <c r="D1499" t="str">
        <f>_xlfn.XLOOKUP(C1499,'Carrier Name Rename'!A:A,'Carrier Name Rename'!B:B)</f>
        <v>SkyWest Airlines Inc.</v>
      </c>
      <c r="E1499" t="s">
        <v>23</v>
      </c>
      <c r="F1499" t="s">
        <v>24</v>
      </c>
      <c r="G1499">
        <v>735</v>
      </c>
      <c r="H1499">
        <v>95</v>
      </c>
      <c r="I1499">
        <v>28.69</v>
      </c>
      <c r="J1499">
        <v>0.93</v>
      </c>
      <c r="K1499">
        <v>22.96</v>
      </c>
      <c r="L1499">
        <v>0</v>
      </c>
      <c r="M1499">
        <v>42.42</v>
      </c>
      <c r="N1499">
        <v>2</v>
      </c>
      <c r="O1499">
        <v>1</v>
      </c>
      <c r="P1499">
        <v>5052</v>
      </c>
      <c r="Q1499">
        <v>2081</v>
      </c>
      <c r="R1499">
        <v>156</v>
      </c>
      <c r="S1499">
        <v>521</v>
      </c>
      <c r="T1499">
        <v>0</v>
      </c>
      <c r="U1499">
        <v>2294</v>
      </c>
      <c r="V1499" s="1">
        <f t="shared" si="69"/>
        <v>0.1293</v>
      </c>
      <c r="W1499" s="1">
        <f t="shared" si="70"/>
        <v>2.7000000000000001E-3</v>
      </c>
      <c r="X1499" s="1">
        <f t="shared" si="71"/>
        <v>1.4E-3</v>
      </c>
    </row>
    <row r="1500" spans="1:24" x14ac:dyDescent="0.25">
      <c r="A1500">
        <v>2014</v>
      </c>
      <c r="B1500">
        <v>4</v>
      </c>
      <c r="C1500" t="s">
        <v>41</v>
      </c>
      <c r="D1500" t="str">
        <f>_xlfn.XLOOKUP(C1500,'Carrier Name Rename'!A:A,'Carrier Name Rename'!B:B)</f>
        <v>United Air Lines Inc.</v>
      </c>
      <c r="E1500" t="s">
        <v>23</v>
      </c>
      <c r="F1500" t="s">
        <v>24</v>
      </c>
      <c r="G1500">
        <v>875</v>
      </c>
      <c r="H1500">
        <v>133</v>
      </c>
      <c r="I1500">
        <v>52.9</v>
      </c>
      <c r="J1500">
        <v>0.63</v>
      </c>
      <c r="K1500">
        <v>38.979999999999997</v>
      </c>
      <c r="L1500">
        <v>0</v>
      </c>
      <c r="M1500">
        <v>40.479999999999997</v>
      </c>
      <c r="N1500">
        <v>3</v>
      </c>
      <c r="O1500">
        <v>1</v>
      </c>
      <c r="P1500">
        <v>5582</v>
      </c>
      <c r="Q1500">
        <v>2091</v>
      </c>
      <c r="R1500">
        <v>52</v>
      </c>
      <c r="S1500">
        <v>1110</v>
      </c>
      <c r="T1500">
        <v>0</v>
      </c>
      <c r="U1500">
        <v>2329</v>
      </c>
      <c r="V1500" s="1">
        <f t="shared" si="69"/>
        <v>0.152</v>
      </c>
      <c r="W1500" s="1">
        <f t="shared" si="70"/>
        <v>3.3999999999999998E-3</v>
      </c>
      <c r="X1500" s="1">
        <f t="shared" si="71"/>
        <v>1.1000000000000001E-3</v>
      </c>
    </row>
    <row r="1501" spans="1:24" x14ac:dyDescent="0.25">
      <c r="A1501">
        <v>2014</v>
      </c>
      <c r="B1501">
        <v>4</v>
      </c>
      <c r="C1501" t="s">
        <v>61</v>
      </c>
      <c r="D1501" t="str">
        <f>_xlfn.XLOOKUP(C1501,'Carrier Name Rename'!A:A,'Carrier Name Rename'!B:B)</f>
        <v>US Airways Inc.</v>
      </c>
      <c r="E1501" t="s">
        <v>23</v>
      </c>
      <c r="F1501" t="s">
        <v>24</v>
      </c>
      <c r="G1501">
        <v>265</v>
      </c>
      <c r="H1501">
        <v>55</v>
      </c>
      <c r="I1501">
        <v>23.94</v>
      </c>
      <c r="J1501">
        <v>0</v>
      </c>
      <c r="K1501">
        <v>21.56</v>
      </c>
      <c r="L1501">
        <v>0.17</v>
      </c>
      <c r="M1501">
        <v>9.34</v>
      </c>
      <c r="N1501">
        <v>1</v>
      </c>
      <c r="O1501">
        <v>0</v>
      </c>
      <c r="P1501">
        <v>2006</v>
      </c>
      <c r="Q1501">
        <v>887</v>
      </c>
      <c r="R1501">
        <v>0</v>
      </c>
      <c r="S1501">
        <v>559</v>
      </c>
      <c r="T1501">
        <v>8</v>
      </c>
      <c r="U1501">
        <v>552</v>
      </c>
      <c r="V1501" s="1">
        <f t="shared" si="69"/>
        <v>0.20749999999999999</v>
      </c>
      <c r="W1501" s="1">
        <f t="shared" si="70"/>
        <v>3.8E-3</v>
      </c>
      <c r="X1501" s="1">
        <f t="shared" si="71"/>
        <v>0</v>
      </c>
    </row>
    <row r="1502" spans="1:24" x14ac:dyDescent="0.25">
      <c r="A1502">
        <v>2014</v>
      </c>
      <c r="B1502">
        <v>4</v>
      </c>
      <c r="C1502" t="s">
        <v>51</v>
      </c>
      <c r="D1502" t="str">
        <f>_xlfn.XLOOKUP(C1502,'Carrier Name Rename'!A:A,'Carrier Name Rename'!B:B)</f>
        <v>Virgin America</v>
      </c>
      <c r="E1502" t="s">
        <v>23</v>
      </c>
      <c r="F1502" t="s">
        <v>24</v>
      </c>
      <c r="G1502">
        <v>216</v>
      </c>
      <c r="H1502">
        <v>16</v>
      </c>
      <c r="I1502">
        <v>2.99</v>
      </c>
      <c r="J1502">
        <v>0.84</v>
      </c>
      <c r="K1502">
        <v>1.72</v>
      </c>
      <c r="L1502">
        <v>0</v>
      </c>
      <c r="M1502">
        <v>10.46</v>
      </c>
      <c r="N1502">
        <v>1</v>
      </c>
      <c r="O1502">
        <v>0</v>
      </c>
      <c r="P1502">
        <v>580</v>
      </c>
      <c r="Q1502">
        <v>117</v>
      </c>
      <c r="R1502">
        <v>16</v>
      </c>
      <c r="S1502">
        <v>94</v>
      </c>
      <c r="T1502">
        <v>0</v>
      </c>
      <c r="U1502">
        <v>353</v>
      </c>
      <c r="V1502" s="1">
        <f t="shared" si="69"/>
        <v>7.4099999999999999E-2</v>
      </c>
      <c r="W1502" s="1">
        <f t="shared" si="70"/>
        <v>4.5999999999999999E-3</v>
      </c>
      <c r="X1502" s="1">
        <f t="shared" si="71"/>
        <v>0</v>
      </c>
    </row>
    <row r="1503" spans="1:24" x14ac:dyDescent="0.25">
      <c r="A1503">
        <v>2014</v>
      </c>
      <c r="B1503">
        <v>4</v>
      </c>
      <c r="C1503" t="s">
        <v>43</v>
      </c>
      <c r="D1503" t="str">
        <f>_xlfn.XLOOKUP(C1503,'Carrier Name Rename'!A:A,'Carrier Name Rename'!B:B)</f>
        <v>Southwest Airlines Co.</v>
      </c>
      <c r="E1503" t="s">
        <v>23</v>
      </c>
      <c r="F1503" t="s">
        <v>24</v>
      </c>
      <c r="G1503">
        <v>965</v>
      </c>
      <c r="H1503">
        <v>310</v>
      </c>
      <c r="I1503">
        <v>99.27</v>
      </c>
      <c r="J1503">
        <v>0.32</v>
      </c>
      <c r="K1503">
        <v>51.34</v>
      </c>
      <c r="L1503">
        <v>0</v>
      </c>
      <c r="M1503">
        <v>159.08000000000001</v>
      </c>
      <c r="N1503">
        <v>0</v>
      </c>
      <c r="O1503">
        <v>1</v>
      </c>
      <c r="P1503">
        <v>12952</v>
      </c>
      <c r="Q1503">
        <v>4216</v>
      </c>
      <c r="R1503">
        <v>12</v>
      </c>
      <c r="S1503">
        <v>1492</v>
      </c>
      <c r="T1503">
        <v>0</v>
      </c>
      <c r="U1503">
        <v>7232</v>
      </c>
      <c r="V1503" s="1">
        <f t="shared" si="69"/>
        <v>0.32119999999999999</v>
      </c>
      <c r="W1503" s="1">
        <f t="shared" si="70"/>
        <v>0</v>
      </c>
      <c r="X1503" s="1">
        <f t="shared" si="71"/>
        <v>1E-3</v>
      </c>
    </row>
    <row r="1504" spans="1:24" x14ac:dyDescent="0.25">
      <c r="A1504">
        <v>2014</v>
      </c>
      <c r="B1504">
        <v>4</v>
      </c>
      <c r="C1504" t="s">
        <v>31</v>
      </c>
      <c r="D1504" t="str">
        <f>_xlfn.XLOOKUP(C1504,'Carrier Name Rename'!A:A,'Carrier Name Rename'!B:B)</f>
        <v>American Airlines Inc.</v>
      </c>
      <c r="E1504" t="s">
        <v>23</v>
      </c>
      <c r="F1504" t="s">
        <v>24</v>
      </c>
      <c r="G1504">
        <v>412</v>
      </c>
      <c r="H1504">
        <v>66</v>
      </c>
      <c r="I1504">
        <v>11</v>
      </c>
      <c r="J1504">
        <v>4.1900000000000004</v>
      </c>
      <c r="K1504">
        <v>19.63</v>
      </c>
      <c r="L1504">
        <v>0</v>
      </c>
      <c r="M1504">
        <v>31.18</v>
      </c>
      <c r="N1504">
        <v>1</v>
      </c>
      <c r="O1504">
        <v>0</v>
      </c>
      <c r="P1504">
        <v>2931</v>
      </c>
      <c r="Q1504">
        <v>526</v>
      </c>
      <c r="R1504">
        <v>178</v>
      </c>
      <c r="S1504">
        <v>594</v>
      </c>
      <c r="T1504">
        <v>0</v>
      </c>
      <c r="U1504">
        <v>1633</v>
      </c>
      <c r="V1504" s="1">
        <f t="shared" si="69"/>
        <v>0.16020000000000001</v>
      </c>
      <c r="W1504" s="1">
        <f t="shared" si="70"/>
        <v>2.3999999999999998E-3</v>
      </c>
      <c r="X1504" s="1">
        <f t="shared" si="71"/>
        <v>0</v>
      </c>
    </row>
    <row r="1505" spans="1:24" x14ac:dyDescent="0.25">
      <c r="A1505">
        <v>2014</v>
      </c>
      <c r="B1505">
        <v>3</v>
      </c>
      <c r="C1505" t="s">
        <v>31</v>
      </c>
      <c r="D1505" t="str">
        <f>_xlfn.XLOOKUP(C1505,'Carrier Name Rename'!A:A,'Carrier Name Rename'!B:B)</f>
        <v>American Airlines Inc.</v>
      </c>
      <c r="E1505" t="s">
        <v>23</v>
      </c>
      <c r="F1505" t="s">
        <v>24</v>
      </c>
      <c r="G1505">
        <v>393</v>
      </c>
      <c r="H1505">
        <v>91</v>
      </c>
      <c r="I1505">
        <v>32.57</v>
      </c>
      <c r="J1505">
        <v>3.73</v>
      </c>
      <c r="K1505">
        <v>29.93</v>
      </c>
      <c r="L1505">
        <v>0.13</v>
      </c>
      <c r="M1505">
        <v>24.63</v>
      </c>
      <c r="N1505">
        <v>3</v>
      </c>
      <c r="O1505">
        <v>0</v>
      </c>
      <c r="P1505">
        <v>5234</v>
      </c>
      <c r="Q1505">
        <v>2253</v>
      </c>
      <c r="R1505">
        <v>212</v>
      </c>
      <c r="S1505">
        <v>875</v>
      </c>
      <c r="T1505">
        <v>6</v>
      </c>
      <c r="U1505">
        <v>1888</v>
      </c>
      <c r="V1505" s="1">
        <f t="shared" si="69"/>
        <v>0.2316</v>
      </c>
      <c r="W1505" s="1">
        <f t="shared" si="70"/>
        <v>7.6E-3</v>
      </c>
      <c r="X1505" s="1">
        <f t="shared" si="71"/>
        <v>0</v>
      </c>
    </row>
    <row r="1506" spans="1:24" x14ac:dyDescent="0.25">
      <c r="A1506">
        <v>2014</v>
      </c>
      <c r="B1506">
        <v>3</v>
      </c>
      <c r="C1506" t="s">
        <v>33</v>
      </c>
      <c r="D1506" t="str">
        <f>_xlfn.XLOOKUP(C1506,'Carrier Name Rename'!A:A,'Carrier Name Rename'!B:B)</f>
        <v>Alaska Airlines Inc.</v>
      </c>
      <c r="E1506" t="s">
        <v>23</v>
      </c>
      <c r="F1506" t="s">
        <v>24</v>
      </c>
      <c r="G1506">
        <v>3897</v>
      </c>
      <c r="H1506">
        <v>385</v>
      </c>
      <c r="I1506">
        <v>95.21</v>
      </c>
      <c r="J1506">
        <v>10.7</v>
      </c>
      <c r="K1506">
        <v>127.44</v>
      </c>
      <c r="L1506">
        <v>1.43</v>
      </c>
      <c r="M1506">
        <v>150.22999999999999</v>
      </c>
      <c r="N1506">
        <v>22</v>
      </c>
      <c r="O1506">
        <v>2</v>
      </c>
      <c r="P1506">
        <v>18993</v>
      </c>
      <c r="Q1506">
        <v>5360</v>
      </c>
      <c r="R1506">
        <v>1321</v>
      </c>
      <c r="S1506">
        <v>3699</v>
      </c>
      <c r="T1506">
        <v>38</v>
      </c>
      <c r="U1506">
        <v>8575</v>
      </c>
      <c r="V1506" s="1">
        <f t="shared" si="69"/>
        <v>9.8799999999999999E-2</v>
      </c>
      <c r="W1506" s="1">
        <f t="shared" si="70"/>
        <v>5.5999999999999999E-3</v>
      </c>
      <c r="X1506" s="1">
        <f t="shared" si="71"/>
        <v>5.0000000000000001E-4</v>
      </c>
    </row>
    <row r="1507" spans="1:24" x14ac:dyDescent="0.25">
      <c r="A1507">
        <v>2014</v>
      </c>
      <c r="B1507">
        <v>3</v>
      </c>
      <c r="C1507" t="s">
        <v>35</v>
      </c>
      <c r="D1507" t="str">
        <f>_xlfn.XLOOKUP(C1507,'Carrier Name Rename'!A:A,'Carrier Name Rename'!B:B)</f>
        <v>JetBlue Airways</v>
      </c>
      <c r="E1507" t="s">
        <v>23</v>
      </c>
      <c r="F1507" t="s">
        <v>24</v>
      </c>
      <c r="G1507">
        <v>150</v>
      </c>
      <c r="H1507">
        <v>36</v>
      </c>
      <c r="I1507">
        <v>17.190000000000001</v>
      </c>
      <c r="J1507">
        <v>0.93</v>
      </c>
      <c r="K1507">
        <v>14.09</v>
      </c>
      <c r="L1507">
        <v>0</v>
      </c>
      <c r="M1507">
        <v>3.8</v>
      </c>
      <c r="N1507">
        <v>1</v>
      </c>
      <c r="O1507">
        <v>0</v>
      </c>
      <c r="P1507">
        <v>1524</v>
      </c>
      <c r="Q1507">
        <v>828</v>
      </c>
      <c r="R1507">
        <v>38</v>
      </c>
      <c r="S1507">
        <v>427</v>
      </c>
      <c r="T1507">
        <v>0</v>
      </c>
      <c r="U1507">
        <v>231</v>
      </c>
      <c r="V1507" s="1">
        <f t="shared" si="69"/>
        <v>0.24</v>
      </c>
      <c r="W1507" s="1">
        <f t="shared" si="70"/>
        <v>6.7000000000000002E-3</v>
      </c>
      <c r="X1507" s="1">
        <f t="shared" si="71"/>
        <v>0</v>
      </c>
    </row>
    <row r="1508" spans="1:24" x14ac:dyDescent="0.25">
      <c r="A1508">
        <v>2014</v>
      </c>
      <c r="B1508">
        <v>3</v>
      </c>
      <c r="C1508" t="s">
        <v>37</v>
      </c>
      <c r="D1508" t="str">
        <f>_xlfn.XLOOKUP(C1508,'Carrier Name Rename'!A:A,'Carrier Name Rename'!B:B)</f>
        <v>Delta Air Lines Inc.</v>
      </c>
      <c r="E1508" t="s">
        <v>23</v>
      </c>
      <c r="F1508" t="s">
        <v>24</v>
      </c>
      <c r="G1508">
        <v>722</v>
      </c>
      <c r="H1508">
        <v>122</v>
      </c>
      <c r="I1508">
        <v>54.57</v>
      </c>
      <c r="J1508">
        <v>2</v>
      </c>
      <c r="K1508">
        <v>43.4</v>
      </c>
      <c r="L1508">
        <v>0</v>
      </c>
      <c r="M1508">
        <v>22.04</v>
      </c>
      <c r="N1508">
        <v>0</v>
      </c>
      <c r="O1508">
        <v>0</v>
      </c>
      <c r="P1508">
        <v>4635</v>
      </c>
      <c r="Q1508">
        <v>2756</v>
      </c>
      <c r="R1508">
        <v>51</v>
      </c>
      <c r="S1508">
        <v>1149</v>
      </c>
      <c r="T1508">
        <v>0</v>
      </c>
      <c r="U1508">
        <v>679</v>
      </c>
      <c r="V1508" s="1">
        <f t="shared" si="69"/>
        <v>0.16900000000000001</v>
      </c>
      <c r="W1508" s="1">
        <f t="shared" si="70"/>
        <v>0</v>
      </c>
      <c r="X1508" s="1">
        <f t="shared" si="71"/>
        <v>0</v>
      </c>
    </row>
    <row r="1509" spans="1:24" x14ac:dyDescent="0.25">
      <c r="A1509">
        <v>2014</v>
      </c>
      <c r="B1509">
        <v>3</v>
      </c>
      <c r="C1509" t="s">
        <v>39</v>
      </c>
      <c r="D1509" t="str">
        <f>_xlfn.XLOOKUP(C1509,'Carrier Name Rename'!A:A,'Carrier Name Rename'!B:B)</f>
        <v>Frontier Airlines Inc.</v>
      </c>
      <c r="E1509" t="s">
        <v>23</v>
      </c>
      <c r="F1509" t="s">
        <v>24</v>
      </c>
      <c r="G1509">
        <v>103</v>
      </c>
      <c r="H1509">
        <v>37</v>
      </c>
      <c r="I1509">
        <v>8.69</v>
      </c>
      <c r="J1509">
        <v>0</v>
      </c>
      <c r="K1509">
        <v>17.79</v>
      </c>
      <c r="L1509">
        <v>0</v>
      </c>
      <c r="M1509">
        <v>10.52</v>
      </c>
      <c r="N1509">
        <v>0</v>
      </c>
      <c r="O1509">
        <v>0</v>
      </c>
      <c r="P1509">
        <v>1316</v>
      </c>
      <c r="Q1509">
        <v>339</v>
      </c>
      <c r="R1509">
        <v>0</v>
      </c>
      <c r="S1509">
        <v>586</v>
      </c>
      <c r="T1509">
        <v>0</v>
      </c>
      <c r="U1509">
        <v>391</v>
      </c>
      <c r="V1509" s="1">
        <f t="shared" si="69"/>
        <v>0.35920000000000002</v>
      </c>
      <c r="W1509" s="1">
        <f t="shared" si="70"/>
        <v>0</v>
      </c>
      <c r="X1509" s="1">
        <f t="shared" si="71"/>
        <v>0</v>
      </c>
    </row>
    <row r="1510" spans="1:24" x14ac:dyDescent="0.25">
      <c r="A1510">
        <v>2014</v>
      </c>
      <c r="B1510">
        <v>3</v>
      </c>
      <c r="C1510" t="s">
        <v>27</v>
      </c>
      <c r="D1510" t="str">
        <f>_xlfn.XLOOKUP(C1510,'Carrier Name Rename'!A:A,'Carrier Name Rename'!B:B)</f>
        <v>SkyWest Airlines Inc.</v>
      </c>
      <c r="E1510" t="s">
        <v>23</v>
      </c>
      <c r="F1510" t="s">
        <v>24</v>
      </c>
      <c r="G1510">
        <v>798</v>
      </c>
      <c r="H1510">
        <v>117</v>
      </c>
      <c r="I1510">
        <v>38.65</v>
      </c>
      <c r="J1510">
        <v>1.27</v>
      </c>
      <c r="K1510">
        <v>25.41</v>
      </c>
      <c r="L1510">
        <v>0</v>
      </c>
      <c r="M1510">
        <v>51.66</v>
      </c>
      <c r="N1510">
        <v>10</v>
      </c>
      <c r="O1510">
        <v>1</v>
      </c>
      <c r="P1510">
        <v>6222</v>
      </c>
      <c r="Q1510">
        <v>2471</v>
      </c>
      <c r="R1510">
        <v>30</v>
      </c>
      <c r="S1510">
        <v>789</v>
      </c>
      <c r="T1510">
        <v>0</v>
      </c>
      <c r="U1510">
        <v>2932</v>
      </c>
      <c r="V1510" s="1">
        <f t="shared" si="69"/>
        <v>0.14660000000000001</v>
      </c>
      <c r="W1510" s="1">
        <f t="shared" si="70"/>
        <v>1.2500000000000001E-2</v>
      </c>
      <c r="X1510" s="1">
        <f t="shared" si="71"/>
        <v>1.2999999999999999E-3</v>
      </c>
    </row>
    <row r="1511" spans="1:24" x14ac:dyDescent="0.25">
      <c r="A1511">
        <v>2014</v>
      </c>
      <c r="B1511">
        <v>3</v>
      </c>
      <c r="C1511" t="s">
        <v>21</v>
      </c>
      <c r="D1511" t="str">
        <f>_xlfn.XLOOKUP(C1511,'Carrier Name Rename'!A:A,'Carrier Name Rename'!B:B)</f>
        <v>Hawaiian Airlines Inc.</v>
      </c>
      <c r="E1511" t="s">
        <v>23</v>
      </c>
      <c r="F1511" t="s">
        <v>24</v>
      </c>
      <c r="G1511">
        <v>62</v>
      </c>
      <c r="H1511">
        <v>2</v>
      </c>
      <c r="I1511">
        <v>2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44</v>
      </c>
      <c r="Q1511">
        <v>44</v>
      </c>
      <c r="R1511">
        <v>0</v>
      </c>
      <c r="S1511">
        <v>0</v>
      </c>
      <c r="T1511">
        <v>0</v>
      </c>
      <c r="U1511">
        <v>0</v>
      </c>
      <c r="V1511" s="1">
        <f t="shared" si="69"/>
        <v>3.2300000000000002E-2</v>
      </c>
      <c r="W1511" s="1">
        <f t="shared" si="70"/>
        <v>0</v>
      </c>
      <c r="X1511" s="1">
        <f t="shared" si="71"/>
        <v>0</v>
      </c>
    </row>
    <row r="1512" spans="1:24" x14ac:dyDescent="0.25">
      <c r="A1512">
        <v>2014</v>
      </c>
      <c r="B1512">
        <v>3</v>
      </c>
      <c r="C1512" t="s">
        <v>41</v>
      </c>
      <c r="D1512" t="str">
        <f>_xlfn.XLOOKUP(C1512,'Carrier Name Rename'!A:A,'Carrier Name Rename'!B:B)</f>
        <v>United Air Lines Inc.</v>
      </c>
      <c r="E1512" t="s">
        <v>23</v>
      </c>
      <c r="F1512" t="s">
        <v>24</v>
      </c>
      <c r="G1512">
        <v>779</v>
      </c>
      <c r="H1512">
        <v>147</v>
      </c>
      <c r="I1512">
        <v>74.17</v>
      </c>
      <c r="J1512">
        <v>1.74</v>
      </c>
      <c r="K1512">
        <v>26.73</v>
      </c>
      <c r="L1512">
        <v>0</v>
      </c>
      <c r="M1512">
        <v>44.35</v>
      </c>
      <c r="N1512">
        <v>4</v>
      </c>
      <c r="O1512">
        <v>2</v>
      </c>
      <c r="P1512">
        <v>7907</v>
      </c>
      <c r="Q1512">
        <v>3523</v>
      </c>
      <c r="R1512">
        <v>81</v>
      </c>
      <c r="S1512">
        <v>974</v>
      </c>
      <c r="T1512">
        <v>0</v>
      </c>
      <c r="U1512">
        <v>3329</v>
      </c>
      <c r="V1512" s="1">
        <f t="shared" si="69"/>
        <v>0.18870000000000001</v>
      </c>
      <c r="W1512" s="1">
        <f t="shared" si="70"/>
        <v>5.1000000000000004E-3</v>
      </c>
      <c r="X1512" s="1">
        <f t="shared" si="71"/>
        <v>2.5999999999999999E-3</v>
      </c>
    </row>
    <row r="1513" spans="1:24" x14ac:dyDescent="0.25">
      <c r="A1513">
        <v>2014</v>
      </c>
      <c r="B1513">
        <v>3</v>
      </c>
      <c r="C1513" t="s">
        <v>61</v>
      </c>
      <c r="D1513" t="str">
        <f>_xlfn.XLOOKUP(C1513,'Carrier Name Rename'!A:A,'Carrier Name Rename'!B:B)</f>
        <v>US Airways Inc.</v>
      </c>
      <c r="E1513" t="s">
        <v>23</v>
      </c>
      <c r="F1513" t="s">
        <v>24</v>
      </c>
      <c r="G1513">
        <v>265</v>
      </c>
      <c r="H1513">
        <v>52</v>
      </c>
      <c r="I1513">
        <v>29.54</v>
      </c>
      <c r="J1513">
        <v>0</v>
      </c>
      <c r="K1513">
        <v>12.5</v>
      </c>
      <c r="L1513">
        <v>1</v>
      </c>
      <c r="M1513">
        <v>8.9600000000000009</v>
      </c>
      <c r="N1513">
        <v>1</v>
      </c>
      <c r="O1513">
        <v>0</v>
      </c>
      <c r="P1513">
        <v>2390</v>
      </c>
      <c r="Q1513">
        <v>1234</v>
      </c>
      <c r="R1513">
        <v>0</v>
      </c>
      <c r="S1513">
        <v>673</v>
      </c>
      <c r="T1513">
        <v>40</v>
      </c>
      <c r="U1513">
        <v>443</v>
      </c>
      <c r="V1513" s="1">
        <f t="shared" si="69"/>
        <v>0.19620000000000001</v>
      </c>
      <c r="W1513" s="1">
        <f t="shared" si="70"/>
        <v>3.8E-3</v>
      </c>
      <c r="X1513" s="1">
        <f t="shared" si="71"/>
        <v>0</v>
      </c>
    </row>
    <row r="1514" spans="1:24" x14ac:dyDescent="0.25">
      <c r="A1514">
        <v>2014</v>
      </c>
      <c r="B1514">
        <v>3</v>
      </c>
      <c r="C1514" t="s">
        <v>51</v>
      </c>
      <c r="D1514" t="str">
        <f>_xlfn.XLOOKUP(C1514,'Carrier Name Rename'!A:A,'Carrier Name Rename'!B:B)</f>
        <v>Virgin America</v>
      </c>
      <c r="E1514" t="s">
        <v>23</v>
      </c>
      <c r="F1514" t="s">
        <v>24</v>
      </c>
      <c r="G1514">
        <v>192</v>
      </c>
      <c r="H1514">
        <v>15</v>
      </c>
      <c r="I1514">
        <v>4.4800000000000004</v>
      </c>
      <c r="J1514">
        <v>0.44</v>
      </c>
      <c r="K1514">
        <v>0</v>
      </c>
      <c r="L1514">
        <v>0</v>
      </c>
      <c r="M1514">
        <v>10.08</v>
      </c>
      <c r="N1514">
        <v>0</v>
      </c>
      <c r="O1514">
        <v>0</v>
      </c>
      <c r="P1514">
        <v>884</v>
      </c>
      <c r="Q1514">
        <v>276</v>
      </c>
      <c r="R1514">
        <v>13</v>
      </c>
      <c r="S1514">
        <v>0</v>
      </c>
      <c r="T1514">
        <v>0</v>
      </c>
      <c r="U1514">
        <v>595</v>
      </c>
      <c r="V1514" s="1">
        <f t="shared" si="69"/>
        <v>7.8100000000000003E-2</v>
      </c>
      <c r="W1514" s="1">
        <f t="shared" si="70"/>
        <v>0</v>
      </c>
      <c r="X1514" s="1">
        <f t="shared" si="71"/>
        <v>0</v>
      </c>
    </row>
    <row r="1515" spans="1:24" x14ac:dyDescent="0.25">
      <c r="A1515">
        <v>2014</v>
      </c>
      <c r="B1515">
        <v>3</v>
      </c>
      <c r="C1515" t="s">
        <v>43</v>
      </c>
      <c r="D1515" t="str">
        <f>_xlfn.XLOOKUP(C1515,'Carrier Name Rename'!A:A,'Carrier Name Rename'!B:B)</f>
        <v>Southwest Airlines Co.</v>
      </c>
      <c r="E1515" t="s">
        <v>23</v>
      </c>
      <c r="F1515" t="s">
        <v>24</v>
      </c>
      <c r="G1515">
        <v>910</v>
      </c>
      <c r="H1515">
        <v>301</v>
      </c>
      <c r="I1515">
        <v>99.2</v>
      </c>
      <c r="J1515">
        <v>0.46</v>
      </c>
      <c r="K1515">
        <v>33.299999999999997</v>
      </c>
      <c r="L1515">
        <v>0</v>
      </c>
      <c r="M1515">
        <v>168.04</v>
      </c>
      <c r="N1515">
        <v>0</v>
      </c>
      <c r="O1515">
        <v>0</v>
      </c>
      <c r="P1515">
        <v>12390</v>
      </c>
      <c r="Q1515">
        <v>4081</v>
      </c>
      <c r="R1515">
        <v>43</v>
      </c>
      <c r="S1515">
        <v>1031</v>
      </c>
      <c r="T1515">
        <v>0</v>
      </c>
      <c r="U1515">
        <v>7235</v>
      </c>
      <c r="V1515" s="1">
        <f t="shared" si="69"/>
        <v>0.33079999999999998</v>
      </c>
      <c r="W1515" s="1">
        <f t="shared" si="70"/>
        <v>0</v>
      </c>
      <c r="X1515" s="1">
        <f t="shared" si="71"/>
        <v>0</v>
      </c>
    </row>
    <row r="1516" spans="1:24" x14ac:dyDescent="0.25">
      <c r="A1516">
        <v>2014</v>
      </c>
      <c r="B1516">
        <v>2</v>
      </c>
      <c r="C1516" t="s">
        <v>31</v>
      </c>
      <c r="D1516" t="str">
        <f>_xlfn.XLOOKUP(C1516,'Carrier Name Rename'!A:A,'Carrier Name Rename'!B:B)</f>
        <v>American Airlines Inc.</v>
      </c>
      <c r="E1516" t="s">
        <v>23</v>
      </c>
      <c r="F1516" t="s">
        <v>24</v>
      </c>
      <c r="G1516">
        <v>356</v>
      </c>
      <c r="H1516">
        <v>126</v>
      </c>
      <c r="I1516">
        <v>25.06</v>
      </c>
      <c r="J1516">
        <v>7.46</v>
      </c>
      <c r="K1516">
        <v>75.430000000000007</v>
      </c>
      <c r="L1516">
        <v>0</v>
      </c>
      <c r="M1516">
        <v>18.05</v>
      </c>
      <c r="N1516">
        <v>7</v>
      </c>
      <c r="O1516">
        <v>2</v>
      </c>
      <c r="P1516">
        <v>5222</v>
      </c>
      <c r="Q1516">
        <v>1328</v>
      </c>
      <c r="R1516">
        <v>318</v>
      </c>
      <c r="S1516">
        <v>2553</v>
      </c>
      <c r="T1516">
        <v>0</v>
      </c>
      <c r="U1516">
        <v>1023</v>
      </c>
      <c r="V1516" s="1">
        <f t="shared" si="69"/>
        <v>0.35389999999999999</v>
      </c>
      <c r="W1516" s="1">
        <f t="shared" si="70"/>
        <v>1.9699999999999999E-2</v>
      </c>
      <c r="X1516" s="1">
        <f t="shared" si="71"/>
        <v>5.5999999999999999E-3</v>
      </c>
    </row>
    <row r="1517" spans="1:24" x14ac:dyDescent="0.25">
      <c r="A1517">
        <v>2014</v>
      </c>
      <c r="B1517">
        <v>2</v>
      </c>
      <c r="C1517" t="s">
        <v>33</v>
      </c>
      <c r="D1517" t="str">
        <f>_xlfn.XLOOKUP(C1517,'Carrier Name Rename'!A:A,'Carrier Name Rename'!B:B)</f>
        <v>Alaska Airlines Inc.</v>
      </c>
      <c r="E1517" t="s">
        <v>23</v>
      </c>
      <c r="F1517" t="s">
        <v>24</v>
      </c>
      <c r="G1517">
        <v>3375</v>
      </c>
      <c r="H1517">
        <v>437</v>
      </c>
      <c r="I1517">
        <v>90.49</v>
      </c>
      <c r="J1517">
        <v>8.52</v>
      </c>
      <c r="K1517">
        <v>195.79</v>
      </c>
      <c r="L1517">
        <v>2.12</v>
      </c>
      <c r="M1517">
        <v>140.08000000000001</v>
      </c>
      <c r="N1517">
        <v>32</v>
      </c>
      <c r="O1517">
        <v>3</v>
      </c>
      <c r="P1517">
        <v>22612</v>
      </c>
      <c r="Q1517">
        <v>5615</v>
      </c>
      <c r="R1517">
        <v>732</v>
      </c>
      <c r="S1517">
        <v>6063</v>
      </c>
      <c r="T1517">
        <v>78</v>
      </c>
      <c r="U1517">
        <v>10124</v>
      </c>
      <c r="V1517" s="1">
        <f t="shared" si="69"/>
        <v>0.1295</v>
      </c>
      <c r="W1517" s="1">
        <f t="shared" si="70"/>
        <v>9.4999999999999998E-3</v>
      </c>
      <c r="X1517" s="1">
        <f t="shared" si="71"/>
        <v>8.9999999999999998E-4</v>
      </c>
    </row>
    <row r="1518" spans="1:24" x14ac:dyDescent="0.25">
      <c r="A1518">
        <v>2014</v>
      </c>
      <c r="B1518">
        <v>2</v>
      </c>
      <c r="C1518" t="s">
        <v>35</v>
      </c>
      <c r="D1518" t="str">
        <f>_xlfn.XLOOKUP(C1518,'Carrier Name Rename'!A:A,'Carrier Name Rename'!B:B)</f>
        <v>JetBlue Airways</v>
      </c>
      <c r="E1518" t="s">
        <v>23</v>
      </c>
      <c r="F1518" t="s">
        <v>24</v>
      </c>
      <c r="G1518">
        <v>131</v>
      </c>
      <c r="H1518">
        <v>38</v>
      </c>
      <c r="I1518">
        <v>19.989999999999998</v>
      </c>
      <c r="J1518">
        <v>1.1200000000000001</v>
      </c>
      <c r="K1518">
        <v>13.15</v>
      </c>
      <c r="L1518">
        <v>0</v>
      </c>
      <c r="M1518">
        <v>3.73</v>
      </c>
      <c r="N1518">
        <v>4</v>
      </c>
      <c r="O1518">
        <v>0</v>
      </c>
      <c r="P1518">
        <v>2031</v>
      </c>
      <c r="Q1518">
        <v>1090</v>
      </c>
      <c r="R1518">
        <v>189</v>
      </c>
      <c r="S1518">
        <v>518</v>
      </c>
      <c r="T1518">
        <v>0</v>
      </c>
      <c r="U1518">
        <v>234</v>
      </c>
      <c r="V1518" s="1">
        <f t="shared" si="69"/>
        <v>0.29010000000000002</v>
      </c>
      <c r="W1518" s="1">
        <f t="shared" si="70"/>
        <v>3.0499999999999999E-2</v>
      </c>
      <c r="X1518" s="1">
        <f t="shared" si="71"/>
        <v>0</v>
      </c>
    </row>
    <row r="1519" spans="1:24" x14ac:dyDescent="0.25">
      <c r="A1519">
        <v>2014</v>
      </c>
      <c r="B1519">
        <v>2</v>
      </c>
      <c r="C1519" t="s">
        <v>37</v>
      </c>
      <c r="D1519" t="str">
        <f>_xlfn.XLOOKUP(C1519,'Carrier Name Rename'!A:A,'Carrier Name Rename'!B:B)</f>
        <v>Delta Air Lines Inc.</v>
      </c>
      <c r="E1519" t="s">
        <v>23</v>
      </c>
      <c r="F1519" t="s">
        <v>24</v>
      </c>
      <c r="G1519">
        <v>614</v>
      </c>
      <c r="H1519">
        <v>142</v>
      </c>
      <c r="I1519">
        <v>43.61</v>
      </c>
      <c r="J1519">
        <v>7.79</v>
      </c>
      <c r="K1519">
        <v>64.239999999999995</v>
      </c>
      <c r="L1519">
        <v>0</v>
      </c>
      <c r="M1519">
        <v>26.36</v>
      </c>
      <c r="N1519">
        <v>8</v>
      </c>
      <c r="O1519">
        <v>0</v>
      </c>
      <c r="P1519">
        <v>7098</v>
      </c>
      <c r="Q1519">
        <v>2686</v>
      </c>
      <c r="R1519">
        <v>614</v>
      </c>
      <c r="S1519">
        <v>2269</v>
      </c>
      <c r="T1519">
        <v>0</v>
      </c>
      <c r="U1519">
        <v>1529</v>
      </c>
      <c r="V1519" s="1">
        <f t="shared" si="69"/>
        <v>0.23130000000000001</v>
      </c>
      <c r="W1519" s="1">
        <f t="shared" si="70"/>
        <v>1.2999999999999999E-2</v>
      </c>
      <c r="X1519" s="1">
        <f t="shared" si="71"/>
        <v>0</v>
      </c>
    </row>
    <row r="1520" spans="1:24" x14ac:dyDescent="0.25">
      <c r="A1520">
        <v>2014</v>
      </c>
      <c r="B1520">
        <v>2</v>
      </c>
      <c r="C1520" t="s">
        <v>39</v>
      </c>
      <c r="D1520" t="str">
        <f>_xlfn.XLOOKUP(C1520,'Carrier Name Rename'!A:A,'Carrier Name Rename'!B:B)</f>
        <v>Frontier Airlines Inc.</v>
      </c>
      <c r="E1520" t="s">
        <v>23</v>
      </c>
      <c r="F1520" t="s">
        <v>24</v>
      </c>
      <c r="G1520">
        <v>90</v>
      </c>
      <c r="H1520">
        <v>55</v>
      </c>
      <c r="I1520">
        <v>8.3000000000000007</v>
      </c>
      <c r="J1520">
        <v>0</v>
      </c>
      <c r="K1520">
        <v>34.78</v>
      </c>
      <c r="L1520">
        <v>0</v>
      </c>
      <c r="M1520">
        <v>11.92</v>
      </c>
      <c r="N1520">
        <v>0</v>
      </c>
      <c r="O1520">
        <v>0</v>
      </c>
      <c r="P1520">
        <v>2739</v>
      </c>
      <c r="Q1520">
        <v>581</v>
      </c>
      <c r="R1520">
        <v>0</v>
      </c>
      <c r="S1520">
        <v>1256</v>
      </c>
      <c r="T1520">
        <v>0</v>
      </c>
      <c r="U1520">
        <v>902</v>
      </c>
      <c r="V1520" s="1">
        <f t="shared" si="69"/>
        <v>0.61109999999999998</v>
      </c>
      <c r="W1520" s="1">
        <f t="shared" si="70"/>
        <v>0</v>
      </c>
      <c r="X1520" s="1">
        <f t="shared" si="71"/>
        <v>0</v>
      </c>
    </row>
    <row r="1521" spans="1:24" x14ac:dyDescent="0.25">
      <c r="A1521">
        <v>2014</v>
      </c>
      <c r="B1521">
        <v>2</v>
      </c>
      <c r="C1521" t="s">
        <v>21</v>
      </c>
      <c r="D1521" t="str">
        <f>_xlfn.XLOOKUP(C1521,'Carrier Name Rename'!A:A,'Carrier Name Rename'!B:B)</f>
        <v>Hawaiian Airlines Inc.</v>
      </c>
      <c r="E1521" t="s">
        <v>23</v>
      </c>
      <c r="F1521" t="s">
        <v>24</v>
      </c>
      <c r="G1521">
        <v>56</v>
      </c>
      <c r="H1521">
        <v>1</v>
      </c>
      <c r="I1521">
        <v>0</v>
      </c>
      <c r="J1521">
        <v>0</v>
      </c>
      <c r="K1521">
        <v>0</v>
      </c>
      <c r="L1521">
        <v>0</v>
      </c>
      <c r="M1521">
        <v>1</v>
      </c>
      <c r="N1521">
        <v>0</v>
      </c>
      <c r="O1521">
        <v>0</v>
      </c>
      <c r="P1521">
        <v>34</v>
      </c>
      <c r="Q1521">
        <v>0</v>
      </c>
      <c r="R1521">
        <v>0</v>
      </c>
      <c r="S1521">
        <v>0</v>
      </c>
      <c r="T1521">
        <v>0</v>
      </c>
      <c r="U1521">
        <v>34</v>
      </c>
      <c r="V1521" s="1">
        <f t="shared" si="69"/>
        <v>1.7899999999999999E-2</v>
      </c>
      <c r="W1521" s="1">
        <f t="shared" si="70"/>
        <v>0</v>
      </c>
      <c r="X1521" s="1">
        <f t="shared" si="71"/>
        <v>0</v>
      </c>
    </row>
    <row r="1522" spans="1:24" x14ac:dyDescent="0.25">
      <c r="A1522">
        <v>2014</v>
      </c>
      <c r="B1522">
        <v>2</v>
      </c>
      <c r="C1522" t="s">
        <v>27</v>
      </c>
      <c r="D1522" t="str">
        <f>_xlfn.XLOOKUP(C1522,'Carrier Name Rename'!A:A,'Carrier Name Rename'!B:B)</f>
        <v>SkyWest Airlines Inc.</v>
      </c>
      <c r="E1522" t="s">
        <v>23</v>
      </c>
      <c r="F1522" t="s">
        <v>24</v>
      </c>
      <c r="G1522">
        <v>701</v>
      </c>
      <c r="H1522">
        <v>182</v>
      </c>
      <c r="I1522">
        <v>44.86</v>
      </c>
      <c r="J1522">
        <v>2.5099999999999998</v>
      </c>
      <c r="K1522">
        <v>67.94</v>
      </c>
      <c r="L1522">
        <v>0</v>
      </c>
      <c r="M1522">
        <v>66.69</v>
      </c>
      <c r="N1522">
        <v>16</v>
      </c>
      <c r="O1522">
        <v>0</v>
      </c>
      <c r="P1522">
        <v>9398</v>
      </c>
      <c r="Q1522">
        <v>2573</v>
      </c>
      <c r="R1522">
        <v>346</v>
      </c>
      <c r="S1522">
        <v>2269</v>
      </c>
      <c r="T1522">
        <v>0</v>
      </c>
      <c r="U1522">
        <v>4210</v>
      </c>
      <c r="V1522" s="1">
        <f t="shared" si="69"/>
        <v>0.2596</v>
      </c>
      <c r="W1522" s="1">
        <f t="shared" si="70"/>
        <v>2.2800000000000001E-2</v>
      </c>
      <c r="X1522" s="1">
        <f t="shared" si="71"/>
        <v>0</v>
      </c>
    </row>
    <row r="1523" spans="1:24" x14ac:dyDescent="0.25">
      <c r="A1523">
        <v>2014</v>
      </c>
      <c r="B1523">
        <v>2</v>
      </c>
      <c r="C1523" t="s">
        <v>41</v>
      </c>
      <c r="D1523" t="str">
        <f>_xlfn.XLOOKUP(C1523,'Carrier Name Rename'!A:A,'Carrier Name Rename'!B:B)</f>
        <v>United Air Lines Inc.</v>
      </c>
      <c r="E1523" t="s">
        <v>23</v>
      </c>
      <c r="F1523" t="s">
        <v>24</v>
      </c>
      <c r="G1523">
        <v>627</v>
      </c>
      <c r="H1523">
        <v>200</v>
      </c>
      <c r="I1523">
        <v>74.2</v>
      </c>
      <c r="J1523">
        <v>6.24</v>
      </c>
      <c r="K1523">
        <v>70.28</v>
      </c>
      <c r="L1523">
        <v>0</v>
      </c>
      <c r="M1523">
        <v>49.28</v>
      </c>
      <c r="N1523">
        <v>11</v>
      </c>
      <c r="O1523">
        <v>0</v>
      </c>
      <c r="P1523">
        <v>10365</v>
      </c>
      <c r="Q1523">
        <v>3518</v>
      </c>
      <c r="R1523">
        <v>864</v>
      </c>
      <c r="S1523">
        <v>2606</v>
      </c>
      <c r="T1523">
        <v>0</v>
      </c>
      <c r="U1523">
        <v>3377</v>
      </c>
      <c r="V1523" s="1">
        <f t="shared" si="69"/>
        <v>0.31900000000000001</v>
      </c>
      <c r="W1523" s="1">
        <f t="shared" si="70"/>
        <v>1.7500000000000002E-2</v>
      </c>
      <c r="X1523" s="1">
        <f t="shared" si="71"/>
        <v>0</v>
      </c>
    </row>
    <row r="1524" spans="1:24" x14ac:dyDescent="0.25">
      <c r="A1524">
        <v>2014</v>
      </c>
      <c r="B1524">
        <v>2</v>
      </c>
      <c r="C1524" t="s">
        <v>61</v>
      </c>
      <c r="D1524" t="str">
        <f>_xlfn.XLOOKUP(C1524,'Carrier Name Rename'!A:A,'Carrier Name Rename'!B:B)</f>
        <v>US Airways Inc.</v>
      </c>
      <c r="E1524" t="s">
        <v>23</v>
      </c>
      <c r="F1524" t="s">
        <v>24</v>
      </c>
      <c r="G1524">
        <v>215</v>
      </c>
      <c r="H1524">
        <v>57</v>
      </c>
      <c r="I1524">
        <v>24.37</v>
      </c>
      <c r="J1524">
        <v>1.24</v>
      </c>
      <c r="K1524">
        <v>22.34</v>
      </c>
      <c r="L1524">
        <v>0.11</v>
      </c>
      <c r="M1524">
        <v>8.9499999999999993</v>
      </c>
      <c r="N1524">
        <v>5</v>
      </c>
      <c r="O1524">
        <v>0</v>
      </c>
      <c r="P1524">
        <v>2925</v>
      </c>
      <c r="Q1524">
        <v>1395</v>
      </c>
      <c r="R1524">
        <v>238</v>
      </c>
      <c r="S1524">
        <v>765</v>
      </c>
      <c r="T1524">
        <v>4</v>
      </c>
      <c r="U1524">
        <v>523</v>
      </c>
      <c r="V1524" s="1">
        <f t="shared" si="69"/>
        <v>0.2651</v>
      </c>
      <c r="W1524" s="1">
        <f t="shared" si="70"/>
        <v>2.3300000000000001E-2</v>
      </c>
      <c r="X1524" s="1">
        <f t="shared" si="71"/>
        <v>0</v>
      </c>
    </row>
    <row r="1525" spans="1:24" x14ac:dyDescent="0.25">
      <c r="A1525">
        <v>2014</v>
      </c>
      <c r="B1525">
        <v>2</v>
      </c>
      <c r="C1525" t="s">
        <v>51</v>
      </c>
      <c r="D1525" t="str">
        <f>_xlfn.XLOOKUP(C1525,'Carrier Name Rename'!A:A,'Carrier Name Rename'!B:B)</f>
        <v>Virgin America</v>
      </c>
      <c r="E1525" t="s">
        <v>23</v>
      </c>
      <c r="F1525" t="s">
        <v>24</v>
      </c>
      <c r="G1525">
        <v>176</v>
      </c>
      <c r="H1525">
        <v>40</v>
      </c>
      <c r="I1525">
        <v>5.97</v>
      </c>
      <c r="J1525">
        <v>2.79</v>
      </c>
      <c r="K1525">
        <v>2.15</v>
      </c>
      <c r="L1525">
        <v>0.16</v>
      </c>
      <c r="M1525">
        <v>28.93</v>
      </c>
      <c r="N1525">
        <v>1</v>
      </c>
      <c r="O1525">
        <v>0</v>
      </c>
      <c r="P1525">
        <v>3677</v>
      </c>
      <c r="Q1525">
        <v>307</v>
      </c>
      <c r="R1525">
        <v>73</v>
      </c>
      <c r="S1525">
        <v>71</v>
      </c>
      <c r="T1525">
        <v>3</v>
      </c>
      <c r="U1525">
        <v>3223</v>
      </c>
      <c r="V1525" s="1">
        <f t="shared" si="69"/>
        <v>0.2273</v>
      </c>
      <c r="W1525" s="1">
        <f t="shared" si="70"/>
        <v>5.7000000000000002E-3</v>
      </c>
      <c r="X1525" s="1">
        <f t="shared" si="71"/>
        <v>0</v>
      </c>
    </row>
    <row r="1526" spans="1:24" x14ac:dyDescent="0.25">
      <c r="A1526">
        <v>2014</v>
      </c>
      <c r="B1526">
        <v>2</v>
      </c>
      <c r="C1526" t="s">
        <v>43</v>
      </c>
      <c r="D1526" t="str">
        <f>_xlfn.XLOOKUP(C1526,'Carrier Name Rename'!A:A,'Carrier Name Rename'!B:B)</f>
        <v>Southwest Airlines Co.</v>
      </c>
      <c r="E1526" t="s">
        <v>23</v>
      </c>
      <c r="F1526" t="s">
        <v>24</v>
      </c>
      <c r="G1526">
        <v>686</v>
      </c>
      <c r="H1526">
        <v>269</v>
      </c>
      <c r="I1526">
        <v>79.75</v>
      </c>
      <c r="J1526">
        <v>0.22</v>
      </c>
      <c r="K1526">
        <v>44.19</v>
      </c>
      <c r="L1526">
        <v>0.35</v>
      </c>
      <c r="M1526">
        <v>144.47999999999999</v>
      </c>
      <c r="N1526">
        <v>4</v>
      </c>
      <c r="O1526">
        <v>0</v>
      </c>
      <c r="P1526">
        <v>11129</v>
      </c>
      <c r="Q1526">
        <v>3283</v>
      </c>
      <c r="R1526">
        <v>16</v>
      </c>
      <c r="S1526">
        <v>1411</v>
      </c>
      <c r="T1526">
        <v>12</v>
      </c>
      <c r="U1526">
        <v>6407</v>
      </c>
      <c r="V1526" s="1">
        <f t="shared" si="69"/>
        <v>0.3921</v>
      </c>
      <c r="W1526" s="1">
        <f t="shared" si="70"/>
        <v>5.7999999999999996E-3</v>
      </c>
      <c r="X1526" s="1">
        <f t="shared" si="71"/>
        <v>0</v>
      </c>
    </row>
    <row r="1527" spans="1:24" x14ac:dyDescent="0.25">
      <c r="A1527">
        <v>2014</v>
      </c>
      <c r="B1527">
        <v>1</v>
      </c>
      <c r="C1527" t="s">
        <v>31</v>
      </c>
      <c r="D1527" t="str">
        <f>_xlfn.XLOOKUP(C1527,'Carrier Name Rename'!A:A,'Carrier Name Rename'!B:B)</f>
        <v>American Airlines Inc.</v>
      </c>
      <c r="E1527" t="s">
        <v>23</v>
      </c>
      <c r="F1527" t="s">
        <v>24</v>
      </c>
      <c r="G1527">
        <v>395</v>
      </c>
      <c r="H1527">
        <v>126</v>
      </c>
      <c r="I1527">
        <v>30.7</v>
      </c>
      <c r="J1527">
        <v>19.66</v>
      </c>
      <c r="K1527">
        <v>43.27</v>
      </c>
      <c r="L1527">
        <v>0</v>
      </c>
      <c r="M1527">
        <v>32.369999999999997</v>
      </c>
      <c r="N1527">
        <v>11</v>
      </c>
      <c r="O1527">
        <v>1</v>
      </c>
      <c r="P1527">
        <v>6256</v>
      </c>
      <c r="Q1527">
        <v>1537</v>
      </c>
      <c r="R1527">
        <v>1344</v>
      </c>
      <c r="S1527">
        <v>1294</v>
      </c>
      <c r="T1527">
        <v>0</v>
      </c>
      <c r="U1527">
        <v>2081</v>
      </c>
      <c r="V1527" s="1">
        <f t="shared" si="69"/>
        <v>0.31900000000000001</v>
      </c>
      <c r="W1527" s="1">
        <f t="shared" si="70"/>
        <v>2.7799999999999998E-2</v>
      </c>
      <c r="X1527" s="1">
        <f t="shared" si="71"/>
        <v>2.5000000000000001E-3</v>
      </c>
    </row>
    <row r="1528" spans="1:24" x14ac:dyDescent="0.25">
      <c r="A1528">
        <v>2014</v>
      </c>
      <c r="B1528">
        <v>1</v>
      </c>
      <c r="C1528" t="s">
        <v>33</v>
      </c>
      <c r="D1528" t="str">
        <f>_xlfn.XLOOKUP(C1528,'Carrier Name Rename'!A:A,'Carrier Name Rename'!B:B)</f>
        <v>Alaska Airlines Inc.</v>
      </c>
      <c r="E1528" t="s">
        <v>23</v>
      </c>
      <c r="F1528" t="s">
        <v>24</v>
      </c>
      <c r="G1528">
        <v>3673</v>
      </c>
      <c r="H1528">
        <v>349</v>
      </c>
      <c r="I1528">
        <v>87.52</v>
      </c>
      <c r="J1528">
        <v>11.62</v>
      </c>
      <c r="K1528">
        <v>130.93</v>
      </c>
      <c r="L1528">
        <v>0</v>
      </c>
      <c r="M1528">
        <v>118.93</v>
      </c>
      <c r="N1528">
        <v>33</v>
      </c>
      <c r="O1528">
        <v>1</v>
      </c>
      <c r="P1528">
        <v>18893</v>
      </c>
      <c r="Q1528">
        <v>5831</v>
      </c>
      <c r="R1528">
        <v>853</v>
      </c>
      <c r="S1528">
        <v>3798</v>
      </c>
      <c r="T1528">
        <v>0</v>
      </c>
      <c r="U1528">
        <v>8411</v>
      </c>
      <c r="V1528" s="1">
        <f t="shared" si="69"/>
        <v>9.5000000000000001E-2</v>
      </c>
      <c r="W1528" s="1">
        <f t="shared" si="70"/>
        <v>8.9999999999999993E-3</v>
      </c>
      <c r="X1528" s="1">
        <f t="shared" si="71"/>
        <v>2.9999999999999997E-4</v>
      </c>
    </row>
    <row r="1529" spans="1:24" x14ac:dyDescent="0.25">
      <c r="A1529">
        <v>2014</v>
      </c>
      <c r="B1529">
        <v>1</v>
      </c>
      <c r="C1529" t="s">
        <v>35</v>
      </c>
      <c r="D1529" t="str">
        <f>_xlfn.XLOOKUP(C1529,'Carrier Name Rename'!A:A,'Carrier Name Rename'!B:B)</f>
        <v>JetBlue Airways</v>
      </c>
      <c r="E1529" t="s">
        <v>23</v>
      </c>
      <c r="F1529" t="s">
        <v>24</v>
      </c>
      <c r="G1529">
        <v>141</v>
      </c>
      <c r="H1529">
        <v>35</v>
      </c>
      <c r="I1529">
        <v>12.5</v>
      </c>
      <c r="J1529">
        <v>5.2</v>
      </c>
      <c r="K1529">
        <v>9.59</v>
      </c>
      <c r="L1529">
        <v>0.52</v>
      </c>
      <c r="M1529">
        <v>7.19</v>
      </c>
      <c r="N1529">
        <v>9</v>
      </c>
      <c r="O1529">
        <v>1</v>
      </c>
      <c r="P1529">
        <v>3111</v>
      </c>
      <c r="Q1529">
        <v>1279</v>
      </c>
      <c r="R1529">
        <v>601</v>
      </c>
      <c r="S1529">
        <v>449</v>
      </c>
      <c r="T1529">
        <v>13</v>
      </c>
      <c r="U1529">
        <v>769</v>
      </c>
      <c r="V1529" s="1">
        <f t="shared" si="69"/>
        <v>0.2482</v>
      </c>
      <c r="W1529" s="1">
        <f t="shared" si="70"/>
        <v>6.3799999999999996E-2</v>
      </c>
      <c r="X1529" s="1">
        <f t="shared" si="71"/>
        <v>7.1000000000000004E-3</v>
      </c>
    </row>
    <row r="1530" spans="1:24" x14ac:dyDescent="0.25">
      <c r="A1530">
        <v>2014</v>
      </c>
      <c r="B1530">
        <v>1</v>
      </c>
      <c r="C1530" t="s">
        <v>37</v>
      </c>
      <c r="D1530" t="str">
        <f>_xlfn.XLOOKUP(C1530,'Carrier Name Rename'!A:A,'Carrier Name Rename'!B:B)</f>
        <v>Delta Air Lines Inc.</v>
      </c>
      <c r="E1530" t="s">
        <v>23</v>
      </c>
      <c r="F1530" t="s">
        <v>24</v>
      </c>
      <c r="G1530">
        <v>697</v>
      </c>
      <c r="H1530">
        <v>177</v>
      </c>
      <c r="I1530">
        <v>71.39</v>
      </c>
      <c r="J1530">
        <v>29.75</v>
      </c>
      <c r="K1530">
        <v>42.87</v>
      </c>
      <c r="L1530">
        <v>0</v>
      </c>
      <c r="M1530">
        <v>32.979999999999997</v>
      </c>
      <c r="N1530">
        <v>8</v>
      </c>
      <c r="O1530">
        <v>0</v>
      </c>
      <c r="P1530">
        <v>11978</v>
      </c>
      <c r="Q1530">
        <v>4771</v>
      </c>
      <c r="R1530">
        <v>3331</v>
      </c>
      <c r="S1530">
        <v>1714</v>
      </c>
      <c r="T1530">
        <v>0</v>
      </c>
      <c r="U1530">
        <v>2162</v>
      </c>
      <c r="V1530" s="1">
        <f t="shared" si="69"/>
        <v>0.25390000000000001</v>
      </c>
      <c r="W1530" s="1">
        <f t="shared" si="70"/>
        <v>1.15E-2</v>
      </c>
      <c r="X1530" s="1">
        <f t="shared" si="71"/>
        <v>0</v>
      </c>
    </row>
    <row r="1531" spans="1:24" x14ac:dyDescent="0.25">
      <c r="A1531">
        <v>2014</v>
      </c>
      <c r="B1531">
        <v>1</v>
      </c>
      <c r="C1531" t="s">
        <v>39</v>
      </c>
      <c r="D1531" t="str">
        <f>_xlfn.XLOOKUP(C1531,'Carrier Name Rename'!A:A,'Carrier Name Rename'!B:B)</f>
        <v>Frontier Airlines Inc.</v>
      </c>
      <c r="E1531" t="s">
        <v>23</v>
      </c>
      <c r="F1531" t="s">
        <v>24</v>
      </c>
      <c r="G1531">
        <v>104</v>
      </c>
      <c r="H1531">
        <v>51</v>
      </c>
      <c r="I1531">
        <v>11.25</v>
      </c>
      <c r="J1531">
        <v>0.17</v>
      </c>
      <c r="K1531">
        <v>26.32</v>
      </c>
      <c r="L1531">
        <v>0</v>
      </c>
      <c r="M1531">
        <v>13.25</v>
      </c>
      <c r="N1531">
        <v>2</v>
      </c>
      <c r="O1531">
        <v>0</v>
      </c>
      <c r="P1531">
        <v>3071</v>
      </c>
      <c r="Q1531">
        <v>565</v>
      </c>
      <c r="R1531">
        <v>5</v>
      </c>
      <c r="S1531">
        <v>1336</v>
      </c>
      <c r="T1531">
        <v>0</v>
      </c>
      <c r="U1531">
        <v>1165</v>
      </c>
      <c r="V1531" s="1">
        <f t="shared" si="69"/>
        <v>0.4904</v>
      </c>
      <c r="W1531" s="1">
        <f t="shared" si="70"/>
        <v>1.9199999999999998E-2</v>
      </c>
      <c r="X1531" s="1">
        <f t="shared" si="71"/>
        <v>0</v>
      </c>
    </row>
    <row r="1532" spans="1:24" x14ac:dyDescent="0.25">
      <c r="A1532">
        <v>2014</v>
      </c>
      <c r="B1532">
        <v>1</v>
      </c>
      <c r="C1532" t="s">
        <v>21</v>
      </c>
      <c r="D1532" t="str">
        <f>_xlfn.XLOOKUP(C1532,'Carrier Name Rename'!A:A,'Carrier Name Rename'!B:B)</f>
        <v>Hawaiian Airlines Inc.</v>
      </c>
      <c r="E1532" t="s">
        <v>23</v>
      </c>
      <c r="F1532" t="s">
        <v>24</v>
      </c>
      <c r="G1532">
        <v>62</v>
      </c>
      <c r="H1532">
        <v>6</v>
      </c>
      <c r="I1532">
        <v>4</v>
      </c>
      <c r="J1532">
        <v>0</v>
      </c>
      <c r="K1532">
        <v>0</v>
      </c>
      <c r="L1532">
        <v>0</v>
      </c>
      <c r="M1532">
        <v>2</v>
      </c>
      <c r="N1532">
        <v>0</v>
      </c>
      <c r="O1532">
        <v>0</v>
      </c>
      <c r="P1532">
        <v>619</v>
      </c>
      <c r="Q1532">
        <v>567</v>
      </c>
      <c r="R1532">
        <v>0</v>
      </c>
      <c r="S1532">
        <v>0</v>
      </c>
      <c r="T1532">
        <v>0</v>
      </c>
      <c r="U1532">
        <v>52</v>
      </c>
      <c r="V1532" s="1">
        <f t="shared" si="69"/>
        <v>9.6799999999999997E-2</v>
      </c>
      <c r="W1532" s="1">
        <f t="shared" si="70"/>
        <v>0</v>
      </c>
      <c r="X1532" s="1">
        <f t="shared" si="71"/>
        <v>0</v>
      </c>
    </row>
    <row r="1533" spans="1:24" x14ac:dyDescent="0.25">
      <c r="A1533">
        <v>2014</v>
      </c>
      <c r="B1533">
        <v>1</v>
      </c>
      <c r="C1533" t="s">
        <v>27</v>
      </c>
      <c r="D1533" t="str">
        <f>_xlfn.XLOOKUP(C1533,'Carrier Name Rename'!A:A,'Carrier Name Rename'!B:B)</f>
        <v>SkyWest Airlines Inc.</v>
      </c>
      <c r="E1533" t="s">
        <v>23</v>
      </c>
      <c r="F1533" t="s">
        <v>24</v>
      </c>
      <c r="G1533">
        <v>749</v>
      </c>
      <c r="H1533">
        <v>162</v>
      </c>
      <c r="I1533">
        <v>36.47</v>
      </c>
      <c r="J1533">
        <v>9.08</v>
      </c>
      <c r="K1533">
        <v>55.29</v>
      </c>
      <c r="L1533">
        <v>0</v>
      </c>
      <c r="M1533">
        <v>61.16</v>
      </c>
      <c r="N1533">
        <v>30</v>
      </c>
      <c r="O1533">
        <v>10</v>
      </c>
      <c r="P1533">
        <v>7890</v>
      </c>
      <c r="Q1533">
        <v>1911</v>
      </c>
      <c r="R1533">
        <v>813</v>
      </c>
      <c r="S1533">
        <v>1820</v>
      </c>
      <c r="T1533">
        <v>0</v>
      </c>
      <c r="U1533">
        <v>3346</v>
      </c>
      <c r="V1533" s="1">
        <f t="shared" si="69"/>
        <v>0.21629999999999999</v>
      </c>
      <c r="W1533" s="1">
        <f t="shared" si="70"/>
        <v>4.0099999999999997E-2</v>
      </c>
      <c r="X1533" s="1">
        <f t="shared" si="71"/>
        <v>1.34E-2</v>
      </c>
    </row>
    <row r="1534" spans="1:24" x14ac:dyDescent="0.25">
      <c r="A1534">
        <v>2014</v>
      </c>
      <c r="B1534">
        <v>1</v>
      </c>
      <c r="C1534" t="s">
        <v>41</v>
      </c>
      <c r="D1534" t="str">
        <f>_xlfn.XLOOKUP(C1534,'Carrier Name Rename'!A:A,'Carrier Name Rename'!B:B)</f>
        <v>United Air Lines Inc.</v>
      </c>
      <c r="E1534" t="s">
        <v>23</v>
      </c>
      <c r="F1534" t="s">
        <v>24</v>
      </c>
      <c r="G1534">
        <v>715</v>
      </c>
      <c r="H1534">
        <v>224</v>
      </c>
      <c r="I1534">
        <v>99.74</v>
      </c>
      <c r="J1534">
        <v>15.25</v>
      </c>
      <c r="K1534">
        <v>56.14</v>
      </c>
      <c r="L1534">
        <v>0</v>
      </c>
      <c r="M1534">
        <v>52.87</v>
      </c>
      <c r="N1534">
        <v>33</v>
      </c>
      <c r="O1534">
        <v>0</v>
      </c>
      <c r="P1534">
        <v>12015</v>
      </c>
      <c r="Q1534">
        <v>4694</v>
      </c>
      <c r="R1534">
        <v>1197</v>
      </c>
      <c r="S1534">
        <v>1932</v>
      </c>
      <c r="T1534">
        <v>0</v>
      </c>
      <c r="U1534">
        <v>4192</v>
      </c>
      <c r="V1534" s="1">
        <f t="shared" si="69"/>
        <v>0.31330000000000002</v>
      </c>
      <c r="W1534" s="1">
        <f t="shared" si="70"/>
        <v>4.6199999999999998E-2</v>
      </c>
      <c r="X1534" s="1">
        <f t="shared" si="71"/>
        <v>0</v>
      </c>
    </row>
    <row r="1535" spans="1:24" x14ac:dyDescent="0.25">
      <c r="A1535">
        <v>2014</v>
      </c>
      <c r="B1535">
        <v>1</v>
      </c>
      <c r="C1535" t="s">
        <v>61</v>
      </c>
      <c r="D1535" t="str">
        <f>_xlfn.XLOOKUP(C1535,'Carrier Name Rename'!A:A,'Carrier Name Rename'!B:B)</f>
        <v>US Airways Inc.</v>
      </c>
      <c r="E1535" t="s">
        <v>23</v>
      </c>
      <c r="F1535" t="s">
        <v>24</v>
      </c>
      <c r="G1535">
        <v>247</v>
      </c>
      <c r="H1535">
        <v>60</v>
      </c>
      <c r="I1535">
        <v>26.07</v>
      </c>
      <c r="J1535">
        <v>3.23</v>
      </c>
      <c r="K1535">
        <v>18.309999999999999</v>
      </c>
      <c r="L1535">
        <v>0</v>
      </c>
      <c r="M1535">
        <v>12.4</v>
      </c>
      <c r="N1535">
        <v>3</v>
      </c>
      <c r="O1535">
        <v>1</v>
      </c>
      <c r="P1535">
        <v>2515</v>
      </c>
      <c r="Q1535">
        <v>1082</v>
      </c>
      <c r="R1535">
        <v>240</v>
      </c>
      <c r="S1535">
        <v>566</v>
      </c>
      <c r="T1535">
        <v>0</v>
      </c>
      <c r="U1535">
        <v>627</v>
      </c>
      <c r="V1535" s="1">
        <f t="shared" si="69"/>
        <v>0.2429</v>
      </c>
      <c r="W1535" s="1">
        <f t="shared" si="70"/>
        <v>1.21E-2</v>
      </c>
      <c r="X1535" s="1">
        <f t="shared" si="71"/>
        <v>4.0000000000000001E-3</v>
      </c>
    </row>
    <row r="1536" spans="1:24" x14ac:dyDescent="0.25">
      <c r="A1536">
        <v>2014</v>
      </c>
      <c r="B1536">
        <v>1</v>
      </c>
      <c r="C1536" t="s">
        <v>51</v>
      </c>
      <c r="D1536" t="str">
        <f>_xlfn.XLOOKUP(C1536,'Carrier Name Rename'!A:A,'Carrier Name Rename'!B:B)</f>
        <v>Virgin America</v>
      </c>
      <c r="E1536" t="s">
        <v>23</v>
      </c>
      <c r="F1536" t="s">
        <v>24</v>
      </c>
      <c r="G1536">
        <v>208</v>
      </c>
      <c r="H1536">
        <v>15</v>
      </c>
      <c r="I1536">
        <v>5.63</v>
      </c>
      <c r="J1536">
        <v>1.94</v>
      </c>
      <c r="K1536">
        <v>0.77</v>
      </c>
      <c r="L1536">
        <v>0.67</v>
      </c>
      <c r="M1536">
        <v>5.99</v>
      </c>
      <c r="N1536">
        <v>0</v>
      </c>
      <c r="O1536">
        <v>0</v>
      </c>
      <c r="P1536">
        <v>762</v>
      </c>
      <c r="Q1536">
        <v>249</v>
      </c>
      <c r="R1536">
        <v>49</v>
      </c>
      <c r="S1536">
        <v>17</v>
      </c>
      <c r="T1536">
        <v>10</v>
      </c>
      <c r="U1536">
        <v>437</v>
      </c>
      <c r="V1536" s="1">
        <f t="shared" si="69"/>
        <v>7.2099999999999997E-2</v>
      </c>
      <c r="W1536" s="1">
        <f t="shared" si="70"/>
        <v>0</v>
      </c>
      <c r="X1536" s="1">
        <f t="shared" si="71"/>
        <v>0</v>
      </c>
    </row>
    <row r="1537" spans="1:24" x14ac:dyDescent="0.25">
      <c r="A1537">
        <v>2014</v>
      </c>
      <c r="B1537">
        <v>1</v>
      </c>
      <c r="C1537" t="s">
        <v>43</v>
      </c>
      <c r="D1537" t="str">
        <f>_xlfn.XLOOKUP(C1537,'Carrier Name Rename'!A:A,'Carrier Name Rename'!B:B)</f>
        <v>Southwest Airlines Co.</v>
      </c>
      <c r="E1537" t="s">
        <v>23</v>
      </c>
      <c r="F1537" t="s">
        <v>24</v>
      </c>
      <c r="G1537">
        <v>785</v>
      </c>
      <c r="H1537">
        <v>322</v>
      </c>
      <c r="I1537">
        <v>103.7</v>
      </c>
      <c r="J1537">
        <v>1.32</v>
      </c>
      <c r="K1537">
        <v>43.1</v>
      </c>
      <c r="L1537">
        <v>1</v>
      </c>
      <c r="M1537">
        <v>172.87</v>
      </c>
      <c r="N1537">
        <v>12</v>
      </c>
      <c r="O1537">
        <v>1</v>
      </c>
      <c r="P1537">
        <v>19769</v>
      </c>
      <c r="Q1537">
        <v>5715</v>
      </c>
      <c r="R1537">
        <v>148</v>
      </c>
      <c r="S1537">
        <v>1519</v>
      </c>
      <c r="T1537">
        <v>34</v>
      </c>
      <c r="U1537">
        <v>12353</v>
      </c>
      <c r="V1537" s="1">
        <f t="shared" si="69"/>
        <v>0.41020000000000001</v>
      </c>
      <c r="W1537" s="1">
        <f t="shared" si="70"/>
        <v>1.5299999999999999E-2</v>
      </c>
      <c r="X1537" s="1">
        <f t="shared" si="71"/>
        <v>1.2999999999999999E-3</v>
      </c>
    </row>
    <row r="1538" spans="1:24" x14ac:dyDescent="0.25">
      <c r="A1538">
        <v>2013</v>
      </c>
      <c r="B1538">
        <v>12</v>
      </c>
      <c r="C1538" t="s">
        <v>31</v>
      </c>
      <c r="D1538" t="str">
        <f>_xlfn.XLOOKUP(C1538,'Carrier Name Rename'!A:A,'Carrier Name Rename'!B:B)</f>
        <v>American Airlines Inc.</v>
      </c>
      <c r="E1538" t="s">
        <v>23</v>
      </c>
      <c r="F1538" t="s">
        <v>24</v>
      </c>
      <c r="G1538">
        <v>395</v>
      </c>
      <c r="H1538">
        <v>126</v>
      </c>
      <c r="I1538">
        <v>32.909999999999997</v>
      </c>
      <c r="J1538">
        <v>16.55</v>
      </c>
      <c r="K1538">
        <v>47.77</v>
      </c>
      <c r="L1538">
        <v>0</v>
      </c>
      <c r="M1538">
        <v>28.77</v>
      </c>
      <c r="N1538">
        <v>21</v>
      </c>
      <c r="O1538">
        <v>2</v>
      </c>
      <c r="P1538">
        <v>6073</v>
      </c>
      <c r="Q1538">
        <v>1328</v>
      </c>
      <c r="R1538">
        <v>1262</v>
      </c>
      <c r="S1538">
        <v>1504</v>
      </c>
      <c r="T1538">
        <v>0</v>
      </c>
      <c r="U1538">
        <v>1979</v>
      </c>
      <c r="V1538" s="1">
        <f t="shared" si="69"/>
        <v>0.31900000000000001</v>
      </c>
      <c r="W1538" s="1">
        <f t="shared" si="70"/>
        <v>5.3199999999999997E-2</v>
      </c>
      <c r="X1538" s="1">
        <f t="shared" si="71"/>
        <v>5.1000000000000004E-3</v>
      </c>
    </row>
    <row r="1539" spans="1:24" x14ac:dyDescent="0.25">
      <c r="A1539">
        <v>2013</v>
      </c>
      <c r="B1539">
        <v>12</v>
      </c>
      <c r="C1539" t="s">
        <v>33</v>
      </c>
      <c r="D1539" t="str">
        <f>_xlfn.XLOOKUP(C1539,'Carrier Name Rename'!A:A,'Carrier Name Rename'!B:B)</f>
        <v>Alaska Airlines Inc.</v>
      </c>
      <c r="E1539" t="s">
        <v>23</v>
      </c>
      <c r="F1539" t="s">
        <v>24</v>
      </c>
      <c r="G1539">
        <v>3745</v>
      </c>
      <c r="H1539">
        <v>483</v>
      </c>
      <c r="I1539">
        <v>98.44</v>
      </c>
      <c r="J1539">
        <v>20.309999999999999</v>
      </c>
      <c r="K1539">
        <v>220.1</v>
      </c>
      <c r="L1539">
        <v>1.29</v>
      </c>
      <c r="M1539">
        <v>142.86000000000001</v>
      </c>
      <c r="N1539">
        <v>6</v>
      </c>
      <c r="O1539">
        <v>7</v>
      </c>
      <c r="P1539">
        <v>23489</v>
      </c>
      <c r="Q1539">
        <v>6322</v>
      </c>
      <c r="R1539">
        <v>1256</v>
      </c>
      <c r="S1539">
        <v>6729</v>
      </c>
      <c r="T1539">
        <v>70</v>
      </c>
      <c r="U1539">
        <v>9112</v>
      </c>
      <c r="V1539" s="1">
        <f t="shared" ref="V1539:V1602" si="72">ROUND(H1539/G1539,4)</f>
        <v>0.129</v>
      </c>
      <c r="W1539" s="1">
        <f t="shared" ref="W1539:W1602" si="73">ROUND(N1539/G1539,4)</f>
        <v>1.6000000000000001E-3</v>
      </c>
      <c r="X1539" s="1">
        <f t="shared" ref="X1539:X1602" si="74">ROUND(O1539/G1539,4)</f>
        <v>1.9E-3</v>
      </c>
    </row>
    <row r="1540" spans="1:24" x14ac:dyDescent="0.25">
      <c r="A1540">
        <v>2013</v>
      </c>
      <c r="B1540">
        <v>12</v>
      </c>
      <c r="C1540" t="s">
        <v>35</v>
      </c>
      <c r="D1540" t="str">
        <f>_xlfn.XLOOKUP(C1540,'Carrier Name Rename'!A:A,'Carrier Name Rename'!B:B)</f>
        <v>JetBlue Airways</v>
      </c>
      <c r="E1540" t="s">
        <v>23</v>
      </c>
      <c r="F1540" t="s">
        <v>24</v>
      </c>
      <c r="G1540">
        <v>141</v>
      </c>
      <c r="H1540">
        <v>49</v>
      </c>
      <c r="I1540">
        <v>20.75</v>
      </c>
      <c r="J1540">
        <v>1.1499999999999999</v>
      </c>
      <c r="K1540">
        <v>19.149999999999999</v>
      </c>
      <c r="L1540">
        <v>0</v>
      </c>
      <c r="M1540">
        <v>7.95</v>
      </c>
      <c r="N1540">
        <v>1</v>
      </c>
      <c r="O1540">
        <v>3</v>
      </c>
      <c r="P1540">
        <v>2632</v>
      </c>
      <c r="Q1540">
        <v>1164</v>
      </c>
      <c r="R1540">
        <v>123</v>
      </c>
      <c r="S1540">
        <v>818</v>
      </c>
      <c r="T1540">
        <v>0</v>
      </c>
      <c r="U1540">
        <v>527</v>
      </c>
      <c r="V1540" s="1">
        <f t="shared" si="72"/>
        <v>0.34749999999999998</v>
      </c>
      <c r="W1540" s="1">
        <f t="shared" si="73"/>
        <v>7.1000000000000004E-3</v>
      </c>
      <c r="X1540" s="1">
        <f t="shared" si="74"/>
        <v>2.1299999999999999E-2</v>
      </c>
    </row>
    <row r="1541" spans="1:24" x14ac:dyDescent="0.25">
      <c r="A1541">
        <v>2013</v>
      </c>
      <c r="B1541">
        <v>12</v>
      </c>
      <c r="C1541" t="s">
        <v>37</v>
      </c>
      <c r="D1541" t="str">
        <f>_xlfn.XLOOKUP(C1541,'Carrier Name Rename'!A:A,'Carrier Name Rename'!B:B)</f>
        <v>Delta Air Lines Inc.</v>
      </c>
      <c r="E1541" t="s">
        <v>23</v>
      </c>
      <c r="F1541" t="s">
        <v>24</v>
      </c>
      <c r="G1541">
        <v>804</v>
      </c>
      <c r="H1541">
        <v>227</v>
      </c>
      <c r="I1541">
        <v>82.32</v>
      </c>
      <c r="J1541">
        <v>12.08</v>
      </c>
      <c r="K1541">
        <v>98.88</v>
      </c>
      <c r="L1541">
        <v>0</v>
      </c>
      <c r="M1541">
        <v>33.72</v>
      </c>
      <c r="N1541">
        <v>3</v>
      </c>
      <c r="O1541">
        <v>2</v>
      </c>
      <c r="P1541">
        <v>9546</v>
      </c>
      <c r="Q1541">
        <v>3848</v>
      </c>
      <c r="R1541">
        <v>1143</v>
      </c>
      <c r="S1541">
        <v>3024</v>
      </c>
      <c r="T1541">
        <v>0</v>
      </c>
      <c r="U1541">
        <v>1531</v>
      </c>
      <c r="V1541" s="1">
        <f t="shared" si="72"/>
        <v>0.2823</v>
      </c>
      <c r="W1541" s="1">
        <f t="shared" si="73"/>
        <v>3.7000000000000002E-3</v>
      </c>
      <c r="X1541" s="1">
        <f t="shared" si="74"/>
        <v>2.5000000000000001E-3</v>
      </c>
    </row>
    <row r="1542" spans="1:24" x14ac:dyDescent="0.25">
      <c r="A1542">
        <v>2013</v>
      </c>
      <c r="B1542">
        <v>12</v>
      </c>
      <c r="C1542" t="s">
        <v>39</v>
      </c>
      <c r="D1542" t="str">
        <f>_xlfn.XLOOKUP(C1542,'Carrier Name Rename'!A:A,'Carrier Name Rename'!B:B)</f>
        <v>Frontier Airlines Inc.</v>
      </c>
      <c r="E1542" t="s">
        <v>23</v>
      </c>
      <c r="F1542" t="s">
        <v>24</v>
      </c>
      <c r="G1542">
        <v>123</v>
      </c>
      <c r="H1542">
        <v>67</v>
      </c>
      <c r="I1542">
        <v>18.05</v>
      </c>
      <c r="J1542">
        <v>0.85</v>
      </c>
      <c r="K1542">
        <v>32.26</v>
      </c>
      <c r="L1542">
        <v>0</v>
      </c>
      <c r="M1542">
        <v>15.84</v>
      </c>
      <c r="N1542">
        <v>0</v>
      </c>
      <c r="O1542">
        <v>0</v>
      </c>
      <c r="P1542">
        <v>3446</v>
      </c>
      <c r="Q1542">
        <v>843</v>
      </c>
      <c r="R1542">
        <v>45</v>
      </c>
      <c r="S1542">
        <v>1174</v>
      </c>
      <c r="T1542">
        <v>0</v>
      </c>
      <c r="U1542">
        <v>1384</v>
      </c>
      <c r="V1542" s="1">
        <f t="shared" si="72"/>
        <v>0.54469999999999996</v>
      </c>
      <c r="W1542" s="1">
        <f t="shared" si="73"/>
        <v>0</v>
      </c>
      <c r="X1542" s="1">
        <f t="shared" si="74"/>
        <v>0</v>
      </c>
    </row>
    <row r="1543" spans="1:24" x14ac:dyDescent="0.25">
      <c r="A1543">
        <v>2013</v>
      </c>
      <c r="B1543">
        <v>12</v>
      </c>
      <c r="C1543" t="s">
        <v>21</v>
      </c>
      <c r="D1543" t="str">
        <f>_xlfn.XLOOKUP(C1543,'Carrier Name Rename'!A:A,'Carrier Name Rename'!B:B)</f>
        <v>Hawaiian Airlines Inc.</v>
      </c>
      <c r="E1543" t="s">
        <v>23</v>
      </c>
      <c r="F1543" t="s">
        <v>24</v>
      </c>
      <c r="G1543">
        <v>62</v>
      </c>
      <c r="H1543">
        <v>10</v>
      </c>
      <c r="I1543">
        <v>10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494</v>
      </c>
      <c r="Q1543">
        <v>494</v>
      </c>
      <c r="R1543">
        <v>0</v>
      </c>
      <c r="S1543">
        <v>0</v>
      </c>
      <c r="T1543">
        <v>0</v>
      </c>
      <c r="U1543">
        <v>0</v>
      </c>
      <c r="V1543" s="1">
        <f t="shared" si="72"/>
        <v>0.1613</v>
      </c>
      <c r="W1543" s="1">
        <f t="shared" si="73"/>
        <v>0</v>
      </c>
      <c r="X1543" s="1">
        <f t="shared" si="74"/>
        <v>0</v>
      </c>
    </row>
    <row r="1544" spans="1:24" x14ac:dyDescent="0.25">
      <c r="A1544">
        <v>2013</v>
      </c>
      <c r="B1544">
        <v>12</v>
      </c>
      <c r="C1544" t="s">
        <v>27</v>
      </c>
      <c r="D1544" t="str">
        <f>_xlfn.XLOOKUP(C1544,'Carrier Name Rename'!A:A,'Carrier Name Rename'!B:B)</f>
        <v>SkyWest Airlines Inc.</v>
      </c>
      <c r="E1544" t="s">
        <v>23</v>
      </c>
      <c r="F1544" t="s">
        <v>24</v>
      </c>
      <c r="G1544">
        <v>694</v>
      </c>
      <c r="H1544">
        <v>163</v>
      </c>
      <c r="I1544">
        <v>40.17</v>
      </c>
      <c r="J1544">
        <v>7.11</v>
      </c>
      <c r="K1544">
        <v>64.11</v>
      </c>
      <c r="L1544">
        <v>0</v>
      </c>
      <c r="M1544">
        <v>51.61</v>
      </c>
      <c r="N1544">
        <v>13</v>
      </c>
      <c r="O1544">
        <v>4</v>
      </c>
      <c r="P1544">
        <v>7178</v>
      </c>
      <c r="Q1544">
        <v>2122</v>
      </c>
      <c r="R1544">
        <v>472</v>
      </c>
      <c r="S1544">
        <v>1876</v>
      </c>
      <c r="T1544">
        <v>0</v>
      </c>
      <c r="U1544">
        <v>2708</v>
      </c>
      <c r="V1544" s="1">
        <f t="shared" si="72"/>
        <v>0.2349</v>
      </c>
      <c r="W1544" s="1">
        <f t="shared" si="73"/>
        <v>1.8700000000000001E-2</v>
      </c>
      <c r="X1544" s="1">
        <f t="shared" si="74"/>
        <v>5.7999999999999996E-3</v>
      </c>
    </row>
    <row r="1545" spans="1:24" x14ac:dyDescent="0.25">
      <c r="A1545">
        <v>2013</v>
      </c>
      <c r="B1545">
        <v>12</v>
      </c>
      <c r="C1545" t="s">
        <v>41</v>
      </c>
      <c r="D1545" t="str">
        <f>_xlfn.XLOOKUP(C1545,'Carrier Name Rename'!A:A,'Carrier Name Rename'!B:B)</f>
        <v>United Air Lines Inc.</v>
      </c>
      <c r="E1545" t="s">
        <v>23</v>
      </c>
      <c r="F1545" t="s">
        <v>24</v>
      </c>
      <c r="G1545">
        <v>909</v>
      </c>
      <c r="H1545">
        <v>307</v>
      </c>
      <c r="I1545">
        <v>142.56</v>
      </c>
      <c r="J1545">
        <v>10.01</v>
      </c>
      <c r="K1545">
        <v>82.26</v>
      </c>
      <c r="L1545">
        <v>0</v>
      </c>
      <c r="M1545">
        <v>72.17</v>
      </c>
      <c r="N1545">
        <v>8</v>
      </c>
      <c r="O1545">
        <v>1</v>
      </c>
      <c r="P1545">
        <v>15038</v>
      </c>
      <c r="Q1545">
        <v>6914</v>
      </c>
      <c r="R1545">
        <v>574</v>
      </c>
      <c r="S1545">
        <v>2802</v>
      </c>
      <c r="T1545">
        <v>0</v>
      </c>
      <c r="U1545">
        <v>4748</v>
      </c>
      <c r="V1545" s="1">
        <f t="shared" si="72"/>
        <v>0.3377</v>
      </c>
      <c r="W1545" s="1">
        <f t="shared" si="73"/>
        <v>8.8000000000000005E-3</v>
      </c>
      <c r="X1545" s="1">
        <f t="shared" si="74"/>
        <v>1.1000000000000001E-3</v>
      </c>
    </row>
    <row r="1546" spans="1:24" x14ac:dyDescent="0.25">
      <c r="A1546">
        <v>2013</v>
      </c>
      <c r="B1546">
        <v>12</v>
      </c>
      <c r="C1546" t="s">
        <v>61</v>
      </c>
      <c r="D1546" t="str">
        <f>_xlfn.XLOOKUP(C1546,'Carrier Name Rename'!A:A,'Carrier Name Rename'!B:B)</f>
        <v>US Airways Inc.</v>
      </c>
      <c r="E1546" t="s">
        <v>23</v>
      </c>
      <c r="F1546" t="s">
        <v>24</v>
      </c>
      <c r="G1546">
        <v>291</v>
      </c>
      <c r="H1546">
        <v>89</v>
      </c>
      <c r="I1546">
        <v>35.880000000000003</v>
      </c>
      <c r="J1546">
        <v>0.14000000000000001</v>
      </c>
      <c r="K1546">
        <v>34.15</v>
      </c>
      <c r="L1546">
        <v>0.87</v>
      </c>
      <c r="M1546">
        <v>17.96</v>
      </c>
      <c r="N1546">
        <v>0</v>
      </c>
      <c r="O1546">
        <v>4</v>
      </c>
      <c r="P1546">
        <v>3892</v>
      </c>
      <c r="Q1546">
        <v>1769</v>
      </c>
      <c r="R1546">
        <v>26</v>
      </c>
      <c r="S1546">
        <v>1185</v>
      </c>
      <c r="T1546">
        <v>39</v>
      </c>
      <c r="U1546">
        <v>873</v>
      </c>
      <c r="V1546" s="1">
        <f t="shared" si="72"/>
        <v>0.30580000000000002</v>
      </c>
      <c r="W1546" s="1">
        <f t="shared" si="73"/>
        <v>0</v>
      </c>
      <c r="X1546" s="1">
        <f t="shared" si="74"/>
        <v>1.37E-2</v>
      </c>
    </row>
    <row r="1547" spans="1:24" x14ac:dyDescent="0.25">
      <c r="A1547">
        <v>2013</v>
      </c>
      <c r="B1547">
        <v>12</v>
      </c>
      <c r="C1547" t="s">
        <v>51</v>
      </c>
      <c r="D1547" t="str">
        <f>_xlfn.XLOOKUP(C1547,'Carrier Name Rename'!A:A,'Carrier Name Rename'!B:B)</f>
        <v>Virgin America</v>
      </c>
      <c r="E1547" t="s">
        <v>23</v>
      </c>
      <c r="F1547" t="s">
        <v>24</v>
      </c>
      <c r="G1547">
        <v>235</v>
      </c>
      <c r="H1547">
        <v>30</v>
      </c>
      <c r="I1547">
        <v>8.02</v>
      </c>
      <c r="J1547">
        <v>13.5</v>
      </c>
      <c r="K1547">
        <v>3.58</v>
      </c>
      <c r="L1547">
        <v>0.32</v>
      </c>
      <c r="M1547">
        <v>4.59</v>
      </c>
      <c r="N1547">
        <v>0</v>
      </c>
      <c r="O1547">
        <v>0</v>
      </c>
      <c r="P1547">
        <v>807</v>
      </c>
      <c r="Q1547">
        <v>196</v>
      </c>
      <c r="R1547">
        <v>330</v>
      </c>
      <c r="S1547">
        <v>79</v>
      </c>
      <c r="T1547">
        <v>6</v>
      </c>
      <c r="U1547">
        <v>196</v>
      </c>
      <c r="V1547" s="1">
        <f t="shared" si="72"/>
        <v>0.12770000000000001</v>
      </c>
      <c r="W1547" s="1">
        <f t="shared" si="73"/>
        <v>0</v>
      </c>
      <c r="X1547" s="1">
        <f t="shared" si="74"/>
        <v>0</v>
      </c>
    </row>
    <row r="1548" spans="1:24" x14ac:dyDescent="0.25">
      <c r="A1548">
        <v>2013</v>
      </c>
      <c r="B1548">
        <v>12</v>
      </c>
      <c r="C1548" t="s">
        <v>43</v>
      </c>
      <c r="D1548" t="str">
        <f>_xlfn.XLOOKUP(C1548,'Carrier Name Rename'!A:A,'Carrier Name Rename'!B:B)</f>
        <v>Southwest Airlines Co.</v>
      </c>
      <c r="E1548" t="s">
        <v>23</v>
      </c>
      <c r="F1548" t="s">
        <v>24</v>
      </c>
      <c r="G1548">
        <v>952</v>
      </c>
      <c r="H1548">
        <v>477</v>
      </c>
      <c r="I1548">
        <v>178.82</v>
      </c>
      <c r="J1548">
        <v>1.69</v>
      </c>
      <c r="K1548">
        <v>69.37</v>
      </c>
      <c r="L1548">
        <v>2.5299999999999998</v>
      </c>
      <c r="M1548">
        <v>224.58</v>
      </c>
      <c r="N1548">
        <v>3</v>
      </c>
      <c r="O1548">
        <v>1</v>
      </c>
      <c r="P1548">
        <v>22055</v>
      </c>
      <c r="Q1548">
        <v>7418</v>
      </c>
      <c r="R1548">
        <v>161</v>
      </c>
      <c r="S1548">
        <v>2588</v>
      </c>
      <c r="T1548">
        <v>76</v>
      </c>
      <c r="U1548">
        <v>11812</v>
      </c>
      <c r="V1548" s="1">
        <f t="shared" si="72"/>
        <v>0.50109999999999999</v>
      </c>
      <c r="W1548" s="1">
        <f t="shared" si="73"/>
        <v>3.2000000000000002E-3</v>
      </c>
      <c r="X1548" s="1">
        <f t="shared" si="74"/>
        <v>1.1000000000000001E-3</v>
      </c>
    </row>
    <row r="1549" spans="1:24" x14ac:dyDescent="0.25">
      <c r="A1549">
        <v>2013</v>
      </c>
      <c r="B1549">
        <v>11</v>
      </c>
      <c r="C1549" t="s">
        <v>31</v>
      </c>
      <c r="D1549" t="str">
        <f>_xlfn.XLOOKUP(C1549,'Carrier Name Rename'!A:A,'Carrier Name Rename'!B:B)</f>
        <v>American Airlines Inc.</v>
      </c>
      <c r="E1549" t="s">
        <v>23</v>
      </c>
      <c r="F1549" t="s">
        <v>24</v>
      </c>
      <c r="G1549">
        <v>410</v>
      </c>
      <c r="H1549">
        <v>78</v>
      </c>
      <c r="I1549">
        <v>24.44</v>
      </c>
      <c r="J1549">
        <v>0.31</v>
      </c>
      <c r="K1549">
        <v>31.12</v>
      </c>
      <c r="L1549">
        <v>0</v>
      </c>
      <c r="M1549">
        <v>22.12</v>
      </c>
      <c r="N1549">
        <v>3</v>
      </c>
      <c r="O1549">
        <v>4</v>
      </c>
      <c r="P1549">
        <v>3345</v>
      </c>
      <c r="Q1549">
        <v>1071</v>
      </c>
      <c r="R1549">
        <v>23</v>
      </c>
      <c r="S1549">
        <v>990</v>
      </c>
      <c r="T1549">
        <v>0</v>
      </c>
      <c r="U1549">
        <v>1261</v>
      </c>
      <c r="V1549" s="1">
        <f t="shared" si="72"/>
        <v>0.19020000000000001</v>
      </c>
      <c r="W1549" s="1">
        <f t="shared" si="73"/>
        <v>7.3000000000000001E-3</v>
      </c>
      <c r="X1549" s="1">
        <f t="shared" si="74"/>
        <v>9.7999999999999997E-3</v>
      </c>
    </row>
    <row r="1550" spans="1:24" x14ac:dyDescent="0.25">
      <c r="A1550">
        <v>2013</v>
      </c>
      <c r="B1550">
        <v>11</v>
      </c>
      <c r="C1550" t="s">
        <v>33</v>
      </c>
      <c r="D1550" t="str">
        <f>_xlfn.XLOOKUP(C1550,'Carrier Name Rename'!A:A,'Carrier Name Rename'!B:B)</f>
        <v>Alaska Airlines Inc.</v>
      </c>
      <c r="E1550" t="s">
        <v>23</v>
      </c>
      <c r="F1550" t="s">
        <v>24</v>
      </c>
      <c r="G1550">
        <v>3660</v>
      </c>
      <c r="H1550">
        <v>327</v>
      </c>
      <c r="I1550">
        <v>86.66</v>
      </c>
      <c r="J1550">
        <v>9.0399999999999991</v>
      </c>
      <c r="K1550">
        <v>101.82</v>
      </c>
      <c r="L1550">
        <v>2.58</v>
      </c>
      <c r="M1550">
        <v>126.9</v>
      </c>
      <c r="N1550">
        <v>17</v>
      </c>
      <c r="O1550">
        <v>5</v>
      </c>
      <c r="P1550">
        <v>16697</v>
      </c>
      <c r="Q1550">
        <v>4958</v>
      </c>
      <c r="R1550">
        <v>317</v>
      </c>
      <c r="S1550">
        <v>2811</v>
      </c>
      <c r="T1550">
        <v>152</v>
      </c>
      <c r="U1550">
        <v>8459</v>
      </c>
      <c r="V1550" s="1">
        <f t="shared" si="72"/>
        <v>8.9300000000000004E-2</v>
      </c>
      <c r="W1550" s="1">
        <f t="shared" si="73"/>
        <v>4.5999999999999999E-3</v>
      </c>
      <c r="X1550" s="1">
        <f t="shared" si="74"/>
        <v>1.4E-3</v>
      </c>
    </row>
    <row r="1551" spans="1:24" x14ac:dyDescent="0.25">
      <c r="A1551">
        <v>2013</v>
      </c>
      <c r="B1551">
        <v>11</v>
      </c>
      <c r="C1551" t="s">
        <v>35</v>
      </c>
      <c r="D1551" t="str">
        <f>_xlfn.XLOOKUP(C1551,'Carrier Name Rename'!A:A,'Carrier Name Rename'!B:B)</f>
        <v>JetBlue Airways</v>
      </c>
      <c r="E1551" t="s">
        <v>23</v>
      </c>
      <c r="F1551" t="s">
        <v>24</v>
      </c>
      <c r="G1551">
        <v>140</v>
      </c>
      <c r="H1551">
        <v>21</v>
      </c>
      <c r="I1551">
        <v>8.6999999999999993</v>
      </c>
      <c r="J1551">
        <v>0.6</v>
      </c>
      <c r="K1551">
        <v>9.32</v>
      </c>
      <c r="L1551">
        <v>0</v>
      </c>
      <c r="M1551">
        <v>2.38</v>
      </c>
      <c r="N1551">
        <v>0</v>
      </c>
      <c r="O1551">
        <v>0</v>
      </c>
      <c r="P1551">
        <v>956</v>
      </c>
      <c r="Q1551">
        <v>591</v>
      </c>
      <c r="R1551">
        <v>24</v>
      </c>
      <c r="S1551">
        <v>245</v>
      </c>
      <c r="T1551">
        <v>0</v>
      </c>
      <c r="U1551">
        <v>96</v>
      </c>
      <c r="V1551" s="1">
        <f t="shared" si="72"/>
        <v>0.15</v>
      </c>
      <c r="W1551" s="1">
        <f t="shared" si="73"/>
        <v>0</v>
      </c>
      <c r="X1551" s="1">
        <f t="shared" si="74"/>
        <v>0</v>
      </c>
    </row>
    <row r="1552" spans="1:24" x14ac:dyDescent="0.25">
      <c r="A1552">
        <v>2013</v>
      </c>
      <c r="B1552">
        <v>11</v>
      </c>
      <c r="C1552" t="s">
        <v>37</v>
      </c>
      <c r="D1552" t="str">
        <f>_xlfn.XLOOKUP(C1552,'Carrier Name Rename'!A:A,'Carrier Name Rename'!B:B)</f>
        <v>Delta Air Lines Inc.</v>
      </c>
      <c r="E1552" t="s">
        <v>23</v>
      </c>
      <c r="F1552" t="s">
        <v>24</v>
      </c>
      <c r="G1552">
        <v>780</v>
      </c>
      <c r="H1552">
        <v>88</v>
      </c>
      <c r="I1552">
        <v>28.06</v>
      </c>
      <c r="J1552">
        <v>0.63</v>
      </c>
      <c r="K1552">
        <v>45.39</v>
      </c>
      <c r="L1552">
        <v>0</v>
      </c>
      <c r="M1552">
        <v>13.92</v>
      </c>
      <c r="N1552">
        <v>0</v>
      </c>
      <c r="O1552">
        <v>2</v>
      </c>
      <c r="P1552">
        <v>3393</v>
      </c>
      <c r="Q1552">
        <v>1532</v>
      </c>
      <c r="R1552">
        <v>22</v>
      </c>
      <c r="S1552">
        <v>1221</v>
      </c>
      <c r="T1552">
        <v>0</v>
      </c>
      <c r="U1552">
        <v>618</v>
      </c>
      <c r="V1552" s="1">
        <f t="shared" si="72"/>
        <v>0.1128</v>
      </c>
      <c r="W1552" s="1">
        <f t="shared" si="73"/>
        <v>0</v>
      </c>
      <c r="X1552" s="1">
        <f t="shared" si="74"/>
        <v>2.5999999999999999E-3</v>
      </c>
    </row>
    <row r="1553" spans="1:24" x14ac:dyDescent="0.25">
      <c r="A1553">
        <v>2013</v>
      </c>
      <c r="B1553">
        <v>11</v>
      </c>
      <c r="C1553" t="s">
        <v>39</v>
      </c>
      <c r="D1553" t="str">
        <f>_xlfn.XLOOKUP(C1553,'Carrier Name Rename'!A:A,'Carrier Name Rename'!B:B)</f>
        <v>Frontier Airlines Inc.</v>
      </c>
      <c r="E1553" t="s">
        <v>23</v>
      </c>
      <c r="F1553" t="s">
        <v>24</v>
      </c>
      <c r="G1553">
        <v>115</v>
      </c>
      <c r="H1553">
        <v>19</v>
      </c>
      <c r="I1553">
        <v>4.9400000000000004</v>
      </c>
      <c r="J1553">
        <v>0.28999999999999998</v>
      </c>
      <c r="K1553">
        <v>6.95</v>
      </c>
      <c r="L1553">
        <v>0</v>
      </c>
      <c r="M1553">
        <v>6.82</v>
      </c>
      <c r="N1553">
        <v>0</v>
      </c>
      <c r="O1553">
        <v>0</v>
      </c>
      <c r="P1553">
        <v>1295</v>
      </c>
      <c r="Q1553">
        <v>258</v>
      </c>
      <c r="R1553">
        <v>8</v>
      </c>
      <c r="S1553">
        <v>319</v>
      </c>
      <c r="T1553">
        <v>0</v>
      </c>
      <c r="U1553">
        <v>710</v>
      </c>
      <c r="V1553" s="1">
        <f t="shared" si="72"/>
        <v>0.16520000000000001</v>
      </c>
      <c r="W1553" s="1">
        <f t="shared" si="73"/>
        <v>0</v>
      </c>
      <c r="X1553" s="1">
        <f t="shared" si="74"/>
        <v>0</v>
      </c>
    </row>
    <row r="1554" spans="1:24" x14ac:dyDescent="0.25">
      <c r="A1554">
        <v>2013</v>
      </c>
      <c r="B1554">
        <v>11</v>
      </c>
      <c r="C1554" t="s">
        <v>21</v>
      </c>
      <c r="D1554" t="str">
        <f>_xlfn.XLOOKUP(C1554,'Carrier Name Rename'!A:A,'Carrier Name Rename'!B:B)</f>
        <v>Hawaiian Airlines Inc.</v>
      </c>
      <c r="E1554" t="s">
        <v>23</v>
      </c>
      <c r="F1554" t="s">
        <v>24</v>
      </c>
      <c r="G1554">
        <v>60</v>
      </c>
      <c r="H1554">
        <v>8</v>
      </c>
      <c r="I1554">
        <v>5.03</v>
      </c>
      <c r="J1554">
        <v>0</v>
      </c>
      <c r="K1554">
        <v>0</v>
      </c>
      <c r="L1554">
        <v>0</v>
      </c>
      <c r="M1554">
        <v>2.97</v>
      </c>
      <c r="N1554">
        <v>0</v>
      </c>
      <c r="O1554">
        <v>0</v>
      </c>
      <c r="P1554">
        <v>925</v>
      </c>
      <c r="Q1554">
        <v>567</v>
      </c>
      <c r="R1554">
        <v>0</v>
      </c>
      <c r="S1554">
        <v>0</v>
      </c>
      <c r="T1554">
        <v>0</v>
      </c>
      <c r="U1554">
        <v>358</v>
      </c>
      <c r="V1554" s="1">
        <f t="shared" si="72"/>
        <v>0.1333</v>
      </c>
      <c r="W1554" s="1">
        <f t="shared" si="73"/>
        <v>0</v>
      </c>
      <c r="X1554" s="1">
        <f t="shared" si="74"/>
        <v>0</v>
      </c>
    </row>
    <row r="1555" spans="1:24" x14ac:dyDescent="0.25">
      <c r="A1555">
        <v>2013</v>
      </c>
      <c r="B1555">
        <v>11</v>
      </c>
      <c r="C1555" t="s">
        <v>27</v>
      </c>
      <c r="D1555" t="str">
        <f>_xlfn.XLOOKUP(C1555,'Carrier Name Rename'!A:A,'Carrier Name Rename'!B:B)</f>
        <v>SkyWest Airlines Inc.</v>
      </c>
      <c r="E1555" t="s">
        <v>23</v>
      </c>
      <c r="F1555" t="s">
        <v>24</v>
      </c>
      <c r="G1555">
        <v>673</v>
      </c>
      <c r="H1555">
        <v>96</v>
      </c>
      <c r="I1555">
        <v>28.07</v>
      </c>
      <c r="J1555">
        <v>4.13</v>
      </c>
      <c r="K1555">
        <v>31.04</v>
      </c>
      <c r="L1555">
        <v>0.37</v>
      </c>
      <c r="M1555">
        <v>32.39</v>
      </c>
      <c r="N1555">
        <v>9</v>
      </c>
      <c r="O1555">
        <v>4</v>
      </c>
      <c r="P1555">
        <v>4142</v>
      </c>
      <c r="Q1555">
        <v>1089</v>
      </c>
      <c r="R1555">
        <v>304</v>
      </c>
      <c r="S1555">
        <v>754</v>
      </c>
      <c r="T1555">
        <v>7</v>
      </c>
      <c r="U1555">
        <v>1988</v>
      </c>
      <c r="V1555" s="1">
        <f t="shared" si="72"/>
        <v>0.1426</v>
      </c>
      <c r="W1555" s="1">
        <f t="shared" si="73"/>
        <v>1.34E-2</v>
      </c>
      <c r="X1555" s="1">
        <f t="shared" si="74"/>
        <v>5.8999999999999999E-3</v>
      </c>
    </row>
    <row r="1556" spans="1:24" x14ac:dyDescent="0.25">
      <c r="A1556">
        <v>2013</v>
      </c>
      <c r="B1556">
        <v>11</v>
      </c>
      <c r="C1556" t="s">
        <v>41</v>
      </c>
      <c r="D1556" t="str">
        <f>_xlfn.XLOOKUP(C1556,'Carrier Name Rename'!A:A,'Carrier Name Rename'!B:B)</f>
        <v>United Air Lines Inc.</v>
      </c>
      <c r="E1556" t="s">
        <v>23</v>
      </c>
      <c r="F1556" t="s">
        <v>24</v>
      </c>
      <c r="G1556">
        <v>785</v>
      </c>
      <c r="H1556">
        <v>133</v>
      </c>
      <c r="I1556">
        <v>58.39</v>
      </c>
      <c r="J1556">
        <v>3.23</v>
      </c>
      <c r="K1556">
        <v>37.67</v>
      </c>
      <c r="L1556">
        <v>0</v>
      </c>
      <c r="M1556">
        <v>33.700000000000003</v>
      </c>
      <c r="N1556">
        <v>2</v>
      </c>
      <c r="O1556">
        <v>5</v>
      </c>
      <c r="P1556">
        <v>6911</v>
      </c>
      <c r="Q1556">
        <v>2790</v>
      </c>
      <c r="R1556">
        <v>251</v>
      </c>
      <c r="S1556">
        <v>1581</v>
      </c>
      <c r="T1556">
        <v>0</v>
      </c>
      <c r="U1556">
        <v>2289</v>
      </c>
      <c r="V1556" s="1">
        <f t="shared" si="72"/>
        <v>0.1694</v>
      </c>
      <c r="W1556" s="1">
        <f t="shared" si="73"/>
        <v>2.5000000000000001E-3</v>
      </c>
      <c r="X1556" s="1">
        <f t="shared" si="74"/>
        <v>6.4000000000000003E-3</v>
      </c>
    </row>
    <row r="1557" spans="1:24" x14ac:dyDescent="0.25">
      <c r="A1557">
        <v>2013</v>
      </c>
      <c r="B1557">
        <v>11</v>
      </c>
      <c r="C1557" t="s">
        <v>61</v>
      </c>
      <c r="D1557" t="str">
        <f>_xlfn.XLOOKUP(C1557,'Carrier Name Rename'!A:A,'Carrier Name Rename'!B:B)</f>
        <v>US Airways Inc.</v>
      </c>
      <c r="E1557" t="s">
        <v>23</v>
      </c>
      <c r="F1557" t="s">
        <v>24</v>
      </c>
      <c r="G1557">
        <v>241</v>
      </c>
      <c r="H1557">
        <v>32</v>
      </c>
      <c r="I1557">
        <v>10.45</v>
      </c>
      <c r="J1557">
        <v>0</v>
      </c>
      <c r="K1557">
        <v>13.86</v>
      </c>
      <c r="L1557">
        <v>1</v>
      </c>
      <c r="M1557">
        <v>6.69</v>
      </c>
      <c r="N1557">
        <v>0</v>
      </c>
      <c r="O1557">
        <v>1</v>
      </c>
      <c r="P1557">
        <v>1095</v>
      </c>
      <c r="Q1557">
        <v>379</v>
      </c>
      <c r="R1557">
        <v>0</v>
      </c>
      <c r="S1557">
        <v>384</v>
      </c>
      <c r="T1557">
        <v>15</v>
      </c>
      <c r="U1557">
        <v>317</v>
      </c>
      <c r="V1557" s="1">
        <f t="shared" si="72"/>
        <v>0.1328</v>
      </c>
      <c r="W1557" s="1">
        <f t="shared" si="73"/>
        <v>0</v>
      </c>
      <c r="X1557" s="1">
        <f t="shared" si="74"/>
        <v>4.1000000000000003E-3</v>
      </c>
    </row>
    <row r="1558" spans="1:24" x14ac:dyDescent="0.25">
      <c r="A1558">
        <v>2013</v>
      </c>
      <c r="B1558">
        <v>11</v>
      </c>
      <c r="C1558" t="s">
        <v>51</v>
      </c>
      <c r="D1558" t="str">
        <f>_xlfn.XLOOKUP(C1558,'Carrier Name Rename'!A:A,'Carrier Name Rename'!B:B)</f>
        <v>Virgin America</v>
      </c>
      <c r="E1558" t="s">
        <v>23</v>
      </c>
      <c r="F1558" t="s">
        <v>24</v>
      </c>
      <c r="G1558">
        <v>234</v>
      </c>
      <c r="H1558">
        <v>25</v>
      </c>
      <c r="I1558">
        <v>4.76</v>
      </c>
      <c r="J1558">
        <v>5.04</v>
      </c>
      <c r="K1558">
        <v>1</v>
      </c>
      <c r="L1558">
        <v>1</v>
      </c>
      <c r="M1558">
        <v>13.2</v>
      </c>
      <c r="N1558">
        <v>4</v>
      </c>
      <c r="O1558">
        <v>1</v>
      </c>
      <c r="P1558">
        <v>1398</v>
      </c>
      <c r="Q1558">
        <v>299</v>
      </c>
      <c r="R1558">
        <v>99</v>
      </c>
      <c r="S1558">
        <v>17</v>
      </c>
      <c r="T1558">
        <v>182</v>
      </c>
      <c r="U1558">
        <v>801</v>
      </c>
      <c r="V1558" s="1">
        <f t="shared" si="72"/>
        <v>0.10680000000000001</v>
      </c>
      <c r="W1558" s="1">
        <f t="shared" si="73"/>
        <v>1.7100000000000001E-2</v>
      </c>
      <c r="X1558" s="1">
        <f t="shared" si="74"/>
        <v>4.3E-3</v>
      </c>
    </row>
    <row r="1559" spans="1:24" x14ac:dyDescent="0.25">
      <c r="A1559">
        <v>2013</v>
      </c>
      <c r="B1559">
        <v>11</v>
      </c>
      <c r="C1559" t="s">
        <v>43</v>
      </c>
      <c r="D1559" t="str">
        <f>_xlfn.XLOOKUP(C1559,'Carrier Name Rename'!A:A,'Carrier Name Rename'!B:B)</f>
        <v>Southwest Airlines Co.</v>
      </c>
      <c r="E1559" t="s">
        <v>23</v>
      </c>
      <c r="F1559" t="s">
        <v>24</v>
      </c>
      <c r="G1559">
        <v>886</v>
      </c>
      <c r="H1559">
        <v>190</v>
      </c>
      <c r="I1559">
        <v>68.03</v>
      </c>
      <c r="J1559">
        <v>0.92</v>
      </c>
      <c r="K1559">
        <v>29.64</v>
      </c>
      <c r="L1559">
        <v>0.68</v>
      </c>
      <c r="M1559">
        <v>90.73</v>
      </c>
      <c r="N1559">
        <v>1</v>
      </c>
      <c r="O1559">
        <v>3</v>
      </c>
      <c r="P1559">
        <v>6744</v>
      </c>
      <c r="Q1559">
        <v>2236</v>
      </c>
      <c r="R1559">
        <v>22</v>
      </c>
      <c r="S1559">
        <v>753</v>
      </c>
      <c r="T1559">
        <v>13</v>
      </c>
      <c r="U1559">
        <v>3720</v>
      </c>
      <c r="V1559" s="1">
        <f t="shared" si="72"/>
        <v>0.21440000000000001</v>
      </c>
      <c r="W1559" s="1">
        <f t="shared" si="73"/>
        <v>1.1000000000000001E-3</v>
      </c>
      <c r="X1559" s="1">
        <f t="shared" si="74"/>
        <v>3.3999999999999998E-3</v>
      </c>
    </row>
    <row r="1560" spans="1:24" x14ac:dyDescent="0.25">
      <c r="A1560">
        <v>2013</v>
      </c>
      <c r="B1560">
        <v>10</v>
      </c>
      <c r="C1560" t="s">
        <v>31</v>
      </c>
      <c r="D1560" t="str">
        <f>_xlfn.XLOOKUP(C1560,'Carrier Name Rename'!A:A,'Carrier Name Rename'!B:B)</f>
        <v>American Airlines Inc.</v>
      </c>
      <c r="E1560" t="s">
        <v>23</v>
      </c>
      <c r="F1560" t="s">
        <v>24</v>
      </c>
      <c r="G1560">
        <v>447</v>
      </c>
      <c r="H1560">
        <v>61</v>
      </c>
      <c r="I1560">
        <v>25.87</v>
      </c>
      <c r="J1560">
        <v>5.87</v>
      </c>
      <c r="K1560">
        <v>12.56</v>
      </c>
      <c r="L1560">
        <v>0</v>
      </c>
      <c r="M1560">
        <v>16.7</v>
      </c>
      <c r="N1560">
        <v>0</v>
      </c>
      <c r="O1560">
        <v>4</v>
      </c>
      <c r="P1560">
        <v>2430</v>
      </c>
      <c r="Q1560">
        <v>867</v>
      </c>
      <c r="R1560">
        <v>424</v>
      </c>
      <c r="S1560">
        <v>334</v>
      </c>
      <c r="T1560">
        <v>0</v>
      </c>
      <c r="U1560">
        <v>805</v>
      </c>
      <c r="V1560" s="1">
        <f t="shared" si="72"/>
        <v>0.13650000000000001</v>
      </c>
      <c r="W1560" s="1">
        <f t="shared" si="73"/>
        <v>0</v>
      </c>
      <c r="X1560" s="1">
        <f t="shared" si="74"/>
        <v>8.8999999999999999E-3</v>
      </c>
    </row>
    <row r="1561" spans="1:24" x14ac:dyDescent="0.25">
      <c r="A1561">
        <v>2013</v>
      </c>
      <c r="B1561">
        <v>10</v>
      </c>
      <c r="C1561" t="s">
        <v>33</v>
      </c>
      <c r="D1561" t="str">
        <f>_xlfn.XLOOKUP(C1561,'Carrier Name Rename'!A:A,'Carrier Name Rename'!B:B)</f>
        <v>Alaska Airlines Inc.</v>
      </c>
      <c r="E1561" t="s">
        <v>23</v>
      </c>
      <c r="F1561" t="s">
        <v>24</v>
      </c>
      <c r="G1561">
        <v>3816</v>
      </c>
      <c r="H1561">
        <v>377</v>
      </c>
      <c r="I1561">
        <v>76.63</v>
      </c>
      <c r="J1561">
        <v>4.3600000000000003</v>
      </c>
      <c r="K1561">
        <v>180.77</v>
      </c>
      <c r="L1561">
        <v>3.77</v>
      </c>
      <c r="M1561">
        <v>111.46</v>
      </c>
      <c r="N1561">
        <v>5</v>
      </c>
      <c r="O1561">
        <v>5</v>
      </c>
      <c r="P1561">
        <v>17078</v>
      </c>
      <c r="Q1561">
        <v>5779</v>
      </c>
      <c r="R1561">
        <v>131</v>
      </c>
      <c r="S1561">
        <v>4157</v>
      </c>
      <c r="T1561">
        <v>95</v>
      </c>
      <c r="U1561">
        <v>6916</v>
      </c>
      <c r="V1561" s="1">
        <f t="shared" si="72"/>
        <v>9.8799999999999999E-2</v>
      </c>
      <c r="W1561" s="1">
        <f t="shared" si="73"/>
        <v>1.2999999999999999E-3</v>
      </c>
      <c r="X1561" s="1">
        <f t="shared" si="74"/>
        <v>1.2999999999999999E-3</v>
      </c>
    </row>
    <row r="1562" spans="1:24" x14ac:dyDescent="0.25">
      <c r="A1562">
        <v>2013</v>
      </c>
      <c r="B1562">
        <v>10</v>
      </c>
      <c r="C1562" t="s">
        <v>35</v>
      </c>
      <c r="D1562" t="str">
        <f>_xlfn.XLOOKUP(C1562,'Carrier Name Rename'!A:A,'Carrier Name Rename'!B:B)</f>
        <v>JetBlue Airways</v>
      </c>
      <c r="E1562" t="s">
        <v>23</v>
      </c>
      <c r="F1562" t="s">
        <v>24</v>
      </c>
      <c r="G1562">
        <v>217</v>
      </c>
      <c r="H1562">
        <v>19</v>
      </c>
      <c r="I1562">
        <v>7.65</v>
      </c>
      <c r="J1562">
        <v>0</v>
      </c>
      <c r="K1562">
        <v>7.55</v>
      </c>
      <c r="L1562">
        <v>0</v>
      </c>
      <c r="M1562">
        <v>3.8</v>
      </c>
      <c r="N1562">
        <v>0</v>
      </c>
      <c r="O1562">
        <v>0</v>
      </c>
      <c r="P1562">
        <v>774</v>
      </c>
      <c r="Q1562">
        <v>390</v>
      </c>
      <c r="R1562">
        <v>0</v>
      </c>
      <c r="S1562">
        <v>161</v>
      </c>
      <c r="T1562">
        <v>0</v>
      </c>
      <c r="U1562">
        <v>223</v>
      </c>
      <c r="V1562" s="1">
        <f t="shared" si="72"/>
        <v>8.7599999999999997E-2</v>
      </c>
      <c r="W1562" s="1">
        <f t="shared" si="73"/>
        <v>0</v>
      </c>
      <c r="X1562" s="1">
        <f t="shared" si="74"/>
        <v>0</v>
      </c>
    </row>
    <row r="1563" spans="1:24" x14ac:dyDescent="0.25">
      <c r="A1563">
        <v>2013</v>
      </c>
      <c r="B1563">
        <v>10</v>
      </c>
      <c r="C1563" t="s">
        <v>37</v>
      </c>
      <c r="D1563" t="str">
        <f>_xlfn.XLOOKUP(C1563,'Carrier Name Rename'!A:A,'Carrier Name Rename'!B:B)</f>
        <v>Delta Air Lines Inc.</v>
      </c>
      <c r="E1563" t="s">
        <v>23</v>
      </c>
      <c r="F1563" t="s">
        <v>24</v>
      </c>
      <c r="G1563">
        <v>830</v>
      </c>
      <c r="H1563">
        <v>57</v>
      </c>
      <c r="I1563">
        <v>22.39</v>
      </c>
      <c r="J1563">
        <v>0.67</v>
      </c>
      <c r="K1563">
        <v>25.77</v>
      </c>
      <c r="L1563">
        <v>0</v>
      </c>
      <c r="M1563">
        <v>8.17</v>
      </c>
      <c r="N1563">
        <v>1</v>
      </c>
      <c r="O1563">
        <v>4</v>
      </c>
      <c r="P1563">
        <v>2131</v>
      </c>
      <c r="Q1563">
        <v>994</v>
      </c>
      <c r="R1563">
        <v>48</v>
      </c>
      <c r="S1563">
        <v>644</v>
      </c>
      <c r="T1563">
        <v>0</v>
      </c>
      <c r="U1563">
        <v>445</v>
      </c>
      <c r="V1563" s="1">
        <f t="shared" si="72"/>
        <v>6.8699999999999997E-2</v>
      </c>
      <c r="W1563" s="1">
        <f t="shared" si="73"/>
        <v>1.1999999999999999E-3</v>
      </c>
      <c r="X1563" s="1">
        <f t="shared" si="74"/>
        <v>4.7999999999999996E-3</v>
      </c>
    </row>
    <row r="1564" spans="1:24" x14ac:dyDescent="0.25">
      <c r="A1564">
        <v>2013</v>
      </c>
      <c r="B1564">
        <v>10</v>
      </c>
      <c r="C1564" t="s">
        <v>39</v>
      </c>
      <c r="D1564" t="str">
        <f>_xlfn.XLOOKUP(C1564,'Carrier Name Rename'!A:A,'Carrier Name Rename'!B:B)</f>
        <v>Frontier Airlines Inc.</v>
      </c>
      <c r="E1564" t="s">
        <v>23</v>
      </c>
      <c r="F1564" t="s">
        <v>24</v>
      </c>
      <c r="G1564">
        <v>120</v>
      </c>
      <c r="H1564">
        <v>17</v>
      </c>
      <c r="I1564">
        <v>4.71</v>
      </c>
      <c r="J1564">
        <v>0</v>
      </c>
      <c r="K1564">
        <v>4.92</v>
      </c>
      <c r="L1564">
        <v>0</v>
      </c>
      <c r="M1564">
        <v>7.37</v>
      </c>
      <c r="N1564">
        <v>0</v>
      </c>
      <c r="O1564">
        <v>0</v>
      </c>
      <c r="P1564">
        <v>874</v>
      </c>
      <c r="Q1564">
        <v>127</v>
      </c>
      <c r="R1564">
        <v>0</v>
      </c>
      <c r="S1564">
        <v>241</v>
      </c>
      <c r="T1564">
        <v>0</v>
      </c>
      <c r="U1564">
        <v>506</v>
      </c>
      <c r="V1564" s="1">
        <f t="shared" si="72"/>
        <v>0.14169999999999999</v>
      </c>
      <c r="W1564" s="1">
        <f t="shared" si="73"/>
        <v>0</v>
      </c>
      <c r="X1564" s="1">
        <f t="shared" si="74"/>
        <v>0</v>
      </c>
    </row>
    <row r="1565" spans="1:24" x14ac:dyDescent="0.25">
      <c r="A1565">
        <v>2013</v>
      </c>
      <c r="B1565">
        <v>10</v>
      </c>
      <c r="C1565" t="s">
        <v>21</v>
      </c>
      <c r="D1565" t="str">
        <f>_xlfn.XLOOKUP(C1565,'Carrier Name Rename'!A:A,'Carrier Name Rename'!B:B)</f>
        <v>Hawaiian Airlines Inc.</v>
      </c>
      <c r="E1565" t="s">
        <v>23</v>
      </c>
      <c r="F1565" t="s">
        <v>24</v>
      </c>
      <c r="G1565">
        <v>62</v>
      </c>
      <c r="H1565">
        <v>21</v>
      </c>
      <c r="I1565">
        <v>15.73</v>
      </c>
      <c r="J1565">
        <v>0</v>
      </c>
      <c r="K1565">
        <v>0</v>
      </c>
      <c r="L1565">
        <v>0</v>
      </c>
      <c r="M1565">
        <v>5.27</v>
      </c>
      <c r="N1565">
        <v>0</v>
      </c>
      <c r="O1565">
        <v>0</v>
      </c>
      <c r="P1565">
        <v>834</v>
      </c>
      <c r="Q1565">
        <v>593</v>
      </c>
      <c r="R1565">
        <v>0</v>
      </c>
      <c r="S1565">
        <v>0</v>
      </c>
      <c r="T1565">
        <v>0</v>
      </c>
      <c r="U1565">
        <v>241</v>
      </c>
      <c r="V1565" s="1">
        <f t="shared" si="72"/>
        <v>0.3387</v>
      </c>
      <c r="W1565" s="1">
        <f t="shared" si="73"/>
        <v>0</v>
      </c>
      <c r="X1565" s="1">
        <f t="shared" si="74"/>
        <v>0</v>
      </c>
    </row>
    <row r="1566" spans="1:24" x14ac:dyDescent="0.25">
      <c r="A1566">
        <v>2013</v>
      </c>
      <c r="B1566">
        <v>10</v>
      </c>
      <c r="C1566" t="s">
        <v>27</v>
      </c>
      <c r="D1566" t="str">
        <f>_xlfn.XLOOKUP(C1566,'Carrier Name Rename'!A:A,'Carrier Name Rename'!B:B)</f>
        <v>SkyWest Airlines Inc.</v>
      </c>
      <c r="E1566" t="s">
        <v>23</v>
      </c>
      <c r="F1566" t="s">
        <v>24</v>
      </c>
      <c r="G1566">
        <v>671</v>
      </c>
      <c r="H1566">
        <v>113</v>
      </c>
      <c r="I1566">
        <v>35.979999999999997</v>
      </c>
      <c r="J1566">
        <v>6.22</v>
      </c>
      <c r="K1566">
        <v>32.799999999999997</v>
      </c>
      <c r="L1566">
        <v>0</v>
      </c>
      <c r="M1566">
        <v>38.01</v>
      </c>
      <c r="N1566">
        <v>17</v>
      </c>
      <c r="O1566">
        <v>16</v>
      </c>
      <c r="P1566">
        <v>6965</v>
      </c>
      <c r="Q1566">
        <v>2663</v>
      </c>
      <c r="R1566">
        <v>437</v>
      </c>
      <c r="S1566">
        <v>928</v>
      </c>
      <c r="T1566">
        <v>0</v>
      </c>
      <c r="U1566">
        <v>2937</v>
      </c>
      <c r="V1566" s="1">
        <f t="shared" si="72"/>
        <v>0.16839999999999999</v>
      </c>
      <c r="W1566" s="1">
        <f t="shared" si="73"/>
        <v>2.53E-2</v>
      </c>
      <c r="X1566" s="1">
        <f t="shared" si="74"/>
        <v>2.3800000000000002E-2</v>
      </c>
    </row>
    <row r="1567" spans="1:24" x14ac:dyDescent="0.25">
      <c r="A1567">
        <v>2013</v>
      </c>
      <c r="B1567">
        <v>10</v>
      </c>
      <c r="C1567" t="s">
        <v>41</v>
      </c>
      <c r="D1567" t="str">
        <f>_xlfn.XLOOKUP(C1567,'Carrier Name Rename'!A:A,'Carrier Name Rename'!B:B)</f>
        <v>United Air Lines Inc.</v>
      </c>
      <c r="E1567" t="s">
        <v>23</v>
      </c>
      <c r="F1567" t="s">
        <v>24</v>
      </c>
      <c r="G1567">
        <v>856</v>
      </c>
      <c r="H1567">
        <v>79</v>
      </c>
      <c r="I1567">
        <v>35.89</v>
      </c>
      <c r="J1567">
        <v>1.83</v>
      </c>
      <c r="K1567">
        <v>17.600000000000001</v>
      </c>
      <c r="L1567">
        <v>0</v>
      </c>
      <c r="M1567">
        <v>23.68</v>
      </c>
      <c r="N1567">
        <v>1</v>
      </c>
      <c r="O1567">
        <v>3</v>
      </c>
      <c r="P1567">
        <v>4058</v>
      </c>
      <c r="Q1567">
        <v>1869</v>
      </c>
      <c r="R1567">
        <v>63</v>
      </c>
      <c r="S1567">
        <v>486</v>
      </c>
      <c r="T1567">
        <v>0</v>
      </c>
      <c r="U1567">
        <v>1640</v>
      </c>
      <c r="V1567" s="1">
        <f t="shared" si="72"/>
        <v>9.2299999999999993E-2</v>
      </c>
      <c r="W1567" s="1">
        <f t="shared" si="73"/>
        <v>1.1999999999999999E-3</v>
      </c>
      <c r="X1567" s="1">
        <f t="shared" si="74"/>
        <v>3.5000000000000001E-3</v>
      </c>
    </row>
    <row r="1568" spans="1:24" x14ac:dyDescent="0.25">
      <c r="A1568">
        <v>2013</v>
      </c>
      <c r="B1568">
        <v>10</v>
      </c>
      <c r="C1568" t="s">
        <v>61</v>
      </c>
      <c r="D1568" t="str">
        <f>_xlfn.XLOOKUP(C1568,'Carrier Name Rename'!A:A,'Carrier Name Rename'!B:B)</f>
        <v>US Airways Inc.</v>
      </c>
      <c r="E1568" t="s">
        <v>23</v>
      </c>
      <c r="F1568" t="s">
        <v>24</v>
      </c>
      <c r="G1568">
        <v>273</v>
      </c>
      <c r="H1568">
        <v>37</v>
      </c>
      <c r="I1568">
        <v>18.88</v>
      </c>
      <c r="J1568">
        <v>0</v>
      </c>
      <c r="K1568">
        <v>12.72</v>
      </c>
      <c r="L1568">
        <v>0</v>
      </c>
      <c r="M1568">
        <v>5.4</v>
      </c>
      <c r="N1568">
        <v>0</v>
      </c>
      <c r="O1568">
        <v>1</v>
      </c>
      <c r="P1568">
        <v>1414</v>
      </c>
      <c r="Q1568">
        <v>823</v>
      </c>
      <c r="R1568">
        <v>0</v>
      </c>
      <c r="S1568">
        <v>299</v>
      </c>
      <c r="T1568">
        <v>0</v>
      </c>
      <c r="U1568">
        <v>292</v>
      </c>
      <c r="V1568" s="1">
        <f t="shared" si="72"/>
        <v>0.13550000000000001</v>
      </c>
      <c r="W1568" s="1">
        <f t="shared" si="73"/>
        <v>0</v>
      </c>
      <c r="X1568" s="1">
        <f t="shared" si="74"/>
        <v>3.7000000000000002E-3</v>
      </c>
    </row>
    <row r="1569" spans="1:24" x14ac:dyDescent="0.25">
      <c r="A1569">
        <v>2013</v>
      </c>
      <c r="B1569">
        <v>10</v>
      </c>
      <c r="C1569" t="s">
        <v>51</v>
      </c>
      <c r="D1569" t="str">
        <f>_xlfn.XLOOKUP(C1569,'Carrier Name Rename'!A:A,'Carrier Name Rename'!B:B)</f>
        <v>Virgin America</v>
      </c>
      <c r="E1569" t="s">
        <v>23</v>
      </c>
      <c r="F1569" t="s">
        <v>24</v>
      </c>
      <c r="G1569">
        <v>260</v>
      </c>
      <c r="H1569">
        <v>31</v>
      </c>
      <c r="I1569">
        <v>5.05</v>
      </c>
      <c r="J1569">
        <v>5.94</v>
      </c>
      <c r="K1569">
        <v>3.25</v>
      </c>
      <c r="L1569">
        <v>0.56000000000000005</v>
      </c>
      <c r="M1569">
        <v>16.21</v>
      </c>
      <c r="N1569">
        <v>0</v>
      </c>
      <c r="O1569">
        <v>0</v>
      </c>
      <c r="P1569">
        <v>1763</v>
      </c>
      <c r="Q1569">
        <v>200</v>
      </c>
      <c r="R1569">
        <v>123</v>
      </c>
      <c r="S1569">
        <v>61</v>
      </c>
      <c r="T1569">
        <v>15</v>
      </c>
      <c r="U1569">
        <v>1364</v>
      </c>
      <c r="V1569" s="1">
        <f t="shared" si="72"/>
        <v>0.1192</v>
      </c>
      <c r="W1569" s="1">
        <f t="shared" si="73"/>
        <v>0</v>
      </c>
      <c r="X1569" s="1">
        <f t="shared" si="74"/>
        <v>0</v>
      </c>
    </row>
    <row r="1570" spans="1:24" x14ac:dyDescent="0.25">
      <c r="A1570">
        <v>2013</v>
      </c>
      <c r="B1570">
        <v>10</v>
      </c>
      <c r="C1570" t="s">
        <v>43</v>
      </c>
      <c r="D1570" t="str">
        <f>_xlfn.XLOOKUP(C1570,'Carrier Name Rename'!A:A,'Carrier Name Rename'!B:B)</f>
        <v>Southwest Airlines Co.</v>
      </c>
      <c r="E1570" t="s">
        <v>23</v>
      </c>
      <c r="F1570" t="s">
        <v>24</v>
      </c>
      <c r="G1570">
        <v>924</v>
      </c>
      <c r="H1570">
        <v>173</v>
      </c>
      <c r="I1570">
        <v>55.89</v>
      </c>
      <c r="J1570">
        <v>0.03</v>
      </c>
      <c r="K1570">
        <v>26.63</v>
      </c>
      <c r="L1570">
        <v>0</v>
      </c>
      <c r="M1570">
        <v>90.45</v>
      </c>
      <c r="N1570">
        <v>0</v>
      </c>
      <c r="O1570">
        <v>2</v>
      </c>
      <c r="P1570">
        <v>6398</v>
      </c>
      <c r="Q1570">
        <v>2158</v>
      </c>
      <c r="R1570">
        <v>3</v>
      </c>
      <c r="S1570">
        <v>783</v>
      </c>
      <c r="T1570">
        <v>0</v>
      </c>
      <c r="U1570">
        <v>3454</v>
      </c>
      <c r="V1570" s="1">
        <f t="shared" si="72"/>
        <v>0.18720000000000001</v>
      </c>
      <c r="W1570" s="1">
        <f t="shared" si="73"/>
        <v>0</v>
      </c>
      <c r="X1570" s="1">
        <f t="shared" si="74"/>
        <v>2.2000000000000001E-3</v>
      </c>
    </row>
    <row r="1571" spans="1:24" x14ac:dyDescent="0.25">
      <c r="A1571">
        <v>2013</v>
      </c>
      <c r="B1571">
        <v>9</v>
      </c>
      <c r="C1571" t="s">
        <v>33</v>
      </c>
      <c r="D1571" t="str">
        <f>_xlfn.XLOOKUP(C1571,'Carrier Name Rename'!A:A,'Carrier Name Rename'!B:B)</f>
        <v>Alaska Airlines Inc.</v>
      </c>
      <c r="E1571" t="s">
        <v>23</v>
      </c>
      <c r="F1571" t="s">
        <v>24</v>
      </c>
      <c r="G1571">
        <v>3932</v>
      </c>
      <c r="H1571">
        <v>460</v>
      </c>
      <c r="I1571">
        <v>95.45</v>
      </c>
      <c r="J1571">
        <v>4.79</v>
      </c>
      <c r="K1571">
        <v>207.7</v>
      </c>
      <c r="L1571">
        <v>4.25</v>
      </c>
      <c r="M1571">
        <v>147.81</v>
      </c>
      <c r="N1571">
        <v>14</v>
      </c>
      <c r="O1571">
        <v>3</v>
      </c>
      <c r="P1571">
        <v>21391</v>
      </c>
      <c r="Q1571">
        <v>6172</v>
      </c>
      <c r="R1571">
        <v>285</v>
      </c>
      <c r="S1571">
        <v>5926</v>
      </c>
      <c r="T1571">
        <v>103</v>
      </c>
      <c r="U1571">
        <v>8905</v>
      </c>
      <c r="V1571" s="1">
        <f t="shared" si="72"/>
        <v>0.11700000000000001</v>
      </c>
      <c r="W1571" s="1">
        <f t="shared" si="73"/>
        <v>3.5999999999999999E-3</v>
      </c>
      <c r="X1571" s="1">
        <f t="shared" si="74"/>
        <v>8.0000000000000004E-4</v>
      </c>
    </row>
    <row r="1572" spans="1:24" x14ac:dyDescent="0.25">
      <c r="A1572">
        <v>2013</v>
      </c>
      <c r="B1572">
        <v>9</v>
      </c>
      <c r="C1572" t="s">
        <v>35</v>
      </c>
      <c r="D1572" t="str">
        <f>_xlfn.XLOOKUP(C1572,'Carrier Name Rename'!A:A,'Carrier Name Rename'!B:B)</f>
        <v>JetBlue Airways</v>
      </c>
      <c r="E1572" t="s">
        <v>23</v>
      </c>
      <c r="F1572" t="s">
        <v>24</v>
      </c>
      <c r="G1572">
        <v>240</v>
      </c>
      <c r="H1572">
        <v>48</v>
      </c>
      <c r="I1572">
        <v>22.25</v>
      </c>
      <c r="J1572">
        <v>1.17</v>
      </c>
      <c r="K1572">
        <v>13.8</v>
      </c>
      <c r="L1572">
        <v>0</v>
      </c>
      <c r="M1572">
        <v>10.79</v>
      </c>
      <c r="N1572">
        <v>0</v>
      </c>
      <c r="O1572">
        <v>1</v>
      </c>
      <c r="P1572">
        <v>2745</v>
      </c>
      <c r="Q1572">
        <v>1179</v>
      </c>
      <c r="R1572">
        <v>200</v>
      </c>
      <c r="S1572">
        <v>461</v>
      </c>
      <c r="T1572">
        <v>0</v>
      </c>
      <c r="U1572">
        <v>905</v>
      </c>
      <c r="V1572" s="1">
        <f t="shared" si="72"/>
        <v>0.2</v>
      </c>
      <c r="W1572" s="1">
        <f t="shared" si="73"/>
        <v>0</v>
      </c>
      <c r="X1572" s="1">
        <f t="shared" si="74"/>
        <v>4.1999999999999997E-3</v>
      </c>
    </row>
    <row r="1573" spans="1:24" x14ac:dyDescent="0.25">
      <c r="A1573">
        <v>2013</v>
      </c>
      <c r="B1573">
        <v>9</v>
      </c>
      <c r="C1573" t="s">
        <v>37</v>
      </c>
      <c r="D1573" t="str">
        <f>_xlfn.XLOOKUP(C1573,'Carrier Name Rename'!A:A,'Carrier Name Rename'!B:B)</f>
        <v>Delta Air Lines Inc.</v>
      </c>
      <c r="E1573" t="s">
        <v>23</v>
      </c>
      <c r="F1573" t="s">
        <v>24</v>
      </c>
      <c r="G1573">
        <v>897</v>
      </c>
      <c r="H1573">
        <v>87</v>
      </c>
      <c r="I1573">
        <v>36.840000000000003</v>
      </c>
      <c r="J1573">
        <v>1.07</v>
      </c>
      <c r="K1573">
        <v>39.54</v>
      </c>
      <c r="L1573">
        <v>0</v>
      </c>
      <c r="M1573">
        <v>9.5500000000000007</v>
      </c>
      <c r="N1573">
        <v>0</v>
      </c>
      <c r="O1573">
        <v>2</v>
      </c>
      <c r="P1573">
        <v>4495</v>
      </c>
      <c r="Q1573">
        <v>2393</v>
      </c>
      <c r="R1573">
        <v>77</v>
      </c>
      <c r="S1573">
        <v>1571</v>
      </c>
      <c r="T1573">
        <v>0</v>
      </c>
      <c r="U1573">
        <v>454</v>
      </c>
      <c r="V1573" s="1">
        <f t="shared" si="72"/>
        <v>9.7000000000000003E-2</v>
      </c>
      <c r="W1573" s="1">
        <f t="shared" si="73"/>
        <v>0</v>
      </c>
      <c r="X1573" s="1">
        <f t="shared" si="74"/>
        <v>2.2000000000000001E-3</v>
      </c>
    </row>
    <row r="1574" spans="1:24" x14ac:dyDescent="0.25">
      <c r="A1574">
        <v>2013</v>
      </c>
      <c r="B1574">
        <v>9</v>
      </c>
      <c r="C1574" t="s">
        <v>39</v>
      </c>
      <c r="D1574" t="str">
        <f>_xlfn.XLOOKUP(C1574,'Carrier Name Rename'!A:A,'Carrier Name Rename'!B:B)</f>
        <v>Frontier Airlines Inc.</v>
      </c>
      <c r="E1574" t="s">
        <v>23</v>
      </c>
      <c r="F1574" t="s">
        <v>24</v>
      </c>
      <c r="G1574">
        <v>129</v>
      </c>
      <c r="H1574">
        <v>27</v>
      </c>
      <c r="I1574">
        <v>9.0299999999999994</v>
      </c>
      <c r="J1574">
        <v>2.61</v>
      </c>
      <c r="K1574">
        <v>8.27</v>
      </c>
      <c r="L1574">
        <v>0</v>
      </c>
      <c r="M1574">
        <v>7.09</v>
      </c>
      <c r="N1574">
        <v>0</v>
      </c>
      <c r="O1574">
        <v>0</v>
      </c>
      <c r="P1574">
        <v>1283</v>
      </c>
      <c r="Q1574">
        <v>274</v>
      </c>
      <c r="R1574">
        <v>92</v>
      </c>
      <c r="S1574">
        <v>475</v>
      </c>
      <c r="T1574">
        <v>0</v>
      </c>
      <c r="U1574">
        <v>442</v>
      </c>
      <c r="V1574" s="1">
        <f t="shared" si="72"/>
        <v>0.20930000000000001</v>
      </c>
      <c r="W1574" s="1">
        <f t="shared" si="73"/>
        <v>0</v>
      </c>
      <c r="X1574" s="1">
        <f t="shared" si="74"/>
        <v>0</v>
      </c>
    </row>
    <row r="1575" spans="1:24" x14ac:dyDescent="0.25">
      <c r="A1575">
        <v>2013</v>
      </c>
      <c r="B1575">
        <v>9</v>
      </c>
      <c r="C1575" t="s">
        <v>21</v>
      </c>
      <c r="D1575" t="str">
        <f>_xlfn.XLOOKUP(C1575,'Carrier Name Rename'!A:A,'Carrier Name Rename'!B:B)</f>
        <v>Hawaiian Airlines Inc.</v>
      </c>
      <c r="E1575" t="s">
        <v>23</v>
      </c>
      <c r="F1575" t="s">
        <v>24</v>
      </c>
      <c r="G1575">
        <v>60</v>
      </c>
      <c r="H1575">
        <v>19</v>
      </c>
      <c r="I1575">
        <v>15.83</v>
      </c>
      <c r="J1575">
        <v>2</v>
      </c>
      <c r="K1575">
        <v>0</v>
      </c>
      <c r="L1575">
        <v>0</v>
      </c>
      <c r="M1575">
        <v>1.17</v>
      </c>
      <c r="N1575">
        <v>0</v>
      </c>
      <c r="O1575">
        <v>0</v>
      </c>
      <c r="P1575">
        <v>1590</v>
      </c>
      <c r="Q1575">
        <v>1498</v>
      </c>
      <c r="R1575">
        <v>73</v>
      </c>
      <c r="S1575">
        <v>0</v>
      </c>
      <c r="T1575">
        <v>0</v>
      </c>
      <c r="U1575">
        <v>19</v>
      </c>
      <c r="V1575" s="1">
        <f t="shared" si="72"/>
        <v>0.31669999999999998</v>
      </c>
      <c r="W1575" s="1">
        <f t="shared" si="73"/>
        <v>0</v>
      </c>
      <c r="X1575" s="1">
        <f t="shared" si="74"/>
        <v>0</v>
      </c>
    </row>
    <row r="1576" spans="1:24" x14ac:dyDescent="0.25">
      <c r="A1576">
        <v>2013</v>
      </c>
      <c r="B1576">
        <v>9</v>
      </c>
      <c r="C1576" t="s">
        <v>27</v>
      </c>
      <c r="D1576" t="str">
        <f>_xlfn.XLOOKUP(C1576,'Carrier Name Rename'!A:A,'Carrier Name Rename'!B:B)</f>
        <v>SkyWest Airlines Inc.</v>
      </c>
      <c r="E1576" t="s">
        <v>23</v>
      </c>
      <c r="F1576" t="s">
        <v>24</v>
      </c>
      <c r="G1576">
        <v>635</v>
      </c>
      <c r="H1576">
        <v>128</v>
      </c>
      <c r="I1576">
        <v>42.67</v>
      </c>
      <c r="J1576">
        <v>3.78</v>
      </c>
      <c r="K1576">
        <v>30.53</v>
      </c>
      <c r="L1576">
        <v>0</v>
      </c>
      <c r="M1576">
        <v>51.02</v>
      </c>
      <c r="N1576">
        <v>8</v>
      </c>
      <c r="O1576">
        <v>1</v>
      </c>
      <c r="P1576">
        <v>7161</v>
      </c>
      <c r="Q1576">
        <v>2722</v>
      </c>
      <c r="R1576">
        <v>205</v>
      </c>
      <c r="S1576">
        <v>799</v>
      </c>
      <c r="T1576">
        <v>0</v>
      </c>
      <c r="U1576">
        <v>3435</v>
      </c>
      <c r="V1576" s="1">
        <f t="shared" si="72"/>
        <v>0.2016</v>
      </c>
      <c r="W1576" s="1">
        <f t="shared" si="73"/>
        <v>1.26E-2</v>
      </c>
      <c r="X1576" s="1">
        <f t="shared" si="74"/>
        <v>1.6000000000000001E-3</v>
      </c>
    </row>
    <row r="1577" spans="1:24" x14ac:dyDescent="0.25">
      <c r="A1577">
        <v>2013</v>
      </c>
      <c r="B1577">
        <v>9</v>
      </c>
      <c r="C1577" t="s">
        <v>41</v>
      </c>
      <c r="D1577" t="str">
        <f>_xlfn.XLOOKUP(C1577,'Carrier Name Rename'!A:A,'Carrier Name Rename'!B:B)</f>
        <v>United Air Lines Inc.</v>
      </c>
      <c r="E1577" t="s">
        <v>23</v>
      </c>
      <c r="F1577" t="s">
        <v>24</v>
      </c>
      <c r="G1577">
        <v>884</v>
      </c>
      <c r="H1577">
        <v>111</v>
      </c>
      <c r="I1577">
        <v>39.11</v>
      </c>
      <c r="J1577">
        <v>4.18</v>
      </c>
      <c r="K1577">
        <v>27.97</v>
      </c>
      <c r="L1577">
        <v>0</v>
      </c>
      <c r="M1577">
        <v>39.74</v>
      </c>
      <c r="N1577">
        <v>2</v>
      </c>
      <c r="O1577">
        <v>3</v>
      </c>
      <c r="P1577">
        <v>7499</v>
      </c>
      <c r="Q1577">
        <v>2265</v>
      </c>
      <c r="R1577">
        <v>596</v>
      </c>
      <c r="S1577">
        <v>1096</v>
      </c>
      <c r="T1577">
        <v>0</v>
      </c>
      <c r="U1577">
        <v>3542</v>
      </c>
      <c r="V1577" s="1">
        <f t="shared" si="72"/>
        <v>0.12559999999999999</v>
      </c>
      <c r="W1577" s="1">
        <f t="shared" si="73"/>
        <v>2.3E-3</v>
      </c>
      <c r="X1577" s="1">
        <f t="shared" si="74"/>
        <v>3.3999999999999998E-3</v>
      </c>
    </row>
    <row r="1578" spans="1:24" x14ac:dyDescent="0.25">
      <c r="A1578">
        <v>2013</v>
      </c>
      <c r="B1578">
        <v>9</v>
      </c>
      <c r="C1578" t="s">
        <v>61</v>
      </c>
      <c r="D1578" t="str">
        <f>_xlfn.XLOOKUP(C1578,'Carrier Name Rename'!A:A,'Carrier Name Rename'!B:B)</f>
        <v>US Airways Inc.</v>
      </c>
      <c r="E1578" t="s">
        <v>23</v>
      </c>
      <c r="F1578" t="s">
        <v>24</v>
      </c>
      <c r="G1578">
        <v>315</v>
      </c>
      <c r="H1578">
        <v>27</v>
      </c>
      <c r="I1578">
        <v>14.61</v>
      </c>
      <c r="J1578">
        <v>0</v>
      </c>
      <c r="K1578">
        <v>8.5399999999999991</v>
      </c>
      <c r="L1578">
        <v>0.69</v>
      </c>
      <c r="M1578">
        <v>3.16</v>
      </c>
      <c r="N1578">
        <v>0</v>
      </c>
      <c r="O1578">
        <v>0</v>
      </c>
      <c r="P1578">
        <v>1223</v>
      </c>
      <c r="Q1578">
        <v>550</v>
      </c>
      <c r="R1578">
        <v>0</v>
      </c>
      <c r="S1578">
        <v>489</v>
      </c>
      <c r="T1578">
        <v>11</v>
      </c>
      <c r="U1578">
        <v>173</v>
      </c>
      <c r="V1578" s="1">
        <f t="shared" si="72"/>
        <v>8.5699999999999998E-2</v>
      </c>
      <c r="W1578" s="1">
        <f t="shared" si="73"/>
        <v>0</v>
      </c>
      <c r="X1578" s="1">
        <f t="shared" si="74"/>
        <v>0</v>
      </c>
    </row>
    <row r="1579" spans="1:24" x14ac:dyDescent="0.25">
      <c r="A1579">
        <v>2013</v>
      </c>
      <c r="B1579">
        <v>9</v>
      </c>
      <c r="C1579" t="s">
        <v>51</v>
      </c>
      <c r="D1579" t="str">
        <f>_xlfn.XLOOKUP(C1579,'Carrier Name Rename'!A:A,'Carrier Name Rename'!B:B)</f>
        <v>Virgin America</v>
      </c>
      <c r="E1579" t="s">
        <v>23</v>
      </c>
      <c r="F1579" t="s">
        <v>24</v>
      </c>
      <c r="G1579">
        <v>254</v>
      </c>
      <c r="H1579">
        <v>29</v>
      </c>
      <c r="I1579">
        <v>3.25</v>
      </c>
      <c r="J1579">
        <v>1.53</v>
      </c>
      <c r="K1579">
        <v>4.01</v>
      </c>
      <c r="L1579">
        <v>0</v>
      </c>
      <c r="M1579">
        <v>20.22</v>
      </c>
      <c r="N1579">
        <v>0</v>
      </c>
      <c r="O1579">
        <v>0</v>
      </c>
      <c r="P1579">
        <v>1724</v>
      </c>
      <c r="Q1579">
        <v>136</v>
      </c>
      <c r="R1579">
        <v>38</v>
      </c>
      <c r="S1579">
        <v>101</v>
      </c>
      <c r="T1579">
        <v>0</v>
      </c>
      <c r="U1579">
        <v>1449</v>
      </c>
      <c r="V1579" s="1">
        <f t="shared" si="72"/>
        <v>0.1142</v>
      </c>
      <c r="W1579" s="1">
        <f t="shared" si="73"/>
        <v>0</v>
      </c>
      <c r="X1579" s="1">
        <f t="shared" si="74"/>
        <v>0</v>
      </c>
    </row>
    <row r="1580" spans="1:24" x14ac:dyDescent="0.25">
      <c r="A1580">
        <v>2013</v>
      </c>
      <c r="B1580">
        <v>9</v>
      </c>
      <c r="C1580" t="s">
        <v>43</v>
      </c>
      <c r="D1580" t="str">
        <f>_xlfn.XLOOKUP(C1580,'Carrier Name Rename'!A:A,'Carrier Name Rename'!B:B)</f>
        <v>Southwest Airlines Co.</v>
      </c>
      <c r="E1580" t="s">
        <v>23</v>
      </c>
      <c r="F1580" t="s">
        <v>24</v>
      </c>
      <c r="G1580">
        <v>1154</v>
      </c>
      <c r="H1580">
        <v>294</v>
      </c>
      <c r="I1580">
        <v>81.62</v>
      </c>
      <c r="J1580">
        <v>2.98</v>
      </c>
      <c r="K1580">
        <v>42.59</v>
      </c>
      <c r="L1580">
        <v>0.63</v>
      </c>
      <c r="M1580">
        <v>166.17</v>
      </c>
      <c r="N1580">
        <v>1</v>
      </c>
      <c r="O1580">
        <v>0</v>
      </c>
      <c r="P1580">
        <v>12799</v>
      </c>
      <c r="Q1580">
        <v>2972</v>
      </c>
      <c r="R1580">
        <v>140</v>
      </c>
      <c r="S1580">
        <v>1239</v>
      </c>
      <c r="T1580">
        <v>30</v>
      </c>
      <c r="U1580">
        <v>8418</v>
      </c>
      <c r="V1580" s="1">
        <f t="shared" si="72"/>
        <v>0.25480000000000003</v>
      </c>
      <c r="W1580" s="1">
        <f t="shared" si="73"/>
        <v>8.9999999999999998E-4</v>
      </c>
      <c r="X1580" s="1">
        <f t="shared" si="74"/>
        <v>0</v>
      </c>
    </row>
    <row r="1581" spans="1:24" x14ac:dyDescent="0.25">
      <c r="A1581">
        <v>2013</v>
      </c>
      <c r="B1581">
        <v>9</v>
      </c>
      <c r="C1581" t="s">
        <v>31</v>
      </c>
      <c r="D1581" t="str">
        <f>_xlfn.XLOOKUP(C1581,'Carrier Name Rename'!A:A,'Carrier Name Rename'!B:B)</f>
        <v>American Airlines Inc.</v>
      </c>
      <c r="E1581" t="s">
        <v>23</v>
      </c>
      <c r="F1581" t="s">
        <v>24</v>
      </c>
      <c r="G1581">
        <v>464</v>
      </c>
      <c r="H1581">
        <v>67</v>
      </c>
      <c r="I1581">
        <v>26.8</v>
      </c>
      <c r="J1581">
        <v>3.41</v>
      </c>
      <c r="K1581">
        <v>21.58</v>
      </c>
      <c r="L1581">
        <v>0</v>
      </c>
      <c r="M1581">
        <v>15.21</v>
      </c>
      <c r="N1581">
        <v>1</v>
      </c>
      <c r="O1581">
        <v>1</v>
      </c>
      <c r="P1581">
        <v>3301</v>
      </c>
      <c r="Q1581">
        <v>1207</v>
      </c>
      <c r="R1581">
        <v>267</v>
      </c>
      <c r="S1581">
        <v>657</v>
      </c>
      <c r="T1581">
        <v>0</v>
      </c>
      <c r="U1581">
        <v>1170</v>
      </c>
      <c r="V1581" s="1">
        <f t="shared" si="72"/>
        <v>0.1444</v>
      </c>
      <c r="W1581" s="1">
        <f t="shared" si="73"/>
        <v>2.2000000000000001E-3</v>
      </c>
      <c r="X1581" s="1">
        <f t="shared" si="74"/>
        <v>2.2000000000000001E-3</v>
      </c>
    </row>
    <row r="1582" spans="1:24" x14ac:dyDescent="0.25">
      <c r="A1582">
        <v>2013</v>
      </c>
      <c r="B1582">
        <v>8</v>
      </c>
      <c r="C1582" t="s">
        <v>31</v>
      </c>
      <c r="D1582" t="str">
        <f>_xlfn.XLOOKUP(C1582,'Carrier Name Rename'!A:A,'Carrier Name Rename'!B:B)</f>
        <v>American Airlines Inc.</v>
      </c>
      <c r="E1582" t="s">
        <v>23</v>
      </c>
      <c r="F1582" t="s">
        <v>24</v>
      </c>
      <c r="G1582">
        <v>518</v>
      </c>
      <c r="H1582">
        <v>110</v>
      </c>
      <c r="I1582">
        <v>39.82</v>
      </c>
      <c r="J1582">
        <v>4.71</v>
      </c>
      <c r="K1582">
        <v>24.92</v>
      </c>
      <c r="L1582">
        <v>0</v>
      </c>
      <c r="M1582">
        <v>40.549999999999997</v>
      </c>
      <c r="N1582">
        <v>1</v>
      </c>
      <c r="O1582">
        <v>0</v>
      </c>
      <c r="P1582">
        <v>5409</v>
      </c>
      <c r="Q1582">
        <v>1973</v>
      </c>
      <c r="R1582">
        <v>415</v>
      </c>
      <c r="S1582">
        <v>911</v>
      </c>
      <c r="T1582">
        <v>0</v>
      </c>
      <c r="U1582">
        <v>2110</v>
      </c>
      <c r="V1582" s="1">
        <f t="shared" si="72"/>
        <v>0.21240000000000001</v>
      </c>
      <c r="W1582" s="1">
        <f t="shared" si="73"/>
        <v>1.9E-3</v>
      </c>
      <c r="X1582" s="1">
        <f t="shared" si="74"/>
        <v>0</v>
      </c>
    </row>
    <row r="1583" spans="1:24" x14ac:dyDescent="0.25">
      <c r="A1583">
        <v>2013</v>
      </c>
      <c r="B1583">
        <v>8</v>
      </c>
      <c r="C1583" t="s">
        <v>33</v>
      </c>
      <c r="D1583" t="str">
        <f>_xlfn.XLOOKUP(C1583,'Carrier Name Rename'!A:A,'Carrier Name Rename'!B:B)</f>
        <v>Alaska Airlines Inc.</v>
      </c>
      <c r="E1583" t="s">
        <v>23</v>
      </c>
      <c r="F1583" t="s">
        <v>24</v>
      </c>
      <c r="G1583">
        <v>4504</v>
      </c>
      <c r="H1583">
        <v>578</v>
      </c>
      <c r="I1583">
        <v>126.31</v>
      </c>
      <c r="J1583">
        <v>6.61</v>
      </c>
      <c r="K1583">
        <v>219.01</v>
      </c>
      <c r="L1583">
        <v>4.68</v>
      </c>
      <c r="M1583">
        <v>221.39</v>
      </c>
      <c r="N1583">
        <v>16</v>
      </c>
      <c r="O1583">
        <v>3</v>
      </c>
      <c r="P1583">
        <v>27040</v>
      </c>
      <c r="Q1583">
        <v>8823</v>
      </c>
      <c r="R1583">
        <v>471</v>
      </c>
      <c r="S1583">
        <v>6019</v>
      </c>
      <c r="T1583">
        <v>123</v>
      </c>
      <c r="U1583">
        <v>11604</v>
      </c>
      <c r="V1583" s="1">
        <f t="shared" si="72"/>
        <v>0.1283</v>
      </c>
      <c r="W1583" s="1">
        <f t="shared" si="73"/>
        <v>3.5999999999999999E-3</v>
      </c>
      <c r="X1583" s="1">
        <f t="shared" si="74"/>
        <v>6.9999999999999999E-4</v>
      </c>
    </row>
    <row r="1584" spans="1:24" x14ac:dyDescent="0.25">
      <c r="A1584">
        <v>2013</v>
      </c>
      <c r="B1584">
        <v>8</v>
      </c>
      <c r="C1584" t="s">
        <v>35</v>
      </c>
      <c r="D1584" t="str">
        <f>_xlfn.XLOOKUP(C1584,'Carrier Name Rename'!A:A,'Carrier Name Rename'!B:B)</f>
        <v>JetBlue Airways</v>
      </c>
      <c r="E1584" t="s">
        <v>23</v>
      </c>
      <c r="F1584" t="s">
        <v>24</v>
      </c>
      <c r="G1584">
        <v>310</v>
      </c>
      <c r="H1584">
        <v>51</v>
      </c>
      <c r="I1584">
        <v>20.5</v>
      </c>
      <c r="J1584">
        <v>0.3</v>
      </c>
      <c r="K1584">
        <v>18.52</v>
      </c>
      <c r="L1584">
        <v>0</v>
      </c>
      <c r="M1584">
        <v>11.68</v>
      </c>
      <c r="N1584">
        <v>0</v>
      </c>
      <c r="O1584">
        <v>0</v>
      </c>
      <c r="P1584">
        <v>3118</v>
      </c>
      <c r="Q1584">
        <v>1472</v>
      </c>
      <c r="R1584">
        <v>28</v>
      </c>
      <c r="S1584">
        <v>737</v>
      </c>
      <c r="T1584">
        <v>0</v>
      </c>
      <c r="U1584">
        <v>881</v>
      </c>
      <c r="V1584" s="1">
        <f t="shared" si="72"/>
        <v>0.16450000000000001</v>
      </c>
      <c r="W1584" s="1">
        <f t="shared" si="73"/>
        <v>0</v>
      </c>
      <c r="X1584" s="1">
        <f t="shared" si="74"/>
        <v>0</v>
      </c>
    </row>
    <row r="1585" spans="1:24" x14ac:dyDescent="0.25">
      <c r="A1585">
        <v>2013</v>
      </c>
      <c r="B1585">
        <v>8</v>
      </c>
      <c r="C1585" t="s">
        <v>37</v>
      </c>
      <c r="D1585" t="str">
        <f>_xlfn.XLOOKUP(C1585,'Carrier Name Rename'!A:A,'Carrier Name Rename'!B:B)</f>
        <v>Delta Air Lines Inc.</v>
      </c>
      <c r="E1585" t="s">
        <v>23</v>
      </c>
      <c r="F1585" t="s">
        <v>24</v>
      </c>
      <c r="G1585">
        <v>1115</v>
      </c>
      <c r="H1585">
        <v>135</v>
      </c>
      <c r="I1585">
        <v>64.209999999999994</v>
      </c>
      <c r="J1585">
        <v>3.74</v>
      </c>
      <c r="K1585">
        <v>39.96</v>
      </c>
      <c r="L1585">
        <v>0</v>
      </c>
      <c r="M1585">
        <v>27.09</v>
      </c>
      <c r="N1585">
        <v>0</v>
      </c>
      <c r="O1585">
        <v>0</v>
      </c>
      <c r="P1585">
        <v>7992</v>
      </c>
      <c r="Q1585">
        <v>4388</v>
      </c>
      <c r="R1585">
        <v>152</v>
      </c>
      <c r="S1585">
        <v>1435</v>
      </c>
      <c r="T1585">
        <v>0</v>
      </c>
      <c r="U1585">
        <v>2017</v>
      </c>
      <c r="V1585" s="1">
        <f t="shared" si="72"/>
        <v>0.1211</v>
      </c>
      <c r="W1585" s="1">
        <f t="shared" si="73"/>
        <v>0</v>
      </c>
      <c r="X1585" s="1">
        <f t="shared" si="74"/>
        <v>0</v>
      </c>
    </row>
    <row r="1586" spans="1:24" x14ac:dyDescent="0.25">
      <c r="A1586">
        <v>2013</v>
      </c>
      <c r="B1586">
        <v>8</v>
      </c>
      <c r="C1586" t="s">
        <v>39</v>
      </c>
      <c r="D1586" t="str">
        <f>_xlfn.XLOOKUP(C1586,'Carrier Name Rename'!A:A,'Carrier Name Rename'!B:B)</f>
        <v>Frontier Airlines Inc.</v>
      </c>
      <c r="E1586" t="s">
        <v>23</v>
      </c>
      <c r="F1586" t="s">
        <v>24</v>
      </c>
      <c r="G1586">
        <v>145</v>
      </c>
      <c r="H1586">
        <v>31</v>
      </c>
      <c r="I1586">
        <v>9.89</v>
      </c>
      <c r="J1586">
        <v>0.71</v>
      </c>
      <c r="K1586">
        <v>9.35</v>
      </c>
      <c r="L1586">
        <v>0</v>
      </c>
      <c r="M1586">
        <v>11.05</v>
      </c>
      <c r="N1586">
        <v>0</v>
      </c>
      <c r="O1586">
        <v>0</v>
      </c>
      <c r="P1586">
        <v>1543</v>
      </c>
      <c r="Q1586">
        <v>324</v>
      </c>
      <c r="R1586">
        <v>63</v>
      </c>
      <c r="S1586">
        <v>497</v>
      </c>
      <c r="T1586">
        <v>0</v>
      </c>
      <c r="U1586">
        <v>659</v>
      </c>
      <c r="V1586" s="1">
        <f t="shared" si="72"/>
        <v>0.21379999999999999</v>
      </c>
      <c r="W1586" s="1">
        <f t="shared" si="73"/>
        <v>0</v>
      </c>
      <c r="X1586" s="1">
        <f t="shared" si="74"/>
        <v>0</v>
      </c>
    </row>
    <row r="1587" spans="1:24" x14ac:dyDescent="0.25">
      <c r="A1587">
        <v>2013</v>
      </c>
      <c r="B1587">
        <v>8</v>
      </c>
      <c r="C1587" t="s">
        <v>21</v>
      </c>
      <c r="D1587" t="str">
        <f>_xlfn.XLOOKUP(C1587,'Carrier Name Rename'!A:A,'Carrier Name Rename'!B:B)</f>
        <v>Hawaiian Airlines Inc.</v>
      </c>
      <c r="E1587" t="s">
        <v>23</v>
      </c>
      <c r="F1587" t="s">
        <v>24</v>
      </c>
      <c r="G1587">
        <v>61</v>
      </c>
      <c r="H1587">
        <v>9</v>
      </c>
      <c r="I1587">
        <v>7.21</v>
      </c>
      <c r="J1587">
        <v>0</v>
      </c>
      <c r="K1587">
        <v>0</v>
      </c>
      <c r="L1587">
        <v>0</v>
      </c>
      <c r="M1587">
        <v>1.79</v>
      </c>
      <c r="N1587">
        <v>0</v>
      </c>
      <c r="O1587">
        <v>2</v>
      </c>
      <c r="P1587">
        <v>324</v>
      </c>
      <c r="Q1587">
        <v>179</v>
      </c>
      <c r="R1587">
        <v>0</v>
      </c>
      <c r="S1587">
        <v>0</v>
      </c>
      <c r="T1587">
        <v>0</v>
      </c>
      <c r="U1587">
        <v>145</v>
      </c>
      <c r="V1587" s="1">
        <f t="shared" si="72"/>
        <v>0.14749999999999999</v>
      </c>
      <c r="W1587" s="1">
        <f t="shared" si="73"/>
        <v>0</v>
      </c>
      <c r="X1587" s="1">
        <f t="shared" si="74"/>
        <v>3.2800000000000003E-2</v>
      </c>
    </row>
    <row r="1588" spans="1:24" x14ac:dyDescent="0.25">
      <c r="A1588">
        <v>2013</v>
      </c>
      <c r="B1588">
        <v>8</v>
      </c>
      <c r="C1588" t="s">
        <v>27</v>
      </c>
      <c r="D1588" t="str">
        <f>_xlfn.XLOOKUP(C1588,'Carrier Name Rename'!A:A,'Carrier Name Rename'!B:B)</f>
        <v>SkyWest Airlines Inc.</v>
      </c>
      <c r="E1588" t="s">
        <v>23</v>
      </c>
      <c r="F1588" t="s">
        <v>24</v>
      </c>
      <c r="G1588">
        <v>567</v>
      </c>
      <c r="H1588">
        <v>104</v>
      </c>
      <c r="I1588">
        <v>30.89</v>
      </c>
      <c r="J1588">
        <v>7.0000000000000007E-2</v>
      </c>
      <c r="K1588">
        <v>13.38</v>
      </c>
      <c r="L1588">
        <v>0</v>
      </c>
      <c r="M1588">
        <v>59.66</v>
      </c>
      <c r="N1588">
        <v>2</v>
      </c>
      <c r="O1588">
        <v>0</v>
      </c>
      <c r="P1588">
        <v>5518</v>
      </c>
      <c r="Q1588">
        <v>1951</v>
      </c>
      <c r="R1588">
        <v>8</v>
      </c>
      <c r="S1588">
        <v>424</v>
      </c>
      <c r="T1588">
        <v>0</v>
      </c>
      <c r="U1588">
        <v>3135</v>
      </c>
      <c r="V1588" s="1">
        <f t="shared" si="72"/>
        <v>0.18340000000000001</v>
      </c>
      <c r="W1588" s="1">
        <f t="shared" si="73"/>
        <v>3.5000000000000001E-3</v>
      </c>
      <c r="X1588" s="1">
        <f t="shared" si="74"/>
        <v>0</v>
      </c>
    </row>
    <row r="1589" spans="1:24" x14ac:dyDescent="0.25">
      <c r="A1589">
        <v>2013</v>
      </c>
      <c r="B1589">
        <v>8</v>
      </c>
      <c r="C1589" t="s">
        <v>41</v>
      </c>
      <c r="D1589" t="str">
        <f>_xlfn.XLOOKUP(C1589,'Carrier Name Rename'!A:A,'Carrier Name Rename'!B:B)</f>
        <v>United Air Lines Inc.</v>
      </c>
      <c r="E1589" t="s">
        <v>23</v>
      </c>
      <c r="F1589" t="s">
        <v>24</v>
      </c>
      <c r="G1589">
        <v>1066</v>
      </c>
      <c r="H1589">
        <v>182</v>
      </c>
      <c r="I1589">
        <v>75.19</v>
      </c>
      <c r="J1589">
        <v>9.68</v>
      </c>
      <c r="K1589">
        <v>36.520000000000003</v>
      </c>
      <c r="L1589">
        <v>0</v>
      </c>
      <c r="M1589">
        <v>60.61</v>
      </c>
      <c r="N1589">
        <v>2</v>
      </c>
      <c r="O1589">
        <v>2</v>
      </c>
      <c r="P1589">
        <v>9796</v>
      </c>
      <c r="Q1589">
        <v>3434</v>
      </c>
      <c r="R1589">
        <v>619</v>
      </c>
      <c r="S1589">
        <v>1477</v>
      </c>
      <c r="T1589">
        <v>0</v>
      </c>
      <c r="U1589">
        <v>4266</v>
      </c>
      <c r="V1589" s="1">
        <f t="shared" si="72"/>
        <v>0.17069999999999999</v>
      </c>
      <c r="W1589" s="1">
        <f t="shared" si="73"/>
        <v>1.9E-3</v>
      </c>
      <c r="X1589" s="1">
        <f t="shared" si="74"/>
        <v>1.9E-3</v>
      </c>
    </row>
    <row r="1590" spans="1:24" x14ac:dyDescent="0.25">
      <c r="A1590">
        <v>2013</v>
      </c>
      <c r="B1590">
        <v>8</v>
      </c>
      <c r="C1590" t="s">
        <v>61</v>
      </c>
      <c r="D1590" t="str">
        <f>_xlfn.XLOOKUP(C1590,'Carrier Name Rename'!A:A,'Carrier Name Rename'!B:B)</f>
        <v>US Airways Inc.</v>
      </c>
      <c r="E1590" t="s">
        <v>23</v>
      </c>
      <c r="F1590" t="s">
        <v>24</v>
      </c>
      <c r="G1590">
        <v>409</v>
      </c>
      <c r="H1590">
        <v>83</v>
      </c>
      <c r="I1590">
        <v>28.09</v>
      </c>
      <c r="J1590">
        <v>0.94</v>
      </c>
      <c r="K1590">
        <v>39.549999999999997</v>
      </c>
      <c r="L1590">
        <v>0.26</v>
      </c>
      <c r="M1590">
        <v>14.15</v>
      </c>
      <c r="N1590">
        <v>3</v>
      </c>
      <c r="O1590">
        <v>0</v>
      </c>
      <c r="P1590">
        <v>4025</v>
      </c>
      <c r="Q1590">
        <v>1773</v>
      </c>
      <c r="R1590">
        <v>65</v>
      </c>
      <c r="S1590">
        <v>1470</v>
      </c>
      <c r="T1590">
        <v>5</v>
      </c>
      <c r="U1590">
        <v>712</v>
      </c>
      <c r="V1590" s="1">
        <f t="shared" si="72"/>
        <v>0.2029</v>
      </c>
      <c r="W1590" s="1">
        <f t="shared" si="73"/>
        <v>7.3000000000000001E-3</v>
      </c>
      <c r="X1590" s="1">
        <f t="shared" si="74"/>
        <v>0</v>
      </c>
    </row>
    <row r="1591" spans="1:24" x14ac:dyDescent="0.25">
      <c r="A1591">
        <v>2013</v>
      </c>
      <c r="B1591">
        <v>8</v>
      </c>
      <c r="C1591" t="s">
        <v>51</v>
      </c>
      <c r="D1591" t="str">
        <f>_xlfn.XLOOKUP(C1591,'Carrier Name Rename'!A:A,'Carrier Name Rename'!B:B)</f>
        <v>Virgin America</v>
      </c>
      <c r="E1591" t="s">
        <v>23</v>
      </c>
      <c r="F1591" t="s">
        <v>24</v>
      </c>
      <c r="G1591">
        <v>288</v>
      </c>
      <c r="H1591">
        <v>35</v>
      </c>
      <c r="I1591">
        <v>7.28</v>
      </c>
      <c r="J1591">
        <v>0.71</v>
      </c>
      <c r="K1591">
        <v>1.97</v>
      </c>
      <c r="L1591">
        <v>0</v>
      </c>
      <c r="M1591">
        <v>25.04</v>
      </c>
      <c r="N1591">
        <v>0</v>
      </c>
      <c r="O1591">
        <v>0</v>
      </c>
      <c r="P1591">
        <v>2017</v>
      </c>
      <c r="Q1591">
        <v>407</v>
      </c>
      <c r="R1591">
        <v>32</v>
      </c>
      <c r="S1591">
        <v>45</v>
      </c>
      <c r="T1591">
        <v>0</v>
      </c>
      <c r="U1591">
        <v>1533</v>
      </c>
      <c r="V1591" s="1">
        <f t="shared" si="72"/>
        <v>0.1215</v>
      </c>
      <c r="W1591" s="1">
        <f t="shared" si="73"/>
        <v>0</v>
      </c>
      <c r="X1591" s="1">
        <f t="shared" si="74"/>
        <v>0</v>
      </c>
    </row>
    <row r="1592" spans="1:24" x14ac:dyDescent="0.25">
      <c r="A1592">
        <v>2013</v>
      </c>
      <c r="B1592">
        <v>8</v>
      </c>
      <c r="C1592" t="s">
        <v>43</v>
      </c>
      <c r="D1592" t="str">
        <f>_xlfn.XLOOKUP(C1592,'Carrier Name Rename'!A:A,'Carrier Name Rename'!B:B)</f>
        <v>Southwest Airlines Co.</v>
      </c>
      <c r="E1592" t="s">
        <v>23</v>
      </c>
      <c r="F1592" t="s">
        <v>24</v>
      </c>
      <c r="G1592">
        <v>1300</v>
      </c>
      <c r="H1592">
        <v>347</v>
      </c>
      <c r="I1592">
        <v>112.13</v>
      </c>
      <c r="J1592">
        <v>2.08</v>
      </c>
      <c r="K1592">
        <v>57.36</v>
      </c>
      <c r="L1592">
        <v>0.31</v>
      </c>
      <c r="M1592">
        <v>175.13</v>
      </c>
      <c r="N1592">
        <v>0</v>
      </c>
      <c r="O1592">
        <v>0</v>
      </c>
      <c r="P1592">
        <v>14818</v>
      </c>
      <c r="Q1592">
        <v>4590</v>
      </c>
      <c r="R1592">
        <v>139</v>
      </c>
      <c r="S1592">
        <v>1650</v>
      </c>
      <c r="T1592">
        <v>9</v>
      </c>
      <c r="U1592">
        <v>8430</v>
      </c>
      <c r="V1592" s="1">
        <f t="shared" si="72"/>
        <v>0.26690000000000003</v>
      </c>
      <c r="W1592" s="1">
        <f t="shared" si="73"/>
        <v>0</v>
      </c>
      <c r="X1592" s="1">
        <f t="shared" si="74"/>
        <v>0</v>
      </c>
    </row>
    <row r="1593" spans="1:24" x14ac:dyDescent="0.25">
      <c r="A1593">
        <v>2013</v>
      </c>
      <c r="B1593">
        <v>7</v>
      </c>
      <c r="C1593" t="s">
        <v>31</v>
      </c>
      <c r="D1593" t="str">
        <f>_xlfn.XLOOKUP(C1593,'Carrier Name Rename'!A:A,'Carrier Name Rename'!B:B)</f>
        <v>American Airlines Inc.</v>
      </c>
      <c r="E1593" t="s">
        <v>23</v>
      </c>
      <c r="F1593" t="s">
        <v>24</v>
      </c>
      <c r="G1593">
        <v>524</v>
      </c>
      <c r="H1593">
        <v>132</v>
      </c>
      <c r="I1593">
        <v>47.99</v>
      </c>
      <c r="J1593">
        <v>5.7</v>
      </c>
      <c r="K1593">
        <v>38.35</v>
      </c>
      <c r="L1593">
        <v>0</v>
      </c>
      <c r="M1593">
        <v>39.96</v>
      </c>
      <c r="N1593">
        <v>2</v>
      </c>
      <c r="O1593">
        <v>0</v>
      </c>
      <c r="P1593">
        <v>6645</v>
      </c>
      <c r="Q1593">
        <v>2422</v>
      </c>
      <c r="R1593">
        <v>243</v>
      </c>
      <c r="S1593">
        <v>1741</v>
      </c>
      <c r="T1593">
        <v>0</v>
      </c>
      <c r="U1593">
        <v>2239</v>
      </c>
      <c r="V1593" s="1">
        <f t="shared" si="72"/>
        <v>0.25190000000000001</v>
      </c>
      <c r="W1593" s="1">
        <f t="shared" si="73"/>
        <v>3.8E-3</v>
      </c>
      <c r="X1593" s="1">
        <f t="shared" si="74"/>
        <v>0</v>
      </c>
    </row>
    <row r="1594" spans="1:24" x14ac:dyDescent="0.25">
      <c r="A1594">
        <v>2013</v>
      </c>
      <c r="B1594">
        <v>7</v>
      </c>
      <c r="C1594" t="s">
        <v>33</v>
      </c>
      <c r="D1594" t="str">
        <f>_xlfn.XLOOKUP(C1594,'Carrier Name Rename'!A:A,'Carrier Name Rename'!B:B)</f>
        <v>Alaska Airlines Inc.</v>
      </c>
      <c r="E1594" t="s">
        <v>23</v>
      </c>
      <c r="F1594" t="s">
        <v>24</v>
      </c>
      <c r="G1594">
        <v>4568</v>
      </c>
      <c r="H1594">
        <v>569</v>
      </c>
      <c r="I1594">
        <v>130.05000000000001</v>
      </c>
      <c r="J1594">
        <v>9.0299999999999994</v>
      </c>
      <c r="K1594">
        <v>206.81</v>
      </c>
      <c r="L1594">
        <v>4.91</v>
      </c>
      <c r="M1594">
        <v>218.2</v>
      </c>
      <c r="N1594">
        <v>25</v>
      </c>
      <c r="O1594">
        <v>1</v>
      </c>
      <c r="P1594">
        <v>25551</v>
      </c>
      <c r="Q1594">
        <v>8308</v>
      </c>
      <c r="R1594">
        <v>537</v>
      </c>
      <c r="S1594">
        <v>5601</v>
      </c>
      <c r="T1594">
        <v>129</v>
      </c>
      <c r="U1594">
        <v>10976</v>
      </c>
      <c r="V1594" s="1">
        <f t="shared" si="72"/>
        <v>0.1246</v>
      </c>
      <c r="W1594" s="1">
        <f t="shared" si="73"/>
        <v>5.4999999999999997E-3</v>
      </c>
      <c r="X1594" s="1">
        <f t="shared" si="74"/>
        <v>2.0000000000000001E-4</v>
      </c>
    </row>
    <row r="1595" spans="1:24" x14ac:dyDescent="0.25">
      <c r="A1595">
        <v>2013</v>
      </c>
      <c r="B1595">
        <v>7</v>
      </c>
      <c r="C1595" t="s">
        <v>35</v>
      </c>
      <c r="D1595" t="str">
        <f>_xlfn.XLOOKUP(C1595,'Carrier Name Rename'!A:A,'Carrier Name Rename'!B:B)</f>
        <v>JetBlue Airways</v>
      </c>
      <c r="E1595" t="s">
        <v>23</v>
      </c>
      <c r="F1595" t="s">
        <v>24</v>
      </c>
      <c r="G1595">
        <v>309</v>
      </c>
      <c r="H1595">
        <v>74</v>
      </c>
      <c r="I1595">
        <v>27.15</v>
      </c>
      <c r="J1595">
        <v>0.65</v>
      </c>
      <c r="K1595">
        <v>17.559999999999999</v>
      </c>
      <c r="L1595">
        <v>0.86</v>
      </c>
      <c r="M1595">
        <v>27.78</v>
      </c>
      <c r="N1595">
        <v>1</v>
      </c>
      <c r="O1595">
        <v>0</v>
      </c>
      <c r="P1595">
        <v>4864</v>
      </c>
      <c r="Q1595">
        <v>1884</v>
      </c>
      <c r="R1595">
        <v>89</v>
      </c>
      <c r="S1595">
        <v>1052</v>
      </c>
      <c r="T1595">
        <v>221</v>
      </c>
      <c r="U1595">
        <v>1618</v>
      </c>
      <c r="V1595" s="1">
        <f t="shared" si="72"/>
        <v>0.23949999999999999</v>
      </c>
      <c r="W1595" s="1">
        <f t="shared" si="73"/>
        <v>3.2000000000000002E-3</v>
      </c>
      <c r="X1595" s="1">
        <f t="shared" si="74"/>
        <v>0</v>
      </c>
    </row>
    <row r="1596" spans="1:24" x14ac:dyDescent="0.25">
      <c r="A1596">
        <v>2013</v>
      </c>
      <c r="B1596">
        <v>7</v>
      </c>
      <c r="C1596" t="s">
        <v>37</v>
      </c>
      <c r="D1596" t="str">
        <f>_xlfn.XLOOKUP(C1596,'Carrier Name Rename'!A:A,'Carrier Name Rename'!B:B)</f>
        <v>Delta Air Lines Inc.</v>
      </c>
      <c r="E1596" t="s">
        <v>23</v>
      </c>
      <c r="F1596" t="s">
        <v>24</v>
      </c>
      <c r="G1596">
        <v>1137</v>
      </c>
      <c r="H1596">
        <v>223</v>
      </c>
      <c r="I1596">
        <v>97.88</v>
      </c>
      <c r="J1596">
        <v>8.2100000000000009</v>
      </c>
      <c r="K1596">
        <v>68.31</v>
      </c>
      <c r="L1596">
        <v>0</v>
      </c>
      <c r="M1596">
        <v>48.6</v>
      </c>
      <c r="N1596">
        <v>1</v>
      </c>
      <c r="O1596">
        <v>1</v>
      </c>
      <c r="P1596">
        <v>12354</v>
      </c>
      <c r="Q1596">
        <v>6337</v>
      </c>
      <c r="R1596">
        <v>563</v>
      </c>
      <c r="S1596">
        <v>2664</v>
      </c>
      <c r="T1596">
        <v>0</v>
      </c>
      <c r="U1596">
        <v>2790</v>
      </c>
      <c r="V1596" s="1">
        <f t="shared" si="72"/>
        <v>0.1961</v>
      </c>
      <c r="W1596" s="1">
        <f t="shared" si="73"/>
        <v>8.9999999999999998E-4</v>
      </c>
      <c r="X1596" s="1">
        <f t="shared" si="74"/>
        <v>8.9999999999999998E-4</v>
      </c>
    </row>
    <row r="1597" spans="1:24" x14ac:dyDescent="0.25">
      <c r="A1597">
        <v>2013</v>
      </c>
      <c r="B1597">
        <v>7</v>
      </c>
      <c r="C1597" t="s">
        <v>39</v>
      </c>
      <c r="D1597" t="str">
        <f>_xlfn.XLOOKUP(C1597,'Carrier Name Rename'!A:A,'Carrier Name Rename'!B:B)</f>
        <v>Frontier Airlines Inc.</v>
      </c>
      <c r="E1597" t="s">
        <v>23</v>
      </c>
      <c r="F1597" t="s">
        <v>24</v>
      </c>
      <c r="G1597">
        <v>135</v>
      </c>
      <c r="H1597">
        <v>43</v>
      </c>
      <c r="I1597">
        <v>12.92</v>
      </c>
      <c r="J1597">
        <v>1.82</v>
      </c>
      <c r="K1597">
        <v>12.84</v>
      </c>
      <c r="L1597">
        <v>0</v>
      </c>
      <c r="M1597">
        <v>15.42</v>
      </c>
      <c r="N1597">
        <v>0</v>
      </c>
      <c r="O1597">
        <v>0</v>
      </c>
      <c r="P1597">
        <v>2222</v>
      </c>
      <c r="Q1597">
        <v>683</v>
      </c>
      <c r="R1597">
        <v>73</v>
      </c>
      <c r="S1597">
        <v>599</v>
      </c>
      <c r="T1597">
        <v>0</v>
      </c>
      <c r="U1597">
        <v>867</v>
      </c>
      <c r="V1597" s="1">
        <f t="shared" si="72"/>
        <v>0.31850000000000001</v>
      </c>
      <c r="W1597" s="1">
        <f t="shared" si="73"/>
        <v>0</v>
      </c>
      <c r="X1597" s="1">
        <f t="shared" si="74"/>
        <v>0</v>
      </c>
    </row>
    <row r="1598" spans="1:24" x14ac:dyDescent="0.25">
      <c r="A1598">
        <v>2013</v>
      </c>
      <c r="B1598">
        <v>7</v>
      </c>
      <c r="C1598" t="s">
        <v>21</v>
      </c>
      <c r="D1598" t="str">
        <f>_xlfn.XLOOKUP(C1598,'Carrier Name Rename'!A:A,'Carrier Name Rename'!B:B)</f>
        <v>Hawaiian Airlines Inc.</v>
      </c>
      <c r="E1598" t="s">
        <v>23</v>
      </c>
      <c r="F1598" t="s">
        <v>24</v>
      </c>
      <c r="G1598">
        <v>62</v>
      </c>
      <c r="H1598">
        <v>7</v>
      </c>
      <c r="I1598">
        <v>6.18</v>
      </c>
      <c r="J1598">
        <v>0</v>
      </c>
      <c r="K1598">
        <v>0</v>
      </c>
      <c r="L1598">
        <v>0</v>
      </c>
      <c r="M1598">
        <v>0.82</v>
      </c>
      <c r="N1598">
        <v>0</v>
      </c>
      <c r="O1598">
        <v>0</v>
      </c>
      <c r="P1598">
        <v>248</v>
      </c>
      <c r="Q1598">
        <v>211</v>
      </c>
      <c r="R1598">
        <v>0</v>
      </c>
      <c r="S1598">
        <v>0</v>
      </c>
      <c r="T1598">
        <v>0</v>
      </c>
      <c r="U1598">
        <v>37</v>
      </c>
      <c r="V1598" s="1">
        <f t="shared" si="72"/>
        <v>0.1129</v>
      </c>
      <c r="W1598" s="1">
        <f t="shared" si="73"/>
        <v>0</v>
      </c>
      <c r="X1598" s="1">
        <f t="shared" si="74"/>
        <v>0</v>
      </c>
    </row>
    <row r="1599" spans="1:24" x14ac:dyDescent="0.25">
      <c r="A1599">
        <v>2013</v>
      </c>
      <c r="B1599">
        <v>7</v>
      </c>
      <c r="C1599" t="s">
        <v>27</v>
      </c>
      <c r="D1599" t="str">
        <f>_xlfn.XLOOKUP(C1599,'Carrier Name Rename'!A:A,'Carrier Name Rename'!B:B)</f>
        <v>SkyWest Airlines Inc.</v>
      </c>
      <c r="E1599" t="s">
        <v>23</v>
      </c>
      <c r="F1599" t="s">
        <v>24</v>
      </c>
      <c r="G1599">
        <v>558</v>
      </c>
      <c r="H1599">
        <v>112</v>
      </c>
      <c r="I1599">
        <v>29.89</v>
      </c>
      <c r="J1599">
        <v>1.06</v>
      </c>
      <c r="K1599">
        <v>13.77</v>
      </c>
      <c r="L1599">
        <v>0</v>
      </c>
      <c r="M1599">
        <v>67.28</v>
      </c>
      <c r="N1599">
        <v>6</v>
      </c>
      <c r="O1599">
        <v>0</v>
      </c>
      <c r="P1599">
        <v>5594</v>
      </c>
      <c r="Q1599">
        <v>1532</v>
      </c>
      <c r="R1599">
        <v>25</v>
      </c>
      <c r="S1599">
        <v>374</v>
      </c>
      <c r="T1599">
        <v>0</v>
      </c>
      <c r="U1599">
        <v>3663</v>
      </c>
      <c r="V1599" s="1">
        <f t="shared" si="72"/>
        <v>0.20069999999999999</v>
      </c>
      <c r="W1599" s="1">
        <f t="shared" si="73"/>
        <v>1.0800000000000001E-2</v>
      </c>
      <c r="X1599" s="1">
        <f t="shared" si="74"/>
        <v>0</v>
      </c>
    </row>
    <row r="1600" spans="1:24" x14ac:dyDescent="0.25">
      <c r="A1600">
        <v>2013</v>
      </c>
      <c r="B1600">
        <v>7</v>
      </c>
      <c r="C1600" t="s">
        <v>41</v>
      </c>
      <c r="D1600" t="str">
        <f>_xlfn.XLOOKUP(C1600,'Carrier Name Rename'!A:A,'Carrier Name Rename'!B:B)</f>
        <v>United Air Lines Inc.</v>
      </c>
      <c r="E1600" t="s">
        <v>23</v>
      </c>
      <c r="F1600" t="s">
        <v>24</v>
      </c>
      <c r="G1600">
        <v>1084</v>
      </c>
      <c r="H1600">
        <v>297</v>
      </c>
      <c r="I1600">
        <v>111.14</v>
      </c>
      <c r="J1600">
        <v>8.07</v>
      </c>
      <c r="K1600">
        <v>74.58</v>
      </c>
      <c r="L1600">
        <v>0.85</v>
      </c>
      <c r="M1600">
        <v>102.36</v>
      </c>
      <c r="N1600">
        <v>5</v>
      </c>
      <c r="O1600">
        <v>1</v>
      </c>
      <c r="P1600">
        <v>17684</v>
      </c>
      <c r="Q1600">
        <v>6351</v>
      </c>
      <c r="R1600">
        <v>751</v>
      </c>
      <c r="S1600">
        <v>3533</v>
      </c>
      <c r="T1600">
        <v>29</v>
      </c>
      <c r="U1600">
        <v>7020</v>
      </c>
      <c r="V1600" s="1">
        <f t="shared" si="72"/>
        <v>0.27400000000000002</v>
      </c>
      <c r="W1600" s="1">
        <f t="shared" si="73"/>
        <v>4.5999999999999999E-3</v>
      </c>
      <c r="X1600" s="1">
        <f t="shared" si="74"/>
        <v>8.9999999999999998E-4</v>
      </c>
    </row>
    <row r="1601" spans="1:24" x14ac:dyDescent="0.25">
      <c r="A1601">
        <v>2013</v>
      </c>
      <c r="B1601">
        <v>7</v>
      </c>
      <c r="C1601" t="s">
        <v>61</v>
      </c>
      <c r="D1601" t="str">
        <f>_xlfn.XLOOKUP(C1601,'Carrier Name Rename'!A:A,'Carrier Name Rename'!B:B)</f>
        <v>US Airways Inc.</v>
      </c>
      <c r="E1601" t="s">
        <v>23</v>
      </c>
      <c r="F1601" t="s">
        <v>24</v>
      </c>
      <c r="G1601">
        <v>411</v>
      </c>
      <c r="H1601">
        <v>122</v>
      </c>
      <c r="I1601">
        <v>43.15</v>
      </c>
      <c r="J1601">
        <v>3.48</v>
      </c>
      <c r="K1601">
        <v>49.2</v>
      </c>
      <c r="L1601">
        <v>3.68</v>
      </c>
      <c r="M1601">
        <v>22.48</v>
      </c>
      <c r="N1601">
        <v>2</v>
      </c>
      <c r="O1601">
        <v>0</v>
      </c>
      <c r="P1601">
        <v>6645</v>
      </c>
      <c r="Q1601">
        <v>2796</v>
      </c>
      <c r="R1601">
        <v>239</v>
      </c>
      <c r="S1601">
        <v>2214</v>
      </c>
      <c r="T1601">
        <v>123</v>
      </c>
      <c r="U1601">
        <v>1273</v>
      </c>
      <c r="V1601" s="1">
        <f t="shared" si="72"/>
        <v>0.29680000000000001</v>
      </c>
      <c r="W1601" s="1">
        <f t="shared" si="73"/>
        <v>4.8999999999999998E-3</v>
      </c>
      <c r="X1601" s="1">
        <f t="shared" si="74"/>
        <v>0</v>
      </c>
    </row>
    <row r="1602" spans="1:24" x14ac:dyDescent="0.25">
      <c r="A1602">
        <v>2013</v>
      </c>
      <c r="B1602">
        <v>7</v>
      </c>
      <c r="C1602" t="s">
        <v>51</v>
      </c>
      <c r="D1602" t="str">
        <f>_xlfn.XLOOKUP(C1602,'Carrier Name Rename'!A:A,'Carrier Name Rename'!B:B)</f>
        <v>Virgin America</v>
      </c>
      <c r="E1602" t="s">
        <v>23</v>
      </c>
      <c r="F1602" t="s">
        <v>24</v>
      </c>
      <c r="G1602">
        <v>294</v>
      </c>
      <c r="H1602">
        <v>63</v>
      </c>
      <c r="I1602">
        <v>9.0299999999999994</v>
      </c>
      <c r="J1602">
        <v>1.33</v>
      </c>
      <c r="K1602">
        <v>5.55</v>
      </c>
      <c r="L1602">
        <v>0</v>
      </c>
      <c r="M1602">
        <v>47.1</v>
      </c>
      <c r="N1602">
        <v>3</v>
      </c>
      <c r="O1602">
        <v>0</v>
      </c>
      <c r="P1602">
        <v>5916</v>
      </c>
      <c r="Q1602">
        <v>446</v>
      </c>
      <c r="R1602">
        <v>441</v>
      </c>
      <c r="S1602">
        <v>618</v>
      </c>
      <c r="T1602">
        <v>0</v>
      </c>
      <c r="U1602">
        <v>4411</v>
      </c>
      <c r="V1602" s="1">
        <f t="shared" si="72"/>
        <v>0.21429999999999999</v>
      </c>
      <c r="W1602" s="1">
        <f t="shared" si="73"/>
        <v>1.0200000000000001E-2</v>
      </c>
      <c r="X1602" s="1">
        <f t="shared" si="74"/>
        <v>0</v>
      </c>
    </row>
    <row r="1603" spans="1:24" x14ac:dyDescent="0.25">
      <c r="A1603">
        <v>2013</v>
      </c>
      <c r="B1603">
        <v>7</v>
      </c>
      <c r="C1603" t="s">
        <v>43</v>
      </c>
      <c r="D1603" t="str">
        <f>_xlfn.XLOOKUP(C1603,'Carrier Name Rename'!A:A,'Carrier Name Rename'!B:B)</f>
        <v>Southwest Airlines Co.</v>
      </c>
      <c r="E1603" t="s">
        <v>23</v>
      </c>
      <c r="F1603" t="s">
        <v>24</v>
      </c>
      <c r="G1603">
        <v>1386</v>
      </c>
      <c r="H1603">
        <v>334</v>
      </c>
      <c r="I1603">
        <v>121.68</v>
      </c>
      <c r="J1603">
        <v>2.98</v>
      </c>
      <c r="K1603">
        <v>42.43</v>
      </c>
      <c r="L1603">
        <v>1.92</v>
      </c>
      <c r="M1603">
        <v>165</v>
      </c>
      <c r="N1603">
        <v>1</v>
      </c>
      <c r="O1603">
        <v>2</v>
      </c>
      <c r="P1603">
        <v>15125</v>
      </c>
      <c r="Q1603">
        <v>4860</v>
      </c>
      <c r="R1603">
        <v>238</v>
      </c>
      <c r="S1603">
        <v>1416</v>
      </c>
      <c r="T1603">
        <v>35</v>
      </c>
      <c r="U1603">
        <v>8576</v>
      </c>
      <c r="V1603" s="1">
        <f t="shared" ref="V1603:V1666" si="75">ROUND(H1603/G1603,4)</f>
        <v>0.24099999999999999</v>
      </c>
      <c r="W1603" s="1">
        <f t="shared" ref="W1603:W1666" si="76">ROUND(N1603/G1603,4)</f>
        <v>6.9999999999999999E-4</v>
      </c>
      <c r="X1603" s="1">
        <f t="shared" ref="X1603:X1666" si="77">ROUND(O1603/G1603,4)</f>
        <v>1.4E-3</v>
      </c>
    </row>
    <row r="1604" spans="1:24" x14ac:dyDescent="0.25">
      <c r="A1604">
        <v>2013</v>
      </c>
      <c r="B1604">
        <v>6</v>
      </c>
      <c r="C1604" t="s">
        <v>31</v>
      </c>
      <c r="D1604" t="str">
        <f>_xlfn.XLOOKUP(C1604,'Carrier Name Rename'!A:A,'Carrier Name Rename'!B:B)</f>
        <v>American Airlines Inc.</v>
      </c>
      <c r="E1604" t="s">
        <v>23</v>
      </c>
      <c r="F1604" t="s">
        <v>24</v>
      </c>
      <c r="G1604">
        <v>495</v>
      </c>
      <c r="H1604">
        <v>150</v>
      </c>
      <c r="I1604">
        <v>46</v>
      </c>
      <c r="J1604">
        <v>13.66</v>
      </c>
      <c r="K1604">
        <v>32.72</v>
      </c>
      <c r="L1604">
        <v>0</v>
      </c>
      <c r="M1604">
        <v>57.62</v>
      </c>
      <c r="N1604">
        <v>1</v>
      </c>
      <c r="O1604">
        <v>1</v>
      </c>
      <c r="P1604">
        <v>8000</v>
      </c>
      <c r="Q1604">
        <v>1875</v>
      </c>
      <c r="R1604">
        <v>875</v>
      </c>
      <c r="S1604">
        <v>1384</v>
      </c>
      <c r="T1604">
        <v>0</v>
      </c>
      <c r="U1604">
        <v>3866</v>
      </c>
      <c r="V1604" s="1">
        <f t="shared" si="75"/>
        <v>0.30299999999999999</v>
      </c>
      <c r="W1604" s="1">
        <f t="shared" si="76"/>
        <v>2E-3</v>
      </c>
      <c r="X1604" s="1">
        <f t="shared" si="77"/>
        <v>2E-3</v>
      </c>
    </row>
    <row r="1605" spans="1:24" x14ac:dyDescent="0.25">
      <c r="A1605">
        <v>2013</v>
      </c>
      <c r="B1605">
        <v>6</v>
      </c>
      <c r="C1605" t="s">
        <v>33</v>
      </c>
      <c r="D1605" t="str">
        <f>_xlfn.XLOOKUP(C1605,'Carrier Name Rename'!A:A,'Carrier Name Rename'!B:B)</f>
        <v>Alaska Airlines Inc.</v>
      </c>
      <c r="E1605" t="s">
        <v>23</v>
      </c>
      <c r="F1605" t="s">
        <v>24</v>
      </c>
      <c r="G1605">
        <v>4355</v>
      </c>
      <c r="H1605">
        <v>447</v>
      </c>
      <c r="I1605">
        <v>108.81</v>
      </c>
      <c r="J1605">
        <v>6.56</v>
      </c>
      <c r="K1605">
        <v>182.51</v>
      </c>
      <c r="L1605">
        <v>1.39</v>
      </c>
      <c r="M1605">
        <v>147.72999999999999</v>
      </c>
      <c r="N1605">
        <v>17</v>
      </c>
      <c r="O1605">
        <v>4</v>
      </c>
      <c r="P1605">
        <v>20102</v>
      </c>
      <c r="Q1605">
        <v>6157</v>
      </c>
      <c r="R1605">
        <v>324</v>
      </c>
      <c r="S1605">
        <v>5082</v>
      </c>
      <c r="T1605">
        <v>58</v>
      </c>
      <c r="U1605">
        <v>8481</v>
      </c>
      <c r="V1605" s="1">
        <f t="shared" si="75"/>
        <v>0.1026</v>
      </c>
      <c r="W1605" s="1">
        <f t="shared" si="76"/>
        <v>3.8999999999999998E-3</v>
      </c>
      <c r="X1605" s="1">
        <f t="shared" si="77"/>
        <v>8.9999999999999998E-4</v>
      </c>
    </row>
    <row r="1606" spans="1:24" x14ac:dyDescent="0.25">
      <c r="A1606">
        <v>2013</v>
      </c>
      <c r="B1606">
        <v>6</v>
      </c>
      <c r="C1606" t="s">
        <v>35</v>
      </c>
      <c r="D1606" t="str">
        <f>_xlfn.XLOOKUP(C1606,'Carrier Name Rename'!A:A,'Carrier Name Rename'!B:B)</f>
        <v>JetBlue Airways</v>
      </c>
      <c r="E1606" t="s">
        <v>23</v>
      </c>
      <c r="F1606" t="s">
        <v>24</v>
      </c>
      <c r="G1606">
        <v>271</v>
      </c>
      <c r="H1606">
        <v>59</v>
      </c>
      <c r="I1606">
        <v>23.2</v>
      </c>
      <c r="J1606">
        <v>0.86</v>
      </c>
      <c r="K1606">
        <v>18.38</v>
      </c>
      <c r="L1606">
        <v>0</v>
      </c>
      <c r="M1606">
        <v>16.559999999999999</v>
      </c>
      <c r="N1606">
        <v>0</v>
      </c>
      <c r="O1606">
        <v>0</v>
      </c>
      <c r="P1606">
        <v>3715</v>
      </c>
      <c r="Q1606">
        <v>1458</v>
      </c>
      <c r="R1606">
        <v>38</v>
      </c>
      <c r="S1606">
        <v>799</v>
      </c>
      <c r="T1606">
        <v>0</v>
      </c>
      <c r="U1606">
        <v>1420</v>
      </c>
      <c r="V1606" s="1">
        <f t="shared" si="75"/>
        <v>0.2177</v>
      </c>
      <c r="W1606" s="1">
        <f t="shared" si="76"/>
        <v>0</v>
      </c>
      <c r="X1606" s="1">
        <f t="shared" si="77"/>
        <v>0</v>
      </c>
    </row>
    <row r="1607" spans="1:24" x14ac:dyDescent="0.25">
      <c r="A1607">
        <v>2013</v>
      </c>
      <c r="B1607">
        <v>6</v>
      </c>
      <c r="C1607" t="s">
        <v>37</v>
      </c>
      <c r="D1607" t="str">
        <f>_xlfn.XLOOKUP(C1607,'Carrier Name Rename'!A:A,'Carrier Name Rename'!B:B)</f>
        <v>Delta Air Lines Inc.</v>
      </c>
      <c r="E1607" t="s">
        <v>23</v>
      </c>
      <c r="F1607" t="s">
        <v>24</v>
      </c>
      <c r="G1607">
        <v>973</v>
      </c>
      <c r="H1607">
        <v>157</v>
      </c>
      <c r="I1607">
        <v>75.37</v>
      </c>
      <c r="J1607">
        <v>6.08</v>
      </c>
      <c r="K1607">
        <v>47.42</v>
      </c>
      <c r="L1607">
        <v>0</v>
      </c>
      <c r="M1607">
        <v>28.14</v>
      </c>
      <c r="N1607">
        <v>5</v>
      </c>
      <c r="O1607">
        <v>0</v>
      </c>
      <c r="P1607">
        <v>9766</v>
      </c>
      <c r="Q1607">
        <v>5209</v>
      </c>
      <c r="R1607">
        <v>326</v>
      </c>
      <c r="S1607">
        <v>2371</v>
      </c>
      <c r="T1607">
        <v>0</v>
      </c>
      <c r="U1607">
        <v>1860</v>
      </c>
      <c r="V1607" s="1">
        <f t="shared" si="75"/>
        <v>0.16139999999999999</v>
      </c>
      <c r="W1607" s="1">
        <f t="shared" si="76"/>
        <v>5.1000000000000004E-3</v>
      </c>
      <c r="X1607" s="1">
        <f t="shared" si="77"/>
        <v>0</v>
      </c>
    </row>
    <row r="1608" spans="1:24" x14ac:dyDescent="0.25">
      <c r="A1608">
        <v>2013</v>
      </c>
      <c r="B1608">
        <v>6</v>
      </c>
      <c r="C1608" t="s">
        <v>39</v>
      </c>
      <c r="D1608" t="str">
        <f>_xlfn.XLOOKUP(C1608,'Carrier Name Rename'!A:A,'Carrier Name Rename'!B:B)</f>
        <v>Frontier Airlines Inc.</v>
      </c>
      <c r="E1608" t="s">
        <v>23</v>
      </c>
      <c r="F1608" t="s">
        <v>24</v>
      </c>
      <c r="G1608">
        <v>141</v>
      </c>
      <c r="H1608">
        <v>32</v>
      </c>
      <c r="I1608">
        <v>9.48</v>
      </c>
      <c r="J1608">
        <v>0.97</v>
      </c>
      <c r="K1608">
        <v>9.33</v>
      </c>
      <c r="L1608">
        <v>0</v>
      </c>
      <c r="M1608">
        <v>12.23</v>
      </c>
      <c r="N1608">
        <v>0</v>
      </c>
      <c r="O1608">
        <v>0</v>
      </c>
      <c r="P1608">
        <v>1755</v>
      </c>
      <c r="Q1608">
        <v>434</v>
      </c>
      <c r="R1608">
        <v>51</v>
      </c>
      <c r="S1608">
        <v>314</v>
      </c>
      <c r="T1608">
        <v>0</v>
      </c>
      <c r="U1608">
        <v>956</v>
      </c>
      <c r="V1608" s="1">
        <f t="shared" si="75"/>
        <v>0.22700000000000001</v>
      </c>
      <c r="W1608" s="1">
        <f t="shared" si="76"/>
        <v>0</v>
      </c>
      <c r="X1608" s="1">
        <f t="shared" si="77"/>
        <v>0</v>
      </c>
    </row>
    <row r="1609" spans="1:24" x14ac:dyDescent="0.25">
      <c r="A1609">
        <v>2013</v>
      </c>
      <c r="B1609">
        <v>6</v>
      </c>
      <c r="C1609" t="s">
        <v>21</v>
      </c>
      <c r="D1609" t="str">
        <f>_xlfn.XLOOKUP(C1609,'Carrier Name Rename'!A:A,'Carrier Name Rename'!B:B)</f>
        <v>Hawaiian Airlines Inc.</v>
      </c>
      <c r="E1609" t="s">
        <v>23</v>
      </c>
      <c r="F1609" t="s">
        <v>24</v>
      </c>
      <c r="G1609">
        <v>60</v>
      </c>
      <c r="H1609">
        <v>8</v>
      </c>
      <c r="I1609">
        <v>7.12</v>
      </c>
      <c r="J1609">
        <v>0</v>
      </c>
      <c r="K1609">
        <v>0</v>
      </c>
      <c r="L1609">
        <v>0</v>
      </c>
      <c r="M1609">
        <v>0.88</v>
      </c>
      <c r="N1609">
        <v>0</v>
      </c>
      <c r="O1609">
        <v>0</v>
      </c>
      <c r="P1609">
        <v>240</v>
      </c>
      <c r="Q1609">
        <v>207</v>
      </c>
      <c r="R1609">
        <v>0</v>
      </c>
      <c r="S1609">
        <v>0</v>
      </c>
      <c r="T1609">
        <v>0</v>
      </c>
      <c r="U1609">
        <v>33</v>
      </c>
      <c r="V1609" s="1">
        <f t="shared" si="75"/>
        <v>0.1333</v>
      </c>
      <c r="W1609" s="1">
        <f t="shared" si="76"/>
        <v>0</v>
      </c>
      <c r="X1609" s="1">
        <f t="shared" si="77"/>
        <v>0</v>
      </c>
    </row>
    <row r="1610" spans="1:24" x14ac:dyDescent="0.25">
      <c r="A1610">
        <v>2013</v>
      </c>
      <c r="B1610">
        <v>6</v>
      </c>
      <c r="C1610" t="s">
        <v>27</v>
      </c>
      <c r="D1610" t="str">
        <f>_xlfn.XLOOKUP(C1610,'Carrier Name Rename'!A:A,'Carrier Name Rename'!B:B)</f>
        <v>SkyWest Airlines Inc.</v>
      </c>
      <c r="E1610" t="s">
        <v>23</v>
      </c>
      <c r="F1610" t="s">
        <v>24</v>
      </c>
      <c r="G1610">
        <v>528</v>
      </c>
      <c r="H1610">
        <v>73</v>
      </c>
      <c r="I1610">
        <v>21.26</v>
      </c>
      <c r="J1610">
        <v>0</v>
      </c>
      <c r="K1610">
        <v>20.25</v>
      </c>
      <c r="L1610">
        <v>0.04</v>
      </c>
      <c r="M1610">
        <v>31.44</v>
      </c>
      <c r="N1610">
        <v>8</v>
      </c>
      <c r="O1610">
        <v>0</v>
      </c>
      <c r="P1610">
        <v>3693</v>
      </c>
      <c r="Q1610">
        <v>1285</v>
      </c>
      <c r="R1610">
        <v>0</v>
      </c>
      <c r="S1610">
        <v>471</v>
      </c>
      <c r="T1610">
        <v>1</v>
      </c>
      <c r="U1610">
        <v>1936</v>
      </c>
      <c r="V1610" s="1">
        <f t="shared" si="75"/>
        <v>0.13830000000000001</v>
      </c>
      <c r="W1610" s="1">
        <f t="shared" si="76"/>
        <v>1.52E-2</v>
      </c>
      <c r="X1610" s="1">
        <f t="shared" si="77"/>
        <v>0</v>
      </c>
    </row>
    <row r="1611" spans="1:24" x14ac:dyDescent="0.25">
      <c r="A1611">
        <v>2013</v>
      </c>
      <c r="B1611">
        <v>6</v>
      </c>
      <c r="C1611" t="s">
        <v>41</v>
      </c>
      <c r="D1611" t="str">
        <f>_xlfn.XLOOKUP(C1611,'Carrier Name Rename'!A:A,'Carrier Name Rename'!B:B)</f>
        <v>United Air Lines Inc.</v>
      </c>
      <c r="E1611" t="s">
        <v>23</v>
      </c>
      <c r="F1611" t="s">
        <v>24</v>
      </c>
      <c r="G1611">
        <v>981</v>
      </c>
      <c r="H1611">
        <v>290</v>
      </c>
      <c r="I1611">
        <v>117.22</v>
      </c>
      <c r="J1611">
        <v>8.25</v>
      </c>
      <c r="K1611">
        <v>54.1</v>
      </c>
      <c r="L1611">
        <v>0</v>
      </c>
      <c r="M1611">
        <v>110.43</v>
      </c>
      <c r="N1611">
        <v>9</v>
      </c>
      <c r="O1611">
        <v>3</v>
      </c>
      <c r="P1611">
        <v>21272</v>
      </c>
      <c r="Q1611">
        <v>6929</v>
      </c>
      <c r="R1611">
        <v>839</v>
      </c>
      <c r="S1611">
        <v>2578</v>
      </c>
      <c r="T1611">
        <v>0</v>
      </c>
      <c r="U1611">
        <v>10926</v>
      </c>
      <c r="V1611" s="1">
        <f t="shared" si="75"/>
        <v>0.29559999999999997</v>
      </c>
      <c r="W1611" s="1">
        <f t="shared" si="76"/>
        <v>9.1999999999999998E-3</v>
      </c>
      <c r="X1611" s="1">
        <f t="shared" si="77"/>
        <v>3.0999999999999999E-3</v>
      </c>
    </row>
    <row r="1612" spans="1:24" x14ac:dyDescent="0.25">
      <c r="A1612">
        <v>2013</v>
      </c>
      <c r="B1612">
        <v>6</v>
      </c>
      <c r="C1612" t="s">
        <v>61</v>
      </c>
      <c r="D1612" t="str">
        <f>_xlfn.XLOOKUP(C1612,'Carrier Name Rename'!A:A,'Carrier Name Rename'!B:B)</f>
        <v>US Airways Inc.</v>
      </c>
      <c r="E1612" t="s">
        <v>23</v>
      </c>
      <c r="F1612" t="s">
        <v>24</v>
      </c>
      <c r="G1612">
        <v>404</v>
      </c>
      <c r="H1612">
        <v>122</v>
      </c>
      <c r="I1612">
        <v>48.23</v>
      </c>
      <c r="J1612">
        <v>4.5199999999999996</v>
      </c>
      <c r="K1612">
        <v>41.9</v>
      </c>
      <c r="L1612">
        <v>0.83</v>
      </c>
      <c r="M1612">
        <v>26.52</v>
      </c>
      <c r="N1612">
        <v>2</v>
      </c>
      <c r="O1612">
        <v>0</v>
      </c>
      <c r="P1612">
        <v>6027</v>
      </c>
      <c r="Q1612">
        <v>2469</v>
      </c>
      <c r="R1612">
        <v>413</v>
      </c>
      <c r="S1612">
        <v>1653</v>
      </c>
      <c r="T1612">
        <v>21</v>
      </c>
      <c r="U1612">
        <v>1471</v>
      </c>
      <c r="V1612" s="1">
        <f t="shared" si="75"/>
        <v>0.30199999999999999</v>
      </c>
      <c r="W1612" s="1">
        <f t="shared" si="76"/>
        <v>5.0000000000000001E-3</v>
      </c>
      <c r="X1612" s="1">
        <f t="shared" si="77"/>
        <v>0</v>
      </c>
    </row>
    <row r="1613" spans="1:24" x14ac:dyDescent="0.25">
      <c r="A1613">
        <v>2013</v>
      </c>
      <c r="B1613">
        <v>6</v>
      </c>
      <c r="C1613" t="s">
        <v>51</v>
      </c>
      <c r="D1613" t="str">
        <f>_xlfn.XLOOKUP(C1613,'Carrier Name Rename'!A:A,'Carrier Name Rename'!B:B)</f>
        <v>Virgin America</v>
      </c>
      <c r="E1613" t="s">
        <v>23</v>
      </c>
      <c r="F1613" t="s">
        <v>24</v>
      </c>
      <c r="G1613">
        <v>264</v>
      </c>
      <c r="H1613">
        <v>70</v>
      </c>
      <c r="I1613">
        <v>15.68</v>
      </c>
      <c r="J1613">
        <v>0.95</v>
      </c>
      <c r="K1613">
        <v>5.15</v>
      </c>
      <c r="L1613">
        <v>0</v>
      </c>
      <c r="M1613">
        <v>48.22</v>
      </c>
      <c r="N1613">
        <v>1</v>
      </c>
      <c r="O1613">
        <v>0</v>
      </c>
      <c r="P1613">
        <v>6144</v>
      </c>
      <c r="Q1613">
        <v>1000</v>
      </c>
      <c r="R1613">
        <v>28</v>
      </c>
      <c r="S1613">
        <v>172</v>
      </c>
      <c r="T1613">
        <v>0</v>
      </c>
      <c r="U1613">
        <v>4944</v>
      </c>
      <c r="V1613" s="1">
        <f t="shared" si="75"/>
        <v>0.26519999999999999</v>
      </c>
      <c r="W1613" s="1">
        <f t="shared" si="76"/>
        <v>3.8E-3</v>
      </c>
      <c r="X1613" s="1">
        <f t="shared" si="77"/>
        <v>0</v>
      </c>
    </row>
    <row r="1614" spans="1:24" x14ac:dyDescent="0.25">
      <c r="A1614">
        <v>2013</v>
      </c>
      <c r="B1614">
        <v>6</v>
      </c>
      <c r="C1614" t="s">
        <v>43</v>
      </c>
      <c r="D1614" t="str">
        <f>_xlfn.XLOOKUP(C1614,'Carrier Name Rename'!A:A,'Carrier Name Rename'!B:B)</f>
        <v>Southwest Airlines Co.</v>
      </c>
      <c r="E1614" t="s">
        <v>23</v>
      </c>
      <c r="F1614" t="s">
        <v>24</v>
      </c>
      <c r="G1614">
        <v>1340</v>
      </c>
      <c r="H1614">
        <v>373</v>
      </c>
      <c r="I1614">
        <v>138.68</v>
      </c>
      <c r="J1614">
        <v>6.95</v>
      </c>
      <c r="K1614">
        <v>56.48</v>
      </c>
      <c r="L1614">
        <v>1.82</v>
      </c>
      <c r="M1614">
        <v>169.07</v>
      </c>
      <c r="N1614">
        <v>1</v>
      </c>
      <c r="O1614">
        <v>1</v>
      </c>
      <c r="P1614">
        <v>17656</v>
      </c>
      <c r="Q1614">
        <v>6943</v>
      </c>
      <c r="R1614">
        <v>600</v>
      </c>
      <c r="S1614">
        <v>1916</v>
      </c>
      <c r="T1614">
        <v>54</v>
      </c>
      <c r="U1614">
        <v>8143</v>
      </c>
      <c r="V1614" s="1">
        <f t="shared" si="75"/>
        <v>0.27839999999999998</v>
      </c>
      <c r="W1614" s="1">
        <f t="shared" si="76"/>
        <v>6.9999999999999999E-4</v>
      </c>
      <c r="X1614" s="1">
        <f t="shared" si="77"/>
        <v>6.9999999999999999E-4</v>
      </c>
    </row>
    <row r="1615" spans="1:24" x14ac:dyDescent="0.25">
      <c r="A1615">
        <v>2013</v>
      </c>
      <c r="B1615">
        <v>5</v>
      </c>
      <c r="C1615" t="s">
        <v>31</v>
      </c>
      <c r="D1615" t="str">
        <f>_xlfn.XLOOKUP(C1615,'Carrier Name Rename'!A:A,'Carrier Name Rename'!B:B)</f>
        <v>American Airlines Inc.</v>
      </c>
      <c r="E1615" t="s">
        <v>23</v>
      </c>
      <c r="F1615" t="s">
        <v>24</v>
      </c>
      <c r="G1615">
        <v>485</v>
      </c>
      <c r="H1615">
        <v>94</v>
      </c>
      <c r="I1615">
        <v>33.880000000000003</v>
      </c>
      <c r="J1615">
        <v>7.47</v>
      </c>
      <c r="K1615">
        <v>15.08</v>
      </c>
      <c r="L1615">
        <v>0</v>
      </c>
      <c r="M1615">
        <v>37.57</v>
      </c>
      <c r="N1615">
        <v>3</v>
      </c>
      <c r="O1615">
        <v>2</v>
      </c>
      <c r="P1615">
        <v>6296</v>
      </c>
      <c r="Q1615">
        <v>2339</v>
      </c>
      <c r="R1615">
        <v>504</v>
      </c>
      <c r="S1615">
        <v>506</v>
      </c>
      <c r="T1615">
        <v>0</v>
      </c>
      <c r="U1615">
        <v>2947</v>
      </c>
      <c r="V1615" s="1">
        <f t="shared" si="75"/>
        <v>0.1938</v>
      </c>
      <c r="W1615" s="1">
        <f t="shared" si="76"/>
        <v>6.1999999999999998E-3</v>
      </c>
      <c r="X1615" s="1">
        <f t="shared" si="77"/>
        <v>4.1000000000000003E-3</v>
      </c>
    </row>
    <row r="1616" spans="1:24" x14ac:dyDescent="0.25">
      <c r="A1616">
        <v>2013</v>
      </c>
      <c r="B1616">
        <v>5</v>
      </c>
      <c r="C1616" t="s">
        <v>33</v>
      </c>
      <c r="D1616" t="str">
        <f>_xlfn.XLOOKUP(C1616,'Carrier Name Rename'!A:A,'Carrier Name Rename'!B:B)</f>
        <v>Alaska Airlines Inc.</v>
      </c>
      <c r="E1616" t="s">
        <v>23</v>
      </c>
      <c r="F1616" t="s">
        <v>24</v>
      </c>
      <c r="G1616">
        <v>4111</v>
      </c>
      <c r="H1616">
        <v>310</v>
      </c>
      <c r="I1616">
        <v>77.05</v>
      </c>
      <c r="J1616">
        <v>3.69</v>
      </c>
      <c r="K1616">
        <v>123.52</v>
      </c>
      <c r="L1616">
        <v>0.3</v>
      </c>
      <c r="M1616">
        <v>105.45</v>
      </c>
      <c r="N1616">
        <v>7</v>
      </c>
      <c r="O1616">
        <v>6</v>
      </c>
      <c r="P1616">
        <v>14639</v>
      </c>
      <c r="Q1616">
        <v>4048</v>
      </c>
      <c r="R1616">
        <v>423</v>
      </c>
      <c r="S1616">
        <v>3422</v>
      </c>
      <c r="T1616">
        <v>6</v>
      </c>
      <c r="U1616">
        <v>6740</v>
      </c>
      <c r="V1616" s="1">
        <f t="shared" si="75"/>
        <v>7.5399999999999995E-2</v>
      </c>
      <c r="W1616" s="1">
        <f t="shared" si="76"/>
        <v>1.6999999999999999E-3</v>
      </c>
      <c r="X1616" s="1">
        <f t="shared" si="77"/>
        <v>1.5E-3</v>
      </c>
    </row>
    <row r="1617" spans="1:24" x14ac:dyDescent="0.25">
      <c r="A1617">
        <v>2013</v>
      </c>
      <c r="B1617">
        <v>5</v>
      </c>
      <c r="C1617" t="s">
        <v>35</v>
      </c>
      <c r="D1617" t="str">
        <f>_xlfn.XLOOKUP(C1617,'Carrier Name Rename'!A:A,'Carrier Name Rename'!B:B)</f>
        <v>JetBlue Airways</v>
      </c>
      <c r="E1617" t="s">
        <v>23</v>
      </c>
      <c r="F1617" t="s">
        <v>24</v>
      </c>
      <c r="G1617">
        <v>215</v>
      </c>
      <c r="H1617">
        <v>40</v>
      </c>
      <c r="I1617">
        <v>10.06</v>
      </c>
      <c r="J1617">
        <v>0</v>
      </c>
      <c r="K1617">
        <v>19.309999999999999</v>
      </c>
      <c r="L1617">
        <v>0</v>
      </c>
      <c r="M1617">
        <v>10.63</v>
      </c>
      <c r="N1617">
        <v>0</v>
      </c>
      <c r="O1617">
        <v>0</v>
      </c>
      <c r="P1617">
        <v>1208</v>
      </c>
      <c r="Q1617">
        <v>279</v>
      </c>
      <c r="R1617">
        <v>0</v>
      </c>
      <c r="S1617">
        <v>455</v>
      </c>
      <c r="T1617">
        <v>0</v>
      </c>
      <c r="U1617">
        <v>474</v>
      </c>
      <c r="V1617" s="1">
        <f t="shared" si="75"/>
        <v>0.186</v>
      </c>
      <c r="W1617" s="1">
        <f t="shared" si="76"/>
        <v>0</v>
      </c>
      <c r="X1617" s="1">
        <f t="shared" si="77"/>
        <v>0</v>
      </c>
    </row>
    <row r="1618" spans="1:24" x14ac:dyDescent="0.25">
      <c r="A1618">
        <v>2013</v>
      </c>
      <c r="B1618">
        <v>5</v>
      </c>
      <c r="C1618" t="s">
        <v>37</v>
      </c>
      <c r="D1618" t="str">
        <f>_xlfn.XLOOKUP(C1618,'Carrier Name Rename'!A:A,'Carrier Name Rename'!B:B)</f>
        <v>Delta Air Lines Inc.</v>
      </c>
      <c r="E1618" t="s">
        <v>23</v>
      </c>
      <c r="F1618" t="s">
        <v>24</v>
      </c>
      <c r="G1618">
        <v>745</v>
      </c>
      <c r="H1618">
        <v>73</v>
      </c>
      <c r="I1618">
        <v>30.69</v>
      </c>
      <c r="J1618">
        <v>1.41</v>
      </c>
      <c r="K1618">
        <v>15.32</v>
      </c>
      <c r="L1618">
        <v>0</v>
      </c>
      <c r="M1618">
        <v>25.58</v>
      </c>
      <c r="N1618">
        <v>0</v>
      </c>
      <c r="O1618">
        <v>0</v>
      </c>
      <c r="P1618">
        <v>3677</v>
      </c>
      <c r="Q1618">
        <v>1913</v>
      </c>
      <c r="R1618">
        <v>72</v>
      </c>
      <c r="S1618">
        <v>504</v>
      </c>
      <c r="T1618">
        <v>0</v>
      </c>
      <c r="U1618">
        <v>1188</v>
      </c>
      <c r="V1618" s="1">
        <f t="shared" si="75"/>
        <v>9.8000000000000004E-2</v>
      </c>
      <c r="W1618" s="1">
        <f t="shared" si="76"/>
        <v>0</v>
      </c>
      <c r="X1618" s="1">
        <f t="shared" si="77"/>
        <v>0</v>
      </c>
    </row>
    <row r="1619" spans="1:24" x14ac:dyDescent="0.25">
      <c r="A1619">
        <v>2013</v>
      </c>
      <c r="B1619">
        <v>5</v>
      </c>
      <c r="C1619" t="s">
        <v>39</v>
      </c>
      <c r="D1619" t="str">
        <f>_xlfn.XLOOKUP(C1619,'Carrier Name Rename'!A:A,'Carrier Name Rename'!B:B)</f>
        <v>Frontier Airlines Inc.</v>
      </c>
      <c r="E1619" t="s">
        <v>23</v>
      </c>
      <c r="F1619" t="s">
        <v>24</v>
      </c>
      <c r="G1619">
        <v>127</v>
      </c>
      <c r="H1619">
        <v>36</v>
      </c>
      <c r="I1619">
        <v>13.25</v>
      </c>
      <c r="J1619">
        <v>0.09</v>
      </c>
      <c r="K1619">
        <v>10.49</v>
      </c>
      <c r="L1619">
        <v>0</v>
      </c>
      <c r="M1619">
        <v>12.17</v>
      </c>
      <c r="N1619">
        <v>0</v>
      </c>
      <c r="O1619">
        <v>0</v>
      </c>
      <c r="P1619">
        <v>1791</v>
      </c>
      <c r="Q1619">
        <v>463</v>
      </c>
      <c r="R1619">
        <v>2</v>
      </c>
      <c r="S1619">
        <v>371</v>
      </c>
      <c r="T1619">
        <v>0</v>
      </c>
      <c r="U1619">
        <v>955</v>
      </c>
      <c r="V1619" s="1">
        <f t="shared" si="75"/>
        <v>0.28349999999999997</v>
      </c>
      <c r="W1619" s="1">
        <f t="shared" si="76"/>
        <v>0</v>
      </c>
      <c r="X1619" s="1">
        <f t="shared" si="77"/>
        <v>0</v>
      </c>
    </row>
    <row r="1620" spans="1:24" x14ac:dyDescent="0.25">
      <c r="A1620">
        <v>2013</v>
      </c>
      <c r="B1620">
        <v>5</v>
      </c>
      <c r="C1620" t="s">
        <v>21</v>
      </c>
      <c r="D1620" t="str">
        <f>_xlfn.XLOOKUP(C1620,'Carrier Name Rename'!A:A,'Carrier Name Rename'!B:B)</f>
        <v>Hawaiian Airlines Inc.</v>
      </c>
      <c r="E1620" t="s">
        <v>23</v>
      </c>
      <c r="F1620" t="s">
        <v>24</v>
      </c>
      <c r="G1620">
        <v>62</v>
      </c>
      <c r="H1620">
        <v>11</v>
      </c>
      <c r="I1620">
        <v>9.8800000000000008</v>
      </c>
      <c r="J1620">
        <v>0</v>
      </c>
      <c r="K1620">
        <v>0</v>
      </c>
      <c r="L1620">
        <v>0</v>
      </c>
      <c r="M1620">
        <v>1.1200000000000001</v>
      </c>
      <c r="N1620">
        <v>0</v>
      </c>
      <c r="O1620">
        <v>0</v>
      </c>
      <c r="P1620">
        <v>236</v>
      </c>
      <c r="Q1620">
        <v>213</v>
      </c>
      <c r="R1620">
        <v>0</v>
      </c>
      <c r="S1620">
        <v>0</v>
      </c>
      <c r="T1620">
        <v>0</v>
      </c>
      <c r="U1620">
        <v>23</v>
      </c>
      <c r="V1620" s="1">
        <f t="shared" si="75"/>
        <v>0.1774</v>
      </c>
      <c r="W1620" s="1">
        <f t="shared" si="76"/>
        <v>0</v>
      </c>
      <c r="X1620" s="1">
        <f t="shared" si="77"/>
        <v>0</v>
      </c>
    </row>
    <row r="1621" spans="1:24" x14ac:dyDescent="0.25">
      <c r="A1621">
        <v>2013</v>
      </c>
      <c r="B1621">
        <v>5</v>
      </c>
      <c r="C1621" t="s">
        <v>27</v>
      </c>
      <c r="D1621" t="str">
        <f>_xlfn.XLOOKUP(C1621,'Carrier Name Rename'!A:A,'Carrier Name Rename'!B:B)</f>
        <v>SkyWest Airlines Inc.</v>
      </c>
      <c r="E1621" t="s">
        <v>23</v>
      </c>
      <c r="F1621" t="s">
        <v>24</v>
      </c>
      <c r="G1621">
        <v>547</v>
      </c>
      <c r="H1621">
        <v>72</v>
      </c>
      <c r="I1621">
        <v>23.13</v>
      </c>
      <c r="J1621">
        <v>0</v>
      </c>
      <c r="K1621">
        <v>15.25</v>
      </c>
      <c r="L1621">
        <v>0</v>
      </c>
      <c r="M1621">
        <v>33.619999999999997</v>
      </c>
      <c r="N1621">
        <v>3</v>
      </c>
      <c r="O1621">
        <v>0</v>
      </c>
      <c r="P1621">
        <v>3581</v>
      </c>
      <c r="Q1621">
        <v>1190</v>
      </c>
      <c r="R1621">
        <v>0</v>
      </c>
      <c r="S1621">
        <v>473</v>
      </c>
      <c r="T1621">
        <v>0</v>
      </c>
      <c r="U1621">
        <v>1918</v>
      </c>
      <c r="V1621" s="1">
        <f t="shared" si="75"/>
        <v>0.13159999999999999</v>
      </c>
      <c r="W1621" s="1">
        <f t="shared" si="76"/>
        <v>5.4999999999999997E-3</v>
      </c>
      <c r="X1621" s="1">
        <f t="shared" si="77"/>
        <v>0</v>
      </c>
    </row>
    <row r="1622" spans="1:24" x14ac:dyDescent="0.25">
      <c r="A1622">
        <v>2013</v>
      </c>
      <c r="B1622">
        <v>5</v>
      </c>
      <c r="C1622" t="s">
        <v>41</v>
      </c>
      <c r="D1622" t="str">
        <f>_xlfn.XLOOKUP(C1622,'Carrier Name Rename'!A:A,'Carrier Name Rename'!B:B)</f>
        <v>United Air Lines Inc.</v>
      </c>
      <c r="E1622" t="s">
        <v>23</v>
      </c>
      <c r="F1622" t="s">
        <v>24</v>
      </c>
      <c r="G1622">
        <v>898</v>
      </c>
      <c r="H1622">
        <v>150</v>
      </c>
      <c r="I1622">
        <v>61.52</v>
      </c>
      <c r="J1622">
        <v>2.5299999999999998</v>
      </c>
      <c r="K1622">
        <v>35.47</v>
      </c>
      <c r="L1622">
        <v>0</v>
      </c>
      <c r="M1622">
        <v>50.48</v>
      </c>
      <c r="N1622">
        <v>0</v>
      </c>
      <c r="O1622">
        <v>0</v>
      </c>
      <c r="P1622">
        <v>7504</v>
      </c>
      <c r="Q1622">
        <v>3074</v>
      </c>
      <c r="R1622">
        <v>151</v>
      </c>
      <c r="S1622">
        <v>1124</v>
      </c>
      <c r="T1622">
        <v>0</v>
      </c>
      <c r="U1622">
        <v>3155</v>
      </c>
      <c r="V1622" s="1">
        <f t="shared" si="75"/>
        <v>0.16700000000000001</v>
      </c>
      <c r="W1622" s="1">
        <f t="shared" si="76"/>
        <v>0</v>
      </c>
      <c r="X1622" s="1">
        <f t="shared" si="77"/>
        <v>0</v>
      </c>
    </row>
    <row r="1623" spans="1:24" x14ac:dyDescent="0.25">
      <c r="A1623">
        <v>2013</v>
      </c>
      <c r="B1623">
        <v>5</v>
      </c>
      <c r="C1623" t="s">
        <v>61</v>
      </c>
      <c r="D1623" t="str">
        <f>_xlfn.XLOOKUP(C1623,'Carrier Name Rename'!A:A,'Carrier Name Rename'!B:B)</f>
        <v>US Airways Inc.</v>
      </c>
      <c r="E1623" t="s">
        <v>23</v>
      </c>
      <c r="F1623" t="s">
        <v>24</v>
      </c>
      <c r="G1623">
        <v>343</v>
      </c>
      <c r="H1623">
        <v>65</v>
      </c>
      <c r="I1623">
        <v>23.32</v>
      </c>
      <c r="J1623">
        <v>2.5</v>
      </c>
      <c r="K1623">
        <v>24.9</v>
      </c>
      <c r="L1623">
        <v>0.79</v>
      </c>
      <c r="M1623">
        <v>13.5</v>
      </c>
      <c r="N1623">
        <v>2</v>
      </c>
      <c r="O1623">
        <v>0</v>
      </c>
      <c r="P1623">
        <v>3080</v>
      </c>
      <c r="Q1623">
        <v>1191</v>
      </c>
      <c r="R1623">
        <v>409</v>
      </c>
      <c r="S1623">
        <v>758</v>
      </c>
      <c r="T1623">
        <v>59</v>
      </c>
      <c r="U1623">
        <v>663</v>
      </c>
      <c r="V1623" s="1">
        <f t="shared" si="75"/>
        <v>0.1895</v>
      </c>
      <c r="W1623" s="1">
        <f t="shared" si="76"/>
        <v>5.7999999999999996E-3</v>
      </c>
      <c r="X1623" s="1">
        <f t="shared" si="77"/>
        <v>0</v>
      </c>
    </row>
    <row r="1624" spans="1:24" x14ac:dyDescent="0.25">
      <c r="A1624">
        <v>2013</v>
      </c>
      <c r="B1624">
        <v>5</v>
      </c>
      <c r="C1624" t="s">
        <v>51</v>
      </c>
      <c r="D1624" t="str">
        <f>_xlfn.XLOOKUP(C1624,'Carrier Name Rename'!A:A,'Carrier Name Rename'!B:B)</f>
        <v>Virgin America</v>
      </c>
      <c r="E1624" t="s">
        <v>23</v>
      </c>
      <c r="F1624" t="s">
        <v>24</v>
      </c>
      <c r="G1624">
        <v>260</v>
      </c>
      <c r="H1624">
        <v>37</v>
      </c>
      <c r="I1624">
        <v>5.78</v>
      </c>
      <c r="J1624">
        <v>5.01</v>
      </c>
      <c r="K1624">
        <v>3.09</v>
      </c>
      <c r="L1624">
        <v>0</v>
      </c>
      <c r="M1624">
        <v>23.12</v>
      </c>
      <c r="N1624">
        <v>0</v>
      </c>
      <c r="O1624">
        <v>0</v>
      </c>
      <c r="P1624">
        <v>2267</v>
      </c>
      <c r="Q1624">
        <v>390</v>
      </c>
      <c r="R1624">
        <v>113</v>
      </c>
      <c r="S1624">
        <v>73</v>
      </c>
      <c r="T1624">
        <v>0</v>
      </c>
      <c r="U1624">
        <v>1691</v>
      </c>
      <c r="V1624" s="1">
        <f t="shared" si="75"/>
        <v>0.14230000000000001</v>
      </c>
      <c r="W1624" s="1">
        <f t="shared" si="76"/>
        <v>0</v>
      </c>
      <c r="X1624" s="1">
        <f t="shared" si="77"/>
        <v>0</v>
      </c>
    </row>
    <row r="1625" spans="1:24" x14ac:dyDescent="0.25">
      <c r="A1625">
        <v>2013</v>
      </c>
      <c r="B1625">
        <v>5</v>
      </c>
      <c r="C1625" t="s">
        <v>43</v>
      </c>
      <c r="D1625" t="str">
        <f>_xlfn.XLOOKUP(C1625,'Carrier Name Rename'!A:A,'Carrier Name Rename'!B:B)</f>
        <v>Southwest Airlines Co.</v>
      </c>
      <c r="E1625" t="s">
        <v>23</v>
      </c>
      <c r="F1625" t="s">
        <v>24</v>
      </c>
      <c r="G1625">
        <v>1058</v>
      </c>
      <c r="H1625">
        <v>226</v>
      </c>
      <c r="I1625">
        <v>77.95</v>
      </c>
      <c r="J1625">
        <v>0.22</v>
      </c>
      <c r="K1625">
        <v>24.75</v>
      </c>
      <c r="L1625">
        <v>0.17</v>
      </c>
      <c r="M1625">
        <v>122.91</v>
      </c>
      <c r="N1625">
        <v>0</v>
      </c>
      <c r="O1625">
        <v>4</v>
      </c>
      <c r="P1625">
        <v>10053</v>
      </c>
      <c r="Q1625">
        <v>3381</v>
      </c>
      <c r="R1625">
        <v>7</v>
      </c>
      <c r="S1625">
        <v>619</v>
      </c>
      <c r="T1625">
        <v>3</v>
      </c>
      <c r="U1625">
        <v>6043</v>
      </c>
      <c r="V1625" s="1">
        <f t="shared" si="75"/>
        <v>0.21360000000000001</v>
      </c>
      <c r="W1625" s="1">
        <f t="shared" si="76"/>
        <v>0</v>
      </c>
      <c r="X1625" s="1">
        <f t="shared" si="77"/>
        <v>3.8E-3</v>
      </c>
    </row>
    <row r="1626" spans="1:24" x14ac:dyDescent="0.25">
      <c r="A1626">
        <v>2013</v>
      </c>
      <c r="B1626">
        <v>4</v>
      </c>
      <c r="C1626" t="s">
        <v>31</v>
      </c>
      <c r="D1626" t="str">
        <f>_xlfn.XLOOKUP(C1626,'Carrier Name Rename'!A:A,'Carrier Name Rename'!B:B)</f>
        <v>American Airlines Inc.</v>
      </c>
      <c r="E1626" t="s">
        <v>23</v>
      </c>
      <c r="F1626" t="s">
        <v>24</v>
      </c>
      <c r="G1626">
        <v>440</v>
      </c>
      <c r="H1626">
        <v>139</v>
      </c>
      <c r="I1626">
        <v>39.299999999999997</v>
      </c>
      <c r="J1626">
        <v>8.51</v>
      </c>
      <c r="K1626">
        <v>29.83</v>
      </c>
      <c r="L1626">
        <v>0</v>
      </c>
      <c r="M1626">
        <v>61.36</v>
      </c>
      <c r="N1626">
        <v>8</v>
      </c>
      <c r="O1626">
        <v>0</v>
      </c>
      <c r="P1626">
        <v>8343</v>
      </c>
      <c r="Q1626">
        <v>2443</v>
      </c>
      <c r="R1626">
        <v>549</v>
      </c>
      <c r="S1626">
        <v>1030</v>
      </c>
      <c r="T1626">
        <v>0</v>
      </c>
      <c r="U1626">
        <v>4321</v>
      </c>
      <c r="V1626" s="1">
        <f t="shared" si="75"/>
        <v>0.31590000000000001</v>
      </c>
      <c r="W1626" s="1">
        <f t="shared" si="76"/>
        <v>1.8200000000000001E-2</v>
      </c>
      <c r="X1626" s="1">
        <f t="shared" si="77"/>
        <v>0</v>
      </c>
    </row>
    <row r="1627" spans="1:24" x14ac:dyDescent="0.25">
      <c r="A1627">
        <v>2013</v>
      </c>
      <c r="B1627">
        <v>4</v>
      </c>
      <c r="C1627" t="s">
        <v>33</v>
      </c>
      <c r="D1627" t="str">
        <f>_xlfn.XLOOKUP(C1627,'Carrier Name Rename'!A:A,'Carrier Name Rename'!B:B)</f>
        <v>Alaska Airlines Inc.</v>
      </c>
      <c r="E1627" t="s">
        <v>23</v>
      </c>
      <c r="F1627" t="s">
        <v>24</v>
      </c>
      <c r="G1627">
        <v>3800</v>
      </c>
      <c r="H1627">
        <v>448</v>
      </c>
      <c r="I1627">
        <v>82.66</v>
      </c>
      <c r="J1627">
        <v>2.25</v>
      </c>
      <c r="K1627">
        <v>231.66</v>
      </c>
      <c r="L1627">
        <v>1.73</v>
      </c>
      <c r="M1627">
        <v>129.69999999999999</v>
      </c>
      <c r="N1627">
        <v>19</v>
      </c>
      <c r="O1627">
        <v>6</v>
      </c>
      <c r="P1627">
        <v>21000</v>
      </c>
      <c r="Q1627">
        <v>6163</v>
      </c>
      <c r="R1627">
        <v>117</v>
      </c>
      <c r="S1627">
        <v>6096</v>
      </c>
      <c r="T1627">
        <v>128</v>
      </c>
      <c r="U1627">
        <v>8496</v>
      </c>
      <c r="V1627" s="1">
        <f t="shared" si="75"/>
        <v>0.1179</v>
      </c>
      <c r="W1627" s="1">
        <f t="shared" si="76"/>
        <v>5.0000000000000001E-3</v>
      </c>
      <c r="X1627" s="1">
        <f t="shared" si="77"/>
        <v>1.6000000000000001E-3</v>
      </c>
    </row>
    <row r="1628" spans="1:24" x14ac:dyDescent="0.25">
      <c r="A1628">
        <v>2013</v>
      </c>
      <c r="B1628">
        <v>4</v>
      </c>
      <c r="C1628" t="s">
        <v>35</v>
      </c>
      <c r="D1628" t="str">
        <f>_xlfn.XLOOKUP(C1628,'Carrier Name Rename'!A:A,'Carrier Name Rename'!B:B)</f>
        <v>JetBlue Airways</v>
      </c>
      <c r="E1628" t="s">
        <v>23</v>
      </c>
      <c r="F1628" t="s">
        <v>24</v>
      </c>
      <c r="G1628">
        <v>122</v>
      </c>
      <c r="H1628">
        <v>24</v>
      </c>
      <c r="I1628">
        <v>6.71</v>
      </c>
      <c r="J1628">
        <v>0</v>
      </c>
      <c r="K1628">
        <v>8.8800000000000008</v>
      </c>
      <c r="L1628">
        <v>0</v>
      </c>
      <c r="M1628">
        <v>8.41</v>
      </c>
      <c r="N1628">
        <v>0</v>
      </c>
      <c r="O1628">
        <v>0</v>
      </c>
      <c r="P1628">
        <v>1089</v>
      </c>
      <c r="Q1628">
        <v>208</v>
      </c>
      <c r="R1628">
        <v>0</v>
      </c>
      <c r="S1628">
        <v>385</v>
      </c>
      <c r="T1628">
        <v>0</v>
      </c>
      <c r="U1628">
        <v>496</v>
      </c>
      <c r="V1628" s="1">
        <f t="shared" si="75"/>
        <v>0.19670000000000001</v>
      </c>
      <c r="W1628" s="1">
        <f t="shared" si="76"/>
        <v>0</v>
      </c>
      <c r="X1628" s="1">
        <f t="shared" si="77"/>
        <v>0</v>
      </c>
    </row>
    <row r="1629" spans="1:24" x14ac:dyDescent="0.25">
      <c r="A1629">
        <v>2013</v>
      </c>
      <c r="B1629">
        <v>4</v>
      </c>
      <c r="C1629" t="s">
        <v>37</v>
      </c>
      <c r="D1629" t="str">
        <f>_xlfn.XLOOKUP(C1629,'Carrier Name Rename'!A:A,'Carrier Name Rename'!B:B)</f>
        <v>Delta Air Lines Inc.</v>
      </c>
      <c r="E1629" t="s">
        <v>23</v>
      </c>
      <c r="F1629" t="s">
        <v>24</v>
      </c>
      <c r="G1629">
        <v>700</v>
      </c>
      <c r="H1629">
        <v>82</v>
      </c>
      <c r="I1629">
        <v>36.06</v>
      </c>
      <c r="J1629">
        <v>3.19</v>
      </c>
      <c r="K1629">
        <v>25.06</v>
      </c>
      <c r="L1629">
        <v>0</v>
      </c>
      <c r="M1629">
        <v>17.68</v>
      </c>
      <c r="N1629">
        <v>0</v>
      </c>
      <c r="O1629">
        <v>2</v>
      </c>
      <c r="P1629">
        <v>4221</v>
      </c>
      <c r="Q1629">
        <v>2176</v>
      </c>
      <c r="R1629">
        <v>211</v>
      </c>
      <c r="S1629">
        <v>898</v>
      </c>
      <c r="T1629">
        <v>0</v>
      </c>
      <c r="U1629">
        <v>936</v>
      </c>
      <c r="V1629" s="1">
        <f t="shared" si="75"/>
        <v>0.1171</v>
      </c>
      <c r="W1629" s="1">
        <f t="shared" si="76"/>
        <v>0</v>
      </c>
      <c r="X1629" s="1">
        <f t="shared" si="77"/>
        <v>2.8999999999999998E-3</v>
      </c>
    </row>
    <row r="1630" spans="1:24" x14ac:dyDescent="0.25">
      <c r="A1630">
        <v>2013</v>
      </c>
      <c r="B1630">
        <v>4</v>
      </c>
      <c r="C1630" t="s">
        <v>39</v>
      </c>
      <c r="D1630" t="str">
        <f>_xlfn.XLOOKUP(C1630,'Carrier Name Rename'!A:A,'Carrier Name Rename'!B:B)</f>
        <v>Frontier Airlines Inc.</v>
      </c>
      <c r="E1630" t="s">
        <v>23</v>
      </c>
      <c r="F1630" t="s">
        <v>24</v>
      </c>
      <c r="G1630">
        <v>106</v>
      </c>
      <c r="H1630">
        <v>43</v>
      </c>
      <c r="I1630">
        <v>12.11</v>
      </c>
      <c r="J1630">
        <v>0.12</v>
      </c>
      <c r="K1630">
        <v>24.18</v>
      </c>
      <c r="L1630">
        <v>0</v>
      </c>
      <c r="M1630">
        <v>6.59</v>
      </c>
      <c r="N1630">
        <v>0</v>
      </c>
      <c r="O1630">
        <v>0</v>
      </c>
      <c r="P1630">
        <v>2300</v>
      </c>
      <c r="Q1630">
        <v>606</v>
      </c>
      <c r="R1630">
        <v>6</v>
      </c>
      <c r="S1630">
        <v>1147</v>
      </c>
      <c r="T1630">
        <v>0</v>
      </c>
      <c r="U1630">
        <v>541</v>
      </c>
      <c r="V1630" s="1">
        <f t="shared" si="75"/>
        <v>0.40570000000000001</v>
      </c>
      <c r="W1630" s="1">
        <f t="shared" si="76"/>
        <v>0</v>
      </c>
      <c r="X1630" s="1">
        <f t="shared" si="77"/>
        <v>0</v>
      </c>
    </row>
    <row r="1631" spans="1:24" x14ac:dyDescent="0.25">
      <c r="A1631">
        <v>2013</v>
      </c>
      <c r="B1631">
        <v>4</v>
      </c>
      <c r="C1631" t="s">
        <v>21</v>
      </c>
      <c r="D1631" t="str">
        <f>_xlfn.XLOOKUP(C1631,'Carrier Name Rename'!A:A,'Carrier Name Rename'!B:B)</f>
        <v>Hawaiian Airlines Inc.</v>
      </c>
      <c r="E1631" t="s">
        <v>23</v>
      </c>
      <c r="F1631" t="s">
        <v>24</v>
      </c>
      <c r="G1631">
        <v>60</v>
      </c>
      <c r="H1631">
        <v>20</v>
      </c>
      <c r="I1631">
        <v>17.420000000000002</v>
      </c>
      <c r="J1631">
        <v>0</v>
      </c>
      <c r="K1631">
        <v>0</v>
      </c>
      <c r="L1631">
        <v>0</v>
      </c>
      <c r="M1631">
        <v>2.58</v>
      </c>
      <c r="N1631">
        <v>0</v>
      </c>
      <c r="O1631">
        <v>0</v>
      </c>
      <c r="P1631">
        <v>528</v>
      </c>
      <c r="Q1631">
        <v>445</v>
      </c>
      <c r="R1631">
        <v>0</v>
      </c>
      <c r="S1631">
        <v>0</v>
      </c>
      <c r="T1631">
        <v>0</v>
      </c>
      <c r="U1631">
        <v>83</v>
      </c>
      <c r="V1631" s="1">
        <f t="shared" si="75"/>
        <v>0.33329999999999999</v>
      </c>
      <c r="W1631" s="1">
        <f t="shared" si="76"/>
        <v>0</v>
      </c>
      <c r="X1631" s="1">
        <f t="shared" si="77"/>
        <v>0</v>
      </c>
    </row>
    <row r="1632" spans="1:24" x14ac:dyDescent="0.25">
      <c r="A1632">
        <v>2013</v>
      </c>
      <c r="B1632">
        <v>4</v>
      </c>
      <c r="C1632" t="s">
        <v>27</v>
      </c>
      <c r="D1632" t="str">
        <f>_xlfn.XLOOKUP(C1632,'Carrier Name Rename'!A:A,'Carrier Name Rename'!B:B)</f>
        <v>SkyWest Airlines Inc.</v>
      </c>
      <c r="E1632" t="s">
        <v>23</v>
      </c>
      <c r="F1632" t="s">
        <v>24</v>
      </c>
      <c r="G1632">
        <v>538</v>
      </c>
      <c r="H1632">
        <v>87</v>
      </c>
      <c r="I1632">
        <v>24.85</v>
      </c>
      <c r="J1632">
        <v>1.04</v>
      </c>
      <c r="K1632">
        <v>31.09</v>
      </c>
      <c r="L1632">
        <v>0</v>
      </c>
      <c r="M1632">
        <v>30.02</v>
      </c>
      <c r="N1632">
        <v>4</v>
      </c>
      <c r="O1632">
        <v>1</v>
      </c>
      <c r="P1632">
        <v>3562</v>
      </c>
      <c r="Q1632">
        <v>1199</v>
      </c>
      <c r="R1632">
        <v>31</v>
      </c>
      <c r="S1632">
        <v>858</v>
      </c>
      <c r="T1632">
        <v>0</v>
      </c>
      <c r="U1632">
        <v>1474</v>
      </c>
      <c r="V1632" s="1">
        <f t="shared" si="75"/>
        <v>0.16170000000000001</v>
      </c>
      <c r="W1632" s="1">
        <f t="shared" si="76"/>
        <v>7.4000000000000003E-3</v>
      </c>
      <c r="X1632" s="1">
        <f t="shared" si="77"/>
        <v>1.9E-3</v>
      </c>
    </row>
    <row r="1633" spans="1:24" x14ac:dyDescent="0.25">
      <c r="A1633">
        <v>2013</v>
      </c>
      <c r="B1633">
        <v>4</v>
      </c>
      <c r="C1633" t="s">
        <v>41</v>
      </c>
      <c r="D1633" t="str">
        <f>_xlfn.XLOOKUP(C1633,'Carrier Name Rename'!A:A,'Carrier Name Rename'!B:B)</f>
        <v>United Air Lines Inc.</v>
      </c>
      <c r="E1633" t="s">
        <v>23</v>
      </c>
      <c r="F1633" t="s">
        <v>24</v>
      </c>
      <c r="G1633">
        <v>776</v>
      </c>
      <c r="H1633">
        <v>162</v>
      </c>
      <c r="I1633">
        <v>72.459999999999994</v>
      </c>
      <c r="J1633">
        <v>6.75</v>
      </c>
      <c r="K1633">
        <v>41.89</v>
      </c>
      <c r="L1633">
        <v>0</v>
      </c>
      <c r="M1633">
        <v>40.9</v>
      </c>
      <c r="N1633">
        <v>8</v>
      </c>
      <c r="O1633">
        <v>0</v>
      </c>
      <c r="P1633">
        <v>8262</v>
      </c>
      <c r="Q1633">
        <v>3495</v>
      </c>
      <c r="R1633">
        <v>483</v>
      </c>
      <c r="S1633">
        <v>1621</v>
      </c>
      <c r="T1633">
        <v>0</v>
      </c>
      <c r="U1633">
        <v>2663</v>
      </c>
      <c r="V1633" s="1">
        <f t="shared" si="75"/>
        <v>0.20880000000000001</v>
      </c>
      <c r="W1633" s="1">
        <f t="shared" si="76"/>
        <v>1.03E-2</v>
      </c>
      <c r="X1633" s="1">
        <f t="shared" si="77"/>
        <v>0</v>
      </c>
    </row>
    <row r="1634" spans="1:24" x14ac:dyDescent="0.25">
      <c r="A1634">
        <v>2013</v>
      </c>
      <c r="B1634">
        <v>4</v>
      </c>
      <c r="C1634" t="s">
        <v>61</v>
      </c>
      <c r="D1634" t="str">
        <f>_xlfn.XLOOKUP(C1634,'Carrier Name Rename'!A:A,'Carrier Name Rename'!B:B)</f>
        <v>US Airways Inc.</v>
      </c>
      <c r="E1634" t="s">
        <v>23</v>
      </c>
      <c r="F1634" t="s">
        <v>24</v>
      </c>
      <c r="G1634">
        <v>260</v>
      </c>
      <c r="H1634">
        <v>74</v>
      </c>
      <c r="I1634">
        <v>19.8</v>
      </c>
      <c r="J1634">
        <v>0.81</v>
      </c>
      <c r="K1634">
        <v>34.39</v>
      </c>
      <c r="L1634">
        <v>1.1000000000000001</v>
      </c>
      <c r="M1634">
        <v>17.899999999999999</v>
      </c>
      <c r="N1634">
        <v>1</v>
      </c>
      <c r="O1634">
        <v>0</v>
      </c>
      <c r="P1634">
        <v>2807</v>
      </c>
      <c r="Q1634">
        <v>629</v>
      </c>
      <c r="R1634">
        <v>153</v>
      </c>
      <c r="S1634">
        <v>842</v>
      </c>
      <c r="T1634">
        <v>31</v>
      </c>
      <c r="U1634">
        <v>1152</v>
      </c>
      <c r="V1634" s="1">
        <f t="shared" si="75"/>
        <v>0.28460000000000002</v>
      </c>
      <c r="W1634" s="1">
        <f t="shared" si="76"/>
        <v>3.8E-3</v>
      </c>
      <c r="X1634" s="1">
        <f t="shared" si="77"/>
        <v>0</v>
      </c>
    </row>
    <row r="1635" spans="1:24" x14ac:dyDescent="0.25">
      <c r="A1635">
        <v>2013</v>
      </c>
      <c r="B1635">
        <v>4</v>
      </c>
      <c r="C1635" t="s">
        <v>51</v>
      </c>
      <c r="D1635" t="str">
        <f>_xlfn.XLOOKUP(C1635,'Carrier Name Rename'!A:A,'Carrier Name Rename'!B:B)</f>
        <v>Virgin America</v>
      </c>
      <c r="E1635" t="s">
        <v>23</v>
      </c>
      <c r="F1635" t="s">
        <v>24</v>
      </c>
      <c r="G1635">
        <v>218</v>
      </c>
      <c r="H1635">
        <v>37</v>
      </c>
      <c r="I1635">
        <v>8.57</v>
      </c>
      <c r="J1635">
        <v>5.69</v>
      </c>
      <c r="K1635">
        <v>4.18</v>
      </c>
      <c r="L1635">
        <v>0</v>
      </c>
      <c r="M1635">
        <v>18.55</v>
      </c>
      <c r="N1635">
        <v>0</v>
      </c>
      <c r="O1635">
        <v>0</v>
      </c>
      <c r="P1635">
        <v>1626</v>
      </c>
      <c r="Q1635">
        <v>368</v>
      </c>
      <c r="R1635">
        <v>120</v>
      </c>
      <c r="S1635">
        <v>87</v>
      </c>
      <c r="T1635">
        <v>0</v>
      </c>
      <c r="U1635">
        <v>1051</v>
      </c>
      <c r="V1635" s="1">
        <f t="shared" si="75"/>
        <v>0.16969999999999999</v>
      </c>
      <c r="W1635" s="1">
        <f t="shared" si="76"/>
        <v>0</v>
      </c>
      <c r="X1635" s="1">
        <f t="shared" si="77"/>
        <v>0</v>
      </c>
    </row>
    <row r="1636" spans="1:24" x14ac:dyDescent="0.25">
      <c r="A1636">
        <v>2013</v>
      </c>
      <c r="B1636">
        <v>4</v>
      </c>
      <c r="C1636" t="s">
        <v>43</v>
      </c>
      <c r="D1636" t="str">
        <f>_xlfn.XLOOKUP(C1636,'Carrier Name Rename'!A:A,'Carrier Name Rename'!B:B)</f>
        <v>Southwest Airlines Co.</v>
      </c>
      <c r="E1636" t="s">
        <v>23</v>
      </c>
      <c r="F1636" t="s">
        <v>24</v>
      </c>
      <c r="G1636">
        <v>992</v>
      </c>
      <c r="H1636">
        <v>311</v>
      </c>
      <c r="I1636">
        <v>102.09</v>
      </c>
      <c r="J1636">
        <v>0.2</v>
      </c>
      <c r="K1636">
        <v>84.4</v>
      </c>
      <c r="L1636">
        <v>2.4500000000000002</v>
      </c>
      <c r="M1636">
        <v>121.86</v>
      </c>
      <c r="N1636">
        <v>2</v>
      </c>
      <c r="O1636">
        <v>1</v>
      </c>
      <c r="P1636">
        <v>11587</v>
      </c>
      <c r="Q1636">
        <v>3537</v>
      </c>
      <c r="R1636">
        <v>20</v>
      </c>
      <c r="S1636">
        <v>2254</v>
      </c>
      <c r="T1636">
        <v>89</v>
      </c>
      <c r="U1636">
        <v>5687</v>
      </c>
      <c r="V1636" s="1">
        <f t="shared" si="75"/>
        <v>0.3135</v>
      </c>
      <c r="W1636" s="1">
        <f t="shared" si="76"/>
        <v>2E-3</v>
      </c>
      <c r="X1636" s="1">
        <f t="shared" si="77"/>
        <v>1E-3</v>
      </c>
    </row>
    <row r="1637" spans="1:24" x14ac:dyDescent="0.25">
      <c r="A1637">
        <v>2013</v>
      </c>
      <c r="B1637">
        <v>3</v>
      </c>
      <c r="C1637" t="s">
        <v>31</v>
      </c>
      <c r="D1637" t="str">
        <f>_xlfn.XLOOKUP(C1637,'Carrier Name Rename'!A:A,'Carrier Name Rename'!B:B)</f>
        <v>American Airlines Inc.</v>
      </c>
      <c r="E1637" t="s">
        <v>23</v>
      </c>
      <c r="F1637" t="s">
        <v>24</v>
      </c>
      <c r="G1637">
        <v>398</v>
      </c>
      <c r="H1637">
        <v>98</v>
      </c>
      <c r="I1637">
        <v>26.26</v>
      </c>
      <c r="J1637">
        <v>6.36</v>
      </c>
      <c r="K1637">
        <v>35.93</v>
      </c>
      <c r="L1637">
        <v>0</v>
      </c>
      <c r="M1637">
        <v>29.44</v>
      </c>
      <c r="N1637">
        <v>3</v>
      </c>
      <c r="O1637">
        <v>1</v>
      </c>
      <c r="P1637">
        <v>4498</v>
      </c>
      <c r="Q1637">
        <v>1503</v>
      </c>
      <c r="R1637">
        <v>274</v>
      </c>
      <c r="S1637">
        <v>1226</v>
      </c>
      <c r="T1637">
        <v>0</v>
      </c>
      <c r="U1637">
        <v>1495</v>
      </c>
      <c r="V1637" s="1">
        <f t="shared" si="75"/>
        <v>0.2462</v>
      </c>
      <c r="W1637" s="1">
        <f t="shared" si="76"/>
        <v>7.4999999999999997E-3</v>
      </c>
      <c r="X1637" s="1">
        <f t="shared" si="77"/>
        <v>2.5000000000000001E-3</v>
      </c>
    </row>
    <row r="1638" spans="1:24" x14ac:dyDescent="0.25">
      <c r="A1638">
        <v>2013</v>
      </c>
      <c r="B1638">
        <v>3</v>
      </c>
      <c r="C1638" t="s">
        <v>33</v>
      </c>
      <c r="D1638" t="str">
        <f>_xlfn.XLOOKUP(C1638,'Carrier Name Rename'!A:A,'Carrier Name Rename'!B:B)</f>
        <v>Alaska Airlines Inc.</v>
      </c>
      <c r="E1638" t="s">
        <v>23</v>
      </c>
      <c r="F1638" t="s">
        <v>24</v>
      </c>
      <c r="G1638">
        <v>3797</v>
      </c>
      <c r="H1638">
        <v>442</v>
      </c>
      <c r="I1638">
        <v>86.18</v>
      </c>
      <c r="J1638">
        <v>5.08</v>
      </c>
      <c r="K1638">
        <v>200.77</v>
      </c>
      <c r="L1638">
        <v>2.2999999999999998</v>
      </c>
      <c r="M1638">
        <v>147.66999999999999</v>
      </c>
      <c r="N1638">
        <v>24</v>
      </c>
      <c r="O1638">
        <v>2</v>
      </c>
      <c r="P1638">
        <v>20300</v>
      </c>
      <c r="Q1638">
        <v>5375</v>
      </c>
      <c r="R1638">
        <v>397</v>
      </c>
      <c r="S1638">
        <v>5674</v>
      </c>
      <c r="T1638">
        <v>38</v>
      </c>
      <c r="U1638">
        <v>8816</v>
      </c>
      <c r="V1638" s="1">
        <f t="shared" si="75"/>
        <v>0.1164</v>
      </c>
      <c r="W1638" s="1">
        <f t="shared" si="76"/>
        <v>6.3E-3</v>
      </c>
      <c r="X1638" s="1">
        <f t="shared" si="77"/>
        <v>5.0000000000000001E-4</v>
      </c>
    </row>
    <row r="1639" spans="1:24" x14ac:dyDescent="0.25">
      <c r="A1639">
        <v>2013</v>
      </c>
      <c r="B1639">
        <v>3</v>
      </c>
      <c r="C1639" t="s">
        <v>35</v>
      </c>
      <c r="D1639" t="str">
        <f>_xlfn.XLOOKUP(C1639,'Carrier Name Rename'!A:A,'Carrier Name Rename'!B:B)</f>
        <v>JetBlue Airways</v>
      </c>
      <c r="E1639" t="s">
        <v>23</v>
      </c>
      <c r="F1639" t="s">
        <v>24</v>
      </c>
      <c r="G1639">
        <v>124</v>
      </c>
      <c r="H1639">
        <v>21</v>
      </c>
      <c r="I1639">
        <v>7.33</v>
      </c>
      <c r="J1639">
        <v>0.47</v>
      </c>
      <c r="K1639">
        <v>6.61</v>
      </c>
      <c r="L1639">
        <v>0</v>
      </c>
      <c r="M1639">
        <v>6.59</v>
      </c>
      <c r="N1639">
        <v>0</v>
      </c>
      <c r="O1639">
        <v>0</v>
      </c>
      <c r="P1639">
        <v>1029</v>
      </c>
      <c r="Q1639">
        <v>369</v>
      </c>
      <c r="R1639">
        <v>7</v>
      </c>
      <c r="S1639">
        <v>171</v>
      </c>
      <c r="T1639">
        <v>0</v>
      </c>
      <c r="U1639">
        <v>482</v>
      </c>
      <c r="V1639" s="1">
        <f t="shared" si="75"/>
        <v>0.1694</v>
      </c>
      <c r="W1639" s="1">
        <f t="shared" si="76"/>
        <v>0</v>
      </c>
      <c r="X1639" s="1">
        <f t="shared" si="77"/>
        <v>0</v>
      </c>
    </row>
    <row r="1640" spans="1:24" x14ac:dyDescent="0.25">
      <c r="A1640">
        <v>2013</v>
      </c>
      <c r="B1640">
        <v>3</v>
      </c>
      <c r="C1640" t="s">
        <v>37</v>
      </c>
      <c r="D1640" t="str">
        <f>_xlfn.XLOOKUP(C1640,'Carrier Name Rename'!A:A,'Carrier Name Rename'!B:B)</f>
        <v>Delta Air Lines Inc.</v>
      </c>
      <c r="E1640" t="s">
        <v>23</v>
      </c>
      <c r="F1640" t="s">
        <v>24</v>
      </c>
      <c r="G1640">
        <v>716</v>
      </c>
      <c r="H1640">
        <v>104</v>
      </c>
      <c r="I1640">
        <v>53.44</v>
      </c>
      <c r="J1640">
        <v>2.29</v>
      </c>
      <c r="K1640">
        <v>38.9</v>
      </c>
      <c r="L1640">
        <v>0</v>
      </c>
      <c r="M1640">
        <v>9.3699999999999992</v>
      </c>
      <c r="N1640">
        <v>1</v>
      </c>
      <c r="O1640">
        <v>0</v>
      </c>
      <c r="P1640">
        <v>5175</v>
      </c>
      <c r="Q1640">
        <v>3275</v>
      </c>
      <c r="R1640">
        <v>262</v>
      </c>
      <c r="S1640">
        <v>1116</v>
      </c>
      <c r="T1640">
        <v>0</v>
      </c>
      <c r="U1640">
        <v>522</v>
      </c>
      <c r="V1640" s="1">
        <f t="shared" si="75"/>
        <v>0.14530000000000001</v>
      </c>
      <c r="W1640" s="1">
        <f t="shared" si="76"/>
        <v>1.4E-3</v>
      </c>
      <c r="X1640" s="1">
        <f t="shared" si="77"/>
        <v>0</v>
      </c>
    </row>
    <row r="1641" spans="1:24" x14ac:dyDescent="0.25">
      <c r="A1641">
        <v>2013</v>
      </c>
      <c r="B1641">
        <v>3</v>
      </c>
      <c r="C1641" t="s">
        <v>39</v>
      </c>
      <c r="D1641" t="str">
        <f>_xlfn.XLOOKUP(C1641,'Carrier Name Rename'!A:A,'Carrier Name Rename'!B:B)</f>
        <v>Frontier Airlines Inc.</v>
      </c>
      <c r="E1641" t="s">
        <v>23</v>
      </c>
      <c r="F1641" t="s">
        <v>24</v>
      </c>
      <c r="G1641">
        <v>94</v>
      </c>
      <c r="H1641">
        <v>36</v>
      </c>
      <c r="I1641">
        <v>15.22</v>
      </c>
      <c r="J1641">
        <v>0</v>
      </c>
      <c r="K1641">
        <v>17.2</v>
      </c>
      <c r="L1641">
        <v>0</v>
      </c>
      <c r="M1641">
        <v>3.58</v>
      </c>
      <c r="N1641">
        <v>0</v>
      </c>
      <c r="O1641">
        <v>0</v>
      </c>
      <c r="P1641">
        <v>1697</v>
      </c>
      <c r="Q1641">
        <v>685</v>
      </c>
      <c r="R1641">
        <v>0</v>
      </c>
      <c r="S1641">
        <v>707</v>
      </c>
      <c r="T1641">
        <v>0</v>
      </c>
      <c r="U1641">
        <v>305</v>
      </c>
      <c r="V1641" s="1">
        <f t="shared" si="75"/>
        <v>0.38300000000000001</v>
      </c>
      <c r="W1641" s="1">
        <f t="shared" si="76"/>
        <v>0</v>
      </c>
      <c r="X1641" s="1">
        <f t="shared" si="77"/>
        <v>0</v>
      </c>
    </row>
    <row r="1642" spans="1:24" x14ac:dyDescent="0.25">
      <c r="A1642">
        <v>2013</v>
      </c>
      <c r="B1642">
        <v>3</v>
      </c>
      <c r="C1642" t="s">
        <v>21</v>
      </c>
      <c r="D1642" t="str">
        <f>_xlfn.XLOOKUP(C1642,'Carrier Name Rename'!A:A,'Carrier Name Rename'!B:B)</f>
        <v>Hawaiian Airlines Inc.</v>
      </c>
      <c r="E1642" t="s">
        <v>23</v>
      </c>
      <c r="F1642" t="s">
        <v>24</v>
      </c>
      <c r="G1642">
        <v>62</v>
      </c>
      <c r="H1642">
        <v>19</v>
      </c>
      <c r="I1642">
        <v>14.96</v>
      </c>
      <c r="J1642">
        <v>0</v>
      </c>
      <c r="K1642">
        <v>0</v>
      </c>
      <c r="L1642">
        <v>0</v>
      </c>
      <c r="M1642">
        <v>4.04</v>
      </c>
      <c r="N1642">
        <v>0</v>
      </c>
      <c r="O1642">
        <v>1</v>
      </c>
      <c r="P1642">
        <v>595</v>
      </c>
      <c r="Q1642">
        <v>358</v>
      </c>
      <c r="R1642">
        <v>0</v>
      </c>
      <c r="S1642">
        <v>0</v>
      </c>
      <c r="T1642">
        <v>0</v>
      </c>
      <c r="U1642">
        <v>237</v>
      </c>
      <c r="V1642" s="1">
        <f t="shared" si="75"/>
        <v>0.30649999999999999</v>
      </c>
      <c r="W1642" s="1">
        <f t="shared" si="76"/>
        <v>0</v>
      </c>
      <c r="X1642" s="1">
        <f t="shared" si="77"/>
        <v>1.61E-2</v>
      </c>
    </row>
    <row r="1643" spans="1:24" x14ac:dyDescent="0.25">
      <c r="A1643">
        <v>2013</v>
      </c>
      <c r="B1643">
        <v>3</v>
      </c>
      <c r="C1643" t="s">
        <v>27</v>
      </c>
      <c r="D1643" t="str">
        <f>_xlfn.XLOOKUP(C1643,'Carrier Name Rename'!A:A,'Carrier Name Rename'!B:B)</f>
        <v>SkyWest Airlines Inc.</v>
      </c>
      <c r="E1643" t="s">
        <v>23</v>
      </c>
      <c r="F1643" t="s">
        <v>24</v>
      </c>
      <c r="G1643">
        <v>468</v>
      </c>
      <c r="H1643">
        <v>67</v>
      </c>
      <c r="I1643">
        <v>20.5</v>
      </c>
      <c r="J1643">
        <v>3.69</v>
      </c>
      <c r="K1643">
        <v>13.44</v>
      </c>
      <c r="L1643">
        <v>0</v>
      </c>
      <c r="M1643">
        <v>29.37</v>
      </c>
      <c r="N1643">
        <v>5</v>
      </c>
      <c r="O1643">
        <v>1</v>
      </c>
      <c r="P1643">
        <v>3848</v>
      </c>
      <c r="Q1643">
        <v>1060</v>
      </c>
      <c r="R1643">
        <v>220</v>
      </c>
      <c r="S1643">
        <v>403</v>
      </c>
      <c r="T1643">
        <v>0</v>
      </c>
      <c r="U1643">
        <v>2165</v>
      </c>
      <c r="V1643" s="1">
        <f t="shared" si="75"/>
        <v>0.14319999999999999</v>
      </c>
      <c r="W1643" s="1">
        <f t="shared" si="76"/>
        <v>1.0699999999999999E-2</v>
      </c>
      <c r="X1643" s="1">
        <f t="shared" si="77"/>
        <v>2.0999999999999999E-3</v>
      </c>
    </row>
    <row r="1644" spans="1:24" x14ac:dyDescent="0.25">
      <c r="A1644">
        <v>2013</v>
      </c>
      <c r="B1644">
        <v>3</v>
      </c>
      <c r="C1644" t="s">
        <v>41</v>
      </c>
      <c r="D1644" t="str">
        <f>_xlfn.XLOOKUP(C1644,'Carrier Name Rename'!A:A,'Carrier Name Rename'!B:B)</f>
        <v>United Air Lines Inc.</v>
      </c>
      <c r="E1644" t="s">
        <v>23</v>
      </c>
      <c r="F1644" t="s">
        <v>24</v>
      </c>
      <c r="G1644">
        <v>841</v>
      </c>
      <c r="H1644">
        <v>197</v>
      </c>
      <c r="I1644">
        <v>71.34</v>
      </c>
      <c r="J1644">
        <v>4.2</v>
      </c>
      <c r="K1644">
        <v>63.6</v>
      </c>
      <c r="L1644">
        <v>0</v>
      </c>
      <c r="M1644">
        <v>57.87</v>
      </c>
      <c r="N1644">
        <v>4</v>
      </c>
      <c r="O1644">
        <v>2</v>
      </c>
      <c r="P1644">
        <v>9486</v>
      </c>
      <c r="Q1644">
        <v>3245</v>
      </c>
      <c r="R1644">
        <v>353</v>
      </c>
      <c r="S1644">
        <v>2041</v>
      </c>
      <c r="T1644">
        <v>0</v>
      </c>
      <c r="U1644">
        <v>3847</v>
      </c>
      <c r="V1644" s="1">
        <f t="shared" si="75"/>
        <v>0.23419999999999999</v>
      </c>
      <c r="W1644" s="1">
        <f t="shared" si="76"/>
        <v>4.7999999999999996E-3</v>
      </c>
      <c r="X1644" s="1">
        <f t="shared" si="77"/>
        <v>2.3999999999999998E-3</v>
      </c>
    </row>
    <row r="1645" spans="1:24" x14ac:dyDescent="0.25">
      <c r="A1645">
        <v>2013</v>
      </c>
      <c r="B1645">
        <v>3</v>
      </c>
      <c r="C1645" t="s">
        <v>61</v>
      </c>
      <c r="D1645" t="str">
        <f>_xlfn.XLOOKUP(C1645,'Carrier Name Rename'!A:A,'Carrier Name Rename'!B:B)</f>
        <v>US Airways Inc.</v>
      </c>
      <c r="E1645" t="s">
        <v>23</v>
      </c>
      <c r="F1645" t="s">
        <v>24</v>
      </c>
      <c r="G1645">
        <v>289</v>
      </c>
      <c r="H1645">
        <v>52</v>
      </c>
      <c r="I1645">
        <v>18.329999999999998</v>
      </c>
      <c r="J1645">
        <v>0</v>
      </c>
      <c r="K1645">
        <v>27.04</v>
      </c>
      <c r="L1645">
        <v>0.28000000000000003</v>
      </c>
      <c r="M1645">
        <v>6.35</v>
      </c>
      <c r="N1645">
        <v>0</v>
      </c>
      <c r="O1645">
        <v>0</v>
      </c>
      <c r="P1645">
        <v>1843</v>
      </c>
      <c r="Q1645">
        <v>761</v>
      </c>
      <c r="R1645">
        <v>0</v>
      </c>
      <c r="S1645">
        <v>698</v>
      </c>
      <c r="T1645">
        <v>15</v>
      </c>
      <c r="U1645">
        <v>369</v>
      </c>
      <c r="V1645" s="1">
        <f t="shared" si="75"/>
        <v>0.1799</v>
      </c>
      <c r="W1645" s="1">
        <f t="shared" si="76"/>
        <v>0</v>
      </c>
      <c r="X1645" s="1">
        <f t="shared" si="77"/>
        <v>0</v>
      </c>
    </row>
    <row r="1646" spans="1:24" x14ac:dyDescent="0.25">
      <c r="A1646">
        <v>2013</v>
      </c>
      <c r="B1646">
        <v>3</v>
      </c>
      <c r="C1646" t="s">
        <v>51</v>
      </c>
      <c r="D1646" t="str">
        <f>_xlfn.XLOOKUP(C1646,'Carrier Name Rename'!A:A,'Carrier Name Rename'!B:B)</f>
        <v>Virgin America</v>
      </c>
      <c r="E1646" t="s">
        <v>23</v>
      </c>
      <c r="F1646" t="s">
        <v>24</v>
      </c>
      <c r="G1646">
        <v>240</v>
      </c>
      <c r="H1646">
        <v>29</v>
      </c>
      <c r="I1646">
        <v>8.39</v>
      </c>
      <c r="J1646">
        <v>5.28</v>
      </c>
      <c r="K1646">
        <v>2.94</v>
      </c>
      <c r="L1646">
        <v>0</v>
      </c>
      <c r="M1646">
        <v>12.39</v>
      </c>
      <c r="N1646">
        <v>0</v>
      </c>
      <c r="O1646">
        <v>0</v>
      </c>
      <c r="P1646">
        <v>1201</v>
      </c>
      <c r="Q1646">
        <v>409</v>
      </c>
      <c r="R1646">
        <v>139</v>
      </c>
      <c r="S1646">
        <v>78</v>
      </c>
      <c r="T1646">
        <v>0</v>
      </c>
      <c r="U1646">
        <v>575</v>
      </c>
      <c r="V1646" s="1">
        <f t="shared" si="75"/>
        <v>0.1208</v>
      </c>
      <c r="W1646" s="1">
        <f t="shared" si="76"/>
        <v>0</v>
      </c>
      <c r="X1646" s="1">
        <f t="shared" si="77"/>
        <v>0</v>
      </c>
    </row>
    <row r="1647" spans="1:24" x14ac:dyDescent="0.25">
      <c r="A1647">
        <v>2013</v>
      </c>
      <c r="B1647">
        <v>3</v>
      </c>
      <c r="C1647" t="s">
        <v>43</v>
      </c>
      <c r="D1647" t="str">
        <f>_xlfn.XLOOKUP(C1647,'Carrier Name Rename'!A:A,'Carrier Name Rename'!B:B)</f>
        <v>Southwest Airlines Co.</v>
      </c>
      <c r="E1647" t="s">
        <v>23</v>
      </c>
      <c r="F1647" t="s">
        <v>24</v>
      </c>
      <c r="G1647">
        <v>965</v>
      </c>
      <c r="H1647">
        <v>235</v>
      </c>
      <c r="I1647">
        <v>64.87</v>
      </c>
      <c r="J1647">
        <v>0.47</v>
      </c>
      <c r="K1647">
        <v>59.77</v>
      </c>
      <c r="L1647">
        <v>0</v>
      </c>
      <c r="M1647">
        <v>109.89</v>
      </c>
      <c r="N1647">
        <v>3</v>
      </c>
      <c r="O1647">
        <v>1</v>
      </c>
      <c r="P1647">
        <v>9667</v>
      </c>
      <c r="Q1647">
        <v>2399</v>
      </c>
      <c r="R1647">
        <v>16</v>
      </c>
      <c r="S1647">
        <v>1731</v>
      </c>
      <c r="T1647">
        <v>0</v>
      </c>
      <c r="U1647">
        <v>5521</v>
      </c>
      <c r="V1647" s="1">
        <f t="shared" si="75"/>
        <v>0.24349999999999999</v>
      </c>
      <c r="W1647" s="1">
        <f t="shared" si="76"/>
        <v>3.0999999999999999E-3</v>
      </c>
      <c r="X1647" s="1">
        <f t="shared" si="77"/>
        <v>1E-3</v>
      </c>
    </row>
    <row r="1648" spans="1:24" x14ac:dyDescent="0.25">
      <c r="A1648">
        <v>2013</v>
      </c>
      <c r="B1648">
        <v>2</v>
      </c>
      <c r="C1648" t="s">
        <v>31</v>
      </c>
      <c r="D1648" t="str">
        <f>_xlfn.XLOOKUP(C1648,'Carrier Name Rename'!A:A,'Carrier Name Rename'!B:B)</f>
        <v>American Airlines Inc.</v>
      </c>
      <c r="E1648" t="s">
        <v>23</v>
      </c>
      <c r="F1648" t="s">
        <v>24</v>
      </c>
      <c r="G1648">
        <v>347</v>
      </c>
      <c r="H1648">
        <v>77</v>
      </c>
      <c r="I1648">
        <v>28.72</v>
      </c>
      <c r="J1648">
        <v>8.27</v>
      </c>
      <c r="K1648">
        <v>16</v>
      </c>
      <c r="L1648">
        <v>0</v>
      </c>
      <c r="M1648">
        <v>24.01</v>
      </c>
      <c r="N1648">
        <v>5</v>
      </c>
      <c r="O1648">
        <v>0</v>
      </c>
      <c r="P1648">
        <v>3277</v>
      </c>
      <c r="Q1648">
        <v>1346</v>
      </c>
      <c r="R1648">
        <v>315</v>
      </c>
      <c r="S1648">
        <v>430</v>
      </c>
      <c r="T1648">
        <v>0</v>
      </c>
      <c r="U1648">
        <v>1186</v>
      </c>
      <c r="V1648" s="1">
        <f t="shared" si="75"/>
        <v>0.22189999999999999</v>
      </c>
      <c r="W1648" s="1">
        <f t="shared" si="76"/>
        <v>1.44E-2</v>
      </c>
      <c r="X1648" s="1">
        <f t="shared" si="77"/>
        <v>0</v>
      </c>
    </row>
    <row r="1649" spans="1:24" x14ac:dyDescent="0.25">
      <c r="A1649">
        <v>2013</v>
      </c>
      <c r="B1649">
        <v>2</v>
      </c>
      <c r="C1649" t="s">
        <v>33</v>
      </c>
      <c r="D1649" t="str">
        <f>_xlfn.XLOOKUP(C1649,'Carrier Name Rename'!A:A,'Carrier Name Rename'!B:B)</f>
        <v>Alaska Airlines Inc.</v>
      </c>
      <c r="E1649" t="s">
        <v>23</v>
      </c>
      <c r="F1649" t="s">
        <v>24</v>
      </c>
      <c r="G1649">
        <v>3236</v>
      </c>
      <c r="H1649">
        <v>298</v>
      </c>
      <c r="I1649">
        <v>81.599999999999994</v>
      </c>
      <c r="J1649">
        <v>13.65</v>
      </c>
      <c r="K1649">
        <v>102.54</v>
      </c>
      <c r="L1649">
        <v>5.53</v>
      </c>
      <c r="M1649">
        <v>94.69</v>
      </c>
      <c r="N1649">
        <v>14</v>
      </c>
      <c r="O1649">
        <v>2</v>
      </c>
      <c r="P1649">
        <v>15330</v>
      </c>
      <c r="Q1649">
        <v>6092</v>
      </c>
      <c r="R1649">
        <v>607</v>
      </c>
      <c r="S1649">
        <v>2677</v>
      </c>
      <c r="T1649">
        <v>177</v>
      </c>
      <c r="U1649">
        <v>5777</v>
      </c>
      <c r="V1649" s="1">
        <f t="shared" si="75"/>
        <v>9.2100000000000001E-2</v>
      </c>
      <c r="W1649" s="1">
        <f t="shared" si="76"/>
        <v>4.3E-3</v>
      </c>
      <c r="X1649" s="1">
        <f t="shared" si="77"/>
        <v>5.9999999999999995E-4</v>
      </c>
    </row>
    <row r="1650" spans="1:24" x14ac:dyDescent="0.25">
      <c r="A1650">
        <v>2013</v>
      </c>
      <c r="B1650">
        <v>2</v>
      </c>
      <c r="C1650" t="s">
        <v>35</v>
      </c>
      <c r="D1650" t="str">
        <f>_xlfn.XLOOKUP(C1650,'Carrier Name Rename'!A:A,'Carrier Name Rename'!B:B)</f>
        <v>JetBlue Airways</v>
      </c>
      <c r="E1650" t="s">
        <v>23</v>
      </c>
      <c r="F1650" t="s">
        <v>24</v>
      </c>
      <c r="G1650">
        <v>106</v>
      </c>
      <c r="H1650">
        <v>20</v>
      </c>
      <c r="I1650">
        <v>8.66</v>
      </c>
      <c r="J1650">
        <v>0.71</v>
      </c>
      <c r="K1650">
        <v>4.66</v>
      </c>
      <c r="L1650">
        <v>0</v>
      </c>
      <c r="M1650">
        <v>5.97</v>
      </c>
      <c r="N1650">
        <v>2</v>
      </c>
      <c r="O1650">
        <v>0</v>
      </c>
      <c r="P1650">
        <v>982</v>
      </c>
      <c r="Q1650">
        <v>503</v>
      </c>
      <c r="R1650">
        <v>60</v>
      </c>
      <c r="S1650">
        <v>136</v>
      </c>
      <c r="T1650">
        <v>0</v>
      </c>
      <c r="U1650">
        <v>283</v>
      </c>
      <c r="V1650" s="1">
        <f t="shared" si="75"/>
        <v>0.18870000000000001</v>
      </c>
      <c r="W1650" s="1">
        <f t="shared" si="76"/>
        <v>1.89E-2</v>
      </c>
      <c r="X1650" s="1">
        <f t="shared" si="77"/>
        <v>0</v>
      </c>
    </row>
    <row r="1651" spans="1:24" x14ac:dyDescent="0.25">
      <c r="A1651">
        <v>2013</v>
      </c>
      <c r="B1651">
        <v>2</v>
      </c>
      <c r="C1651" t="s">
        <v>37</v>
      </c>
      <c r="D1651" t="str">
        <f>_xlfn.XLOOKUP(C1651,'Carrier Name Rename'!A:A,'Carrier Name Rename'!B:B)</f>
        <v>Delta Air Lines Inc.</v>
      </c>
      <c r="E1651" t="s">
        <v>23</v>
      </c>
      <c r="F1651" t="s">
        <v>24</v>
      </c>
      <c r="G1651">
        <v>572</v>
      </c>
      <c r="H1651">
        <v>61</v>
      </c>
      <c r="I1651">
        <v>26.02</v>
      </c>
      <c r="J1651">
        <v>4.75</v>
      </c>
      <c r="K1651">
        <v>27.78</v>
      </c>
      <c r="L1651">
        <v>0</v>
      </c>
      <c r="M1651">
        <v>2.4500000000000002</v>
      </c>
      <c r="N1651">
        <v>4</v>
      </c>
      <c r="O1651">
        <v>1</v>
      </c>
      <c r="P1651">
        <v>2519</v>
      </c>
      <c r="Q1651">
        <v>1078</v>
      </c>
      <c r="R1651">
        <v>322</v>
      </c>
      <c r="S1651">
        <v>994</v>
      </c>
      <c r="T1651">
        <v>0</v>
      </c>
      <c r="U1651">
        <v>125</v>
      </c>
      <c r="V1651" s="1">
        <f t="shared" si="75"/>
        <v>0.1066</v>
      </c>
      <c r="W1651" s="1">
        <f t="shared" si="76"/>
        <v>7.0000000000000001E-3</v>
      </c>
      <c r="X1651" s="1">
        <f t="shared" si="77"/>
        <v>1.6999999999999999E-3</v>
      </c>
    </row>
    <row r="1652" spans="1:24" x14ac:dyDescent="0.25">
      <c r="A1652">
        <v>2013</v>
      </c>
      <c r="B1652">
        <v>2</v>
      </c>
      <c r="C1652" t="s">
        <v>39</v>
      </c>
      <c r="D1652" t="str">
        <f>_xlfn.XLOOKUP(C1652,'Carrier Name Rename'!A:A,'Carrier Name Rename'!B:B)</f>
        <v>Frontier Airlines Inc.</v>
      </c>
      <c r="E1652" t="s">
        <v>23</v>
      </c>
      <c r="F1652" t="s">
        <v>24</v>
      </c>
      <c r="G1652">
        <v>88</v>
      </c>
      <c r="H1652">
        <v>34</v>
      </c>
      <c r="I1652">
        <v>15.4</v>
      </c>
      <c r="J1652">
        <v>0.12</v>
      </c>
      <c r="K1652">
        <v>9</v>
      </c>
      <c r="L1652">
        <v>0</v>
      </c>
      <c r="M1652">
        <v>9.48</v>
      </c>
      <c r="N1652">
        <v>1</v>
      </c>
      <c r="O1652">
        <v>0</v>
      </c>
      <c r="P1652">
        <v>2348</v>
      </c>
      <c r="Q1652">
        <v>1179</v>
      </c>
      <c r="R1652">
        <v>7</v>
      </c>
      <c r="S1652">
        <v>361</v>
      </c>
      <c r="T1652">
        <v>0</v>
      </c>
      <c r="U1652">
        <v>801</v>
      </c>
      <c r="V1652" s="1">
        <f t="shared" si="75"/>
        <v>0.38640000000000002</v>
      </c>
      <c r="W1652" s="1">
        <f t="shared" si="76"/>
        <v>1.14E-2</v>
      </c>
      <c r="X1652" s="1">
        <f t="shared" si="77"/>
        <v>0</v>
      </c>
    </row>
    <row r="1653" spans="1:24" x14ac:dyDescent="0.25">
      <c r="A1653">
        <v>2013</v>
      </c>
      <c r="B1653">
        <v>2</v>
      </c>
      <c r="C1653" t="s">
        <v>21</v>
      </c>
      <c r="D1653" t="str">
        <f>_xlfn.XLOOKUP(C1653,'Carrier Name Rename'!A:A,'Carrier Name Rename'!B:B)</f>
        <v>Hawaiian Airlines Inc.</v>
      </c>
      <c r="E1653" t="s">
        <v>23</v>
      </c>
      <c r="F1653" t="s">
        <v>24</v>
      </c>
      <c r="G1653">
        <v>56</v>
      </c>
      <c r="H1653">
        <v>35</v>
      </c>
      <c r="I1653">
        <v>32.92</v>
      </c>
      <c r="J1653">
        <v>0.06</v>
      </c>
      <c r="K1653">
        <v>0.28000000000000003</v>
      </c>
      <c r="L1653">
        <v>0</v>
      </c>
      <c r="M1653">
        <v>1.73</v>
      </c>
      <c r="N1653">
        <v>0</v>
      </c>
      <c r="O1653">
        <v>0</v>
      </c>
      <c r="P1653">
        <v>1278</v>
      </c>
      <c r="Q1653">
        <v>1104</v>
      </c>
      <c r="R1653">
        <v>2</v>
      </c>
      <c r="S1653">
        <v>9</v>
      </c>
      <c r="T1653">
        <v>0</v>
      </c>
      <c r="U1653">
        <v>163</v>
      </c>
      <c r="V1653" s="1">
        <f t="shared" si="75"/>
        <v>0.625</v>
      </c>
      <c r="W1653" s="1">
        <f t="shared" si="76"/>
        <v>0</v>
      </c>
      <c r="X1653" s="1">
        <f t="shared" si="77"/>
        <v>0</v>
      </c>
    </row>
    <row r="1654" spans="1:24" x14ac:dyDescent="0.25">
      <c r="A1654">
        <v>2013</v>
      </c>
      <c r="B1654">
        <v>2</v>
      </c>
      <c r="C1654" t="s">
        <v>27</v>
      </c>
      <c r="D1654" t="str">
        <f>_xlfn.XLOOKUP(C1654,'Carrier Name Rename'!A:A,'Carrier Name Rename'!B:B)</f>
        <v>SkyWest Airlines Inc.</v>
      </c>
      <c r="E1654" t="s">
        <v>23</v>
      </c>
      <c r="F1654" t="s">
        <v>24</v>
      </c>
      <c r="G1654">
        <v>429</v>
      </c>
      <c r="H1654">
        <v>46</v>
      </c>
      <c r="I1654">
        <v>8.68</v>
      </c>
      <c r="J1654">
        <v>3.17</v>
      </c>
      <c r="K1654">
        <v>10.7</v>
      </c>
      <c r="L1654">
        <v>0</v>
      </c>
      <c r="M1654">
        <v>23.45</v>
      </c>
      <c r="N1654">
        <v>4</v>
      </c>
      <c r="O1654">
        <v>5</v>
      </c>
      <c r="P1654">
        <v>2503</v>
      </c>
      <c r="Q1654">
        <v>413</v>
      </c>
      <c r="R1654">
        <v>216</v>
      </c>
      <c r="S1654">
        <v>314</v>
      </c>
      <c r="T1654">
        <v>0</v>
      </c>
      <c r="U1654">
        <v>1560</v>
      </c>
      <c r="V1654" s="1">
        <f t="shared" si="75"/>
        <v>0.1072</v>
      </c>
      <c r="W1654" s="1">
        <f t="shared" si="76"/>
        <v>9.2999999999999992E-3</v>
      </c>
      <c r="X1654" s="1">
        <f t="shared" si="77"/>
        <v>1.17E-2</v>
      </c>
    </row>
    <row r="1655" spans="1:24" x14ac:dyDescent="0.25">
      <c r="A1655">
        <v>2013</v>
      </c>
      <c r="B1655">
        <v>2</v>
      </c>
      <c r="C1655" t="s">
        <v>41</v>
      </c>
      <c r="D1655" t="str">
        <f>_xlfn.XLOOKUP(C1655,'Carrier Name Rename'!A:A,'Carrier Name Rename'!B:B)</f>
        <v>United Air Lines Inc.</v>
      </c>
      <c r="E1655" t="s">
        <v>23</v>
      </c>
      <c r="F1655" t="s">
        <v>24</v>
      </c>
      <c r="G1655">
        <v>660</v>
      </c>
      <c r="H1655">
        <v>118</v>
      </c>
      <c r="I1655">
        <v>44.45</v>
      </c>
      <c r="J1655">
        <v>5.51</v>
      </c>
      <c r="K1655">
        <v>38.01</v>
      </c>
      <c r="L1655">
        <v>0</v>
      </c>
      <c r="M1655">
        <v>30.04</v>
      </c>
      <c r="N1655">
        <v>5</v>
      </c>
      <c r="O1655">
        <v>0</v>
      </c>
      <c r="P1655">
        <v>5341</v>
      </c>
      <c r="Q1655">
        <v>2121</v>
      </c>
      <c r="R1655">
        <v>258</v>
      </c>
      <c r="S1655">
        <v>1142</v>
      </c>
      <c r="T1655">
        <v>0</v>
      </c>
      <c r="U1655">
        <v>1820</v>
      </c>
      <c r="V1655" s="1">
        <f t="shared" si="75"/>
        <v>0.17879999999999999</v>
      </c>
      <c r="W1655" s="1">
        <f t="shared" si="76"/>
        <v>7.6E-3</v>
      </c>
      <c r="X1655" s="1">
        <f t="shared" si="77"/>
        <v>0</v>
      </c>
    </row>
    <row r="1656" spans="1:24" x14ac:dyDescent="0.25">
      <c r="A1656">
        <v>2013</v>
      </c>
      <c r="B1656">
        <v>2</v>
      </c>
      <c r="C1656" t="s">
        <v>61</v>
      </c>
      <c r="D1656" t="str">
        <f>_xlfn.XLOOKUP(C1656,'Carrier Name Rename'!A:A,'Carrier Name Rename'!B:B)</f>
        <v>US Airways Inc.</v>
      </c>
      <c r="E1656" t="s">
        <v>23</v>
      </c>
      <c r="F1656" t="s">
        <v>24</v>
      </c>
      <c r="G1656">
        <v>210</v>
      </c>
      <c r="H1656">
        <v>23</v>
      </c>
      <c r="I1656">
        <v>11.43</v>
      </c>
      <c r="J1656">
        <v>0.6</v>
      </c>
      <c r="K1656">
        <v>8.69</v>
      </c>
      <c r="L1656">
        <v>0.56999999999999995</v>
      </c>
      <c r="M1656">
        <v>1.71</v>
      </c>
      <c r="N1656">
        <v>0</v>
      </c>
      <c r="O1656">
        <v>0</v>
      </c>
      <c r="P1656">
        <v>1148</v>
      </c>
      <c r="Q1656">
        <v>481</v>
      </c>
      <c r="R1656">
        <v>160</v>
      </c>
      <c r="S1656">
        <v>417</v>
      </c>
      <c r="T1656">
        <v>13</v>
      </c>
      <c r="U1656">
        <v>77</v>
      </c>
      <c r="V1656" s="1">
        <f t="shared" si="75"/>
        <v>0.1095</v>
      </c>
      <c r="W1656" s="1">
        <f t="shared" si="76"/>
        <v>0</v>
      </c>
      <c r="X1656" s="1">
        <f t="shared" si="77"/>
        <v>0</v>
      </c>
    </row>
    <row r="1657" spans="1:24" x14ac:dyDescent="0.25">
      <c r="A1657">
        <v>2013</v>
      </c>
      <c r="B1657">
        <v>2</v>
      </c>
      <c r="C1657" t="s">
        <v>51</v>
      </c>
      <c r="D1657" t="str">
        <f>_xlfn.XLOOKUP(C1657,'Carrier Name Rename'!A:A,'Carrier Name Rename'!B:B)</f>
        <v>Virgin America</v>
      </c>
      <c r="E1657" t="s">
        <v>23</v>
      </c>
      <c r="F1657" t="s">
        <v>24</v>
      </c>
      <c r="G1657">
        <v>193</v>
      </c>
      <c r="H1657">
        <v>14</v>
      </c>
      <c r="I1657">
        <v>4.05</v>
      </c>
      <c r="J1657">
        <v>1.24</v>
      </c>
      <c r="K1657">
        <v>0.59</v>
      </c>
      <c r="L1657">
        <v>0</v>
      </c>
      <c r="M1657">
        <v>8.1199999999999992</v>
      </c>
      <c r="N1657">
        <v>0</v>
      </c>
      <c r="O1657">
        <v>0</v>
      </c>
      <c r="P1657">
        <v>508</v>
      </c>
      <c r="Q1657">
        <v>115</v>
      </c>
      <c r="R1657">
        <v>26</v>
      </c>
      <c r="S1657">
        <v>14</v>
      </c>
      <c r="T1657">
        <v>0</v>
      </c>
      <c r="U1657">
        <v>353</v>
      </c>
      <c r="V1657" s="1">
        <f t="shared" si="75"/>
        <v>7.2499999999999995E-2</v>
      </c>
      <c r="W1657" s="1">
        <f t="shared" si="76"/>
        <v>0</v>
      </c>
      <c r="X1657" s="1">
        <f t="shared" si="77"/>
        <v>0</v>
      </c>
    </row>
    <row r="1658" spans="1:24" x14ac:dyDescent="0.25">
      <c r="A1658">
        <v>2013</v>
      </c>
      <c r="B1658">
        <v>2</v>
      </c>
      <c r="C1658" t="s">
        <v>43</v>
      </c>
      <c r="D1658" t="str">
        <f>_xlfn.XLOOKUP(C1658,'Carrier Name Rename'!A:A,'Carrier Name Rename'!B:B)</f>
        <v>Southwest Airlines Co.</v>
      </c>
      <c r="E1658" t="s">
        <v>23</v>
      </c>
      <c r="F1658" t="s">
        <v>24</v>
      </c>
      <c r="G1658">
        <v>757</v>
      </c>
      <c r="H1658">
        <v>88</v>
      </c>
      <c r="I1658">
        <v>34.479999999999997</v>
      </c>
      <c r="J1658">
        <v>0.76</v>
      </c>
      <c r="K1658">
        <v>10.27</v>
      </c>
      <c r="L1658">
        <v>0.4</v>
      </c>
      <c r="M1658">
        <v>42.09</v>
      </c>
      <c r="N1658">
        <v>4</v>
      </c>
      <c r="O1658">
        <v>0</v>
      </c>
      <c r="P1658">
        <v>3141</v>
      </c>
      <c r="Q1658">
        <v>1190</v>
      </c>
      <c r="R1658">
        <v>16</v>
      </c>
      <c r="S1658">
        <v>349</v>
      </c>
      <c r="T1658">
        <v>8</v>
      </c>
      <c r="U1658">
        <v>1578</v>
      </c>
      <c r="V1658" s="1">
        <f t="shared" si="75"/>
        <v>0.1162</v>
      </c>
      <c r="W1658" s="1">
        <f t="shared" si="76"/>
        <v>5.3E-3</v>
      </c>
      <c r="X1658" s="1">
        <f t="shared" si="77"/>
        <v>0</v>
      </c>
    </row>
    <row r="1659" spans="1:24" x14ac:dyDescent="0.25">
      <c r="A1659">
        <v>2013</v>
      </c>
      <c r="B1659">
        <v>1</v>
      </c>
      <c r="C1659" t="s">
        <v>31</v>
      </c>
      <c r="D1659" t="str">
        <f>_xlfn.XLOOKUP(C1659,'Carrier Name Rename'!A:A,'Carrier Name Rename'!B:B)</f>
        <v>American Airlines Inc.</v>
      </c>
      <c r="E1659" t="s">
        <v>23</v>
      </c>
      <c r="F1659" t="s">
        <v>24</v>
      </c>
      <c r="G1659">
        <v>374</v>
      </c>
      <c r="H1659">
        <v>90</v>
      </c>
      <c r="I1659">
        <v>26.17</v>
      </c>
      <c r="J1659">
        <v>6.46</v>
      </c>
      <c r="K1659">
        <v>26.48</v>
      </c>
      <c r="L1659">
        <v>0</v>
      </c>
      <c r="M1659">
        <v>30.89</v>
      </c>
      <c r="N1659">
        <v>4</v>
      </c>
      <c r="O1659">
        <v>2</v>
      </c>
      <c r="P1659">
        <v>3897</v>
      </c>
      <c r="Q1659">
        <v>1119</v>
      </c>
      <c r="R1659">
        <v>276</v>
      </c>
      <c r="S1659">
        <v>674</v>
      </c>
      <c r="T1659">
        <v>0</v>
      </c>
      <c r="U1659">
        <v>1828</v>
      </c>
      <c r="V1659" s="1">
        <f t="shared" si="75"/>
        <v>0.24060000000000001</v>
      </c>
      <c r="W1659" s="1">
        <f t="shared" si="76"/>
        <v>1.0699999999999999E-2</v>
      </c>
      <c r="X1659" s="1">
        <f t="shared" si="77"/>
        <v>5.3E-3</v>
      </c>
    </row>
    <row r="1660" spans="1:24" x14ac:dyDescent="0.25">
      <c r="A1660">
        <v>2013</v>
      </c>
      <c r="B1660">
        <v>1</v>
      </c>
      <c r="C1660" t="s">
        <v>33</v>
      </c>
      <c r="D1660" t="str">
        <f>_xlfn.XLOOKUP(C1660,'Carrier Name Rename'!A:A,'Carrier Name Rename'!B:B)</f>
        <v>Alaska Airlines Inc.</v>
      </c>
      <c r="E1660" t="s">
        <v>23</v>
      </c>
      <c r="F1660" t="s">
        <v>24</v>
      </c>
      <c r="G1660">
        <v>3551</v>
      </c>
      <c r="H1660">
        <v>414</v>
      </c>
      <c r="I1660">
        <v>100.77</v>
      </c>
      <c r="J1660">
        <v>6.21</v>
      </c>
      <c r="K1660">
        <v>203.16</v>
      </c>
      <c r="L1660">
        <v>1.25</v>
      </c>
      <c r="M1660">
        <v>102.6</v>
      </c>
      <c r="N1660">
        <v>14</v>
      </c>
      <c r="O1660">
        <v>7</v>
      </c>
      <c r="P1660">
        <v>19495</v>
      </c>
      <c r="Q1660">
        <v>7682</v>
      </c>
      <c r="R1660">
        <v>258</v>
      </c>
      <c r="S1660">
        <v>5690</v>
      </c>
      <c r="T1660">
        <v>78</v>
      </c>
      <c r="U1660">
        <v>5787</v>
      </c>
      <c r="V1660" s="1">
        <f t="shared" si="75"/>
        <v>0.1166</v>
      </c>
      <c r="W1660" s="1">
        <f t="shared" si="76"/>
        <v>3.8999999999999998E-3</v>
      </c>
      <c r="X1660" s="1">
        <f t="shared" si="77"/>
        <v>2E-3</v>
      </c>
    </row>
    <row r="1661" spans="1:24" x14ac:dyDescent="0.25">
      <c r="A1661">
        <v>2013</v>
      </c>
      <c r="B1661">
        <v>1</v>
      </c>
      <c r="C1661" t="s">
        <v>35</v>
      </c>
      <c r="D1661" t="str">
        <f>_xlfn.XLOOKUP(C1661,'Carrier Name Rename'!A:A,'Carrier Name Rename'!B:B)</f>
        <v>JetBlue Airways</v>
      </c>
      <c r="E1661" t="s">
        <v>23</v>
      </c>
      <c r="F1661" t="s">
        <v>24</v>
      </c>
      <c r="G1661">
        <v>113</v>
      </c>
      <c r="H1661">
        <v>28</v>
      </c>
      <c r="I1661">
        <v>9.91</v>
      </c>
      <c r="J1661">
        <v>0</v>
      </c>
      <c r="K1661">
        <v>12.84</v>
      </c>
      <c r="L1661">
        <v>0</v>
      </c>
      <c r="M1661">
        <v>5.25</v>
      </c>
      <c r="N1661">
        <v>0</v>
      </c>
      <c r="O1661">
        <v>0</v>
      </c>
      <c r="P1661">
        <v>1092</v>
      </c>
      <c r="Q1661">
        <v>448</v>
      </c>
      <c r="R1661">
        <v>0</v>
      </c>
      <c r="S1661">
        <v>475</v>
      </c>
      <c r="T1661">
        <v>0</v>
      </c>
      <c r="U1661">
        <v>169</v>
      </c>
      <c r="V1661" s="1">
        <f t="shared" si="75"/>
        <v>0.24779999999999999</v>
      </c>
      <c r="W1661" s="1">
        <f t="shared" si="76"/>
        <v>0</v>
      </c>
      <c r="X1661" s="1">
        <f t="shared" si="77"/>
        <v>0</v>
      </c>
    </row>
    <row r="1662" spans="1:24" x14ac:dyDescent="0.25">
      <c r="A1662">
        <v>2013</v>
      </c>
      <c r="B1662">
        <v>1</v>
      </c>
      <c r="C1662" t="s">
        <v>37</v>
      </c>
      <c r="D1662" t="str">
        <f>_xlfn.XLOOKUP(C1662,'Carrier Name Rename'!A:A,'Carrier Name Rename'!B:B)</f>
        <v>Delta Air Lines Inc.</v>
      </c>
      <c r="E1662" t="s">
        <v>23</v>
      </c>
      <c r="F1662" t="s">
        <v>24</v>
      </c>
      <c r="G1662">
        <v>637</v>
      </c>
      <c r="H1662">
        <v>98</v>
      </c>
      <c r="I1662">
        <v>39.42</v>
      </c>
      <c r="J1662">
        <v>8.06</v>
      </c>
      <c r="K1662">
        <v>42.52</v>
      </c>
      <c r="L1662">
        <v>0</v>
      </c>
      <c r="M1662">
        <v>8</v>
      </c>
      <c r="N1662">
        <v>1</v>
      </c>
      <c r="O1662">
        <v>0</v>
      </c>
      <c r="P1662">
        <v>4747</v>
      </c>
      <c r="Q1662">
        <v>1820</v>
      </c>
      <c r="R1662">
        <v>999</v>
      </c>
      <c r="S1662">
        <v>1540</v>
      </c>
      <c r="T1662">
        <v>0</v>
      </c>
      <c r="U1662">
        <v>388</v>
      </c>
      <c r="V1662" s="1">
        <f t="shared" si="75"/>
        <v>0.15379999999999999</v>
      </c>
      <c r="W1662" s="1">
        <f t="shared" si="76"/>
        <v>1.6000000000000001E-3</v>
      </c>
      <c r="X1662" s="1">
        <f t="shared" si="77"/>
        <v>0</v>
      </c>
    </row>
    <row r="1663" spans="1:24" x14ac:dyDescent="0.25">
      <c r="A1663">
        <v>2013</v>
      </c>
      <c r="B1663">
        <v>1</v>
      </c>
      <c r="C1663" t="s">
        <v>39</v>
      </c>
      <c r="D1663" t="str">
        <f>_xlfn.XLOOKUP(C1663,'Carrier Name Rename'!A:A,'Carrier Name Rename'!B:B)</f>
        <v>Frontier Airlines Inc.</v>
      </c>
      <c r="E1663" t="s">
        <v>23</v>
      </c>
      <c r="F1663" t="s">
        <v>24</v>
      </c>
      <c r="G1663">
        <v>103</v>
      </c>
      <c r="H1663">
        <v>39</v>
      </c>
      <c r="I1663">
        <v>17.61</v>
      </c>
      <c r="J1663">
        <v>0</v>
      </c>
      <c r="K1663">
        <v>10.7</v>
      </c>
      <c r="L1663">
        <v>0</v>
      </c>
      <c r="M1663">
        <v>10.69</v>
      </c>
      <c r="N1663">
        <v>1</v>
      </c>
      <c r="O1663">
        <v>0</v>
      </c>
      <c r="P1663">
        <v>1638</v>
      </c>
      <c r="Q1663">
        <v>596</v>
      </c>
      <c r="R1663">
        <v>0</v>
      </c>
      <c r="S1663">
        <v>432</v>
      </c>
      <c r="T1663">
        <v>0</v>
      </c>
      <c r="U1663">
        <v>610</v>
      </c>
      <c r="V1663" s="1">
        <f t="shared" si="75"/>
        <v>0.37859999999999999</v>
      </c>
      <c r="W1663" s="1">
        <f t="shared" si="76"/>
        <v>9.7000000000000003E-3</v>
      </c>
      <c r="X1663" s="1">
        <f t="shared" si="77"/>
        <v>0</v>
      </c>
    </row>
    <row r="1664" spans="1:24" x14ac:dyDescent="0.25">
      <c r="A1664">
        <v>2013</v>
      </c>
      <c r="B1664">
        <v>1</v>
      </c>
      <c r="C1664" t="s">
        <v>21</v>
      </c>
      <c r="D1664" t="str">
        <f>_xlfn.XLOOKUP(C1664,'Carrier Name Rename'!A:A,'Carrier Name Rename'!B:B)</f>
        <v>Hawaiian Airlines Inc.</v>
      </c>
      <c r="E1664" t="s">
        <v>23</v>
      </c>
      <c r="F1664" t="s">
        <v>24</v>
      </c>
      <c r="G1664">
        <v>62</v>
      </c>
      <c r="H1664">
        <v>27</v>
      </c>
      <c r="I1664">
        <v>23.92</v>
      </c>
      <c r="J1664">
        <v>0</v>
      </c>
      <c r="K1664">
        <v>0</v>
      </c>
      <c r="L1664">
        <v>0</v>
      </c>
      <c r="M1664">
        <v>3.08</v>
      </c>
      <c r="N1664">
        <v>0</v>
      </c>
      <c r="O1664">
        <v>1</v>
      </c>
      <c r="P1664">
        <v>949</v>
      </c>
      <c r="Q1664">
        <v>844</v>
      </c>
      <c r="R1664">
        <v>0</v>
      </c>
      <c r="S1664">
        <v>0</v>
      </c>
      <c r="T1664">
        <v>0</v>
      </c>
      <c r="U1664">
        <v>105</v>
      </c>
      <c r="V1664" s="1">
        <f t="shared" si="75"/>
        <v>0.4355</v>
      </c>
      <c r="W1664" s="1">
        <f t="shared" si="76"/>
        <v>0</v>
      </c>
      <c r="X1664" s="1">
        <f t="shared" si="77"/>
        <v>1.61E-2</v>
      </c>
    </row>
    <row r="1665" spans="1:24" x14ac:dyDescent="0.25">
      <c r="A1665">
        <v>2013</v>
      </c>
      <c r="B1665">
        <v>1</v>
      </c>
      <c r="C1665" t="s">
        <v>27</v>
      </c>
      <c r="D1665" t="str">
        <f>_xlfn.XLOOKUP(C1665,'Carrier Name Rename'!A:A,'Carrier Name Rename'!B:B)</f>
        <v>SkyWest Airlines Inc.</v>
      </c>
      <c r="E1665" t="s">
        <v>23</v>
      </c>
      <c r="F1665" t="s">
        <v>24</v>
      </c>
      <c r="G1665">
        <v>458</v>
      </c>
      <c r="H1665">
        <v>60</v>
      </c>
      <c r="I1665">
        <v>18.27</v>
      </c>
      <c r="J1665">
        <v>2.31</v>
      </c>
      <c r="K1665">
        <v>17.079999999999998</v>
      </c>
      <c r="L1665">
        <v>0</v>
      </c>
      <c r="M1665">
        <v>22.34</v>
      </c>
      <c r="N1665">
        <v>28</v>
      </c>
      <c r="O1665">
        <v>9</v>
      </c>
      <c r="P1665">
        <v>3666</v>
      </c>
      <c r="Q1665">
        <v>1183</v>
      </c>
      <c r="R1665">
        <v>146</v>
      </c>
      <c r="S1665">
        <v>588</v>
      </c>
      <c r="T1665">
        <v>0</v>
      </c>
      <c r="U1665">
        <v>1749</v>
      </c>
      <c r="V1665" s="1">
        <f t="shared" si="75"/>
        <v>0.13100000000000001</v>
      </c>
      <c r="W1665" s="1">
        <f t="shared" si="76"/>
        <v>6.1100000000000002E-2</v>
      </c>
      <c r="X1665" s="1">
        <f t="shared" si="77"/>
        <v>1.9699999999999999E-2</v>
      </c>
    </row>
    <row r="1666" spans="1:24" x14ac:dyDescent="0.25">
      <c r="A1666">
        <v>2013</v>
      </c>
      <c r="B1666">
        <v>1</v>
      </c>
      <c r="C1666" t="s">
        <v>41</v>
      </c>
      <c r="D1666" t="str">
        <f>_xlfn.XLOOKUP(C1666,'Carrier Name Rename'!A:A,'Carrier Name Rename'!B:B)</f>
        <v>United Air Lines Inc.</v>
      </c>
      <c r="E1666" t="s">
        <v>23</v>
      </c>
      <c r="F1666" t="s">
        <v>24</v>
      </c>
      <c r="G1666">
        <v>681</v>
      </c>
      <c r="H1666">
        <v>122</v>
      </c>
      <c r="I1666">
        <v>56.28</v>
      </c>
      <c r="J1666">
        <v>3.88</v>
      </c>
      <c r="K1666">
        <v>44.83</v>
      </c>
      <c r="L1666">
        <v>0</v>
      </c>
      <c r="M1666">
        <v>17.010000000000002</v>
      </c>
      <c r="N1666">
        <v>1</v>
      </c>
      <c r="O1666">
        <v>6</v>
      </c>
      <c r="P1666">
        <v>6107</v>
      </c>
      <c r="Q1666">
        <v>2543</v>
      </c>
      <c r="R1666">
        <v>347</v>
      </c>
      <c r="S1666">
        <v>1587</v>
      </c>
      <c r="T1666">
        <v>0</v>
      </c>
      <c r="U1666">
        <v>1630</v>
      </c>
      <c r="V1666" s="1">
        <f t="shared" si="75"/>
        <v>0.17910000000000001</v>
      </c>
      <c r="W1666" s="1">
        <f t="shared" si="76"/>
        <v>1.5E-3</v>
      </c>
      <c r="X1666" s="1">
        <f t="shared" si="77"/>
        <v>8.8000000000000005E-3</v>
      </c>
    </row>
    <row r="1667" spans="1:24" x14ac:dyDescent="0.25">
      <c r="A1667">
        <v>2013</v>
      </c>
      <c r="B1667">
        <v>1</v>
      </c>
      <c r="C1667" t="s">
        <v>61</v>
      </c>
      <c r="D1667" t="str">
        <f>_xlfn.XLOOKUP(C1667,'Carrier Name Rename'!A:A,'Carrier Name Rename'!B:B)</f>
        <v>US Airways Inc.</v>
      </c>
      <c r="E1667" t="s">
        <v>23</v>
      </c>
      <c r="F1667" t="s">
        <v>24</v>
      </c>
      <c r="G1667">
        <v>236</v>
      </c>
      <c r="H1667">
        <v>46</v>
      </c>
      <c r="I1667">
        <v>17.97</v>
      </c>
      <c r="J1667">
        <v>0.97</v>
      </c>
      <c r="K1667">
        <v>18.43</v>
      </c>
      <c r="L1667">
        <v>1.41</v>
      </c>
      <c r="M1667">
        <v>7.22</v>
      </c>
      <c r="N1667">
        <v>0</v>
      </c>
      <c r="O1667">
        <v>5</v>
      </c>
      <c r="P1667">
        <v>2429</v>
      </c>
      <c r="Q1667">
        <v>1261</v>
      </c>
      <c r="R1667">
        <v>115</v>
      </c>
      <c r="S1667">
        <v>742</v>
      </c>
      <c r="T1667">
        <v>27</v>
      </c>
      <c r="U1667">
        <v>284</v>
      </c>
      <c r="V1667" s="1">
        <f t="shared" ref="V1667:V1730" si="78">ROUND(H1667/G1667,4)</f>
        <v>0.19489999999999999</v>
      </c>
      <c r="W1667" s="1">
        <f t="shared" ref="W1667:W1730" si="79">ROUND(N1667/G1667,4)</f>
        <v>0</v>
      </c>
      <c r="X1667" s="1">
        <f t="shared" ref="X1667:X1730" si="80">ROUND(O1667/G1667,4)</f>
        <v>2.12E-2</v>
      </c>
    </row>
    <row r="1668" spans="1:24" x14ac:dyDescent="0.25">
      <c r="A1668">
        <v>2013</v>
      </c>
      <c r="B1668">
        <v>1</v>
      </c>
      <c r="C1668" t="s">
        <v>51</v>
      </c>
      <c r="D1668" t="str">
        <f>_xlfn.XLOOKUP(C1668,'Carrier Name Rename'!A:A,'Carrier Name Rename'!B:B)</f>
        <v>Virgin America</v>
      </c>
      <c r="E1668" t="s">
        <v>23</v>
      </c>
      <c r="F1668" t="s">
        <v>24</v>
      </c>
      <c r="G1668">
        <v>209</v>
      </c>
      <c r="H1668">
        <v>12</v>
      </c>
      <c r="I1668">
        <v>3.7</v>
      </c>
      <c r="J1668">
        <v>3.33</v>
      </c>
      <c r="K1668">
        <v>0.04</v>
      </c>
      <c r="L1668">
        <v>0</v>
      </c>
      <c r="M1668">
        <v>4.93</v>
      </c>
      <c r="N1668">
        <v>0</v>
      </c>
      <c r="O1668">
        <v>0</v>
      </c>
      <c r="P1668">
        <v>509</v>
      </c>
      <c r="Q1668">
        <v>71</v>
      </c>
      <c r="R1668">
        <v>68</v>
      </c>
      <c r="S1668">
        <v>4</v>
      </c>
      <c r="T1668">
        <v>0</v>
      </c>
      <c r="U1668">
        <v>366</v>
      </c>
      <c r="V1668" s="1">
        <f t="shared" si="78"/>
        <v>5.74E-2</v>
      </c>
      <c r="W1668" s="1">
        <f t="shared" si="79"/>
        <v>0</v>
      </c>
      <c r="X1668" s="1">
        <f t="shared" si="80"/>
        <v>0</v>
      </c>
    </row>
    <row r="1669" spans="1:24" x14ac:dyDescent="0.25">
      <c r="A1669">
        <v>2013</v>
      </c>
      <c r="B1669">
        <v>1</v>
      </c>
      <c r="C1669" t="s">
        <v>43</v>
      </c>
      <c r="D1669" t="str">
        <f>_xlfn.XLOOKUP(C1669,'Carrier Name Rename'!A:A,'Carrier Name Rename'!B:B)</f>
        <v>Southwest Airlines Co.</v>
      </c>
      <c r="E1669" t="s">
        <v>23</v>
      </c>
      <c r="F1669" t="s">
        <v>24</v>
      </c>
      <c r="G1669">
        <v>813</v>
      </c>
      <c r="H1669">
        <v>132</v>
      </c>
      <c r="I1669">
        <v>60.63</v>
      </c>
      <c r="J1669">
        <v>3.08</v>
      </c>
      <c r="K1669">
        <v>18.37</v>
      </c>
      <c r="L1669">
        <v>1.1100000000000001</v>
      </c>
      <c r="M1669">
        <v>48.81</v>
      </c>
      <c r="N1669">
        <v>1</v>
      </c>
      <c r="O1669">
        <v>0</v>
      </c>
      <c r="P1669">
        <v>5485</v>
      </c>
      <c r="Q1669">
        <v>2339</v>
      </c>
      <c r="R1669">
        <v>422</v>
      </c>
      <c r="S1669">
        <v>609</v>
      </c>
      <c r="T1669">
        <v>23</v>
      </c>
      <c r="U1669">
        <v>2092</v>
      </c>
      <c r="V1669" s="1">
        <f t="shared" si="78"/>
        <v>0.16239999999999999</v>
      </c>
      <c r="W1669" s="1">
        <f t="shared" si="79"/>
        <v>1.1999999999999999E-3</v>
      </c>
      <c r="X1669" s="1">
        <f t="shared" si="80"/>
        <v>0</v>
      </c>
    </row>
    <row r="1670" spans="1:24" x14ac:dyDescent="0.25">
      <c r="A1670">
        <v>2012</v>
      </c>
      <c r="B1670">
        <v>12</v>
      </c>
      <c r="C1670" t="s">
        <v>31</v>
      </c>
      <c r="D1670" t="str">
        <f>_xlfn.XLOOKUP(C1670,'Carrier Name Rename'!A:A,'Carrier Name Rename'!B:B)</f>
        <v>American Airlines Inc.</v>
      </c>
      <c r="E1670" t="s">
        <v>23</v>
      </c>
      <c r="F1670" t="s">
        <v>24</v>
      </c>
      <c r="G1670">
        <v>398</v>
      </c>
      <c r="H1670">
        <v>99</v>
      </c>
      <c r="I1670">
        <v>35.479999999999997</v>
      </c>
      <c r="J1670">
        <v>6.92</v>
      </c>
      <c r="K1670">
        <v>29.86</v>
      </c>
      <c r="L1670">
        <v>0</v>
      </c>
      <c r="M1670">
        <v>26.75</v>
      </c>
      <c r="N1670">
        <v>4</v>
      </c>
      <c r="O1670">
        <v>1</v>
      </c>
      <c r="P1670">
        <v>4393</v>
      </c>
      <c r="Q1670">
        <v>1336</v>
      </c>
      <c r="R1670">
        <v>514</v>
      </c>
      <c r="S1670">
        <v>873</v>
      </c>
      <c r="T1670">
        <v>0</v>
      </c>
      <c r="U1670">
        <v>1670</v>
      </c>
      <c r="V1670" s="1">
        <f t="shared" si="78"/>
        <v>0.2487</v>
      </c>
      <c r="W1670" s="1">
        <f t="shared" si="79"/>
        <v>1.01E-2</v>
      </c>
      <c r="X1670" s="1">
        <f t="shared" si="80"/>
        <v>2.5000000000000001E-3</v>
      </c>
    </row>
    <row r="1671" spans="1:24" x14ac:dyDescent="0.25">
      <c r="A1671">
        <v>2012</v>
      </c>
      <c r="B1671">
        <v>12</v>
      </c>
      <c r="C1671" t="s">
        <v>33</v>
      </c>
      <c r="D1671" t="str">
        <f>_xlfn.XLOOKUP(C1671,'Carrier Name Rename'!A:A,'Carrier Name Rename'!B:B)</f>
        <v>Alaska Airlines Inc.</v>
      </c>
      <c r="E1671" t="s">
        <v>23</v>
      </c>
      <c r="F1671" t="s">
        <v>24</v>
      </c>
      <c r="G1671">
        <v>3562</v>
      </c>
      <c r="H1671">
        <v>497</v>
      </c>
      <c r="I1671">
        <v>99.59</v>
      </c>
      <c r="J1671">
        <v>6.49</v>
      </c>
      <c r="K1671">
        <v>209.73</v>
      </c>
      <c r="L1671">
        <v>1.49</v>
      </c>
      <c r="M1671">
        <v>179.71</v>
      </c>
      <c r="N1671">
        <v>15</v>
      </c>
      <c r="O1671">
        <v>4</v>
      </c>
      <c r="P1671">
        <v>24227</v>
      </c>
      <c r="Q1671">
        <v>6343</v>
      </c>
      <c r="R1671">
        <v>475</v>
      </c>
      <c r="S1671">
        <v>5824</v>
      </c>
      <c r="T1671">
        <v>50</v>
      </c>
      <c r="U1671">
        <v>11535</v>
      </c>
      <c r="V1671" s="1">
        <f t="shared" si="78"/>
        <v>0.13950000000000001</v>
      </c>
      <c r="W1671" s="1">
        <f t="shared" si="79"/>
        <v>4.1999999999999997E-3</v>
      </c>
      <c r="X1671" s="1">
        <f t="shared" si="80"/>
        <v>1.1000000000000001E-3</v>
      </c>
    </row>
    <row r="1672" spans="1:24" x14ac:dyDescent="0.25">
      <c r="A1672">
        <v>2012</v>
      </c>
      <c r="B1672">
        <v>12</v>
      </c>
      <c r="C1672" t="s">
        <v>35</v>
      </c>
      <c r="D1672" t="str">
        <f>_xlfn.XLOOKUP(C1672,'Carrier Name Rename'!A:A,'Carrier Name Rename'!B:B)</f>
        <v>JetBlue Airways</v>
      </c>
      <c r="E1672" t="s">
        <v>23</v>
      </c>
      <c r="F1672" t="s">
        <v>24</v>
      </c>
      <c r="G1672">
        <v>115</v>
      </c>
      <c r="H1672">
        <v>35</v>
      </c>
      <c r="I1672">
        <v>17.329999999999998</v>
      </c>
      <c r="J1672">
        <v>0</v>
      </c>
      <c r="K1672">
        <v>4.96</v>
      </c>
      <c r="L1672">
        <v>0</v>
      </c>
      <c r="M1672">
        <v>12.7</v>
      </c>
      <c r="N1672">
        <v>0</v>
      </c>
      <c r="O1672">
        <v>0</v>
      </c>
      <c r="P1672">
        <v>2074</v>
      </c>
      <c r="Q1672">
        <v>1267</v>
      </c>
      <c r="R1672">
        <v>0</v>
      </c>
      <c r="S1672">
        <v>134</v>
      </c>
      <c r="T1672">
        <v>0</v>
      </c>
      <c r="U1672">
        <v>673</v>
      </c>
      <c r="V1672" s="1">
        <f t="shared" si="78"/>
        <v>0.30430000000000001</v>
      </c>
      <c r="W1672" s="1">
        <f t="shared" si="79"/>
        <v>0</v>
      </c>
      <c r="X1672" s="1">
        <f t="shared" si="80"/>
        <v>0</v>
      </c>
    </row>
    <row r="1673" spans="1:24" x14ac:dyDescent="0.25">
      <c r="A1673">
        <v>2012</v>
      </c>
      <c r="B1673">
        <v>12</v>
      </c>
      <c r="C1673" t="s">
        <v>37</v>
      </c>
      <c r="D1673" t="str">
        <f>_xlfn.XLOOKUP(C1673,'Carrier Name Rename'!A:A,'Carrier Name Rename'!B:B)</f>
        <v>Delta Air Lines Inc.</v>
      </c>
      <c r="E1673" t="s">
        <v>23</v>
      </c>
      <c r="F1673" t="s">
        <v>24</v>
      </c>
      <c r="G1673">
        <v>710</v>
      </c>
      <c r="H1673">
        <v>80</v>
      </c>
      <c r="I1673">
        <v>26.89</v>
      </c>
      <c r="J1673">
        <v>2.66</v>
      </c>
      <c r="K1673">
        <v>38.119999999999997</v>
      </c>
      <c r="L1673">
        <v>0</v>
      </c>
      <c r="M1673">
        <v>12.33</v>
      </c>
      <c r="N1673">
        <v>0</v>
      </c>
      <c r="O1673">
        <v>0</v>
      </c>
      <c r="P1673">
        <v>3872</v>
      </c>
      <c r="Q1673">
        <v>1413</v>
      </c>
      <c r="R1673">
        <v>602</v>
      </c>
      <c r="S1673">
        <v>1224</v>
      </c>
      <c r="T1673">
        <v>0</v>
      </c>
      <c r="U1673">
        <v>633</v>
      </c>
      <c r="V1673" s="1">
        <f t="shared" si="78"/>
        <v>0.11269999999999999</v>
      </c>
      <c r="W1673" s="1">
        <f t="shared" si="79"/>
        <v>0</v>
      </c>
      <c r="X1673" s="1">
        <f t="shared" si="80"/>
        <v>0</v>
      </c>
    </row>
    <row r="1674" spans="1:24" x14ac:dyDescent="0.25">
      <c r="A1674">
        <v>2012</v>
      </c>
      <c r="B1674">
        <v>12</v>
      </c>
      <c r="C1674" t="s">
        <v>39</v>
      </c>
      <c r="D1674" t="str">
        <f>_xlfn.XLOOKUP(C1674,'Carrier Name Rename'!A:A,'Carrier Name Rename'!B:B)</f>
        <v>Frontier Airlines Inc.</v>
      </c>
      <c r="E1674" t="s">
        <v>23</v>
      </c>
      <c r="F1674" t="s">
        <v>24</v>
      </c>
      <c r="G1674">
        <v>122</v>
      </c>
      <c r="H1674">
        <v>56</v>
      </c>
      <c r="I1674">
        <v>27.79</v>
      </c>
      <c r="J1674">
        <v>0.51</v>
      </c>
      <c r="K1674">
        <v>18.2</v>
      </c>
      <c r="L1674">
        <v>0</v>
      </c>
      <c r="M1674">
        <v>9.5</v>
      </c>
      <c r="N1674">
        <v>0</v>
      </c>
      <c r="O1674">
        <v>0</v>
      </c>
      <c r="P1674">
        <v>2771</v>
      </c>
      <c r="Q1674">
        <v>1313</v>
      </c>
      <c r="R1674">
        <v>34</v>
      </c>
      <c r="S1674">
        <v>663</v>
      </c>
      <c r="T1674">
        <v>0</v>
      </c>
      <c r="U1674">
        <v>761</v>
      </c>
      <c r="V1674" s="1">
        <f t="shared" si="78"/>
        <v>0.45900000000000002</v>
      </c>
      <c r="W1674" s="1">
        <f t="shared" si="79"/>
        <v>0</v>
      </c>
      <c r="X1674" s="1">
        <f t="shared" si="80"/>
        <v>0</v>
      </c>
    </row>
    <row r="1675" spans="1:24" x14ac:dyDescent="0.25">
      <c r="A1675">
        <v>2012</v>
      </c>
      <c r="B1675">
        <v>12</v>
      </c>
      <c r="C1675" t="s">
        <v>21</v>
      </c>
      <c r="D1675" t="str">
        <f>_xlfn.XLOOKUP(C1675,'Carrier Name Rename'!A:A,'Carrier Name Rename'!B:B)</f>
        <v>Hawaiian Airlines Inc.</v>
      </c>
      <c r="E1675" t="s">
        <v>23</v>
      </c>
      <c r="F1675" t="s">
        <v>24</v>
      </c>
      <c r="G1675">
        <v>62</v>
      </c>
      <c r="H1675">
        <v>13</v>
      </c>
      <c r="I1675">
        <v>10.68</v>
      </c>
      <c r="J1675">
        <v>0</v>
      </c>
      <c r="K1675">
        <v>0</v>
      </c>
      <c r="L1675">
        <v>0</v>
      </c>
      <c r="M1675">
        <v>2.3199999999999998</v>
      </c>
      <c r="N1675">
        <v>0</v>
      </c>
      <c r="O1675">
        <v>0</v>
      </c>
      <c r="P1675">
        <v>473</v>
      </c>
      <c r="Q1675">
        <v>352</v>
      </c>
      <c r="R1675">
        <v>0</v>
      </c>
      <c r="S1675">
        <v>0</v>
      </c>
      <c r="T1675">
        <v>0</v>
      </c>
      <c r="U1675">
        <v>121</v>
      </c>
      <c r="V1675" s="1">
        <f t="shared" si="78"/>
        <v>0.2097</v>
      </c>
      <c r="W1675" s="1">
        <f t="shared" si="79"/>
        <v>0</v>
      </c>
      <c r="X1675" s="1">
        <f t="shared" si="80"/>
        <v>0</v>
      </c>
    </row>
    <row r="1676" spans="1:24" x14ac:dyDescent="0.25">
      <c r="A1676">
        <v>2012</v>
      </c>
      <c r="B1676">
        <v>12</v>
      </c>
      <c r="C1676" t="s">
        <v>27</v>
      </c>
      <c r="D1676" t="str">
        <f>_xlfn.XLOOKUP(C1676,'Carrier Name Rename'!A:A,'Carrier Name Rename'!B:B)</f>
        <v>SkyWest Airlines Inc.</v>
      </c>
      <c r="E1676" t="s">
        <v>23</v>
      </c>
      <c r="F1676" t="s">
        <v>24</v>
      </c>
      <c r="G1676">
        <v>499</v>
      </c>
      <c r="H1676">
        <v>93</v>
      </c>
      <c r="I1676">
        <v>27.49</v>
      </c>
      <c r="J1676">
        <v>1.68</v>
      </c>
      <c r="K1676">
        <v>15.27</v>
      </c>
      <c r="L1676">
        <v>0</v>
      </c>
      <c r="M1676">
        <v>48.56</v>
      </c>
      <c r="N1676">
        <v>14</v>
      </c>
      <c r="O1676">
        <v>2</v>
      </c>
      <c r="P1676">
        <v>4603</v>
      </c>
      <c r="Q1676">
        <v>1662</v>
      </c>
      <c r="R1676">
        <v>87</v>
      </c>
      <c r="S1676">
        <v>440</v>
      </c>
      <c r="T1676">
        <v>0</v>
      </c>
      <c r="U1676">
        <v>2414</v>
      </c>
      <c r="V1676" s="1">
        <f t="shared" si="78"/>
        <v>0.18640000000000001</v>
      </c>
      <c r="W1676" s="1">
        <f t="shared" si="79"/>
        <v>2.81E-2</v>
      </c>
      <c r="X1676" s="1">
        <f t="shared" si="80"/>
        <v>4.0000000000000001E-3</v>
      </c>
    </row>
    <row r="1677" spans="1:24" x14ac:dyDescent="0.25">
      <c r="A1677">
        <v>2012</v>
      </c>
      <c r="B1677">
        <v>12</v>
      </c>
      <c r="C1677" t="s">
        <v>41</v>
      </c>
      <c r="D1677" t="str">
        <f>_xlfn.XLOOKUP(C1677,'Carrier Name Rename'!A:A,'Carrier Name Rename'!B:B)</f>
        <v>United Air Lines Inc.</v>
      </c>
      <c r="E1677" t="s">
        <v>23</v>
      </c>
      <c r="F1677" t="s">
        <v>24</v>
      </c>
      <c r="G1677">
        <v>871</v>
      </c>
      <c r="H1677">
        <v>215</v>
      </c>
      <c r="I1677">
        <v>97.22</v>
      </c>
      <c r="J1677">
        <v>5.83</v>
      </c>
      <c r="K1677">
        <v>52.37</v>
      </c>
      <c r="L1677">
        <v>0.46</v>
      </c>
      <c r="M1677">
        <v>59.12</v>
      </c>
      <c r="N1677">
        <v>4</v>
      </c>
      <c r="O1677">
        <v>5</v>
      </c>
      <c r="P1677">
        <v>11193</v>
      </c>
      <c r="Q1677">
        <v>4771</v>
      </c>
      <c r="R1677">
        <v>367</v>
      </c>
      <c r="S1677">
        <v>1867</v>
      </c>
      <c r="T1677">
        <v>11</v>
      </c>
      <c r="U1677">
        <v>4177</v>
      </c>
      <c r="V1677" s="1">
        <f t="shared" si="78"/>
        <v>0.24679999999999999</v>
      </c>
      <c r="W1677" s="1">
        <f t="shared" si="79"/>
        <v>4.5999999999999999E-3</v>
      </c>
      <c r="X1677" s="1">
        <f t="shared" si="80"/>
        <v>5.7000000000000002E-3</v>
      </c>
    </row>
    <row r="1678" spans="1:24" x14ac:dyDescent="0.25">
      <c r="A1678">
        <v>2012</v>
      </c>
      <c r="B1678">
        <v>12</v>
      </c>
      <c r="C1678" t="s">
        <v>61</v>
      </c>
      <c r="D1678" t="str">
        <f>_xlfn.XLOOKUP(C1678,'Carrier Name Rename'!A:A,'Carrier Name Rename'!B:B)</f>
        <v>US Airways Inc.</v>
      </c>
      <c r="E1678" t="s">
        <v>23</v>
      </c>
      <c r="F1678" t="s">
        <v>24</v>
      </c>
      <c r="G1678">
        <v>308</v>
      </c>
      <c r="H1678">
        <v>59</v>
      </c>
      <c r="I1678">
        <v>26.88</v>
      </c>
      <c r="J1678">
        <v>0</v>
      </c>
      <c r="K1678">
        <v>20.34</v>
      </c>
      <c r="L1678">
        <v>0.48</v>
      </c>
      <c r="M1678">
        <v>11.3</v>
      </c>
      <c r="N1678">
        <v>1</v>
      </c>
      <c r="O1678">
        <v>0</v>
      </c>
      <c r="P1678">
        <v>1983</v>
      </c>
      <c r="Q1678">
        <v>975</v>
      </c>
      <c r="R1678">
        <v>0</v>
      </c>
      <c r="S1678">
        <v>588</v>
      </c>
      <c r="T1678">
        <v>18</v>
      </c>
      <c r="U1678">
        <v>402</v>
      </c>
      <c r="V1678" s="1">
        <f t="shared" si="78"/>
        <v>0.19159999999999999</v>
      </c>
      <c r="W1678" s="1">
        <f t="shared" si="79"/>
        <v>3.2000000000000002E-3</v>
      </c>
      <c r="X1678" s="1">
        <f t="shared" si="80"/>
        <v>0</v>
      </c>
    </row>
    <row r="1679" spans="1:24" x14ac:dyDescent="0.25">
      <c r="A1679">
        <v>2012</v>
      </c>
      <c r="B1679">
        <v>12</v>
      </c>
      <c r="C1679" t="s">
        <v>51</v>
      </c>
      <c r="D1679" t="str">
        <f>_xlfn.XLOOKUP(C1679,'Carrier Name Rename'!A:A,'Carrier Name Rename'!B:B)</f>
        <v>Virgin America</v>
      </c>
      <c r="E1679" t="s">
        <v>23</v>
      </c>
      <c r="F1679" t="s">
        <v>24</v>
      </c>
      <c r="G1679">
        <v>229</v>
      </c>
      <c r="H1679">
        <v>37</v>
      </c>
      <c r="I1679">
        <v>11.18</v>
      </c>
      <c r="J1679">
        <v>3.44</v>
      </c>
      <c r="K1679">
        <v>2.31</v>
      </c>
      <c r="L1679">
        <v>0</v>
      </c>
      <c r="M1679">
        <v>20.07</v>
      </c>
      <c r="N1679">
        <v>0</v>
      </c>
      <c r="O1679">
        <v>0</v>
      </c>
      <c r="P1679">
        <v>2305</v>
      </c>
      <c r="Q1679">
        <v>459</v>
      </c>
      <c r="R1679">
        <v>85</v>
      </c>
      <c r="S1679">
        <v>59</v>
      </c>
      <c r="T1679">
        <v>0</v>
      </c>
      <c r="U1679">
        <v>1702</v>
      </c>
      <c r="V1679" s="1">
        <f t="shared" si="78"/>
        <v>0.16159999999999999</v>
      </c>
      <c r="W1679" s="1">
        <f t="shared" si="79"/>
        <v>0</v>
      </c>
      <c r="X1679" s="1">
        <f t="shared" si="80"/>
        <v>0</v>
      </c>
    </row>
    <row r="1680" spans="1:24" x14ac:dyDescent="0.25">
      <c r="A1680">
        <v>2012</v>
      </c>
      <c r="B1680">
        <v>12</v>
      </c>
      <c r="C1680" t="s">
        <v>43</v>
      </c>
      <c r="D1680" t="str">
        <f>_xlfn.XLOOKUP(C1680,'Carrier Name Rename'!A:A,'Carrier Name Rename'!B:B)</f>
        <v>Southwest Airlines Co.</v>
      </c>
      <c r="E1680" t="s">
        <v>23</v>
      </c>
      <c r="F1680" t="s">
        <v>24</v>
      </c>
      <c r="G1680">
        <v>956</v>
      </c>
      <c r="H1680">
        <v>251</v>
      </c>
      <c r="I1680">
        <v>105.69</v>
      </c>
      <c r="J1680">
        <v>0.98</v>
      </c>
      <c r="K1680">
        <v>32.49</v>
      </c>
      <c r="L1680">
        <v>2.63</v>
      </c>
      <c r="M1680">
        <v>109.21</v>
      </c>
      <c r="N1680">
        <v>2</v>
      </c>
      <c r="O1680">
        <v>0</v>
      </c>
      <c r="P1680">
        <v>10643</v>
      </c>
      <c r="Q1680">
        <v>4165</v>
      </c>
      <c r="R1680">
        <v>46</v>
      </c>
      <c r="S1680">
        <v>907</v>
      </c>
      <c r="T1680">
        <v>64</v>
      </c>
      <c r="U1680">
        <v>5461</v>
      </c>
      <c r="V1680" s="1">
        <f t="shared" si="78"/>
        <v>0.2626</v>
      </c>
      <c r="W1680" s="1">
        <f t="shared" si="79"/>
        <v>2.0999999999999999E-3</v>
      </c>
      <c r="X1680" s="1">
        <f t="shared" si="80"/>
        <v>0</v>
      </c>
    </row>
    <row r="1681" spans="1:24" x14ac:dyDescent="0.25">
      <c r="A1681">
        <v>2012</v>
      </c>
      <c r="B1681">
        <v>11</v>
      </c>
      <c r="C1681" t="s">
        <v>31</v>
      </c>
      <c r="D1681" t="str">
        <f>_xlfn.XLOOKUP(C1681,'Carrier Name Rename'!A:A,'Carrier Name Rename'!B:B)</f>
        <v>American Airlines Inc.</v>
      </c>
      <c r="E1681" t="s">
        <v>23</v>
      </c>
      <c r="F1681" t="s">
        <v>24</v>
      </c>
      <c r="G1681">
        <v>404</v>
      </c>
      <c r="H1681">
        <v>113</v>
      </c>
      <c r="I1681">
        <v>46.76</v>
      </c>
      <c r="J1681">
        <v>0.21</v>
      </c>
      <c r="K1681">
        <v>34.049999999999997</v>
      </c>
      <c r="L1681">
        <v>0.73</v>
      </c>
      <c r="M1681">
        <v>31.25</v>
      </c>
      <c r="N1681">
        <v>1</v>
      </c>
      <c r="O1681">
        <v>0</v>
      </c>
      <c r="P1681">
        <v>4871</v>
      </c>
      <c r="Q1681">
        <v>1916</v>
      </c>
      <c r="R1681">
        <v>4</v>
      </c>
      <c r="S1681">
        <v>968</v>
      </c>
      <c r="T1681">
        <v>11</v>
      </c>
      <c r="U1681">
        <v>1972</v>
      </c>
      <c r="V1681" s="1">
        <f t="shared" si="78"/>
        <v>0.2797</v>
      </c>
      <c r="W1681" s="1">
        <f t="shared" si="79"/>
        <v>2.5000000000000001E-3</v>
      </c>
      <c r="X1681" s="1">
        <f t="shared" si="80"/>
        <v>0</v>
      </c>
    </row>
    <row r="1682" spans="1:24" x14ac:dyDescent="0.25">
      <c r="A1682">
        <v>2012</v>
      </c>
      <c r="B1682">
        <v>11</v>
      </c>
      <c r="C1682" t="s">
        <v>33</v>
      </c>
      <c r="D1682" t="str">
        <f>_xlfn.XLOOKUP(C1682,'Carrier Name Rename'!A:A,'Carrier Name Rename'!B:B)</f>
        <v>Alaska Airlines Inc.</v>
      </c>
      <c r="E1682" t="s">
        <v>23</v>
      </c>
      <c r="F1682" t="s">
        <v>24</v>
      </c>
      <c r="G1682">
        <v>3468</v>
      </c>
      <c r="H1682">
        <v>330</v>
      </c>
      <c r="I1682">
        <v>88.01</v>
      </c>
      <c r="J1682">
        <v>2.76</v>
      </c>
      <c r="K1682">
        <v>85.68</v>
      </c>
      <c r="L1682">
        <v>0.08</v>
      </c>
      <c r="M1682">
        <v>153.47</v>
      </c>
      <c r="N1682">
        <v>16</v>
      </c>
      <c r="O1682">
        <v>7</v>
      </c>
      <c r="P1682">
        <v>18446</v>
      </c>
      <c r="Q1682">
        <v>6533</v>
      </c>
      <c r="R1682">
        <v>226</v>
      </c>
      <c r="S1682">
        <v>2494</v>
      </c>
      <c r="T1682">
        <v>8</v>
      </c>
      <c r="U1682">
        <v>9185</v>
      </c>
      <c r="V1682" s="1">
        <f t="shared" si="78"/>
        <v>9.5200000000000007E-2</v>
      </c>
      <c r="W1682" s="1">
        <f t="shared" si="79"/>
        <v>4.5999999999999999E-3</v>
      </c>
      <c r="X1682" s="1">
        <f t="shared" si="80"/>
        <v>2E-3</v>
      </c>
    </row>
    <row r="1683" spans="1:24" x14ac:dyDescent="0.25">
      <c r="A1683">
        <v>2012</v>
      </c>
      <c r="B1683">
        <v>11</v>
      </c>
      <c r="C1683" t="s">
        <v>35</v>
      </c>
      <c r="D1683" t="str">
        <f>_xlfn.XLOOKUP(C1683,'Carrier Name Rename'!A:A,'Carrier Name Rename'!B:B)</f>
        <v>JetBlue Airways</v>
      </c>
      <c r="E1683" t="s">
        <v>23</v>
      </c>
      <c r="F1683" t="s">
        <v>24</v>
      </c>
      <c r="G1683">
        <v>117</v>
      </c>
      <c r="H1683">
        <v>18</v>
      </c>
      <c r="I1683">
        <v>6.7</v>
      </c>
      <c r="J1683">
        <v>2</v>
      </c>
      <c r="K1683">
        <v>3.88</v>
      </c>
      <c r="L1683">
        <v>0</v>
      </c>
      <c r="M1683">
        <v>5.42</v>
      </c>
      <c r="N1683">
        <v>0</v>
      </c>
      <c r="O1683">
        <v>0</v>
      </c>
      <c r="P1683">
        <v>1081</v>
      </c>
      <c r="Q1683">
        <v>475</v>
      </c>
      <c r="R1683">
        <v>203</v>
      </c>
      <c r="S1683">
        <v>128</v>
      </c>
      <c r="T1683">
        <v>0</v>
      </c>
      <c r="U1683">
        <v>275</v>
      </c>
      <c r="V1683" s="1">
        <f t="shared" si="78"/>
        <v>0.15379999999999999</v>
      </c>
      <c r="W1683" s="1">
        <f t="shared" si="79"/>
        <v>0</v>
      </c>
      <c r="X1683" s="1">
        <f t="shared" si="80"/>
        <v>0</v>
      </c>
    </row>
    <row r="1684" spans="1:24" x14ac:dyDescent="0.25">
      <c r="A1684">
        <v>2012</v>
      </c>
      <c r="B1684">
        <v>11</v>
      </c>
      <c r="C1684" t="s">
        <v>37</v>
      </c>
      <c r="D1684" t="str">
        <f>_xlfn.XLOOKUP(C1684,'Carrier Name Rename'!A:A,'Carrier Name Rename'!B:B)</f>
        <v>Delta Air Lines Inc.</v>
      </c>
      <c r="E1684" t="s">
        <v>23</v>
      </c>
      <c r="F1684" t="s">
        <v>24</v>
      </c>
      <c r="G1684">
        <v>719</v>
      </c>
      <c r="H1684">
        <v>79</v>
      </c>
      <c r="I1684">
        <v>31.49</v>
      </c>
      <c r="J1684">
        <v>0.04</v>
      </c>
      <c r="K1684">
        <v>31.9</v>
      </c>
      <c r="L1684">
        <v>0</v>
      </c>
      <c r="M1684">
        <v>15.58</v>
      </c>
      <c r="N1684">
        <v>1</v>
      </c>
      <c r="O1684">
        <v>0</v>
      </c>
      <c r="P1684">
        <v>4055</v>
      </c>
      <c r="Q1684">
        <v>1613</v>
      </c>
      <c r="R1684">
        <v>1</v>
      </c>
      <c r="S1684">
        <v>1333</v>
      </c>
      <c r="T1684">
        <v>0</v>
      </c>
      <c r="U1684">
        <v>1108</v>
      </c>
      <c r="V1684" s="1">
        <f t="shared" si="78"/>
        <v>0.1099</v>
      </c>
      <c r="W1684" s="1">
        <f t="shared" si="79"/>
        <v>1.4E-3</v>
      </c>
      <c r="X1684" s="1">
        <f t="shared" si="80"/>
        <v>0</v>
      </c>
    </row>
    <row r="1685" spans="1:24" x14ac:dyDescent="0.25">
      <c r="A1685">
        <v>2012</v>
      </c>
      <c r="B1685">
        <v>11</v>
      </c>
      <c r="C1685" t="s">
        <v>39</v>
      </c>
      <c r="D1685" t="str">
        <f>_xlfn.XLOOKUP(C1685,'Carrier Name Rename'!A:A,'Carrier Name Rename'!B:B)</f>
        <v>Frontier Airlines Inc.</v>
      </c>
      <c r="E1685" t="s">
        <v>23</v>
      </c>
      <c r="F1685" t="s">
        <v>24</v>
      </c>
      <c r="G1685">
        <v>124</v>
      </c>
      <c r="H1685">
        <v>27</v>
      </c>
      <c r="I1685">
        <v>10.95</v>
      </c>
      <c r="J1685">
        <v>0</v>
      </c>
      <c r="K1685">
        <v>9.7100000000000009</v>
      </c>
      <c r="L1685">
        <v>0</v>
      </c>
      <c r="M1685">
        <v>6.33</v>
      </c>
      <c r="N1685">
        <v>0</v>
      </c>
      <c r="O1685">
        <v>0</v>
      </c>
      <c r="P1685">
        <v>876</v>
      </c>
      <c r="Q1685">
        <v>280</v>
      </c>
      <c r="R1685">
        <v>0</v>
      </c>
      <c r="S1685">
        <v>364</v>
      </c>
      <c r="T1685">
        <v>0</v>
      </c>
      <c r="U1685">
        <v>232</v>
      </c>
      <c r="V1685" s="1">
        <f t="shared" si="78"/>
        <v>0.2177</v>
      </c>
      <c r="W1685" s="1">
        <f t="shared" si="79"/>
        <v>0</v>
      </c>
      <c r="X1685" s="1">
        <f t="shared" si="80"/>
        <v>0</v>
      </c>
    </row>
    <row r="1686" spans="1:24" x14ac:dyDescent="0.25">
      <c r="A1686">
        <v>2012</v>
      </c>
      <c r="B1686">
        <v>11</v>
      </c>
      <c r="C1686" t="s">
        <v>21</v>
      </c>
      <c r="D1686" t="str">
        <f>_xlfn.XLOOKUP(C1686,'Carrier Name Rename'!A:A,'Carrier Name Rename'!B:B)</f>
        <v>Hawaiian Airlines Inc.</v>
      </c>
      <c r="E1686" t="s">
        <v>23</v>
      </c>
      <c r="F1686" t="s">
        <v>24</v>
      </c>
      <c r="G1686">
        <v>60</v>
      </c>
      <c r="H1686">
        <v>11</v>
      </c>
      <c r="I1686">
        <v>9</v>
      </c>
      <c r="J1686">
        <v>0</v>
      </c>
      <c r="K1686">
        <v>0</v>
      </c>
      <c r="L1686">
        <v>0</v>
      </c>
      <c r="M1686">
        <v>2</v>
      </c>
      <c r="N1686">
        <v>0</v>
      </c>
      <c r="O1686">
        <v>0</v>
      </c>
      <c r="P1686">
        <v>1023</v>
      </c>
      <c r="Q1686">
        <v>970</v>
      </c>
      <c r="R1686">
        <v>0</v>
      </c>
      <c r="S1686">
        <v>0</v>
      </c>
      <c r="T1686">
        <v>0</v>
      </c>
      <c r="U1686">
        <v>53</v>
      </c>
      <c r="V1686" s="1">
        <f t="shared" si="78"/>
        <v>0.18329999999999999</v>
      </c>
      <c r="W1686" s="1">
        <f t="shared" si="79"/>
        <v>0</v>
      </c>
      <c r="X1686" s="1">
        <f t="shared" si="80"/>
        <v>0</v>
      </c>
    </row>
    <row r="1687" spans="1:24" x14ac:dyDescent="0.25">
      <c r="A1687">
        <v>2012</v>
      </c>
      <c r="B1687">
        <v>11</v>
      </c>
      <c r="C1687" t="s">
        <v>27</v>
      </c>
      <c r="D1687" t="str">
        <f>_xlfn.XLOOKUP(C1687,'Carrier Name Rename'!A:A,'Carrier Name Rename'!B:B)</f>
        <v>SkyWest Airlines Inc.</v>
      </c>
      <c r="E1687" t="s">
        <v>23</v>
      </c>
      <c r="F1687" t="s">
        <v>24</v>
      </c>
      <c r="G1687">
        <v>476</v>
      </c>
      <c r="H1687">
        <v>55</v>
      </c>
      <c r="I1687">
        <v>16.690000000000001</v>
      </c>
      <c r="J1687">
        <v>0.94</v>
      </c>
      <c r="K1687">
        <v>7.72</v>
      </c>
      <c r="L1687">
        <v>0</v>
      </c>
      <c r="M1687">
        <v>29.66</v>
      </c>
      <c r="N1687">
        <v>9</v>
      </c>
      <c r="O1687">
        <v>1</v>
      </c>
      <c r="P1687">
        <v>3043</v>
      </c>
      <c r="Q1687">
        <v>1012</v>
      </c>
      <c r="R1687">
        <v>73</v>
      </c>
      <c r="S1687">
        <v>264</v>
      </c>
      <c r="T1687">
        <v>0</v>
      </c>
      <c r="U1687">
        <v>1694</v>
      </c>
      <c r="V1687" s="1">
        <f t="shared" si="78"/>
        <v>0.11550000000000001</v>
      </c>
      <c r="W1687" s="1">
        <f t="shared" si="79"/>
        <v>1.89E-2</v>
      </c>
      <c r="X1687" s="1">
        <f t="shared" si="80"/>
        <v>2.0999999999999999E-3</v>
      </c>
    </row>
    <row r="1688" spans="1:24" x14ac:dyDescent="0.25">
      <c r="A1688">
        <v>2012</v>
      </c>
      <c r="B1688">
        <v>11</v>
      </c>
      <c r="C1688" t="s">
        <v>41</v>
      </c>
      <c r="D1688" t="str">
        <f>_xlfn.XLOOKUP(C1688,'Carrier Name Rename'!A:A,'Carrier Name Rename'!B:B)</f>
        <v>United Air Lines Inc.</v>
      </c>
      <c r="E1688" t="s">
        <v>23</v>
      </c>
      <c r="F1688" t="s">
        <v>24</v>
      </c>
      <c r="G1688">
        <v>767</v>
      </c>
      <c r="H1688">
        <v>116</v>
      </c>
      <c r="I1688">
        <v>55.8</v>
      </c>
      <c r="J1688">
        <v>1.1000000000000001</v>
      </c>
      <c r="K1688">
        <v>30.49</v>
      </c>
      <c r="L1688">
        <v>0</v>
      </c>
      <c r="M1688">
        <v>28.62</v>
      </c>
      <c r="N1688">
        <v>4</v>
      </c>
      <c r="O1688">
        <v>1</v>
      </c>
      <c r="P1688">
        <v>5573</v>
      </c>
      <c r="Q1688">
        <v>2647</v>
      </c>
      <c r="R1688">
        <v>48</v>
      </c>
      <c r="S1688">
        <v>940</v>
      </c>
      <c r="T1688">
        <v>0</v>
      </c>
      <c r="U1688">
        <v>1938</v>
      </c>
      <c r="V1688" s="1">
        <f t="shared" si="78"/>
        <v>0.1512</v>
      </c>
      <c r="W1688" s="1">
        <f t="shared" si="79"/>
        <v>5.1999999999999998E-3</v>
      </c>
      <c r="X1688" s="1">
        <f t="shared" si="80"/>
        <v>1.2999999999999999E-3</v>
      </c>
    </row>
    <row r="1689" spans="1:24" x14ac:dyDescent="0.25">
      <c r="A1689">
        <v>2012</v>
      </c>
      <c r="B1689">
        <v>11</v>
      </c>
      <c r="C1689" t="s">
        <v>61</v>
      </c>
      <c r="D1689" t="str">
        <f>_xlfn.XLOOKUP(C1689,'Carrier Name Rename'!A:A,'Carrier Name Rename'!B:B)</f>
        <v>US Airways Inc.</v>
      </c>
      <c r="E1689" t="s">
        <v>23</v>
      </c>
      <c r="F1689" t="s">
        <v>24</v>
      </c>
      <c r="G1689">
        <v>268</v>
      </c>
      <c r="H1689">
        <v>28</v>
      </c>
      <c r="I1689">
        <v>11.49</v>
      </c>
      <c r="J1689">
        <v>0</v>
      </c>
      <c r="K1689">
        <v>14.65</v>
      </c>
      <c r="L1689">
        <v>0</v>
      </c>
      <c r="M1689">
        <v>1.85</v>
      </c>
      <c r="N1689">
        <v>0</v>
      </c>
      <c r="O1689">
        <v>3</v>
      </c>
      <c r="P1689">
        <v>999</v>
      </c>
      <c r="Q1689">
        <v>457</v>
      </c>
      <c r="R1689">
        <v>0</v>
      </c>
      <c r="S1689">
        <v>450</v>
      </c>
      <c r="T1689">
        <v>0</v>
      </c>
      <c r="U1689">
        <v>92</v>
      </c>
      <c r="V1689" s="1">
        <f t="shared" si="78"/>
        <v>0.1045</v>
      </c>
      <c r="W1689" s="1">
        <f t="shared" si="79"/>
        <v>0</v>
      </c>
      <c r="X1689" s="1">
        <f t="shared" si="80"/>
        <v>1.12E-2</v>
      </c>
    </row>
    <row r="1690" spans="1:24" x14ac:dyDescent="0.25">
      <c r="A1690">
        <v>2012</v>
      </c>
      <c r="B1690">
        <v>11</v>
      </c>
      <c r="C1690" t="s">
        <v>51</v>
      </c>
      <c r="D1690" t="str">
        <f>_xlfn.XLOOKUP(C1690,'Carrier Name Rename'!A:A,'Carrier Name Rename'!B:B)</f>
        <v>Virgin America</v>
      </c>
      <c r="E1690" t="s">
        <v>23</v>
      </c>
      <c r="F1690" t="s">
        <v>24</v>
      </c>
      <c r="G1690">
        <v>216</v>
      </c>
      <c r="H1690">
        <v>15</v>
      </c>
      <c r="I1690">
        <v>3.74</v>
      </c>
      <c r="J1690">
        <v>0.11</v>
      </c>
      <c r="K1690">
        <v>1.0900000000000001</v>
      </c>
      <c r="L1690">
        <v>0</v>
      </c>
      <c r="M1690">
        <v>10.06</v>
      </c>
      <c r="N1690">
        <v>0</v>
      </c>
      <c r="O1690">
        <v>0</v>
      </c>
      <c r="P1690">
        <v>1011</v>
      </c>
      <c r="Q1690">
        <v>117</v>
      </c>
      <c r="R1690">
        <v>3</v>
      </c>
      <c r="S1690">
        <v>28</v>
      </c>
      <c r="T1690">
        <v>0</v>
      </c>
      <c r="U1690">
        <v>863</v>
      </c>
      <c r="V1690" s="1">
        <f t="shared" si="78"/>
        <v>6.9400000000000003E-2</v>
      </c>
      <c r="W1690" s="1">
        <f t="shared" si="79"/>
        <v>0</v>
      </c>
      <c r="X1690" s="1">
        <f t="shared" si="80"/>
        <v>0</v>
      </c>
    </row>
    <row r="1691" spans="1:24" x14ac:dyDescent="0.25">
      <c r="A1691">
        <v>2012</v>
      </c>
      <c r="B1691">
        <v>11</v>
      </c>
      <c r="C1691" t="s">
        <v>43</v>
      </c>
      <c r="D1691" t="str">
        <f>_xlfn.XLOOKUP(C1691,'Carrier Name Rename'!A:A,'Carrier Name Rename'!B:B)</f>
        <v>Southwest Airlines Co.</v>
      </c>
      <c r="E1691" t="s">
        <v>23</v>
      </c>
      <c r="F1691" t="s">
        <v>24</v>
      </c>
      <c r="G1691">
        <v>915</v>
      </c>
      <c r="H1691">
        <v>114</v>
      </c>
      <c r="I1691">
        <v>44.06</v>
      </c>
      <c r="J1691">
        <v>1.78</v>
      </c>
      <c r="K1691">
        <v>13.81</v>
      </c>
      <c r="L1691">
        <v>1.81</v>
      </c>
      <c r="M1691">
        <v>52.55</v>
      </c>
      <c r="N1691">
        <v>0</v>
      </c>
      <c r="O1691">
        <v>1</v>
      </c>
      <c r="P1691">
        <v>4649</v>
      </c>
      <c r="Q1691">
        <v>1602</v>
      </c>
      <c r="R1691">
        <v>134</v>
      </c>
      <c r="S1691">
        <v>355</v>
      </c>
      <c r="T1691">
        <v>99</v>
      </c>
      <c r="U1691">
        <v>2459</v>
      </c>
      <c r="V1691" s="1">
        <f t="shared" si="78"/>
        <v>0.1246</v>
      </c>
      <c r="W1691" s="1">
        <f t="shared" si="79"/>
        <v>0</v>
      </c>
      <c r="X1691" s="1">
        <f t="shared" si="80"/>
        <v>1.1000000000000001E-3</v>
      </c>
    </row>
    <row r="1692" spans="1:24" x14ac:dyDescent="0.25">
      <c r="A1692">
        <v>2012</v>
      </c>
      <c r="B1692">
        <v>10</v>
      </c>
      <c r="C1692" t="s">
        <v>31</v>
      </c>
      <c r="D1692" t="str">
        <f>_xlfn.XLOOKUP(C1692,'Carrier Name Rename'!A:A,'Carrier Name Rename'!B:B)</f>
        <v>American Airlines Inc.</v>
      </c>
      <c r="E1692" t="s">
        <v>23</v>
      </c>
      <c r="F1692" t="s">
        <v>24</v>
      </c>
      <c r="G1692">
        <v>447</v>
      </c>
      <c r="H1692">
        <v>195</v>
      </c>
      <c r="I1692">
        <v>66.61</v>
      </c>
      <c r="J1692">
        <v>4.0199999999999996</v>
      </c>
      <c r="K1692">
        <v>86.06</v>
      </c>
      <c r="L1692">
        <v>0</v>
      </c>
      <c r="M1692">
        <v>38.31</v>
      </c>
      <c r="N1692">
        <v>5</v>
      </c>
      <c r="O1692">
        <v>1</v>
      </c>
      <c r="P1692">
        <v>7879</v>
      </c>
      <c r="Q1692">
        <v>3303</v>
      </c>
      <c r="R1692">
        <v>156</v>
      </c>
      <c r="S1692">
        <v>2563</v>
      </c>
      <c r="T1692">
        <v>0</v>
      </c>
      <c r="U1692">
        <v>1857</v>
      </c>
      <c r="V1692" s="1">
        <f t="shared" si="78"/>
        <v>0.43619999999999998</v>
      </c>
      <c r="W1692" s="1">
        <f t="shared" si="79"/>
        <v>1.12E-2</v>
      </c>
      <c r="X1692" s="1">
        <f t="shared" si="80"/>
        <v>2.2000000000000001E-3</v>
      </c>
    </row>
    <row r="1693" spans="1:24" x14ac:dyDescent="0.25">
      <c r="A1693">
        <v>2012</v>
      </c>
      <c r="B1693">
        <v>10</v>
      </c>
      <c r="C1693" t="s">
        <v>33</v>
      </c>
      <c r="D1693" t="str">
        <f>_xlfn.XLOOKUP(C1693,'Carrier Name Rename'!A:A,'Carrier Name Rename'!B:B)</f>
        <v>Alaska Airlines Inc.</v>
      </c>
      <c r="E1693" t="s">
        <v>23</v>
      </c>
      <c r="F1693" t="s">
        <v>24</v>
      </c>
      <c r="G1693">
        <v>3648</v>
      </c>
      <c r="H1693">
        <v>433</v>
      </c>
      <c r="I1693">
        <v>120.63</v>
      </c>
      <c r="J1693">
        <v>6.47</v>
      </c>
      <c r="K1693">
        <v>128.19999999999999</v>
      </c>
      <c r="L1693">
        <v>3.94</v>
      </c>
      <c r="M1693">
        <v>173.76</v>
      </c>
      <c r="N1693">
        <v>40</v>
      </c>
      <c r="O1693">
        <v>6</v>
      </c>
      <c r="P1693">
        <v>30676</v>
      </c>
      <c r="Q1693">
        <v>9759</v>
      </c>
      <c r="R1693">
        <v>1155</v>
      </c>
      <c r="S1693">
        <v>3546</v>
      </c>
      <c r="T1693">
        <v>409</v>
      </c>
      <c r="U1693">
        <v>15807</v>
      </c>
      <c r="V1693" s="1">
        <f t="shared" si="78"/>
        <v>0.1187</v>
      </c>
      <c r="W1693" s="1">
        <f t="shared" si="79"/>
        <v>1.0999999999999999E-2</v>
      </c>
      <c r="X1693" s="1">
        <f t="shared" si="80"/>
        <v>1.6000000000000001E-3</v>
      </c>
    </row>
    <row r="1694" spans="1:24" x14ac:dyDescent="0.25">
      <c r="A1694">
        <v>2012</v>
      </c>
      <c r="B1694">
        <v>10</v>
      </c>
      <c r="C1694" t="s">
        <v>35</v>
      </c>
      <c r="D1694" t="str">
        <f>_xlfn.XLOOKUP(C1694,'Carrier Name Rename'!A:A,'Carrier Name Rename'!B:B)</f>
        <v>JetBlue Airways</v>
      </c>
      <c r="E1694" t="s">
        <v>23</v>
      </c>
      <c r="F1694" t="s">
        <v>24</v>
      </c>
      <c r="G1694">
        <v>150</v>
      </c>
      <c r="H1694">
        <v>31</v>
      </c>
      <c r="I1694">
        <v>6.19</v>
      </c>
      <c r="J1694">
        <v>1</v>
      </c>
      <c r="K1694">
        <v>19.97</v>
      </c>
      <c r="L1694">
        <v>0.19</v>
      </c>
      <c r="M1694">
        <v>3.66</v>
      </c>
      <c r="N1694">
        <v>6</v>
      </c>
      <c r="O1694">
        <v>0</v>
      </c>
      <c r="P1694">
        <v>975</v>
      </c>
      <c r="Q1694">
        <v>242</v>
      </c>
      <c r="R1694">
        <v>42</v>
      </c>
      <c r="S1694">
        <v>569</v>
      </c>
      <c r="T1694">
        <v>3</v>
      </c>
      <c r="U1694">
        <v>119</v>
      </c>
      <c r="V1694" s="1">
        <f t="shared" si="78"/>
        <v>0.20669999999999999</v>
      </c>
      <c r="W1694" s="1">
        <f t="shared" si="79"/>
        <v>0.04</v>
      </c>
      <c r="X1694" s="1">
        <f t="shared" si="80"/>
        <v>0</v>
      </c>
    </row>
    <row r="1695" spans="1:24" x14ac:dyDescent="0.25">
      <c r="A1695">
        <v>2012</v>
      </c>
      <c r="B1695">
        <v>10</v>
      </c>
      <c r="C1695" t="s">
        <v>37</v>
      </c>
      <c r="D1695" t="str">
        <f>_xlfn.XLOOKUP(C1695,'Carrier Name Rename'!A:A,'Carrier Name Rename'!B:B)</f>
        <v>Delta Air Lines Inc.</v>
      </c>
      <c r="E1695" t="s">
        <v>23</v>
      </c>
      <c r="F1695" t="s">
        <v>24</v>
      </c>
      <c r="G1695">
        <v>764</v>
      </c>
      <c r="H1695">
        <v>83</v>
      </c>
      <c r="I1695">
        <v>31.5</v>
      </c>
      <c r="J1695">
        <v>0</v>
      </c>
      <c r="K1695">
        <v>36.18</v>
      </c>
      <c r="L1695">
        <v>0</v>
      </c>
      <c r="M1695">
        <v>15.32</v>
      </c>
      <c r="N1695">
        <v>9</v>
      </c>
      <c r="O1695">
        <v>0</v>
      </c>
      <c r="P1695">
        <v>2822</v>
      </c>
      <c r="Q1695">
        <v>1332</v>
      </c>
      <c r="R1695">
        <v>0</v>
      </c>
      <c r="S1695">
        <v>849</v>
      </c>
      <c r="T1695">
        <v>0</v>
      </c>
      <c r="U1695">
        <v>641</v>
      </c>
      <c r="V1695" s="1">
        <f t="shared" si="78"/>
        <v>0.1086</v>
      </c>
      <c r="W1695" s="1">
        <f t="shared" si="79"/>
        <v>1.18E-2</v>
      </c>
      <c r="X1695" s="1">
        <f t="shared" si="80"/>
        <v>0</v>
      </c>
    </row>
    <row r="1696" spans="1:24" x14ac:dyDescent="0.25">
      <c r="A1696">
        <v>2012</v>
      </c>
      <c r="B1696">
        <v>10</v>
      </c>
      <c r="C1696" t="s">
        <v>39</v>
      </c>
      <c r="D1696" t="str">
        <f>_xlfn.XLOOKUP(C1696,'Carrier Name Rename'!A:A,'Carrier Name Rename'!B:B)</f>
        <v>Frontier Airlines Inc.</v>
      </c>
      <c r="E1696" t="s">
        <v>23</v>
      </c>
      <c r="F1696" t="s">
        <v>24</v>
      </c>
      <c r="G1696">
        <v>166</v>
      </c>
      <c r="H1696">
        <v>46</v>
      </c>
      <c r="I1696">
        <v>13.19</v>
      </c>
      <c r="J1696">
        <v>0.79</v>
      </c>
      <c r="K1696">
        <v>25.96</v>
      </c>
      <c r="L1696">
        <v>0</v>
      </c>
      <c r="M1696">
        <v>6.05</v>
      </c>
      <c r="N1696">
        <v>0</v>
      </c>
      <c r="O1696">
        <v>0</v>
      </c>
      <c r="P1696">
        <v>1743</v>
      </c>
      <c r="Q1696">
        <v>331</v>
      </c>
      <c r="R1696">
        <v>284</v>
      </c>
      <c r="S1696">
        <v>758</v>
      </c>
      <c r="T1696">
        <v>0</v>
      </c>
      <c r="U1696">
        <v>370</v>
      </c>
      <c r="V1696" s="1">
        <f t="shared" si="78"/>
        <v>0.27710000000000001</v>
      </c>
      <c r="W1696" s="1">
        <f t="shared" si="79"/>
        <v>0</v>
      </c>
      <c r="X1696" s="1">
        <f t="shared" si="80"/>
        <v>0</v>
      </c>
    </row>
    <row r="1697" spans="1:24" x14ac:dyDescent="0.25">
      <c r="A1697">
        <v>2012</v>
      </c>
      <c r="B1697">
        <v>10</v>
      </c>
      <c r="C1697" t="s">
        <v>21</v>
      </c>
      <c r="D1697" t="str">
        <f>_xlfn.XLOOKUP(C1697,'Carrier Name Rename'!A:A,'Carrier Name Rename'!B:B)</f>
        <v>Hawaiian Airlines Inc.</v>
      </c>
      <c r="E1697" t="s">
        <v>23</v>
      </c>
      <c r="F1697" t="s">
        <v>24</v>
      </c>
      <c r="G1697">
        <v>62</v>
      </c>
      <c r="H1697">
        <v>13</v>
      </c>
      <c r="I1697">
        <v>13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380</v>
      </c>
      <c r="Q1697">
        <v>380</v>
      </c>
      <c r="R1697">
        <v>0</v>
      </c>
      <c r="S1697">
        <v>0</v>
      </c>
      <c r="T1697">
        <v>0</v>
      </c>
      <c r="U1697">
        <v>0</v>
      </c>
      <c r="V1697" s="1">
        <f t="shared" si="78"/>
        <v>0.2097</v>
      </c>
      <c r="W1697" s="1">
        <f t="shared" si="79"/>
        <v>0</v>
      </c>
      <c r="X1697" s="1">
        <f t="shared" si="80"/>
        <v>0</v>
      </c>
    </row>
    <row r="1698" spans="1:24" x14ac:dyDescent="0.25">
      <c r="A1698">
        <v>2012</v>
      </c>
      <c r="B1698">
        <v>10</v>
      </c>
      <c r="C1698" t="s">
        <v>27</v>
      </c>
      <c r="D1698" t="str">
        <f>_xlfn.XLOOKUP(C1698,'Carrier Name Rename'!A:A,'Carrier Name Rename'!B:B)</f>
        <v>SkyWest Airlines Inc.</v>
      </c>
      <c r="E1698" t="s">
        <v>23</v>
      </c>
      <c r="F1698" t="s">
        <v>24</v>
      </c>
      <c r="G1698">
        <v>536</v>
      </c>
      <c r="H1698">
        <v>79</v>
      </c>
      <c r="I1698">
        <v>25.42</v>
      </c>
      <c r="J1698">
        <v>1.83</v>
      </c>
      <c r="K1698">
        <v>16.8</v>
      </c>
      <c r="L1698">
        <v>0</v>
      </c>
      <c r="M1698">
        <v>34.950000000000003</v>
      </c>
      <c r="N1698">
        <v>3</v>
      </c>
      <c r="O1698">
        <v>0</v>
      </c>
      <c r="P1698">
        <v>4619</v>
      </c>
      <c r="Q1698">
        <v>1832</v>
      </c>
      <c r="R1698">
        <v>130</v>
      </c>
      <c r="S1698">
        <v>407</v>
      </c>
      <c r="T1698">
        <v>0</v>
      </c>
      <c r="U1698">
        <v>2250</v>
      </c>
      <c r="V1698" s="1">
        <f t="shared" si="78"/>
        <v>0.1474</v>
      </c>
      <c r="W1698" s="1">
        <f t="shared" si="79"/>
        <v>5.5999999999999999E-3</v>
      </c>
      <c r="X1698" s="1">
        <f t="shared" si="80"/>
        <v>0</v>
      </c>
    </row>
    <row r="1699" spans="1:24" x14ac:dyDescent="0.25">
      <c r="A1699">
        <v>2012</v>
      </c>
      <c r="B1699">
        <v>10</v>
      </c>
      <c r="C1699" t="s">
        <v>41</v>
      </c>
      <c r="D1699" t="str">
        <f>_xlfn.XLOOKUP(C1699,'Carrier Name Rename'!A:A,'Carrier Name Rename'!B:B)</f>
        <v>United Air Lines Inc.</v>
      </c>
      <c r="E1699" t="s">
        <v>23</v>
      </c>
      <c r="F1699" t="s">
        <v>24</v>
      </c>
      <c r="G1699">
        <v>855</v>
      </c>
      <c r="H1699">
        <v>186</v>
      </c>
      <c r="I1699">
        <v>68.7</v>
      </c>
      <c r="J1699">
        <v>2.41</v>
      </c>
      <c r="K1699">
        <v>55.57</v>
      </c>
      <c r="L1699">
        <v>2.5</v>
      </c>
      <c r="M1699">
        <v>56.83</v>
      </c>
      <c r="N1699">
        <v>22</v>
      </c>
      <c r="O1699">
        <v>1</v>
      </c>
      <c r="P1699">
        <v>10194</v>
      </c>
      <c r="Q1699">
        <v>3523</v>
      </c>
      <c r="R1699">
        <v>102</v>
      </c>
      <c r="S1699">
        <v>1956</v>
      </c>
      <c r="T1699">
        <v>742</v>
      </c>
      <c r="U1699">
        <v>3871</v>
      </c>
      <c r="V1699" s="1">
        <f t="shared" si="78"/>
        <v>0.2175</v>
      </c>
      <c r="W1699" s="1">
        <f t="shared" si="79"/>
        <v>2.5700000000000001E-2</v>
      </c>
      <c r="X1699" s="1">
        <f t="shared" si="80"/>
        <v>1.1999999999999999E-3</v>
      </c>
    </row>
    <row r="1700" spans="1:24" x14ac:dyDescent="0.25">
      <c r="A1700">
        <v>2012</v>
      </c>
      <c r="B1700">
        <v>10</v>
      </c>
      <c r="C1700" t="s">
        <v>61</v>
      </c>
      <c r="D1700" t="str">
        <f>_xlfn.XLOOKUP(C1700,'Carrier Name Rename'!A:A,'Carrier Name Rename'!B:B)</f>
        <v>US Airways Inc.</v>
      </c>
      <c r="E1700" t="s">
        <v>23</v>
      </c>
      <c r="F1700" t="s">
        <v>24</v>
      </c>
      <c r="G1700">
        <v>274</v>
      </c>
      <c r="H1700">
        <v>45</v>
      </c>
      <c r="I1700">
        <v>12.4</v>
      </c>
      <c r="J1700">
        <v>1.05</v>
      </c>
      <c r="K1700">
        <v>26.2</v>
      </c>
      <c r="L1700">
        <v>0.13</v>
      </c>
      <c r="M1700">
        <v>5.23</v>
      </c>
      <c r="N1700">
        <v>5</v>
      </c>
      <c r="O1700">
        <v>0</v>
      </c>
      <c r="P1700">
        <v>1636</v>
      </c>
      <c r="Q1700">
        <v>647</v>
      </c>
      <c r="R1700">
        <v>22</v>
      </c>
      <c r="S1700">
        <v>724</v>
      </c>
      <c r="T1700">
        <v>7</v>
      </c>
      <c r="U1700">
        <v>236</v>
      </c>
      <c r="V1700" s="1">
        <f t="shared" si="78"/>
        <v>0.16420000000000001</v>
      </c>
      <c r="W1700" s="1">
        <f t="shared" si="79"/>
        <v>1.8200000000000001E-2</v>
      </c>
      <c r="X1700" s="1">
        <f t="shared" si="80"/>
        <v>0</v>
      </c>
    </row>
    <row r="1701" spans="1:24" x14ac:dyDescent="0.25">
      <c r="A1701">
        <v>2012</v>
      </c>
      <c r="B1701">
        <v>10</v>
      </c>
      <c r="C1701" t="s">
        <v>51</v>
      </c>
      <c r="D1701" t="str">
        <f>_xlfn.XLOOKUP(C1701,'Carrier Name Rename'!A:A,'Carrier Name Rename'!B:B)</f>
        <v>Virgin America</v>
      </c>
      <c r="E1701" t="s">
        <v>23</v>
      </c>
      <c r="F1701" t="s">
        <v>24</v>
      </c>
      <c r="G1701">
        <v>213</v>
      </c>
      <c r="H1701">
        <v>26</v>
      </c>
      <c r="I1701">
        <v>5.09</v>
      </c>
      <c r="J1701">
        <v>2.2400000000000002</v>
      </c>
      <c r="K1701">
        <v>8.9600000000000009</v>
      </c>
      <c r="L1701">
        <v>0</v>
      </c>
      <c r="M1701">
        <v>9.7100000000000009</v>
      </c>
      <c r="N1701">
        <v>0</v>
      </c>
      <c r="O1701">
        <v>0</v>
      </c>
      <c r="P1701">
        <v>1069</v>
      </c>
      <c r="Q1701">
        <v>208</v>
      </c>
      <c r="R1701">
        <v>55</v>
      </c>
      <c r="S1701">
        <v>275</v>
      </c>
      <c r="T1701">
        <v>0</v>
      </c>
      <c r="U1701">
        <v>531</v>
      </c>
      <c r="V1701" s="1">
        <f t="shared" si="78"/>
        <v>0.1221</v>
      </c>
      <c r="W1701" s="1">
        <f t="shared" si="79"/>
        <v>0</v>
      </c>
      <c r="X1701" s="1">
        <f t="shared" si="80"/>
        <v>0</v>
      </c>
    </row>
    <row r="1702" spans="1:24" x14ac:dyDescent="0.25">
      <c r="A1702">
        <v>2012</v>
      </c>
      <c r="B1702">
        <v>10</v>
      </c>
      <c r="C1702" t="s">
        <v>43</v>
      </c>
      <c r="D1702" t="str">
        <f>_xlfn.XLOOKUP(C1702,'Carrier Name Rename'!A:A,'Carrier Name Rename'!B:B)</f>
        <v>Southwest Airlines Co.</v>
      </c>
      <c r="E1702" t="s">
        <v>23</v>
      </c>
      <c r="F1702" t="s">
        <v>24</v>
      </c>
      <c r="G1702">
        <v>983</v>
      </c>
      <c r="H1702">
        <v>175</v>
      </c>
      <c r="I1702">
        <v>56.53</v>
      </c>
      <c r="J1702">
        <v>0.09</v>
      </c>
      <c r="K1702">
        <v>32.31</v>
      </c>
      <c r="L1702">
        <v>1</v>
      </c>
      <c r="M1702">
        <v>85.07</v>
      </c>
      <c r="N1702">
        <v>1</v>
      </c>
      <c r="O1702">
        <v>0</v>
      </c>
      <c r="P1702">
        <v>7126</v>
      </c>
      <c r="Q1702">
        <v>2202</v>
      </c>
      <c r="R1702">
        <v>5</v>
      </c>
      <c r="S1702">
        <v>970</v>
      </c>
      <c r="T1702">
        <v>22</v>
      </c>
      <c r="U1702">
        <v>3927</v>
      </c>
      <c r="V1702" s="1">
        <f t="shared" si="78"/>
        <v>0.17799999999999999</v>
      </c>
      <c r="W1702" s="1">
        <f t="shared" si="79"/>
        <v>1E-3</v>
      </c>
      <c r="X1702" s="1">
        <f t="shared" si="80"/>
        <v>0</v>
      </c>
    </row>
    <row r="1703" spans="1:24" x14ac:dyDescent="0.25">
      <c r="A1703">
        <v>2012</v>
      </c>
      <c r="B1703">
        <v>9</v>
      </c>
      <c r="C1703" t="s">
        <v>31</v>
      </c>
      <c r="D1703" t="str">
        <f>_xlfn.XLOOKUP(C1703,'Carrier Name Rename'!A:A,'Carrier Name Rename'!B:B)</f>
        <v>American Airlines Inc.</v>
      </c>
      <c r="E1703" t="s">
        <v>23</v>
      </c>
      <c r="F1703" t="s">
        <v>24</v>
      </c>
      <c r="G1703">
        <v>460</v>
      </c>
      <c r="H1703">
        <v>186</v>
      </c>
      <c r="I1703">
        <v>82.96</v>
      </c>
      <c r="J1703">
        <v>2.82</v>
      </c>
      <c r="K1703">
        <v>44.78</v>
      </c>
      <c r="L1703">
        <v>0</v>
      </c>
      <c r="M1703">
        <v>55.44</v>
      </c>
      <c r="N1703">
        <v>3</v>
      </c>
      <c r="O1703">
        <v>1</v>
      </c>
      <c r="P1703">
        <v>10336</v>
      </c>
      <c r="Q1703">
        <v>4483</v>
      </c>
      <c r="R1703">
        <v>141</v>
      </c>
      <c r="S1703">
        <v>1652</v>
      </c>
      <c r="T1703">
        <v>0</v>
      </c>
      <c r="U1703">
        <v>4060</v>
      </c>
      <c r="V1703" s="1">
        <f t="shared" si="78"/>
        <v>0.40429999999999999</v>
      </c>
      <c r="W1703" s="1">
        <f t="shared" si="79"/>
        <v>6.4999999999999997E-3</v>
      </c>
      <c r="X1703" s="1">
        <f t="shared" si="80"/>
        <v>2.2000000000000001E-3</v>
      </c>
    </row>
    <row r="1704" spans="1:24" x14ac:dyDescent="0.25">
      <c r="A1704">
        <v>2012</v>
      </c>
      <c r="B1704">
        <v>9</v>
      </c>
      <c r="C1704" t="s">
        <v>33</v>
      </c>
      <c r="D1704" t="str">
        <f>_xlfn.XLOOKUP(C1704,'Carrier Name Rename'!A:A,'Carrier Name Rename'!B:B)</f>
        <v>Alaska Airlines Inc.</v>
      </c>
      <c r="E1704" t="s">
        <v>23</v>
      </c>
      <c r="F1704" t="s">
        <v>24</v>
      </c>
      <c r="G1704">
        <v>3710</v>
      </c>
      <c r="H1704">
        <v>316</v>
      </c>
      <c r="I1704">
        <v>85.41</v>
      </c>
      <c r="J1704">
        <v>8.77</v>
      </c>
      <c r="K1704">
        <v>87.97</v>
      </c>
      <c r="L1704">
        <v>4.43</v>
      </c>
      <c r="M1704">
        <v>129.43</v>
      </c>
      <c r="N1704">
        <v>20</v>
      </c>
      <c r="O1704">
        <v>2</v>
      </c>
      <c r="P1704">
        <v>17969</v>
      </c>
      <c r="Q1704">
        <v>6520</v>
      </c>
      <c r="R1704">
        <v>894</v>
      </c>
      <c r="S1704">
        <v>2325</v>
      </c>
      <c r="T1704">
        <v>160</v>
      </c>
      <c r="U1704">
        <v>8070</v>
      </c>
      <c r="V1704" s="1">
        <f t="shared" si="78"/>
        <v>8.5199999999999998E-2</v>
      </c>
      <c r="W1704" s="1">
        <f t="shared" si="79"/>
        <v>5.4000000000000003E-3</v>
      </c>
      <c r="X1704" s="1">
        <f t="shared" si="80"/>
        <v>5.0000000000000001E-4</v>
      </c>
    </row>
    <row r="1705" spans="1:24" x14ac:dyDescent="0.25">
      <c r="A1705">
        <v>2012</v>
      </c>
      <c r="B1705">
        <v>9</v>
      </c>
      <c r="C1705" t="s">
        <v>35</v>
      </c>
      <c r="D1705" t="str">
        <f>_xlfn.XLOOKUP(C1705,'Carrier Name Rename'!A:A,'Carrier Name Rename'!B:B)</f>
        <v>JetBlue Airways</v>
      </c>
      <c r="E1705" t="s">
        <v>23</v>
      </c>
      <c r="F1705" t="s">
        <v>24</v>
      </c>
      <c r="G1705">
        <v>167</v>
      </c>
      <c r="H1705">
        <v>25</v>
      </c>
      <c r="I1705">
        <v>12.77</v>
      </c>
      <c r="J1705">
        <v>1.34</v>
      </c>
      <c r="K1705">
        <v>7.18</v>
      </c>
      <c r="L1705">
        <v>0</v>
      </c>
      <c r="M1705">
        <v>3.71</v>
      </c>
      <c r="N1705">
        <v>0</v>
      </c>
      <c r="O1705">
        <v>0</v>
      </c>
      <c r="P1705">
        <v>1380</v>
      </c>
      <c r="Q1705">
        <v>629</v>
      </c>
      <c r="R1705">
        <v>87</v>
      </c>
      <c r="S1705">
        <v>405</v>
      </c>
      <c r="T1705">
        <v>0</v>
      </c>
      <c r="U1705">
        <v>259</v>
      </c>
      <c r="V1705" s="1">
        <f t="shared" si="78"/>
        <v>0.1497</v>
      </c>
      <c r="W1705" s="1">
        <f t="shared" si="79"/>
        <v>0</v>
      </c>
      <c r="X1705" s="1">
        <f t="shared" si="80"/>
        <v>0</v>
      </c>
    </row>
    <row r="1706" spans="1:24" x14ac:dyDescent="0.25">
      <c r="A1706">
        <v>2012</v>
      </c>
      <c r="B1706">
        <v>9</v>
      </c>
      <c r="C1706" t="s">
        <v>37</v>
      </c>
      <c r="D1706" t="str">
        <f>_xlfn.XLOOKUP(C1706,'Carrier Name Rename'!A:A,'Carrier Name Rename'!B:B)</f>
        <v>Delta Air Lines Inc.</v>
      </c>
      <c r="E1706" t="s">
        <v>23</v>
      </c>
      <c r="F1706" t="s">
        <v>24</v>
      </c>
      <c r="G1706">
        <v>802</v>
      </c>
      <c r="H1706">
        <v>71</v>
      </c>
      <c r="I1706">
        <v>28.66</v>
      </c>
      <c r="J1706">
        <v>1.59</v>
      </c>
      <c r="K1706">
        <v>21.7</v>
      </c>
      <c r="L1706">
        <v>0</v>
      </c>
      <c r="M1706">
        <v>19.05</v>
      </c>
      <c r="N1706">
        <v>0</v>
      </c>
      <c r="O1706">
        <v>0</v>
      </c>
      <c r="P1706">
        <v>3836</v>
      </c>
      <c r="Q1706">
        <v>1682</v>
      </c>
      <c r="R1706">
        <v>80</v>
      </c>
      <c r="S1706">
        <v>852</v>
      </c>
      <c r="T1706">
        <v>0</v>
      </c>
      <c r="U1706">
        <v>1222</v>
      </c>
      <c r="V1706" s="1">
        <f t="shared" si="78"/>
        <v>8.8499999999999995E-2</v>
      </c>
      <c r="W1706" s="1">
        <f t="shared" si="79"/>
        <v>0</v>
      </c>
      <c r="X1706" s="1">
        <f t="shared" si="80"/>
        <v>0</v>
      </c>
    </row>
    <row r="1707" spans="1:24" x14ac:dyDescent="0.25">
      <c r="A1707">
        <v>2012</v>
      </c>
      <c r="B1707">
        <v>9</v>
      </c>
      <c r="C1707" t="s">
        <v>39</v>
      </c>
      <c r="D1707" t="str">
        <f>_xlfn.XLOOKUP(C1707,'Carrier Name Rename'!A:A,'Carrier Name Rename'!B:B)</f>
        <v>Frontier Airlines Inc.</v>
      </c>
      <c r="E1707" t="s">
        <v>23</v>
      </c>
      <c r="F1707" t="s">
        <v>24</v>
      </c>
      <c r="G1707">
        <v>165</v>
      </c>
      <c r="H1707">
        <v>31</v>
      </c>
      <c r="I1707">
        <v>8.16</v>
      </c>
      <c r="J1707">
        <v>2.52</v>
      </c>
      <c r="K1707">
        <v>6.58</v>
      </c>
      <c r="L1707">
        <v>0</v>
      </c>
      <c r="M1707">
        <v>13.75</v>
      </c>
      <c r="N1707">
        <v>0</v>
      </c>
      <c r="O1707">
        <v>0</v>
      </c>
      <c r="P1707">
        <v>1562</v>
      </c>
      <c r="Q1707">
        <v>438</v>
      </c>
      <c r="R1707">
        <v>113</v>
      </c>
      <c r="S1707">
        <v>194</v>
      </c>
      <c r="T1707">
        <v>0</v>
      </c>
      <c r="U1707">
        <v>817</v>
      </c>
      <c r="V1707" s="1">
        <f t="shared" si="78"/>
        <v>0.18790000000000001</v>
      </c>
      <c r="W1707" s="1">
        <f t="shared" si="79"/>
        <v>0</v>
      </c>
      <c r="X1707" s="1">
        <f t="shared" si="80"/>
        <v>0</v>
      </c>
    </row>
    <row r="1708" spans="1:24" x14ac:dyDescent="0.25">
      <c r="A1708">
        <v>2012</v>
      </c>
      <c r="B1708">
        <v>9</v>
      </c>
      <c r="C1708" t="s">
        <v>63</v>
      </c>
      <c r="D1708" t="str">
        <f>_xlfn.XLOOKUP(C1708,'Carrier Name Rename'!A:A,'Carrier Name Rename'!B:B)</f>
        <v>AirTran Airways Corporation</v>
      </c>
      <c r="E1708" t="s">
        <v>23</v>
      </c>
      <c r="F1708" t="s">
        <v>24</v>
      </c>
      <c r="G1708">
        <v>3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 s="1">
        <f t="shared" si="78"/>
        <v>0</v>
      </c>
      <c r="W1708" s="1">
        <f t="shared" si="79"/>
        <v>0</v>
      </c>
      <c r="X1708" s="1">
        <f t="shared" si="80"/>
        <v>0</v>
      </c>
    </row>
    <row r="1709" spans="1:24" x14ac:dyDescent="0.25">
      <c r="A1709">
        <v>2012</v>
      </c>
      <c r="B1709">
        <v>9</v>
      </c>
      <c r="C1709" t="s">
        <v>21</v>
      </c>
      <c r="D1709" t="str">
        <f>_xlfn.XLOOKUP(C1709,'Carrier Name Rename'!A:A,'Carrier Name Rename'!B:B)</f>
        <v>Hawaiian Airlines Inc.</v>
      </c>
      <c r="E1709" t="s">
        <v>23</v>
      </c>
      <c r="F1709" t="s">
        <v>24</v>
      </c>
      <c r="G1709">
        <v>60</v>
      </c>
      <c r="H1709">
        <v>15</v>
      </c>
      <c r="I1709">
        <v>14.61</v>
      </c>
      <c r="J1709">
        <v>0</v>
      </c>
      <c r="K1709">
        <v>0</v>
      </c>
      <c r="L1709">
        <v>0.39</v>
      </c>
      <c r="M1709">
        <v>0</v>
      </c>
      <c r="N1709">
        <v>0</v>
      </c>
      <c r="O1709">
        <v>0</v>
      </c>
      <c r="P1709">
        <v>493</v>
      </c>
      <c r="Q1709">
        <v>480</v>
      </c>
      <c r="R1709">
        <v>0</v>
      </c>
      <c r="S1709">
        <v>0</v>
      </c>
      <c r="T1709">
        <v>13</v>
      </c>
      <c r="U1709">
        <v>0</v>
      </c>
      <c r="V1709" s="1">
        <f t="shared" si="78"/>
        <v>0.25</v>
      </c>
      <c r="W1709" s="1">
        <f t="shared" si="79"/>
        <v>0</v>
      </c>
      <c r="X1709" s="1">
        <f t="shared" si="80"/>
        <v>0</v>
      </c>
    </row>
    <row r="1710" spans="1:24" x14ac:dyDescent="0.25">
      <c r="A1710">
        <v>2012</v>
      </c>
      <c r="B1710">
        <v>9</v>
      </c>
      <c r="C1710" t="s">
        <v>27</v>
      </c>
      <c r="D1710" t="str">
        <f>_xlfn.XLOOKUP(C1710,'Carrier Name Rename'!A:A,'Carrier Name Rename'!B:B)</f>
        <v>SkyWest Airlines Inc.</v>
      </c>
      <c r="E1710" t="s">
        <v>23</v>
      </c>
      <c r="F1710" t="s">
        <v>24</v>
      </c>
      <c r="G1710">
        <v>526</v>
      </c>
      <c r="H1710">
        <v>41</v>
      </c>
      <c r="I1710">
        <v>9.4</v>
      </c>
      <c r="J1710">
        <v>1.76</v>
      </c>
      <c r="K1710">
        <v>5.71</v>
      </c>
      <c r="L1710">
        <v>0</v>
      </c>
      <c r="M1710">
        <v>24.13</v>
      </c>
      <c r="N1710">
        <v>1</v>
      </c>
      <c r="O1710">
        <v>0</v>
      </c>
      <c r="P1710">
        <v>1807</v>
      </c>
      <c r="Q1710">
        <v>381</v>
      </c>
      <c r="R1710">
        <v>161</v>
      </c>
      <c r="S1710">
        <v>168</v>
      </c>
      <c r="T1710">
        <v>0</v>
      </c>
      <c r="U1710">
        <v>1097</v>
      </c>
      <c r="V1710" s="1">
        <f t="shared" si="78"/>
        <v>7.7899999999999997E-2</v>
      </c>
      <c r="W1710" s="1">
        <f t="shared" si="79"/>
        <v>1.9E-3</v>
      </c>
      <c r="X1710" s="1">
        <f t="shared" si="80"/>
        <v>0</v>
      </c>
    </row>
    <row r="1711" spans="1:24" x14ac:dyDescent="0.25">
      <c r="A1711">
        <v>2012</v>
      </c>
      <c r="B1711">
        <v>9</v>
      </c>
      <c r="C1711" t="s">
        <v>41</v>
      </c>
      <c r="D1711" t="str">
        <f>_xlfn.XLOOKUP(C1711,'Carrier Name Rename'!A:A,'Carrier Name Rename'!B:B)</f>
        <v>United Air Lines Inc.</v>
      </c>
      <c r="E1711" t="s">
        <v>23</v>
      </c>
      <c r="F1711" t="s">
        <v>24</v>
      </c>
      <c r="G1711">
        <v>911</v>
      </c>
      <c r="H1711">
        <v>150</v>
      </c>
      <c r="I1711">
        <v>68.47</v>
      </c>
      <c r="J1711">
        <v>1.19</v>
      </c>
      <c r="K1711">
        <v>32.15</v>
      </c>
      <c r="L1711">
        <v>0.59</v>
      </c>
      <c r="M1711">
        <v>47.6</v>
      </c>
      <c r="N1711">
        <v>2</v>
      </c>
      <c r="O1711">
        <v>3</v>
      </c>
      <c r="P1711">
        <v>7619</v>
      </c>
      <c r="Q1711">
        <v>3431</v>
      </c>
      <c r="R1711">
        <v>130</v>
      </c>
      <c r="S1711">
        <v>1070</v>
      </c>
      <c r="T1711">
        <v>16</v>
      </c>
      <c r="U1711">
        <v>2972</v>
      </c>
      <c r="V1711" s="1">
        <f t="shared" si="78"/>
        <v>0.16470000000000001</v>
      </c>
      <c r="W1711" s="1">
        <f t="shared" si="79"/>
        <v>2.2000000000000001E-3</v>
      </c>
      <c r="X1711" s="1">
        <f t="shared" si="80"/>
        <v>3.3E-3</v>
      </c>
    </row>
    <row r="1712" spans="1:24" x14ac:dyDescent="0.25">
      <c r="A1712">
        <v>2012</v>
      </c>
      <c r="B1712">
        <v>9</v>
      </c>
      <c r="C1712" t="s">
        <v>61</v>
      </c>
      <c r="D1712" t="str">
        <f>_xlfn.XLOOKUP(C1712,'Carrier Name Rename'!A:A,'Carrier Name Rename'!B:B)</f>
        <v>US Airways Inc.</v>
      </c>
      <c r="E1712" t="s">
        <v>23</v>
      </c>
      <c r="F1712" t="s">
        <v>24</v>
      </c>
      <c r="G1712">
        <v>310</v>
      </c>
      <c r="H1712">
        <v>33</v>
      </c>
      <c r="I1712">
        <v>9.27</v>
      </c>
      <c r="J1712">
        <v>0.57999999999999996</v>
      </c>
      <c r="K1712">
        <v>18.62</v>
      </c>
      <c r="L1712">
        <v>1.99</v>
      </c>
      <c r="M1712">
        <v>2.5299999999999998</v>
      </c>
      <c r="N1712">
        <v>0</v>
      </c>
      <c r="O1712">
        <v>0</v>
      </c>
      <c r="P1712">
        <v>1544</v>
      </c>
      <c r="Q1712">
        <v>503</v>
      </c>
      <c r="R1712">
        <v>45</v>
      </c>
      <c r="S1712">
        <v>768</v>
      </c>
      <c r="T1712">
        <v>68</v>
      </c>
      <c r="U1712">
        <v>160</v>
      </c>
      <c r="V1712" s="1">
        <f t="shared" si="78"/>
        <v>0.1065</v>
      </c>
      <c r="W1712" s="1">
        <f t="shared" si="79"/>
        <v>0</v>
      </c>
      <c r="X1712" s="1">
        <f t="shared" si="80"/>
        <v>0</v>
      </c>
    </row>
    <row r="1713" spans="1:24" x14ac:dyDescent="0.25">
      <c r="A1713">
        <v>2012</v>
      </c>
      <c r="B1713">
        <v>9</v>
      </c>
      <c r="C1713" t="s">
        <v>51</v>
      </c>
      <c r="D1713" t="str">
        <f>_xlfn.XLOOKUP(C1713,'Carrier Name Rename'!A:A,'Carrier Name Rename'!B:B)</f>
        <v>Virgin America</v>
      </c>
      <c r="E1713" t="s">
        <v>23</v>
      </c>
      <c r="F1713" t="s">
        <v>24</v>
      </c>
      <c r="G1713">
        <v>233</v>
      </c>
      <c r="H1713">
        <v>19</v>
      </c>
      <c r="I1713">
        <v>5.62</v>
      </c>
      <c r="J1713">
        <v>0.76</v>
      </c>
      <c r="K1713">
        <v>0.71</v>
      </c>
      <c r="L1713">
        <v>0</v>
      </c>
      <c r="M1713">
        <v>11.91</v>
      </c>
      <c r="N1713">
        <v>0</v>
      </c>
      <c r="O1713">
        <v>0</v>
      </c>
      <c r="P1713">
        <v>703</v>
      </c>
      <c r="Q1713">
        <v>174</v>
      </c>
      <c r="R1713">
        <v>20</v>
      </c>
      <c r="S1713">
        <v>29</v>
      </c>
      <c r="T1713">
        <v>0</v>
      </c>
      <c r="U1713">
        <v>480</v>
      </c>
      <c r="V1713" s="1">
        <f t="shared" si="78"/>
        <v>8.1500000000000003E-2</v>
      </c>
      <c r="W1713" s="1">
        <f t="shared" si="79"/>
        <v>0</v>
      </c>
      <c r="X1713" s="1">
        <f t="shared" si="80"/>
        <v>0</v>
      </c>
    </row>
    <row r="1714" spans="1:24" x14ac:dyDescent="0.25">
      <c r="A1714">
        <v>2012</v>
      </c>
      <c r="B1714">
        <v>9</v>
      </c>
      <c r="C1714" t="s">
        <v>43</v>
      </c>
      <c r="D1714" t="str">
        <f>_xlfn.XLOOKUP(C1714,'Carrier Name Rename'!A:A,'Carrier Name Rename'!B:B)</f>
        <v>Southwest Airlines Co.</v>
      </c>
      <c r="E1714" t="s">
        <v>23</v>
      </c>
      <c r="F1714" t="s">
        <v>24</v>
      </c>
      <c r="G1714">
        <v>1162</v>
      </c>
      <c r="H1714">
        <v>135</v>
      </c>
      <c r="I1714">
        <v>44.74</v>
      </c>
      <c r="J1714">
        <v>4.09</v>
      </c>
      <c r="K1714">
        <v>10.28</v>
      </c>
      <c r="L1714">
        <v>1.19</v>
      </c>
      <c r="M1714">
        <v>74.69</v>
      </c>
      <c r="N1714">
        <v>0</v>
      </c>
      <c r="O1714">
        <v>1</v>
      </c>
      <c r="P1714">
        <v>5621</v>
      </c>
      <c r="Q1714">
        <v>2110</v>
      </c>
      <c r="R1714">
        <v>283</v>
      </c>
      <c r="S1714">
        <v>250</v>
      </c>
      <c r="T1714">
        <v>75</v>
      </c>
      <c r="U1714">
        <v>2903</v>
      </c>
      <c r="V1714" s="1">
        <f t="shared" si="78"/>
        <v>0.1162</v>
      </c>
      <c r="W1714" s="1">
        <f t="shared" si="79"/>
        <v>0</v>
      </c>
      <c r="X1714" s="1">
        <f t="shared" si="80"/>
        <v>8.9999999999999998E-4</v>
      </c>
    </row>
    <row r="1715" spans="1:24" x14ac:dyDescent="0.25">
      <c r="A1715">
        <v>2012</v>
      </c>
      <c r="B1715">
        <v>8</v>
      </c>
      <c r="C1715" t="s">
        <v>31</v>
      </c>
      <c r="D1715" t="str">
        <f>_xlfn.XLOOKUP(C1715,'Carrier Name Rename'!A:A,'Carrier Name Rename'!B:B)</f>
        <v>American Airlines Inc.</v>
      </c>
      <c r="E1715" t="s">
        <v>23</v>
      </c>
      <c r="F1715" t="s">
        <v>24</v>
      </c>
      <c r="G1715">
        <v>510</v>
      </c>
      <c r="H1715">
        <v>137</v>
      </c>
      <c r="I1715">
        <v>47.92</v>
      </c>
      <c r="J1715">
        <v>8.51</v>
      </c>
      <c r="K1715">
        <v>43.63</v>
      </c>
      <c r="L1715">
        <v>0</v>
      </c>
      <c r="M1715">
        <v>36.94</v>
      </c>
      <c r="N1715">
        <v>3</v>
      </c>
      <c r="O1715">
        <v>0</v>
      </c>
      <c r="P1715">
        <v>8051</v>
      </c>
      <c r="Q1715">
        <v>2491</v>
      </c>
      <c r="R1715">
        <v>1198</v>
      </c>
      <c r="S1715">
        <v>1770</v>
      </c>
      <c r="T1715">
        <v>0</v>
      </c>
      <c r="U1715">
        <v>2592</v>
      </c>
      <c r="V1715" s="1">
        <f t="shared" si="78"/>
        <v>0.26860000000000001</v>
      </c>
      <c r="W1715" s="1">
        <f t="shared" si="79"/>
        <v>5.8999999999999999E-3</v>
      </c>
      <c r="X1715" s="1">
        <f t="shared" si="80"/>
        <v>0</v>
      </c>
    </row>
    <row r="1716" spans="1:24" x14ac:dyDescent="0.25">
      <c r="A1716">
        <v>2012</v>
      </c>
      <c r="B1716">
        <v>8</v>
      </c>
      <c r="C1716" t="s">
        <v>33</v>
      </c>
      <c r="D1716" t="str">
        <f>_xlfn.XLOOKUP(C1716,'Carrier Name Rename'!A:A,'Carrier Name Rename'!B:B)</f>
        <v>Alaska Airlines Inc.</v>
      </c>
      <c r="E1716" t="s">
        <v>23</v>
      </c>
      <c r="F1716" t="s">
        <v>24</v>
      </c>
      <c r="G1716">
        <v>4168</v>
      </c>
      <c r="H1716">
        <v>328</v>
      </c>
      <c r="I1716">
        <v>93.67</v>
      </c>
      <c r="J1716">
        <v>5.04</v>
      </c>
      <c r="K1716">
        <v>74.650000000000006</v>
      </c>
      <c r="L1716">
        <v>3.65</v>
      </c>
      <c r="M1716">
        <v>150.99</v>
      </c>
      <c r="N1716">
        <v>13</v>
      </c>
      <c r="O1716">
        <v>4</v>
      </c>
      <c r="P1716">
        <v>19877</v>
      </c>
      <c r="Q1716">
        <v>7528</v>
      </c>
      <c r="R1716">
        <v>294</v>
      </c>
      <c r="S1716">
        <v>2760</v>
      </c>
      <c r="T1716">
        <v>70</v>
      </c>
      <c r="U1716">
        <v>9225</v>
      </c>
      <c r="V1716" s="1">
        <f t="shared" si="78"/>
        <v>7.8700000000000006E-2</v>
      </c>
      <c r="W1716" s="1">
        <f t="shared" si="79"/>
        <v>3.0999999999999999E-3</v>
      </c>
      <c r="X1716" s="1">
        <f t="shared" si="80"/>
        <v>1E-3</v>
      </c>
    </row>
    <row r="1717" spans="1:24" x14ac:dyDescent="0.25">
      <c r="A1717">
        <v>2012</v>
      </c>
      <c r="B1717">
        <v>8</v>
      </c>
      <c r="C1717" t="s">
        <v>35</v>
      </c>
      <c r="D1717" t="str">
        <f>_xlfn.XLOOKUP(C1717,'Carrier Name Rename'!A:A,'Carrier Name Rename'!B:B)</f>
        <v>JetBlue Airways</v>
      </c>
      <c r="E1717" t="s">
        <v>23</v>
      </c>
      <c r="F1717" t="s">
        <v>24</v>
      </c>
      <c r="G1717">
        <v>217</v>
      </c>
      <c r="H1717">
        <v>40</v>
      </c>
      <c r="I1717">
        <v>16.23</v>
      </c>
      <c r="J1717">
        <v>0.25</v>
      </c>
      <c r="K1717">
        <v>12.03</v>
      </c>
      <c r="L1717">
        <v>0</v>
      </c>
      <c r="M1717">
        <v>11.5</v>
      </c>
      <c r="N1717">
        <v>0</v>
      </c>
      <c r="O1717">
        <v>0</v>
      </c>
      <c r="P1717">
        <v>2199</v>
      </c>
      <c r="Q1717">
        <v>924</v>
      </c>
      <c r="R1717">
        <v>14</v>
      </c>
      <c r="S1717">
        <v>415</v>
      </c>
      <c r="T1717">
        <v>0</v>
      </c>
      <c r="U1717">
        <v>846</v>
      </c>
      <c r="V1717" s="1">
        <f t="shared" si="78"/>
        <v>0.18429999999999999</v>
      </c>
      <c r="W1717" s="1">
        <f t="shared" si="79"/>
        <v>0</v>
      </c>
      <c r="X1717" s="1">
        <f t="shared" si="80"/>
        <v>0</v>
      </c>
    </row>
    <row r="1718" spans="1:24" x14ac:dyDescent="0.25">
      <c r="A1718">
        <v>2012</v>
      </c>
      <c r="B1718">
        <v>8</v>
      </c>
      <c r="C1718" t="s">
        <v>37</v>
      </c>
      <c r="D1718" t="str">
        <f>_xlfn.XLOOKUP(C1718,'Carrier Name Rename'!A:A,'Carrier Name Rename'!B:B)</f>
        <v>Delta Air Lines Inc.</v>
      </c>
      <c r="E1718" t="s">
        <v>23</v>
      </c>
      <c r="F1718" t="s">
        <v>24</v>
      </c>
      <c r="G1718">
        <v>915</v>
      </c>
      <c r="H1718">
        <v>145</v>
      </c>
      <c r="I1718">
        <v>58.17</v>
      </c>
      <c r="J1718">
        <v>2.94</v>
      </c>
      <c r="K1718">
        <v>51.06</v>
      </c>
      <c r="L1718">
        <v>0</v>
      </c>
      <c r="M1718">
        <v>32.83</v>
      </c>
      <c r="N1718">
        <v>1</v>
      </c>
      <c r="O1718">
        <v>0</v>
      </c>
      <c r="P1718">
        <v>6224</v>
      </c>
      <c r="Q1718">
        <v>2190</v>
      </c>
      <c r="R1718">
        <v>250</v>
      </c>
      <c r="S1718">
        <v>1831</v>
      </c>
      <c r="T1718">
        <v>0</v>
      </c>
      <c r="U1718">
        <v>1953</v>
      </c>
      <c r="V1718" s="1">
        <f t="shared" si="78"/>
        <v>0.1585</v>
      </c>
      <c r="W1718" s="1">
        <f t="shared" si="79"/>
        <v>1.1000000000000001E-3</v>
      </c>
      <c r="X1718" s="1">
        <f t="shared" si="80"/>
        <v>0</v>
      </c>
    </row>
    <row r="1719" spans="1:24" x14ac:dyDescent="0.25">
      <c r="A1719">
        <v>2012</v>
      </c>
      <c r="B1719">
        <v>8</v>
      </c>
      <c r="C1719" t="s">
        <v>39</v>
      </c>
      <c r="D1719" t="str">
        <f>_xlfn.XLOOKUP(C1719,'Carrier Name Rename'!A:A,'Carrier Name Rename'!B:B)</f>
        <v>Frontier Airlines Inc.</v>
      </c>
      <c r="E1719" t="s">
        <v>23</v>
      </c>
      <c r="F1719" t="s">
        <v>24</v>
      </c>
      <c r="G1719">
        <v>191</v>
      </c>
      <c r="H1719">
        <v>28</v>
      </c>
      <c r="I1719">
        <v>8.0500000000000007</v>
      </c>
      <c r="J1719">
        <v>0.76</v>
      </c>
      <c r="K1719">
        <v>12.45</v>
      </c>
      <c r="L1719">
        <v>0</v>
      </c>
      <c r="M1719">
        <v>6.74</v>
      </c>
      <c r="N1719">
        <v>0</v>
      </c>
      <c r="O1719">
        <v>0</v>
      </c>
      <c r="P1719">
        <v>1010</v>
      </c>
      <c r="Q1719">
        <v>275</v>
      </c>
      <c r="R1719">
        <v>19</v>
      </c>
      <c r="S1719">
        <v>325</v>
      </c>
      <c r="T1719">
        <v>0</v>
      </c>
      <c r="U1719">
        <v>391</v>
      </c>
      <c r="V1719" s="1">
        <f t="shared" si="78"/>
        <v>0.14660000000000001</v>
      </c>
      <c r="W1719" s="1">
        <f t="shared" si="79"/>
        <v>0</v>
      </c>
      <c r="X1719" s="1">
        <f t="shared" si="80"/>
        <v>0</v>
      </c>
    </row>
    <row r="1720" spans="1:24" x14ac:dyDescent="0.25">
      <c r="A1720">
        <v>2012</v>
      </c>
      <c r="B1720">
        <v>8</v>
      </c>
      <c r="C1720" t="s">
        <v>63</v>
      </c>
      <c r="D1720" t="str">
        <f>_xlfn.XLOOKUP(C1720,'Carrier Name Rename'!A:A,'Carrier Name Rename'!B:B)</f>
        <v>AirTran Airways Corporation</v>
      </c>
      <c r="E1720" t="s">
        <v>23</v>
      </c>
      <c r="F1720" t="s">
        <v>24</v>
      </c>
      <c r="G1720">
        <v>70</v>
      </c>
      <c r="H1720">
        <v>12</v>
      </c>
      <c r="I1720">
        <v>4.29</v>
      </c>
      <c r="J1720">
        <v>0</v>
      </c>
      <c r="K1720">
        <v>1.72</v>
      </c>
      <c r="L1720">
        <v>0</v>
      </c>
      <c r="M1720">
        <v>5.98</v>
      </c>
      <c r="N1720">
        <v>0</v>
      </c>
      <c r="O1720">
        <v>0</v>
      </c>
      <c r="P1720">
        <v>492</v>
      </c>
      <c r="Q1720">
        <v>151</v>
      </c>
      <c r="R1720">
        <v>0</v>
      </c>
      <c r="S1720">
        <v>38</v>
      </c>
      <c r="T1720">
        <v>0</v>
      </c>
      <c r="U1720">
        <v>303</v>
      </c>
      <c r="V1720" s="1">
        <f t="shared" si="78"/>
        <v>0.1714</v>
      </c>
      <c r="W1720" s="1">
        <f t="shared" si="79"/>
        <v>0</v>
      </c>
      <c r="X1720" s="1">
        <f t="shared" si="80"/>
        <v>0</v>
      </c>
    </row>
    <row r="1721" spans="1:24" x14ac:dyDescent="0.25">
      <c r="A1721">
        <v>2012</v>
      </c>
      <c r="B1721">
        <v>8</v>
      </c>
      <c r="C1721" t="s">
        <v>21</v>
      </c>
      <c r="D1721" t="str">
        <f>_xlfn.XLOOKUP(C1721,'Carrier Name Rename'!A:A,'Carrier Name Rename'!B:B)</f>
        <v>Hawaiian Airlines Inc.</v>
      </c>
      <c r="E1721" t="s">
        <v>23</v>
      </c>
      <c r="F1721" t="s">
        <v>24</v>
      </c>
      <c r="G1721">
        <v>62</v>
      </c>
      <c r="H1721">
        <v>9</v>
      </c>
      <c r="I1721">
        <v>9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778</v>
      </c>
      <c r="Q1721">
        <v>778</v>
      </c>
      <c r="R1721">
        <v>0</v>
      </c>
      <c r="S1721">
        <v>0</v>
      </c>
      <c r="T1721">
        <v>0</v>
      </c>
      <c r="U1721">
        <v>0</v>
      </c>
      <c r="V1721" s="1">
        <f t="shared" si="78"/>
        <v>0.1452</v>
      </c>
      <c r="W1721" s="1">
        <f t="shared" si="79"/>
        <v>0</v>
      </c>
      <c r="X1721" s="1">
        <f t="shared" si="80"/>
        <v>0</v>
      </c>
    </row>
    <row r="1722" spans="1:24" x14ac:dyDescent="0.25">
      <c r="A1722">
        <v>2012</v>
      </c>
      <c r="B1722">
        <v>8</v>
      </c>
      <c r="C1722" t="s">
        <v>27</v>
      </c>
      <c r="D1722" t="str">
        <f>_xlfn.XLOOKUP(C1722,'Carrier Name Rename'!A:A,'Carrier Name Rename'!B:B)</f>
        <v>SkyWest Airlines Inc.</v>
      </c>
      <c r="E1722" t="s">
        <v>23</v>
      </c>
      <c r="F1722" t="s">
        <v>24</v>
      </c>
      <c r="G1722">
        <v>560</v>
      </c>
      <c r="H1722">
        <v>41</v>
      </c>
      <c r="I1722">
        <v>17.46</v>
      </c>
      <c r="J1722">
        <v>0</v>
      </c>
      <c r="K1722">
        <v>7.76</v>
      </c>
      <c r="L1722">
        <v>0</v>
      </c>
      <c r="M1722">
        <v>15.78</v>
      </c>
      <c r="N1722">
        <v>2</v>
      </c>
      <c r="O1722">
        <v>0</v>
      </c>
      <c r="P1722">
        <v>1518</v>
      </c>
      <c r="Q1722">
        <v>663</v>
      </c>
      <c r="R1722">
        <v>0</v>
      </c>
      <c r="S1722">
        <v>178</v>
      </c>
      <c r="T1722">
        <v>0</v>
      </c>
      <c r="U1722">
        <v>677</v>
      </c>
      <c r="V1722" s="1">
        <f t="shared" si="78"/>
        <v>7.3200000000000001E-2</v>
      </c>
      <c r="W1722" s="1">
        <f t="shared" si="79"/>
        <v>3.5999999999999999E-3</v>
      </c>
      <c r="X1722" s="1">
        <f t="shared" si="80"/>
        <v>0</v>
      </c>
    </row>
    <row r="1723" spans="1:24" x14ac:dyDescent="0.25">
      <c r="A1723">
        <v>2012</v>
      </c>
      <c r="B1723">
        <v>8</v>
      </c>
      <c r="C1723" t="s">
        <v>41</v>
      </c>
      <c r="D1723" t="str">
        <f>_xlfn.XLOOKUP(C1723,'Carrier Name Rename'!A:A,'Carrier Name Rename'!B:B)</f>
        <v>United Air Lines Inc.</v>
      </c>
      <c r="E1723" t="s">
        <v>23</v>
      </c>
      <c r="F1723" t="s">
        <v>24</v>
      </c>
      <c r="G1723">
        <v>1085</v>
      </c>
      <c r="H1723">
        <v>303</v>
      </c>
      <c r="I1723">
        <v>140.4</v>
      </c>
      <c r="J1723">
        <v>3.52</v>
      </c>
      <c r="K1723">
        <v>61.61</v>
      </c>
      <c r="L1723">
        <v>1</v>
      </c>
      <c r="M1723">
        <v>96.47</v>
      </c>
      <c r="N1723">
        <v>3</v>
      </c>
      <c r="O1723">
        <v>1</v>
      </c>
      <c r="P1723">
        <v>18834</v>
      </c>
      <c r="Q1723">
        <v>8332</v>
      </c>
      <c r="R1723">
        <v>165</v>
      </c>
      <c r="S1723">
        <v>3112</v>
      </c>
      <c r="T1723">
        <v>28</v>
      </c>
      <c r="U1723">
        <v>7197</v>
      </c>
      <c r="V1723" s="1">
        <f t="shared" si="78"/>
        <v>0.27929999999999999</v>
      </c>
      <c r="W1723" s="1">
        <f t="shared" si="79"/>
        <v>2.8E-3</v>
      </c>
      <c r="X1723" s="1">
        <f t="shared" si="80"/>
        <v>8.9999999999999998E-4</v>
      </c>
    </row>
    <row r="1724" spans="1:24" x14ac:dyDescent="0.25">
      <c r="A1724">
        <v>2012</v>
      </c>
      <c r="B1724">
        <v>8</v>
      </c>
      <c r="C1724" t="s">
        <v>61</v>
      </c>
      <c r="D1724" t="str">
        <f>_xlfn.XLOOKUP(C1724,'Carrier Name Rename'!A:A,'Carrier Name Rename'!B:B)</f>
        <v>US Airways Inc.</v>
      </c>
      <c r="E1724" t="s">
        <v>23</v>
      </c>
      <c r="F1724" t="s">
        <v>24</v>
      </c>
      <c r="G1724">
        <v>377</v>
      </c>
      <c r="H1724">
        <v>64</v>
      </c>
      <c r="I1724">
        <v>23.03</v>
      </c>
      <c r="J1724">
        <v>2.98</v>
      </c>
      <c r="K1724">
        <v>30.4</v>
      </c>
      <c r="L1724">
        <v>0.99</v>
      </c>
      <c r="M1724">
        <v>6.6</v>
      </c>
      <c r="N1724">
        <v>0</v>
      </c>
      <c r="O1724">
        <v>1</v>
      </c>
      <c r="P1724">
        <v>3406</v>
      </c>
      <c r="Q1724">
        <v>1344</v>
      </c>
      <c r="R1724">
        <v>507</v>
      </c>
      <c r="S1724">
        <v>1087</v>
      </c>
      <c r="T1724">
        <v>25</v>
      </c>
      <c r="U1724">
        <v>443</v>
      </c>
      <c r="V1724" s="1">
        <f t="shared" si="78"/>
        <v>0.16980000000000001</v>
      </c>
      <c r="W1724" s="1">
        <f t="shared" si="79"/>
        <v>0</v>
      </c>
      <c r="X1724" s="1">
        <f t="shared" si="80"/>
        <v>2.7000000000000001E-3</v>
      </c>
    </row>
    <row r="1725" spans="1:24" x14ac:dyDescent="0.25">
      <c r="A1725">
        <v>2012</v>
      </c>
      <c r="B1725">
        <v>8</v>
      </c>
      <c r="C1725" t="s">
        <v>51</v>
      </c>
      <c r="D1725" t="str">
        <f>_xlfn.XLOOKUP(C1725,'Carrier Name Rename'!A:A,'Carrier Name Rename'!B:B)</f>
        <v>Virgin America</v>
      </c>
      <c r="E1725" t="s">
        <v>23</v>
      </c>
      <c r="F1725" t="s">
        <v>24</v>
      </c>
      <c r="G1725">
        <v>269</v>
      </c>
      <c r="H1725">
        <v>28</v>
      </c>
      <c r="I1725">
        <v>6.96</v>
      </c>
      <c r="J1725">
        <v>1.88</v>
      </c>
      <c r="K1725">
        <v>0.25</v>
      </c>
      <c r="L1725">
        <v>0</v>
      </c>
      <c r="M1725">
        <v>18.91</v>
      </c>
      <c r="N1725">
        <v>0</v>
      </c>
      <c r="O1725">
        <v>0</v>
      </c>
      <c r="P1725">
        <v>1442</v>
      </c>
      <c r="Q1725">
        <v>245</v>
      </c>
      <c r="R1725">
        <v>48</v>
      </c>
      <c r="S1725">
        <v>16</v>
      </c>
      <c r="T1725">
        <v>0</v>
      </c>
      <c r="U1725">
        <v>1133</v>
      </c>
      <c r="V1725" s="1">
        <f t="shared" si="78"/>
        <v>0.1041</v>
      </c>
      <c r="W1725" s="1">
        <f t="shared" si="79"/>
        <v>0</v>
      </c>
      <c r="X1725" s="1">
        <f t="shared" si="80"/>
        <v>0</v>
      </c>
    </row>
    <row r="1726" spans="1:24" x14ac:dyDescent="0.25">
      <c r="A1726">
        <v>2012</v>
      </c>
      <c r="B1726">
        <v>8</v>
      </c>
      <c r="C1726" t="s">
        <v>43</v>
      </c>
      <c r="D1726" t="str">
        <f>_xlfn.XLOOKUP(C1726,'Carrier Name Rename'!A:A,'Carrier Name Rename'!B:B)</f>
        <v>Southwest Airlines Co.</v>
      </c>
      <c r="E1726" t="s">
        <v>23</v>
      </c>
      <c r="F1726" t="s">
        <v>24</v>
      </c>
      <c r="G1726">
        <v>1279</v>
      </c>
      <c r="H1726">
        <v>244</v>
      </c>
      <c r="I1726">
        <v>100.29</v>
      </c>
      <c r="J1726">
        <v>2.72</v>
      </c>
      <c r="K1726">
        <v>23.16</v>
      </c>
      <c r="L1726">
        <v>0.47</v>
      </c>
      <c r="M1726">
        <v>117.36</v>
      </c>
      <c r="N1726">
        <v>1</v>
      </c>
      <c r="O1726">
        <v>0</v>
      </c>
      <c r="P1726">
        <v>11140</v>
      </c>
      <c r="Q1726">
        <v>4398</v>
      </c>
      <c r="R1726">
        <v>148</v>
      </c>
      <c r="S1726">
        <v>702</v>
      </c>
      <c r="T1726">
        <v>7</v>
      </c>
      <c r="U1726">
        <v>5885</v>
      </c>
      <c r="V1726" s="1">
        <f t="shared" si="78"/>
        <v>0.1908</v>
      </c>
      <c r="W1726" s="1">
        <f t="shared" si="79"/>
        <v>8.0000000000000004E-4</v>
      </c>
      <c r="X1726" s="1">
        <f t="shared" si="80"/>
        <v>0</v>
      </c>
    </row>
    <row r="1727" spans="1:24" x14ac:dyDescent="0.25">
      <c r="A1727">
        <v>2012</v>
      </c>
      <c r="B1727">
        <v>7</v>
      </c>
      <c r="C1727" t="s">
        <v>21</v>
      </c>
      <c r="D1727" t="str">
        <f>_xlfn.XLOOKUP(C1727,'Carrier Name Rename'!A:A,'Carrier Name Rename'!B:B)</f>
        <v>Hawaiian Airlines Inc.</v>
      </c>
      <c r="E1727" t="s">
        <v>23</v>
      </c>
      <c r="F1727" t="s">
        <v>24</v>
      </c>
      <c r="G1727">
        <v>62</v>
      </c>
      <c r="H1727">
        <v>13</v>
      </c>
      <c r="I1727">
        <v>10.16</v>
      </c>
      <c r="J1727">
        <v>0</v>
      </c>
      <c r="K1727">
        <v>0</v>
      </c>
      <c r="L1727">
        <v>0</v>
      </c>
      <c r="M1727">
        <v>2.84</v>
      </c>
      <c r="N1727">
        <v>0</v>
      </c>
      <c r="O1727">
        <v>0</v>
      </c>
      <c r="P1727">
        <v>1038</v>
      </c>
      <c r="Q1727">
        <v>954</v>
      </c>
      <c r="R1727">
        <v>0</v>
      </c>
      <c r="S1727">
        <v>0</v>
      </c>
      <c r="T1727">
        <v>0</v>
      </c>
      <c r="U1727">
        <v>84</v>
      </c>
      <c r="V1727" s="1">
        <f t="shared" si="78"/>
        <v>0.2097</v>
      </c>
      <c r="W1727" s="1">
        <f t="shared" si="79"/>
        <v>0</v>
      </c>
      <c r="X1727" s="1">
        <f t="shared" si="80"/>
        <v>0</v>
      </c>
    </row>
    <row r="1728" spans="1:24" x14ac:dyDescent="0.25">
      <c r="A1728">
        <v>2012</v>
      </c>
      <c r="B1728">
        <v>7</v>
      </c>
      <c r="C1728" t="s">
        <v>27</v>
      </c>
      <c r="D1728" t="str">
        <f>_xlfn.XLOOKUP(C1728,'Carrier Name Rename'!A:A,'Carrier Name Rename'!B:B)</f>
        <v>SkyWest Airlines Inc.</v>
      </c>
      <c r="E1728" t="s">
        <v>23</v>
      </c>
      <c r="F1728" t="s">
        <v>24</v>
      </c>
      <c r="G1728">
        <v>556</v>
      </c>
      <c r="H1728">
        <v>50</v>
      </c>
      <c r="I1728">
        <v>14.77</v>
      </c>
      <c r="J1728">
        <v>1.98</v>
      </c>
      <c r="K1728">
        <v>6.01</v>
      </c>
      <c r="L1728">
        <v>0</v>
      </c>
      <c r="M1728">
        <v>27.24</v>
      </c>
      <c r="N1728">
        <v>7</v>
      </c>
      <c r="O1728">
        <v>0</v>
      </c>
      <c r="P1728">
        <v>2059</v>
      </c>
      <c r="Q1728">
        <v>476</v>
      </c>
      <c r="R1728">
        <v>158</v>
      </c>
      <c r="S1728">
        <v>142</v>
      </c>
      <c r="T1728">
        <v>0</v>
      </c>
      <c r="U1728">
        <v>1283</v>
      </c>
      <c r="V1728" s="1">
        <f t="shared" si="78"/>
        <v>8.9899999999999994E-2</v>
      </c>
      <c r="W1728" s="1">
        <f t="shared" si="79"/>
        <v>1.26E-2</v>
      </c>
      <c r="X1728" s="1">
        <f t="shared" si="80"/>
        <v>0</v>
      </c>
    </row>
    <row r="1729" spans="1:24" x14ac:dyDescent="0.25">
      <c r="A1729">
        <v>2012</v>
      </c>
      <c r="B1729">
        <v>7</v>
      </c>
      <c r="C1729" t="s">
        <v>41</v>
      </c>
      <c r="D1729" t="str">
        <f>_xlfn.XLOOKUP(C1729,'Carrier Name Rename'!A:A,'Carrier Name Rename'!B:B)</f>
        <v>United Air Lines Inc.</v>
      </c>
      <c r="E1729" t="s">
        <v>23</v>
      </c>
      <c r="F1729" t="s">
        <v>24</v>
      </c>
      <c r="G1729">
        <v>1111</v>
      </c>
      <c r="H1729">
        <v>371</v>
      </c>
      <c r="I1729">
        <v>146.05000000000001</v>
      </c>
      <c r="J1729">
        <v>14.24</v>
      </c>
      <c r="K1729">
        <v>50.13</v>
      </c>
      <c r="L1729">
        <v>1.81</v>
      </c>
      <c r="M1729">
        <v>158.76</v>
      </c>
      <c r="N1729">
        <v>14</v>
      </c>
      <c r="O1729">
        <v>0</v>
      </c>
      <c r="P1729">
        <v>24210</v>
      </c>
      <c r="Q1729">
        <v>8067</v>
      </c>
      <c r="R1729">
        <v>1271</v>
      </c>
      <c r="S1729">
        <v>2806</v>
      </c>
      <c r="T1729">
        <v>64</v>
      </c>
      <c r="U1729">
        <v>12002</v>
      </c>
      <c r="V1729" s="1">
        <f t="shared" si="78"/>
        <v>0.33389999999999997</v>
      </c>
      <c r="W1729" s="1">
        <f t="shared" si="79"/>
        <v>1.26E-2</v>
      </c>
      <c r="X1729" s="1">
        <f t="shared" si="80"/>
        <v>0</v>
      </c>
    </row>
    <row r="1730" spans="1:24" x14ac:dyDescent="0.25">
      <c r="A1730">
        <v>2012</v>
      </c>
      <c r="B1730">
        <v>7</v>
      </c>
      <c r="C1730" t="s">
        <v>61</v>
      </c>
      <c r="D1730" t="str">
        <f>_xlfn.XLOOKUP(C1730,'Carrier Name Rename'!A:A,'Carrier Name Rename'!B:B)</f>
        <v>US Airways Inc.</v>
      </c>
      <c r="E1730" t="s">
        <v>23</v>
      </c>
      <c r="F1730" t="s">
        <v>24</v>
      </c>
      <c r="G1730">
        <v>392</v>
      </c>
      <c r="H1730">
        <v>58</v>
      </c>
      <c r="I1730">
        <v>24.3</v>
      </c>
      <c r="J1730">
        <v>3.33</v>
      </c>
      <c r="K1730">
        <v>19.91</v>
      </c>
      <c r="L1730">
        <v>0.63</v>
      </c>
      <c r="M1730">
        <v>9.84</v>
      </c>
      <c r="N1730">
        <v>5</v>
      </c>
      <c r="O1730">
        <v>1</v>
      </c>
      <c r="P1730">
        <v>3621</v>
      </c>
      <c r="Q1730">
        <v>1438</v>
      </c>
      <c r="R1730">
        <v>392</v>
      </c>
      <c r="S1730">
        <v>1086</v>
      </c>
      <c r="T1730">
        <v>10</v>
      </c>
      <c r="U1730">
        <v>695</v>
      </c>
      <c r="V1730" s="1">
        <f t="shared" si="78"/>
        <v>0.14799999999999999</v>
      </c>
      <c r="W1730" s="1">
        <f t="shared" si="79"/>
        <v>1.2800000000000001E-2</v>
      </c>
      <c r="X1730" s="1">
        <f t="shared" si="80"/>
        <v>2.5999999999999999E-3</v>
      </c>
    </row>
    <row r="1731" spans="1:24" x14ac:dyDescent="0.25">
      <c r="A1731">
        <v>2012</v>
      </c>
      <c r="B1731">
        <v>7</v>
      </c>
      <c r="C1731" t="s">
        <v>51</v>
      </c>
      <c r="D1731" t="str">
        <f>_xlfn.XLOOKUP(C1731,'Carrier Name Rename'!A:A,'Carrier Name Rename'!B:B)</f>
        <v>Virgin America</v>
      </c>
      <c r="E1731" t="s">
        <v>23</v>
      </c>
      <c r="F1731" t="s">
        <v>24</v>
      </c>
      <c r="G1731">
        <v>271</v>
      </c>
      <c r="H1731">
        <v>36</v>
      </c>
      <c r="I1731">
        <v>8.5399999999999991</v>
      </c>
      <c r="J1731">
        <v>0.25</v>
      </c>
      <c r="K1731">
        <v>3.75</v>
      </c>
      <c r="L1731">
        <v>0</v>
      </c>
      <c r="M1731">
        <v>23.47</v>
      </c>
      <c r="N1731">
        <v>0</v>
      </c>
      <c r="O1731">
        <v>0</v>
      </c>
      <c r="P1731">
        <v>2322</v>
      </c>
      <c r="Q1731">
        <v>309</v>
      </c>
      <c r="R1731">
        <v>6</v>
      </c>
      <c r="S1731">
        <v>75</v>
      </c>
      <c r="T1731">
        <v>0</v>
      </c>
      <c r="U1731">
        <v>1932</v>
      </c>
      <c r="V1731" s="1">
        <f t="shared" ref="V1731:V1794" si="81">ROUND(H1731/G1731,4)</f>
        <v>0.1328</v>
      </c>
      <c r="W1731" s="1">
        <f t="shared" ref="W1731:W1794" si="82">ROUND(N1731/G1731,4)</f>
        <v>0</v>
      </c>
      <c r="X1731" s="1">
        <f t="shared" ref="X1731:X1794" si="83">ROUND(O1731/G1731,4)</f>
        <v>0</v>
      </c>
    </row>
    <row r="1732" spans="1:24" x14ac:dyDescent="0.25">
      <c r="A1732">
        <v>2012</v>
      </c>
      <c r="B1732">
        <v>7</v>
      </c>
      <c r="C1732" t="s">
        <v>43</v>
      </c>
      <c r="D1732" t="str">
        <f>_xlfn.XLOOKUP(C1732,'Carrier Name Rename'!A:A,'Carrier Name Rename'!B:B)</f>
        <v>Southwest Airlines Co.</v>
      </c>
      <c r="E1732" t="s">
        <v>23</v>
      </c>
      <c r="F1732" t="s">
        <v>24</v>
      </c>
      <c r="G1732">
        <v>1334</v>
      </c>
      <c r="H1732">
        <v>221</v>
      </c>
      <c r="I1732">
        <v>107.81</v>
      </c>
      <c r="J1732">
        <v>1.25</v>
      </c>
      <c r="K1732">
        <v>12.26</v>
      </c>
      <c r="L1732">
        <v>1</v>
      </c>
      <c r="M1732">
        <v>98.68</v>
      </c>
      <c r="N1732">
        <v>1</v>
      </c>
      <c r="O1732">
        <v>5</v>
      </c>
      <c r="P1732">
        <v>11197</v>
      </c>
      <c r="Q1732">
        <v>5328</v>
      </c>
      <c r="R1732">
        <v>74</v>
      </c>
      <c r="S1732">
        <v>348</v>
      </c>
      <c r="T1732">
        <v>18</v>
      </c>
      <c r="U1732">
        <v>5429</v>
      </c>
      <c r="V1732" s="1">
        <f t="shared" si="81"/>
        <v>0.16569999999999999</v>
      </c>
      <c r="W1732" s="1">
        <f t="shared" si="82"/>
        <v>6.9999999999999999E-4</v>
      </c>
      <c r="X1732" s="1">
        <f t="shared" si="83"/>
        <v>3.7000000000000002E-3</v>
      </c>
    </row>
    <row r="1733" spans="1:24" x14ac:dyDescent="0.25">
      <c r="A1733">
        <v>2012</v>
      </c>
      <c r="B1733">
        <v>7</v>
      </c>
      <c r="C1733" t="s">
        <v>31</v>
      </c>
      <c r="D1733" t="str">
        <f>_xlfn.XLOOKUP(C1733,'Carrier Name Rename'!A:A,'Carrier Name Rename'!B:B)</f>
        <v>American Airlines Inc.</v>
      </c>
      <c r="E1733" t="s">
        <v>23</v>
      </c>
      <c r="F1733" t="s">
        <v>24</v>
      </c>
      <c r="G1733">
        <v>516</v>
      </c>
      <c r="H1733">
        <v>112</v>
      </c>
      <c r="I1733">
        <v>40.99</v>
      </c>
      <c r="J1733">
        <v>15.61</v>
      </c>
      <c r="K1733">
        <v>21.13</v>
      </c>
      <c r="L1733">
        <v>0</v>
      </c>
      <c r="M1733">
        <v>34.270000000000003</v>
      </c>
      <c r="N1733">
        <v>1</v>
      </c>
      <c r="O1733">
        <v>0</v>
      </c>
      <c r="P1733">
        <v>6382</v>
      </c>
      <c r="Q1733">
        <v>1814</v>
      </c>
      <c r="R1733">
        <v>1395</v>
      </c>
      <c r="S1733">
        <v>833</v>
      </c>
      <c r="T1733">
        <v>0</v>
      </c>
      <c r="U1733">
        <v>2340</v>
      </c>
      <c r="V1733" s="1">
        <f t="shared" si="81"/>
        <v>0.21709999999999999</v>
      </c>
      <c r="W1733" s="1">
        <f t="shared" si="82"/>
        <v>1.9E-3</v>
      </c>
      <c r="X1733" s="1">
        <f t="shared" si="83"/>
        <v>0</v>
      </c>
    </row>
    <row r="1734" spans="1:24" x14ac:dyDescent="0.25">
      <c r="A1734">
        <v>2012</v>
      </c>
      <c r="B1734">
        <v>7</v>
      </c>
      <c r="C1734" t="s">
        <v>33</v>
      </c>
      <c r="D1734" t="str">
        <f>_xlfn.XLOOKUP(C1734,'Carrier Name Rename'!A:A,'Carrier Name Rename'!B:B)</f>
        <v>Alaska Airlines Inc.</v>
      </c>
      <c r="E1734" t="s">
        <v>23</v>
      </c>
      <c r="F1734" t="s">
        <v>24</v>
      </c>
      <c r="G1734">
        <v>4195</v>
      </c>
      <c r="H1734">
        <v>413</v>
      </c>
      <c r="I1734">
        <v>92.72</v>
      </c>
      <c r="J1734">
        <v>6.7</v>
      </c>
      <c r="K1734">
        <v>99.01</v>
      </c>
      <c r="L1734">
        <v>4.37</v>
      </c>
      <c r="M1734">
        <v>210.2</v>
      </c>
      <c r="N1734">
        <v>9</v>
      </c>
      <c r="O1734">
        <v>0</v>
      </c>
      <c r="P1734">
        <v>22947</v>
      </c>
      <c r="Q1734">
        <v>6319</v>
      </c>
      <c r="R1734">
        <v>308</v>
      </c>
      <c r="S1734">
        <v>3203</v>
      </c>
      <c r="T1734">
        <v>99</v>
      </c>
      <c r="U1734">
        <v>13018</v>
      </c>
      <c r="V1734" s="1">
        <f t="shared" si="81"/>
        <v>9.8500000000000004E-2</v>
      </c>
      <c r="W1734" s="1">
        <f t="shared" si="82"/>
        <v>2.0999999999999999E-3</v>
      </c>
      <c r="X1734" s="1">
        <f t="shared" si="83"/>
        <v>0</v>
      </c>
    </row>
    <row r="1735" spans="1:24" x14ac:dyDescent="0.25">
      <c r="A1735">
        <v>2012</v>
      </c>
      <c r="B1735">
        <v>7</v>
      </c>
      <c r="C1735" t="s">
        <v>35</v>
      </c>
      <c r="D1735" t="str">
        <f>_xlfn.XLOOKUP(C1735,'Carrier Name Rename'!A:A,'Carrier Name Rename'!B:B)</f>
        <v>JetBlue Airways</v>
      </c>
      <c r="E1735" t="s">
        <v>23</v>
      </c>
      <c r="F1735" t="s">
        <v>24</v>
      </c>
      <c r="G1735">
        <v>217</v>
      </c>
      <c r="H1735">
        <v>30</v>
      </c>
      <c r="I1735">
        <v>8.8800000000000008</v>
      </c>
      <c r="J1735">
        <v>1.56</v>
      </c>
      <c r="K1735">
        <v>9.27</v>
      </c>
      <c r="L1735">
        <v>0</v>
      </c>
      <c r="M1735">
        <v>10.29</v>
      </c>
      <c r="N1735">
        <v>0</v>
      </c>
      <c r="O1735">
        <v>0</v>
      </c>
      <c r="P1735">
        <v>1792</v>
      </c>
      <c r="Q1735">
        <v>495</v>
      </c>
      <c r="R1735">
        <v>49</v>
      </c>
      <c r="S1735">
        <v>401</v>
      </c>
      <c r="T1735">
        <v>0</v>
      </c>
      <c r="U1735">
        <v>847</v>
      </c>
      <c r="V1735" s="1">
        <f t="shared" si="81"/>
        <v>0.13819999999999999</v>
      </c>
      <c r="W1735" s="1">
        <f t="shared" si="82"/>
        <v>0</v>
      </c>
      <c r="X1735" s="1">
        <f t="shared" si="83"/>
        <v>0</v>
      </c>
    </row>
    <row r="1736" spans="1:24" x14ac:dyDescent="0.25">
      <c r="A1736">
        <v>2012</v>
      </c>
      <c r="B1736">
        <v>7</v>
      </c>
      <c r="C1736" t="s">
        <v>37</v>
      </c>
      <c r="D1736" t="str">
        <f>_xlfn.XLOOKUP(C1736,'Carrier Name Rename'!A:A,'Carrier Name Rename'!B:B)</f>
        <v>Delta Air Lines Inc.</v>
      </c>
      <c r="E1736" t="s">
        <v>23</v>
      </c>
      <c r="F1736" t="s">
        <v>24</v>
      </c>
      <c r="G1736">
        <v>949</v>
      </c>
      <c r="H1736">
        <v>130</v>
      </c>
      <c r="I1736">
        <v>54.14</v>
      </c>
      <c r="J1736">
        <v>8.68</v>
      </c>
      <c r="K1736">
        <v>31.68</v>
      </c>
      <c r="L1736">
        <v>0</v>
      </c>
      <c r="M1736">
        <v>35.5</v>
      </c>
      <c r="N1736">
        <v>2</v>
      </c>
      <c r="O1736">
        <v>0</v>
      </c>
      <c r="P1736">
        <v>8105</v>
      </c>
      <c r="Q1736">
        <v>3952</v>
      </c>
      <c r="R1736">
        <v>400</v>
      </c>
      <c r="S1736">
        <v>1340</v>
      </c>
      <c r="T1736">
        <v>0</v>
      </c>
      <c r="U1736">
        <v>2413</v>
      </c>
      <c r="V1736" s="1">
        <f t="shared" si="81"/>
        <v>0.13700000000000001</v>
      </c>
      <c r="W1736" s="1">
        <f t="shared" si="82"/>
        <v>2.0999999999999999E-3</v>
      </c>
      <c r="X1736" s="1">
        <f t="shared" si="83"/>
        <v>0</v>
      </c>
    </row>
    <row r="1737" spans="1:24" x14ac:dyDescent="0.25">
      <c r="A1737">
        <v>2012</v>
      </c>
      <c r="B1737">
        <v>7</v>
      </c>
      <c r="C1737" t="s">
        <v>39</v>
      </c>
      <c r="D1737" t="str">
        <f>_xlfn.XLOOKUP(C1737,'Carrier Name Rename'!A:A,'Carrier Name Rename'!B:B)</f>
        <v>Frontier Airlines Inc.</v>
      </c>
      <c r="E1737" t="s">
        <v>23</v>
      </c>
      <c r="F1737" t="s">
        <v>24</v>
      </c>
      <c r="G1737">
        <v>188</v>
      </c>
      <c r="H1737">
        <v>27</v>
      </c>
      <c r="I1737">
        <v>11.09</v>
      </c>
      <c r="J1737">
        <v>0.59</v>
      </c>
      <c r="K1737">
        <v>5.36</v>
      </c>
      <c r="L1737">
        <v>0</v>
      </c>
      <c r="M1737">
        <v>9.9499999999999993</v>
      </c>
      <c r="N1737">
        <v>0</v>
      </c>
      <c r="O1737">
        <v>0</v>
      </c>
      <c r="P1737">
        <v>1548</v>
      </c>
      <c r="Q1737">
        <v>682</v>
      </c>
      <c r="R1737">
        <v>26</v>
      </c>
      <c r="S1737">
        <v>187</v>
      </c>
      <c r="T1737">
        <v>0</v>
      </c>
      <c r="U1737">
        <v>653</v>
      </c>
      <c r="V1737" s="1">
        <f t="shared" si="81"/>
        <v>0.14360000000000001</v>
      </c>
      <c r="W1737" s="1">
        <f t="shared" si="82"/>
        <v>0</v>
      </c>
      <c r="X1737" s="1">
        <f t="shared" si="83"/>
        <v>0</v>
      </c>
    </row>
    <row r="1738" spans="1:24" x14ac:dyDescent="0.25">
      <c r="A1738">
        <v>2012</v>
      </c>
      <c r="B1738">
        <v>7</v>
      </c>
      <c r="C1738" t="s">
        <v>63</v>
      </c>
      <c r="D1738" t="str">
        <f>_xlfn.XLOOKUP(C1738,'Carrier Name Rename'!A:A,'Carrier Name Rename'!B:B)</f>
        <v>AirTran Airways Corporation</v>
      </c>
      <c r="E1738" t="s">
        <v>23</v>
      </c>
      <c r="F1738" t="s">
        <v>24</v>
      </c>
      <c r="G1738">
        <v>168</v>
      </c>
      <c r="H1738">
        <v>22</v>
      </c>
      <c r="I1738">
        <v>9.9</v>
      </c>
      <c r="J1738">
        <v>0</v>
      </c>
      <c r="K1738">
        <v>4.3099999999999996</v>
      </c>
      <c r="L1738">
        <v>0</v>
      </c>
      <c r="M1738">
        <v>7.8</v>
      </c>
      <c r="N1738">
        <v>0</v>
      </c>
      <c r="O1738">
        <v>0</v>
      </c>
      <c r="P1738">
        <v>977</v>
      </c>
      <c r="Q1738">
        <v>433</v>
      </c>
      <c r="R1738">
        <v>0</v>
      </c>
      <c r="S1738">
        <v>165</v>
      </c>
      <c r="T1738">
        <v>0</v>
      </c>
      <c r="U1738">
        <v>379</v>
      </c>
      <c r="V1738" s="1">
        <f t="shared" si="81"/>
        <v>0.13100000000000001</v>
      </c>
      <c r="W1738" s="1">
        <f t="shared" si="82"/>
        <v>0</v>
      </c>
      <c r="X1738" s="1">
        <f t="shared" si="83"/>
        <v>0</v>
      </c>
    </row>
    <row r="1739" spans="1:24" x14ac:dyDescent="0.25">
      <c r="A1739">
        <v>2012</v>
      </c>
      <c r="B1739">
        <v>6</v>
      </c>
      <c r="C1739" t="s">
        <v>31</v>
      </c>
      <c r="D1739" t="str">
        <f>_xlfn.XLOOKUP(C1739,'Carrier Name Rename'!A:A,'Carrier Name Rename'!B:B)</f>
        <v>American Airlines Inc.</v>
      </c>
      <c r="E1739" t="s">
        <v>23</v>
      </c>
      <c r="F1739" t="s">
        <v>24</v>
      </c>
      <c r="G1739">
        <v>465</v>
      </c>
      <c r="H1739">
        <v>106</v>
      </c>
      <c r="I1739">
        <v>34.72</v>
      </c>
      <c r="J1739">
        <v>12.41</v>
      </c>
      <c r="K1739">
        <v>31.32</v>
      </c>
      <c r="L1739">
        <v>0</v>
      </c>
      <c r="M1739">
        <v>27.55</v>
      </c>
      <c r="N1739">
        <v>3</v>
      </c>
      <c r="O1739">
        <v>0</v>
      </c>
      <c r="P1739">
        <v>5723</v>
      </c>
      <c r="Q1739">
        <v>1645</v>
      </c>
      <c r="R1739">
        <v>961</v>
      </c>
      <c r="S1739">
        <v>977</v>
      </c>
      <c r="T1739">
        <v>0</v>
      </c>
      <c r="U1739">
        <v>2140</v>
      </c>
      <c r="V1739" s="1">
        <f t="shared" si="81"/>
        <v>0.22800000000000001</v>
      </c>
      <c r="W1739" s="1">
        <f t="shared" si="82"/>
        <v>6.4999999999999997E-3</v>
      </c>
      <c r="X1739" s="1">
        <f t="shared" si="83"/>
        <v>0</v>
      </c>
    </row>
    <row r="1740" spans="1:24" x14ac:dyDescent="0.25">
      <c r="A1740">
        <v>2012</v>
      </c>
      <c r="B1740">
        <v>6</v>
      </c>
      <c r="C1740" t="s">
        <v>33</v>
      </c>
      <c r="D1740" t="str">
        <f>_xlfn.XLOOKUP(C1740,'Carrier Name Rename'!A:A,'Carrier Name Rename'!B:B)</f>
        <v>Alaska Airlines Inc.</v>
      </c>
      <c r="E1740" t="s">
        <v>23</v>
      </c>
      <c r="F1740" t="s">
        <v>24</v>
      </c>
      <c r="G1740">
        <v>4033</v>
      </c>
      <c r="H1740">
        <v>388</v>
      </c>
      <c r="I1740">
        <v>102.67</v>
      </c>
      <c r="J1740">
        <v>8.06</v>
      </c>
      <c r="K1740">
        <v>146.21</v>
      </c>
      <c r="L1740">
        <v>1.92</v>
      </c>
      <c r="M1740">
        <v>129.13</v>
      </c>
      <c r="N1740">
        <v>20</v>
      </c>
      <c r="O1740">
        <v>3</v>
      </c>
      <c r="P1740">
        <v>18059</v>
      </c>
      <c r="Q1740">
        <v>6162</v>
      </c>
      <c r="R1740">
        <v>486</v>
      </c>
      <c r="S1740">
        <v>3988</v>
      </c>
      <c r="T1740">
        <v>104</v>
      </c>
      <c r="U1740">
        <v>7319</v>
      </c>
      <c r="V1740" s="1">
        <f t="shared" si="81"/>
        <v>9.6199999999999994E-2</v>
      </c>
      <c r="W1740" s="1">
        <f t="shared" si="82"/>
        <v>5.0000000000000001E-3</v>
      </c>
      <c r="X1740" s="1">
        <f t="shared" si="83"/>
        <v>6.9999999999999999E-4</v>
      </c>
    </row>
    <row r="1741" spans="1:24" x14ac:dyDescent="0.25">
      <c r="A1741">
        <v>2012</v>
      </c>
      <c r="B1741">
        <v>6</v>
      </c>
      <c r="C1741" t="s">
        <v>35</v>
      </c>
      <c r="D1741" t="str">
        <f>_xlfn.XLOOKUP(C1741,'Carrier Name Rename'!A:A,'Carrier Name Rename'!B:B)</f>
        <v>JetBlue Airways</v>
      </c>
      <c r="E1741" t="s">
        <v>23</v>
      </c>
      <c r="F1741" t="s">
        <v>24</v>
      </c>
      <c r="G1741">
        <v>207</v>
      </c>
      <c r="H1741">
        <v>42</v>
      </c>
      <c r="I1741">
        <v>16.13</v>
      </c>
      <c r="J1741">
        <v>0.73</v>
      </c>
      <c r="K1741">
        <v>14.94</v>
      </c>
      <c r="L1741">
        <v>0</v>
      </c>
      <c r="M1741">
        <v>10.210000000000001</v>
      </c>
      <c r="N1741">
        <v>0</v>
      </c>
      <c r="O1741">
        <v>0</v>
      </c>
      <c r="P1741">
        <v>1863</v>
      </c>
      <c r="Q1741">
        <v>707</v>
      </c>
      <c r="R1741">
        <v>69</v>
      </c>
      <c r="S1741">
        <v>414</v>
      </c>
      <c r="T1741">
        <v>0</v>
      </c>
      <c r="U1741">
        <v>673</v>
      </c>
      <c r="V1741" s="1">
        <f t="shared" si="81"/>
        <v>0.2029</v>
      </c>
      <c r="W1741" s="1">
        <f t="shared" si="82"/>
        <v>0</v>
      </c>
      <c r="X1741" s="1">
        <f t="shared" si="83"/>
        <v>0</v>
      </c>
    </row>
    <row r="1742" spans="1:24" x14ac:dyDescent="0.25">
      <c r="A1742">
        <v>2012</v>
      </c>
      <c r="B1742">
        <v>6</v>
      </c>
      <c r="C1742" t="s">
        <v>37</v>
      </c>
      <c r="D1742" t="str">
        <f>_xlfn.XLOOKUP(C1742,'Carrier Name Rename'!A:A,'Carrier Name Rename'!B:B)</f>
        <v>Delta Air Lines Inc.</v>
      </c>
      <c r="E1742" t="s">
        <v>23</v>
      </c>
      <c r="F1742" t="s">
        <v>24</v>
      </c>
      <c r="G1742">
        <v>888</v>
      </c>
      <c r="H1742">
        <v>149</v>
      </c>
      <c r="I1742">
        <v>52.02</v>
      </c>
      <c r="J1742">
        <v>2.68</v>
      </c>
      <c r="K1742">
        <v>60.5</v>
      </c>
      <c r="L1742">
        <v>0</v>
      </c>
      <c r="M1742">
        <v>33.799999999999997</v>
      </c>
      <c r="N1742">
        <v>0</v>
      </c>
      <c r="O1742">
        <v>2</v>
      </c>
      <c r="P1742">
        <v>7262</v>
      </c>
      <c r="Q1742">
        <v>3089</v>
      </c>
      <c r="R1742">
        <v>282</v>
      </c>
      <c r="S1742">
        <v>1778</v>
      </c>
      <c r="T1742">
        <v>0</v>
      </c>
      <c r="U1742">
        <v>2113</v>
      </c>
      <c r="V1742" s="1">
        <f t="shared" si="81"/>
        <v>0.1678</v>
      </c>
      <c r="W1742" s="1">
        <f t="shared" si="82"/>
        <v>0</v>
      </c>
      <c r="X1742" s="1">
        <f t="shared" si="83"/>
        <v>2.3E-3</v>
      </c>
    </row>
    <row r="1743" spans="1:24" x14ac:dyDescent="0.25">
      <c r="A1743">
        <v>2012</v>
      </c>
      <c r="B1743">
        <v>6</v>
      </c>
      <c r="C1743" t="s">
        <v>39</v>
      </c>
      <c r="D1743" t="str">
        <f>_xlfn.XLOOKUP(C1743,'Carrier Name Rename'!A:A,'Carrier Name Rename'!B:B)</f>
        <v>Frontier Airlines Inc.</v>
      </c>
      <c r="E1743" t="s">
        <v>23</v>
      </c>
      <c r="F1743" t="s">
        <v>24</v>
      </c>
      <c r="G1743">
        <v>186</v>
      </c>
      <c r="H1743">
        <v>62</v>
      </c>
      <c r="I1743">
        <v>21.8</v>
      </c>
      <c r="J1743">
        <v>1.47</v>
      </c>
      <c r="K1743">
        <v>23.9</v>
      </c>
      <c r="L1743">
        <v>0</v>
      </c>
      <c r="M1743">
        <v>14.83</v>
      </c>
      <c r="N1743">
        <v>0</v>
      </c>
      <c r="O1743">
        <v>0</v>
      </c>
      <c r="P1743">
        <v>2520</v>
      </c>
      <c r="Q1743">
        <v>720</v>
      </c>
      <c r="R1743">
        <v>244</v>
      </c>
      <c r="S1743">
        <v>928</v>
      </c>
      <c r="T1743">
        <v>0</v>
      </c>
      <c r="U1743">
        <v>628</v>
      </c>
      <c r="V1743" s="1">
        <f t="shared" si="81"/>
        <v>0.33329999999999999</v>
      </c>
      <c r="W1743" s="1">
        <f t="shared" si="82"/>
        <v>0</v>
      </c>
      <c r="X1743" s="1">
        <f t="shared" si="83"/>
        <v>0</v>
      </c>
    </row>
    <row r="1744" spans="1:24" x14ac:dyDescent="0.25">
      <c r="A1744">
        <v>2012</v>
      </c>
      <c r="B1744">
        <v>6</v>
      </c>
      <c r="C1744" t="s">
        <v>63</v>
      </c>
      <c r="D1744" t="str">
        <f>_xlfn.XLOOKUP(C1744,'Carrier Name Rename'!A:A,'Carrier Name Rename'!B:B)</f>
        <v>AirTran Airways Corporation</v>
      </c>
      <c r="E1744" t="s">
        <v>23</v>
      </c>
      <c r="F1744" t="s">
        <v>24</v>
      </c>
      <c r="G1744">
        <v>170</v>
      </c>
      <c r="H1744">
        <v>23</v>
      </c>
      <c r="I1744">
        <v>10.44</v>
      </c>
      <c r="J1744">
        <v>0.75</v>
      </c>
      <c r="K1744">
        <v>5.81</v>
      </c>
      <c r="L1744">
        <v>0</v>
      </c>
      <c r="M1744">
        <v>6</v>
      </c>
      <c r="N1744">
        <v>1</v>
      </c>
      <c r="O1744">
        <v>0</v>
      </c>
      <c r="P1744">
        <v>1227</v>
      </c>
      <c r="Q1744">
        <v>398</v>
      </c>
      <c r="R1744">
        <v>84</v>
      </c>
      <c r="S1744">
        <v>319</v>
      </c>
      <c r="T1744">
        <v>0</v>
      </c>
      <c r="U1744">
        <v>426</v>
      </c>
      <c r="V1744" s="1">
        <f t="shared" si="81"/>
        <v>0.1353</v>
      </c>
      <c r="W1744" s="1">
        <f t="shared" si="82"/>
        <v>5.8999999999999999E-3</v>
      </c>
      <c r="X1744" s="1">
        <f t="shared" si="83"/>
        <v>0</v>
      </c>
    </row>
    <row r="1745" spans="1:24" x14ac:dyDescent="0.25">
      <c r="A1745">
        <v>2012</v>
      </c>
      <c r="B1745">
        <v>6</v>
      </c>
      <c r="C1745" t="s">
        <v>21</v>
      </c>
      <c r="D1745" t="str">
        <f>_xlfn.XLOOKUP(C1745,'Carrier Name Rename'!A:A,'Carrier Name Rename'!B:B)</f>
        <v>Hawaiian Airlines Inc.</v>
      </c>
      <c r="E1745" t="s">
        <v>23</v>
      </c>
      <c r="F1745" t="s">
        <v>24</v>
      </c>
      <c r="G1745">
        <v>60</v>
      </c>
      <c r="H1745">
        <v>14</v>
      </c>
      <c r="I1745">
        <v>12.54</v>
      </c>
      <c r="J1745">
        <v>0</v>
      </c>
      <c r="K1745">
        <v>0.77</v>
      </c>
      <c r="L1745">
        <v>0</v>
      </c>
      <c r="M1745">
        <v>0.69</v>
      </c>
      <c r="N1745">
        <v>0</v>
      </c>
      <c r="O1745">
        <v>0</v>
      </c>
      <c r="P1745">
        <v>572</v>
      </c>
      <c r="Q1745">
        <v>531</v>
      </c>
      <c r="R1745">
        <v>0</v>
      </c>
      <c r="S1745">
        <v>30</v>
      </c>
      <c r="T1745">
        <v>0</v>
      </c>
      <c r="U1745">
        <v>11</v>
      </c>
      <c r="V1745" s="1">
        <f t="shared" si="81"/>
        <v>0.23330000000000001</v>
      </c>
      <c r="W1745" s="1">
        <f t="shared" si="82"/>
        <v>0</v>
      </c>
      <c r="X1745" s="1">
        <f t="shared" si="83"/>
        <v>0</v>
      </c>
    </row>
    <row r="1746" spans="1:24" x14ac:dyDescent="0.25">
      <c r="A1746">
        <v>2012</v>
      </c>
      <c r="B1746">
        <v>6</v>
      </c>
      <c r="C1746" t="s">
        <v>27</v>
      </c>
      <c r="D1746" t="str">
        <f>_xlfn.XLOOKUP(C1746,'Carrier Name Rename'!A:A,'Carrier Name Rename'!B:B)</f>
        <v>SkyWest Airlines Inc.</v>
      </c>
      <c r="E1746" t="s">
        <v>23</v>
      </c>
      <c r="F1746" t="s">
        <v>24</v>
      </c>
      <c r="G1746">
        <v>534</v>
      </c>
      <c r="H1746">
        <v>66</v>
      </c>
      <c r="I1746">
        <v>25.43</v>
      </c>
      <c r="J1746">
        <v>2.1</v>
      </c>
      <c r="K1746">
        <v>15.63</v>
      </c>
      <c r="L1746">
        <v>0</v>
      </c>
      <c r="M1746">
        <v>22.84</v>
      </c>
      <c r="N1746">
        <v>1</v>
      </c>
      <c r="O1746">
        <v>0</v>
      </c>
      <c r="P1746">
        <v>3979</v>
      </c>
      <c r="Q1746">
        <v>1744</v>
      </c>
      <c r="R1746">
        <v>151</v>
      </c>
      <c r="S1746">
        <v>401</v>
      </c>
      <c r="T1746">
        <v>0</v>
      </c>
      <c r="U1746">
        <v>1683</v>
      </c>
      <c r="V1746" s="1">
        <f t="shared" si="81"/>
        <v>0.1236</v>
      </c>
      <c r="W1746" s="1">
        <f t="shared" si="82"/>
        <v>1.9E-3</v>
      </c>
      <c r="X1746" s="1">
        <f t="shared" si="83"/>
        <v>0</v>
      </c>
    </row>
    <row r="1747" spans="1:24" x14ac:dyDescent="0.25">
      <c r="A1747">
        <v>2012</v>
      </c>
      <c r="B1747">
        <v>6</v>
      </c>
      <c r="C1747" t="s">
        <v>41</v>
      </c>
      <c r="D1747" t="str">
        <f>_xlfn.XLOOKUP(C1747,'Carrier Name Rename'!A:A,'Carrier Name Rename'!B:B)</f>
        <v>United Air Lines Inc.</v>
      </c>
      <c r="E1747" t="s">
        <v>23</v>
      </c>
      <c r="F1747" t="s">
        <v>24</v>
      </c>
      <c r="G1747">
        <v>1040</v>
      </c>
      <c r="H1747">
        <v>360</v>
      </c>
      <c r="I1747">
        <v>142.66999999999999</v>
      </c>
      <c r="J1747">
        <v>5.21</v>
      </c>
      <c r="K1747">
        <v>107.73</v>
      </c>
      <c r="L1747">
        <v>0.7</v>
      </c>
      <c r="M1747">
        <v>103.69</v>
      </c>
      <c r="N1747">
        <v>6</v>
      </c>
      <c r="O1747">
        <v>0</v>
      </c>
      <c r="P1747">
        <v>19030</v>
      </c>
      <c r="Q1747">
        <v>6872</v>
      </c>
      <c r="R1747">
        <v>449</v>
      </c>
      <c r="S1747">
        <v>3816</v>
      </c>
      <c r="T1747">
        <v>14</v>
      </c>
      <c r="U1747">
        <v>7879</v>
      </c>
      <c r="V1747" s="1">
        <f t="shared" si="81"/>
        <v>0.34620000000000001</v>
      </c>
      <c r="W1747" s="1">
        <f t="shared" si="82"/>
        <v>5.7999999999999996E-3</v>
      </c>
      <c r="X1747" s="1">
        <f t="shared" si="83"/>
        <v>0</v>
      </c>
    </row>
    <row r="1748" spans="1:24" x14ac:dyDescent="0.25">
      <c r="A1748">
        <v>2012</v>
      </c>
      <c r="B1748">
        <v>6</v>
      </c>
      <c r="C1748" t="s">
        <v>61</v>
      </c>
      <c r="D1748" t="str">
        <f>_xlfn.XLOOKUP(C1748,'Carrier Name Rename'!A:A,'Carrier Name Rename'!B:B)</f>
        <v>US Airways Inc.</v>
      </c>
      <c r="E1748" t="s">
        <v>23</v>
      </c>
      <c r="F1748" t="s">
        <v>24</v>
      </c>
      <c r="G1748">
        <v>378</v>
      </c>
      <c r="H1748">
        <v>52</v>
      </c>
      <c r="I1748">
        <v>16.84</v>
      </c>
      <c r="J1748">
        <v>0</v>
      </c>
      <c r="K1748">
        <v>27.13</v>
      </c>
      <c r="L1748">
        <v>0</v>
      </c>
      <c r="M1748">
        <v>8.0299999999999994</v>
      </c>
      <c r="N1748">
        <v>3</v>
      </c>
      <c r="O1748">
        <v>0</v>
      </c>
      <c r="P1748">
        <v>2208</v>
      </c>
      <c r="Q1748">
        <v>817</v>
      </c>
      <c r="R1748">
        <v>0</v>
      </c>
      <c r="S1748">
        <v>875</v>
      </c>
      <c r="T1748">
        <v>0</v>
      </c>
      <c r="U1748">
        <v>516</v>
      </c>
      <c r="V1748" s="1">
        <f t="shared" si="81"/>
        <v>0.1376</v>
      </c>
      <c r="W1748" s="1">
        <f t="shared" si="82"/>
        <v>7.9000000000000008E-3</v>
      </c>
      <c r="X1748" s="1">
        <f t="shared" si="83"/>
        <v>0</v>
      </c>
    </row>
    <row r="1749" spans="1:24" x14ac:dyDescent="0.25">
      <c r="A1749">
        <v>2012</v>
      </c>
      <c r="B1749">
        <v>6</v>
      </c>
      <c r="C1749" t="s">
        <v>51</v>
      </c>
      <c r="D1749" t="str">
        <f>_xlfn.XLOOKUP(C1749,'Carrier Name Rename'!A:A,'Carrier Name Rename'!B:B)</f>
        <v>Virgin America</v>
      </c>
      <c r="E1749" t="s">
        <v>23</v>
      </c>
      <c r="F1749" t="s">
        <v>24</v>
      </c>
      <c r="G1749">
        <v>260</v>
      </c>
      <c r="H1749">
        <v>42</v>
      </c>
      <c r="I1749">
        <v>7.62</v>
      </c>
      <c r="J1749">
        <v>1.68</v>
      </c>
      <c r="K1749">
        <v>9.1199999999999992</v>
      </c>
      <c r="L1749">
        <v>0</v>
      </c>
      <c r="M1749">
        <v>23.58</v>
      </c>
      <c r="N1749">
        <v>0</v>
      </c>
      <c r="O1749">
        <v>0</v>
      </c>
      <c r="P1749">
        <v>2698</v>
      </c>
      <c r="Q1749">
        <v>405</v>
      </c>
      <c r="R1749">
        <v>57</v>
      </c>
      <c r="S1749">
        <v>283</v>
      </c>
      <c r="T1749">
        <v>0</v>
      </c>
      <c r="U1749">
        <v>1953</v>
      </c>
      <c r="V1749" s="1">
        <f t="shared" si="81"/>
        <v>0.1615</v>
      </c>
      <c r="W1749" s="1">
        <f t="shared" si="82"/>
        <v>0</v>
      </c>
      <c r="X1749" s="1">
        <f t="shared" si="83"/>
        <v>0</v>
      </c>
    </row>
    <row r="1750" spans="1:24" x14ac:dyDescent="0.25">
      <c r="A1750">
        <v>2012</v>
      </c>
      <c r="B1750">
        <v>6</v>
      </c>
      <c r="C1750" t="s">
        <v>43</v>
      </c>
      <c r="D1750" t="str">
        <f>_xlfn.XLOOKUP(C1750,'Carrier Name Rename'!A:A,'Carrier Name Rename'!B:B)</f>
        <v>Southwest Airlines Co.</v>
      </c>
      <c r="E1750" t="s">
        <v>23</v>
      </c>
      <c r="F1750" t="s">
        <v>24</v>
      </c>
      <c r="G1750">
        <v>1280</v>
      </c>
      <c r="H1750">
        <v>243</v>
      </c>
      <c r="I1750">
        <v>111.31</v>
      </c>
      <c r="J1750">
        <v>1.32</v>
      </c>
      <c r="K1750">
        <v>28.39</v>
      </c>
      <c r="L1750">
        <v>0.73</v>
      </c>
      <c r="M1750">
        <v>101.25</v>
      </c>
      <c r="N1750">
        <v>6</v>
      </c>
      <c r="O1750">
        <v>3</v>
      </c>
      <c r="P1750">
        <v>11995</v>
      </c>
      <c r="Q1750">
        <v>5027</v>
      </c>
      <c r="R1750">
        <v>365</v>
      </c>
      <c r="S1750">
        <v>790</v>
      </c>
      <c r="T1750">
        <v>30</v>
      </c>
      <c r="U1750">
        <v>5783</v>
      </c>
      <c r="V1750" s="1">
        <f t="shared" si="81"/>
        <v>0.1898</v>
      </c>
      <c r="W1750" s="1">
        <f t="shared" si="82"/>
        <v>4.7000000000000002E-3</v>
      </c>
      <c r="X1750" s="1">
        <f t="shared" si="83"/>
        <v>2.3E-3</v>
      </c>
    </row>
    <row r="1751" spans="1:24" x14ac:dyDescent="0.25">
      <c r="A1751">
        <v>2012</v>
      </c>
      <c r="B1751">
        <v>5</v>
      </c>
      <c r="C1751" t="s">
        <v>31</v>
      </c>
      <c r="D1751" t="str">
        <f>_xlfn.XLOOKUP(C1751,'Carrier Name Rename'!A:A,'Carrier Name Rename'!B:B)</f>
        <v>American Airlines Inc.</v>
      </c>
      <c r="E1751" t="s">
        <v>23</v>
      </c>
      <c r="F1751" t="s">
        <v>24</v>
      </c>
      <c r="G1751">
        <v>422</v>
      </c>
      <c r="H1751">
        <v>72</v>
      </c>
      <c r="I1751">
        <v>27.64</v>
      </c>
      <c r="J1751">
        <v>10.72</v>
      </c>
      <c r="K1751">
        <v>18.59</v>
      </c>
      <c r="L1751">
        <v>0</v>
      </c>
      <c r="M1751">
        <v>15.06</v>
      </c>
      <c r="N1751">
        <v>2</v>
      </c>
      <c r="O1751">
        <v>0</v>
      </c>
      <c r="P1751">
        <v>3877</v>
      </c>
      <c r="Q1751">
        <v>1421</v>
      </c>
      <c r="R1751">
        <v>759</v>
      </c>
      <c r="S1751">
        <v>641</v>
      </c>
      <c r="T1751">
        <v>0</v>
      </c>
      <c r="U1751">
        <v>1056</v>
      </c>
      <c r="V1751" s="1">
        <f t="shared" si="81"/>
        <v>0.1706</v>
      </c>
      <c r="W1751" s="1">
        <f t="shared" si="82"/>
        <v>4.7000000000000002E-3</v>
      </c>
      <c r="X1751" s="1">
        <f t="shared" si="83"/>
        <v>0</v>
      </c>
    </row>
    <row r="1752" spans="1:24" x14ac:dyDescent="0.25">
      <c r="A1752">
        <v>2012</v>
      </c>
      <c r="B1752">
        <v>5</v>
      </c>
      <c r="C1752" t="s">
        <v>33</v>
      </c>
      <c r="D1752" t="str">
        <f>_xlfn.XLOOKUP(C1752,'Carrier Name Rename'!A:A,'Carrier Name Rename'!B:B)</f>
        <v>Alaska Airlines Inc.</v>
      </c>
      <c r="E1752" t="s">
        <v>23</v>
      </c>
      <c r="F1752" t="s">
        <v>24</v>
      </c>
      <c r="G1752">
        <v>3860</v>
      </c>
      <c r="H1752">
        <v>292</v>
      </c>
      <c r="I1752">
        <v>80.459999999999994</v>
      </c>
      <c r="J1752">
        <v>3.92</v>
      </c>
      <c r="K1752">
        <v>91.93</v>
      </c>
      <c r="L1752">
        <v>2.13</v>
      </c>
      <c r="M1752">
        <v>113.56</v>
      </c>
      <c r="N1752">
        <v>11</v>
      </c>
      <c r="O1752">
        <v>2</v>
      </c>
      <c r="P1752">
        <v>13542</v>
      </c>
      <c r="Q1752">
        <v>3538</v>
      </c>
      <c r="R1752">
        <v>127</v>
      </c>
      <c r="S1752">
        <v>2726</v>
      </c>
      <c r="T1752">
        <v>81</v>
      </c>
      <c r="U1752">
        <v>7070</v>
      </c>
      <c r="V1752" s="1">
        <f t="shared" si="81"/>
        <v>7.5600000000000001E-2</v>
      </c>
      <c r="W1752" s="1">
        <f t="shared" si="82"/>
        <v>2.8E-3</v>
      </c>
      <c r="X1752" s="1">
        <f t="shared" si="83"/>
        <v>5.0000000000000001E-4</v>
      </c>
    </row>
    <row r="1753" spans="1:24" x14ac:dyDescent="0.25">
      <c r="A1753">
        <v>2012</v>
      </c>
      <c r="B1753">
        <v>5</v>
      </c>
      <c r="C1753" t="s">
        <v>35</v>
      </c>
      <c r="D1753" t="str">
        <f>_xlfn.XLOOKUP(C1753,'Carrier Name Rename'!A:A,'Carrier Name Rename'!B:B)</f>
        <v>JetBlue Airways</v>
      </c>
      <c r="E1753" t="s">
        <v>23</v>
      </c>
      <c r="F1753" t="s">
        <v>24</v>
      </c>
      <c r="G1753">
        <v>179</v>
      </c>
      <c r="H1753">
        <v>19</v>
      </c>
      <c r="I1753">
        <v>8.2899999999999991</v>
      </c>
      <c r="J1753">
        <v>0</v>
      </c>
      <c r="K1753">
        <v>8.35</v>
      </c>
      <c r="L1753">
        <v>0</v>
      </c>
      <c r="M1753">
        <v>2.36</v>
      </c>
      <c r="N1753">
        <v>0</v>
      </c>
      <c r="O1753">
        <v>0</v>
      </c>
      <c r="P1753">
        <v>816</v>
      </c>
      <c r="Q1753">
        <v>375</v>
      </c>
      <c r="R1753">
        <v>0</v>
      </c>
      <c r="S1753">
        <v>307</v>
      </c>
      <c r="T1753">
        <v>0</v>
      </c>
      <c r="U1753">
        <v>134</v>
      </c>
      <c r="V1753" s="1">
        <f t="shared" si="81"/>
        <v>0.1061</v>
      </c>
      <c r="W1753" s="1">
        <f t="shared" si="82"/>
        <v>0</v>
      </c>
      <c r="X1753" s="1">
        <f t="shared" si="83"/>
        <v>0</v>
      </c>
    </row>
    <row r="1754" spans="1:24" x14ac:dyDescent="0.25">
      <c r="A1754">
        <v>2012</v>
      </c>
      <c r="B1754">
        <v>5</v>
      </c>
      <c r="C1754" t="s">
        <v>37</v>
      </c>
      <c r="D1754" t="str">
        <f>_xlfn.XLOOKUP(C1754,'Carrier Name Rename'!A:A,'Carrier Name Rename'!B:B)</f>
        <v>Delta Air Lines Inc.</v>
      </c>
      <c r="E1754" t="s">
        <v>23</v>
      </c>
      <c r="F1754" t="s">
        <v>24</v>
      </c>
      <c r="G1754">
        <v>704</v>
      </c>
      <c r="H1754">
        <v>93</v>
      </c>
      <c r="I1754">
        <v>33.71</v>
      </c>
      <c r="J1754">
        <v>2.34</v>
      </c>
      <c r="K1754">
        <v>38.65</v>
      </c>
      <c r="L1754">
        <v>0</v>
      </c>
      <c r="M1754">
        <v>18.3</v>
      </c>
      <c r="N1754">
        <v>0</v>
      </c>
      <c r="O1754">
        <v>0</v>
      </c>
      <c r="P1754">
        <v>4550</v>
      </c>
      <c r="Q1754">
        <v>2029</v>
      </c>
      <c r="R1754">
        <v>254</v>
      </c>
      <c r="S1754">
        <v>1450</v>
      </c>
      <c r="T1754">
        <v>0</v>
      </c>
      <c r="U1754">
        <v>817</v>
      </c>
      <c r="V1754" s="1">
        <f t="shared" si="81"/>
        <v>0.1321</v>
      </c>
      <c r="W1754" s="1">
        <f t="shared" si="82"/>
        <v>0</v>
      </c>
      <c r="X1754" s="1">
        <f t="shared" si="83"/>
        <v>0</v>
      </c>
    </row>
    <row r="1755" spans="1:24" x14ac:dyDescent="0.25">
      <c r="A1755">
        <v>2012</v>
      </c>
      <c r="B1755">
        <v>5</v>
      </c>
      <c r="C1755" t="s">
        <v>39</v>
      </c>
      <c r="D1755" t="str">
        <f>_xlfn.XLOOKUP(C1755,'Carrier Name Rename'!A:A,'Carrier Name Rename'!B:B)</f>
        <v>Frontier Airlines Inc.</v>
      </c>
      <c r="E1755" t="s">
        <v>23</v>
      </c>
      <c r="F1755" t="s">
        <v>24</v>
      </c>
      <c r="G1755">
        <v>167</v>
      </c>
      <c r="H1755">
        <v>42</v>
      </c>
      <c r="I1755">
        <v>14.76</v>
      </c>
      <c r="J1755">
        <v>1.34</v>
      </c>
      <c r="K1755">
        <v>16.13</v>
      </c>
      <c r="L1755">
        <v>0</v>
      </c>
      <c r="M1755">
        <v>9.76</v>
      </c>
      <c r="N1755">
        <v>0</v>
      </c>
      <c r="O1755">
        <v>0</v>
      </c>
      <c r="P1755">
        <v>1493</v>
      </c>
      <c r="Q1755">
        <v>408</v>
      </c>
      <c r="R1755">
        <v>101</v>
      </c>
      <c r="S1755">
        <v>544</v>
      </c>
      <c r="T1755">
        <v>0</v>
      </c>
      <c r="U1755">
        <v>440</v>
      </c>
      <c r="V1755" s="1">
        <f t="shared" si="81"/>
        <v>0.2515</v>
      </c>
      <c r="W1755" s="1">
        <f t="shared" si="82"/>
        <v>0</v>
      </c>
      <c r="X1755" s="1">
        <f t="shared" si="83"/>
        <v>0</v>
      </c>
    </row>
    <row r="1756" spans="1:24" x14ac:dyDescent="0.25">
      <c r="A1756">
        <v>2012</v>
      </c>
      <c r="B1756">
        <v>5</v>
      </c>
      <c r="C1756" t="s">
        <v>63</v>
      </c>
      <c r="D1756" t="str">
        <f>_xlfn.XLOOKUP(C1756,'Carrier Name Rename'!A:A,'Carrier Name Rename'!B:B)</f>
        <v>AirTran Airways Corporation</v>
      </c>
      <c r="E1756" t="s">
        <v>23</v>
      </c>
      <c r="F1756" t="s">
        <v>24</v>
      </c>
      <c r="G1756">
        <v>62</v>
      </c>
      <c r="H1756">
        <v>3</v>
      </c>
      <c r="I1756">
        <v>1.1399999999999999</v>
      </c>
      <c r="J1756">
        <v>0</v>
      </c>
      <c r="K1756">
        <v>0.89</v>
      </c>
      <c r="L1756">
        <v>0</v>
      </c>
      <c r="M1756">
        <v>0.98</v>
      </c>
      <c r="N1756">
        <v>0</v>
      </c>
      <c r="O1756">
        <v>0</v>
      </c>
      <c r="P1756">
        <v>475</v>
      </c>
      <c r="Q1756">
        <v>131</v>
      </c>
      <c r="R1756">
        <v>0</v>
      </c>
      <c r="S1756">
        <v>26</v>
      </c>
      <c r="T1756">
        <v>0</v>
      </c>
      <c r="U1756">
        <v>318</v>
      </c>
      <c r="V1756" s="1">
        <f t="shared" si="81"/>
        <v>4.8399999999999999E-2</v>
      </c>
      <c r="W1756" s="1">
        <f t="shared" si="82"/>
        <v>0</v>
      </c>
      <c r="X1756" s="1">
        <f t="shared" si="83"/>
        <v>0</v>
      </c>
    </row>
    <row r="1757" spans="1:24" x14ac:dyDescent="0.25">
      <c r="A1757">
        <v>2012</v>
      </c>
      <c r="B1757">
        <v>5</v>
      </c>
      <c r="C1757" t="s">
        <v>21</v>
      </c>
      <c r="D1757" t="str">
        <f>_xlfn.XLOOKUP(C1757,'Carrier Name Rename'!A:A,'Carrier Name Rename'!B:B)</f>
        <v>Hawaiian Airlines Inc.</v>
      </c>
      <c r="E1757" t="s">
        <v>23</v>
      </c>
      <c r="F1757" t="s">
        <v>24</v>
      </c>
      <c r="G1757">
        <v>62</v>
      </c>
      <c r="H1757">
        <v>14</v>
      </c>
      <c r="I1757">
        <v>13.59</v>
      </c>
      <c r="J1757">
        <v>0</v>
      </c>
      <c r="K1757">
        <v>0.12</v>
      </c>
      <c r="L1757">
        <v>0</v>
      </c>
      <c r="M1757">
        <v>0.28999999999999998</v>
      </c>
      <c r="N1757">
        <v>0</v>
      </c>
      <c r="O1757">
        <v>0</v>
      </c>
      <c r="P1757">
        <v>331</v>
      </c>
      <c r="Q1757">
        <v>316</v>
      </c>
      <c r="R1757">
        <v>0</v>
      </c>
      <c r="S1757">
        <v>4</v>
      </c>
      <c r="T1757">
        <v>0</v>
      </c>
      <c r="U1757">
        <v>11</v>
      </c>
      <c r="V1757" s="1">
        <f t="shared" si="81"/>
        <v>0.2258</v>
      </c>
      <c r="W1757" s="1">
        <f t="shared" si="82"/>
        <v>0</v>
      </c>
      <c r="X1757" s="1">
        <f t="shared" si="83"/>
        <v>0</v>
      </c>
    </row>
    <row r="1758" spans="1:24" x14ac:dyDescent="0.25">
      <c r="A1758">
        <v>2012</v>
      </c>
      <c r="B1758">
        <v>5</v>
      </c>
      <c r="C1758" t="s">
        <v>27</v>
      </c>
      <c r="D1758" t="str">
        <f>_xlfn.XLOOKUP(C1758,'Carrier Name Rename'!A:A,'Carrier Name Rename'!B:B)</f>
        <v>SkyWest Airlines Inc.</v>
      </c>
      <c r="E1758" t="s">
        <v>23</v>
      </c>
      <c r="F1758" t="s">
        <v>24</v>
      </c>
      <c r="G1758">
        <v>526</v>
      </c>
      <c r="H1758">
        <v>28</v>
      </c>
      <c r="I1758">
        <v>13.37</v>
      </c>
      <c r="J1758">
        <v>0</v>
      </c>
      <c r="K1758">
        <v>3.75</v>
      </c>
      <c r="L1758">
        <v>0</v>
      </c>
      <c r="M1758">
        <v>10.89</v>
      </c>
      <c r="N1758">
        <v>0</v>
      </c>
      <c r="O1758">
        <v>0</v>
      </c>
      <c r="P1758">
        <v>1365</v>
      </c>
      <c r="Q1758">
        <v>707</v>
      </c>
      <c r="R1758">
        <v>0</v>
      </c>
      <c r="S1758">
        <v>102</v>
      </c>
      <c r="T1758">
        <v>0</v>
      </c>
      <c r="U1758">
        <v>556</v>
      </c>
      <c r="V1758" s="1">
        <f t="shared" si="81"/>
        <v>5.3199999999999997E-2</v>
      </c>
      <c r="W1758" s="1">
        <f t="shared" si="82"/>
        <v>0</v>
      </c>
      <c r="X1758" s="1">
        <f t="shared" si="83"/>
        <v>0</v>
      </c>
    </row>
    <row r="1759" spans="1:24" x14ac:dyDescent="0.25">
      <c r="A1759">
        <v>2012</v>
      </c>
      <c r="B1759">
        <v>5</v>
      </c>
      <c r="C1759" t="s">
        <v>41</v>
      </c>
      <c r="D1759" t="str">
        <f>_xlfn.XLOOKUP(C1759,'Carrier Name Rename'!A:A,'Carrier Name Rename'!B:B)</f>
        <v>United Air Lines Inc.</v>
      </c>
      <c r="E1759" t="s">
        <v>23</v>
      </c>
      <c r="F1759" t="s">
        <v>24</v>
      </c>
      <c r="G1759">
        <v>933</v>
      </c>
      <c r="H1759">
        <v>229</v>
      </c>
      <c r="I1759">
        <v>106.44</v>
      </c>
      <c r="J1759">
        <v>3.92</v>
      </c>
      <c r="K1759">
        <v>66.5</v>
      </c>
      <c r="L1759">
        <v>0</v>
      </c>
      <c r="M1759">
        <v>52.14</v>
      </c>
      <c r="N1759">
        <v>6</v>
      </c>
      <c r="O1759">
        <v>1</v>
      </c>
      <c r="P1759">
        <v>11347</v>
      </c>
      <c r="Q1759">
        <v>5094</v>
      </c>
      <c r="R1759">
        <v>483</v>
      </c>
      <c r="S1759">
        <v>2710</v>
      </c>
      <c r="T1759">
        <v>0</v>
      </c>
      <c r="U1759">
        <v>3060</v>
      </c>
      <c r="V1759" s="1">
        <f t="shared" si="81"/>
        <v>0.24540000000000001</v>
      </c>
      <c r="W1759" s="1">
        <f t="shared" si="82"/>
        <v>6.4000000000000003E-3</v>
      </c>
      <c r="X1759" s="1">
        <f t="shared" si="83"/>
        <v>1.1000000000000001E-3</v>
      </c>
    </row>
    <row r="1760" spans="1:24" x14ac:dyDescent="0.25">
      <c r="A1760">
        <v>2012</v>
      </c>
      <c r="B1760">
        <v>5</v>
      </c>
      <c r="C1760" t="s">
        <v>61</v>
      </c>
      <c r="D1760" t="str">
        <f>_xlfn.XLOOKUP(C1760,'Carrier Name Rename'!A:A,'Carrier Name Rename'!B:B)</f>
        <v>US Airways Inc.</v>
      </c>
      <c r="E1760" t="s">
        <v>23</v>
      </c>
      <c r="F1760" t="s">
        <v>24</v>
      </c>
      <c r="G1760">
        <v>346</v>
      </c>
      <c r="H1760">
        <v>43</v>
      </c>
      <c r="I1760">
        <v>18.63</v>
      </c>
      <c r="J1760">
        <v>0.78</v>
      </c>
      <c r="K1760">
        <v>17.29</v>
      </c>
      <c r="L1760">
        <v>0</v>
      </c>
      <c r="M1760">
        <v>6.3</v>
      </c>
      <c r="N1760">
        <v>1</v>
      </c>
      <c r="O1760">
        <v>2</v>
      </c>
      <c r="P1760">
        <v>1787</v>
      </c>
      <c r="Q1760">
        <v>797</v>
      </c>
      <c r="R1760">
        <v>45</v>
      </c>
      <c r="S1760">
        <v>588</v>
      </c>
      <c r="T1760">
        <v>0</v>
      </c>
      <c r="U1760">
        <v>357</v>
      </c>
      <c r="V1760" s="1">
        <f t="shared" si="81"/>
        <v>0.12429999999999999</v>
      </c>
      <c r="W1760" s="1">
        <f t="shared" si="82"/>
        <v>2.8999999999999998E-3</v>
      </c>
      <c r="X1760" s="1">
        <f t="shared" si="83"/>
        <v>5.7999999999999996E-3</v>
      </c>
    </row>
    <row r="1761" spans="1:24" x14ac:dyDescent="0.25">
      <c r="A1761">
        <v>2012</v>
      </c>
      <c r="B1761">
        <v>5</v>
      </c>
      <c r="C1761" t="s">
        <v>51</v>
      </c>
      <c r="D1761" t="str">
        <f>_xlfn.XLOOKUP(C1761,'Carrier Name Rename'!A:A,'Carrier Name Rename'!B:B)</f>
        <v>Virgin America</v>
      </c>
      <c r="E1761" t="s">
        <v>23</v>
      </c>
      <c r="F1761" t="s">
        <v>24</v>
      </c>
      <c r="G1761">
        <v>271</v>
      </c>
      <c r="H1761">
        <v>33</v>
      </c>
      <c r="I1761">
        <v>6.72</v>
      </c>
      <c r="J1761">
        <v>6.73</v>
      </c>
      <c r="K1761">
        <v>6.2</v>
      </c>
      <c r="L1761">
        <v>0</v>
      </c>
      <c r="M1761">
        <v>13.35</v>
      </c>
      <c r="N1761">
        <v>0</v>
      </c>
      <c r="O1761">
        <v>0</v>
      </c>
      <c r="P1761">
        <v>1072</v>
      </c>
      <c r="Q1761">
        <v>285</v>
      </c>
      <c r="R1761">
        <v>135</v>
      </c>
      <c r="S1761">
        <v>136</v>
      </c>
      <c r="T1761">
        <v>0</v>
      </c>
      <c r="U1761">
        <v>516</v>
      </c>
      <c r="V1761" s="1">
        <f t="shared" si="81"/>
        <v>0.12180000000000001</v>
      </c>
      <c r="W1761" s="1">
        <f t="shared" si="82"/>
        <v>0</v>
      </c>
      <c r="X1761" s="1">
        <f t="shared" si="83"/>
        <v>0</v>
      </c>
    </row>
    <row r="1762" spans="1:24" x14ac:dyDescent="0.25">
      <c r="A1762">
        <v>2012</v>
      </c>
      <c r="B1762">
        <v>5</v>
      </c>
      <c r="C1762" t="s">
        <v>43</v>
      </c>
      <c r="D1762" t="str">
        <f>_xlfn.XLOOKUP(C1762,'Carrier Name Rename'!A:A,'Carrier Name Rename'!B:B)</f>
        <v>Southwest Airlines Co.</v>
      </c>
      <c r="E1762" t="s">
        <v>23</v>
      </c>
      <c r="F1762" t="s">
        <v>24</v>
      </c>
      <c r="G1762">
        <v>1092</v>
      </c>
      <c r="H1762">
        <v>161</v>
      </c>
      <c r="I1762">
        <v>87.42</v>
      </c>
      <c r="J1762">
        <v>0</v>
      </c>
      <c r="K1762">
        <v>16.37</v>
      </c>
      <c r="L1762">
        <v>0.75</v>
      </c>
      <c r="M1762">
        <v>56.46</v>
      </c>
      <c r="N1762">
        <v>1</v>
      </c>
      <c r="O1762">
        <v>1</v>
      </c>
      <c r="P1762">
        <v>7072</v>
      </c>
      <c r="Q1762">
        <v>3967</v>
      </c>
      <c r="R1762">
        <v>0</v>
      </c>
      <c r="S1762">
        <v>462</v>
      </c>
      <c r="T1762">
        <v>12</v>
      </c>
      <c r="U1762">
        <v>2631</v>
      </c>
      <c r="V1762" s="1">
        <f t="shared" si="81"/>
        <v>0.1474</v>
      </c>
      <c r="W1762" s="1">
        <f t="shared" si="82"/>
        <v>8.9999999999999998E-4</v>
      </c>
      <c r="X1762" s="1">
        <f t="shared" si="83"/>
        <v>8.9999999999999998E-4</v>
      </c>
    </row>
    <row r="1763" spans="1:24" x14ac:dyDescent="0.25">
      <c r="A1763">
        <v>2012</v>
      </c>
      <c r="B1763">
        <v>4</v>
      </c>
      <c r="C1763" t="s">
        <v>31</v>
      </c>
      <c r="D1763" t="str">
        <f>_xlfn.XLOOKUP(C1763,'Carrier Name Rename'!A:A,'Carrier Name Rename'!B:B)</f>
        <v>American Airlines Inc.</v>
      </c>
      <c r="E1763" t="s">
        <v>23</v>
      </c>
      <c r="F1763" t="s">
        <v>24</v>
      </c>
      <c r="G1763">
        <v>401</v>
      </c>
      <c r="H1763">
        <v>56</v>
      </c>
      <c r="I1763">
        <v>13.86</v>
      </c>
      <c r="J1763">
        <v>7.91</v>
      </c>
      <c r="K1763">
        <v>16.41</v>
      </c>
      <c r="L1763">
        <v>0</v>
      </c>
      <c r="M1763">
        <v>17.809999999999999</v>
      </c>
      <c r="N1763">
        <v>9</v>
      </c>
      <c r="O1763">
        <v>0</v>
      </c>
      <c r="P1763">
        <v>2777</v>
      </c>
      <c r="Q1763">
        <v>470</v>
      </c>
      <c r="R1763">
        <v>769</v>
      </c>
      <c r="S1763">
        <v>434</v>
      </c>
      <c r="T1763">
        <v>0</v>
      </c>
      <c r="U1763">
        <v>1104</v>
      </c>
      <c r="V1763" s="1">
        <f t="shared" si="81"/>
        <v>0.13969999999999999</v>
      </c>
      <c r="W1763" s="1">
        <f t="shared" si="82"/>
        <v>2.24E-2</v>
      </c>
      <c r="X1763" s="1">
        <f t="shared" si="83"/>
        <v>0</v>
      </c>
    </row>
    <row r="1764" spans="1:24" x14ac:dyDescent="0.25">
      <c r="A1764">
        <v>2012</v>
      </c>
      <c r="B1764">
        <v>4</v>
      </c>
      <c r="C1764" t="s">
        <v>33</v>
      </c>
      <c r="D1764" t="str">
        <f>_xlfn.XLOOKUP(C1764,'Carrier Name Rename'!A:A,'Carrier Name Rename'!B:B)</f>
        <v>Alaska Airlines Inc.</v>
      </c>
      <c r="E1764" t="s">
        <v>23</v>
      </c>
      <c r="F1764" t="s">
        <v>24</v>
      </c>
      <c r="G1764">
        <v>3586</v>
      </c>
      <c r="H1764">
        <v>277</v>
      </c>
      <c r="I1764">
        <v>78.63</v>
      </c>
      <c r="J1764">
        <v>3.21</v>
      </c>
      <c r="K1764">
        <v>79.27</v>
      </c>
      <c r="L1764">
        <v>1.1299999999999999</v>
      </c>
      <c r="M1764">
        <v>114.76</v>
      </c>
      <c r="N1764">
        <v>7</v>
      </c>
      <c r="O1764">
        <v>6</v>
      </c>
      <c r="P1764">
        <v>13999</v>
      </c>
      <c r="Q1764">
        <v>5057</v>
      </c>
      <c r="R1764">
        <v>162</v>
      </c>
      <c r="S1764">
        <v>2211</v>
      </c>
      <c r="T1764">
        <v>78</v>
      </c>
      <c r="U1764">
        <v>6491</v>
      </c>
      <c r="V1764" s="1">
        <f t="shared" si="81"/>
        <v>7.7200000000000005E-2</v>
      </c>
      <c r="W1764" s="1">
        <f t="shared" si="82"/>
        <v>2E-3</v>
      </c>
      <c r="X1764" s="1">
        <f t="shared" si="83"/>
        <v>1.6999999999999999E-3</v>
      </c>
    </row>
    <row r="1765" spans="1:24" x14ac:dyDescent="0.25">
      <c r="A1765">
        <v>2012</v>
      </c>
      <c r="B1765">
        <v>4</v>
      </c>
      <c r="C1765" t="s">
        <v>35</v>
      </c>
      <c r="D1765" t="str">
        <f>_xlfn.XLOOKUP(C1765,'Carrier Name Rename'!A:A,'Carrier Name Rename'!B:B)</f>
        <v>JetBlue Airways</v>
      </c>
      <c r="E1765" t="s">
        <v>23</v>
      </c>
      <c r="F1765" t="s">
        <v>24</v>
      </c>
      <c r="G1765">
        <v>150</v>
      </c>
      <c r="H1765">
        <v>12</v>
      </c>
      <c r="I1765">
        <v>6.06</v>
      </c>
      <c r="J1765">
        <v>0</v>
      </c>
      <c r="K1765">
        <v>1.84</v>
      </c>
      <c r="L1765">
        <v>0</v>
      </c>
      <c r="M1765">
        <v>4.1100000000000003</v>
      </c>
      <c r="N1765">
        <v>0</v>
      </c>
      <c r="O1765">
        <v>0</v>
      </c>
      <c r="P1765">
        <v>569</v>
      </c>
      <c r="Q1765">
        <v>307</v>
      </c>
      <c r="R1765">
        <v>0</v>
      </c>
      <c r="S1765">
        <v>60</v>
      </c>
      <c r="T1765">
        <v>0</v>
      </c>
      <c r="U1765">
        <v>202</v>
      </c>
      <c r="V1765" s="1">
        <f t="shared" si="81"/>
        <v>0.08</v>
      </c>
      <c r="W1765" s="1">
        <f t="shared" si="82"/>
        <v>0</v>
      </c>
      <c r="X1765" s="1">
        <f t="shared" si="83"/>
        <v>0</v>
      </c>
    </row>
    <row r="1766" spans="1:24" x14ac:dyDescent="0.25">
      <c r="A1766">
        <v>2012</v>
      </c>
      <c r="B1766">
        <v>4</v>
      </c>
      <c r="C1766" t="s">
        <v>37</v>
      </c>
      <c r="D1766" t="str">
        <f>_xlfn.XLOOKUP(C1766,'Carrier Name Rename'!A:A,'Carrier Name Rename'!B:B)</f>
        <v>Delta Air Lines Inc.</v>
      </c>
      <c r="E1766" t="s">
        <v>23</v>
      </c>
      <c r="F1766" t="s">
        <v>24</v>
      </c>
      <c r="G1766">
        <v>686</v>
      </c>
      <c r="H1766">
        <v>67</v>
      </c>
      <c r="I1766">
        <v>31.01</v>
      </c>
      <c r="J1766">
        <v>0</v>
      </c>
      <c r="K1766">
        <v>22.89</v>
      </c>
      <c r="L1766">
        <v>0</v>
      </c>
      <c r="M1766">
        <v>13.11</v>
      </c>
      <c r="N1766">
        <v>0</v>
      </c>
      <c r="O1766">
        <v>1</v>
      </c>
      <c r="P1766">
        <v>3066</v>
      </c>
      <c r="Q1766">
        <v>1715</v>
      </c>
      <c r="R1766">
        <v>0</v>
      </c>
      <c r="S1766">
        <v>608</v>
      </c>
      <c r="T1766">
        <v>0</v>
      </c>
      <c r="U1766">
        <v>743</v>
      </c>
      <c r="V1766" s="1">
        <f t="shared" si="81"/>
        <v>9.7699999999999995E-2</v>
      </c>
      <c r="W1766" s="1">
        <f t="shared" si="82"/>
        <v>0</v>
      </c>
      <c r="X1766" s="1">
        <f t="shared" si="83"/>
        <v>1.5E-3</v>
      </c>
    </row>
    <row r="1767" spans="1:24" x14ac:dyDescent="0.25">
      <c r="A1767">
        <v>2012</v>
      </c>
      <c r="B1767">
        <v>4</v>
      </c>
      <c r="C1767" t="s">
        <v>39</v>
      </c>
      <c r="D1767" t="str">
        <f>_xlfn.XLOOKUP(C1767,'Carrier Name Rename'!A:A,'Carrier Name Rename'!B:B)</f>
        <v>Frontier Airlines Inc.</v>
      </c>
      <c r="E1767" t="s">
        <v>23</v>
      </c>
      <c r="F1767" t="s">
        <v>24</v>
      </c>
      <c r="G1767">
        <v>139</v>
      </c>
      <c r="H1767">
        <v>24</v>
      </c>
      <c r="I1767">
        <v>14.02</v>
      </c>
      <c r="J1767">
        <v>0.68</v>
      </c>
      <c r="K1767">
        <v>5</v>
      </c>
      <c r="L1767">
        <v>0</v>
      </c>
      <c r="M1767">
        <v>4.3</v>
      </c>
      <c r="N1767">
        <v>0</v>
      </c>
      <c r="O1767">
        <v>1</v>
      </c>
      <c r="P1767">
        <v>1023</v>
      </c>
      <c r="Q1767">
        <v>564</v>
      </c>
      <c r="R1767">
        <v>21</v>
      </c>
      <c r="S1767">
        <v>159</v>
      </c>
      <c r="T1767">
        <v>0</v>
      </c>
      <c r="U1767">
        <v>279</v>
      </c>
      <c r="V1767" s="1">
        <f t="shared" si="81"/>
        <v>0.17269999999999999</v>
      </c>
      <c r="W1767" s="1">
        <f t="shared" si="82"/>
        <v>0</v>
      </c>
      <c r="X1767" s="1">
        <f t="shared" si="83"/>
        <v>7.1999999999999998E-3</v>
      </c>
    </row>
    <row r="1768" spans="1:24" x14ac:dyDescent="0.25">
      <c r="A1768">
        <v>2012</v>
      </c>
      <c r="B1768">
        <v>4</v>
      </c>
      <c r="C1768" t="s">
        <v>63</v>
      </c>
      <c r="D1768" t="str">
        <f>_xlfn.XLOOKUP(C1768,'Carrier Name Rename'!A:A,'Carrier Name Rename'!B:B)</f>
        <v>AirTran Airways Corporation</v>
      </c>
      <c r="E1768" t="s">
        <v>23</v>
      </c>
      <c r="F1768" t="s">
        <v>24</v>
      </c>
      <c r="G1768">
        <v>51</v>
      </c>
      <c r="H1768">
        <v>3</v>
      </c>
      <c r="I1768">
        <v>1</v>
      </c>
      <c r="J1768">
        <v>0</v>
      </c>
      <c r="K1768">
        <v>1</v>
      </c>
      <c r="L1768">
        <v>0</v>
      </c>
      <c r="M1768">
        <v>1</v>
      </c>
      <c r="N1768">
        <v>0</v>
      </c>
      <c r="O1768">
        <v>0</v>
      </c>
      <c r="P1768">
        <v>58</v>
      </c>
      <c r="Q1768">
        <v>20</v>
      </c>
      <c r="R1768">
        <v>0</v>
      </c>
      <c r="S1768">
        <v>15</v>
      </c>
      <c r="T1768">
        <v>0</v>
      </c>
      <c r="U1768">
        <v>23</v>
      </c>
      <c r="V1768" s="1">
        <f t="shared" si="81"/>
        <v>5.8799999999999998E-2</v>
      </c>
      <c r="W1768" s="1">
        <f t="shared" si="82"/>
        <v>0</v>
      </c>
      <c r="X1768" s="1">
        <f t="shared" si="83"/>
        <v>0</v>
      </c>
    </row>
    <row r="1769" spans="1:24" x14ac:dyDescent="0.25">
      <c r="A1769">
        <v>2012</v>
      </c>
      <c r="B1769">
        <v>4</v>
      </c>
      <c r="C1769" t="s">
        <v>21</v>
      </c>
      <c r="D1769" t="str">
        <f>_xlfn.XLOOKUP(C1769,'Carrier Name Rename'!A:A,'Carrier Name Rename'!B:B)</f>
        <v>Hawaiian Airlines Inc.</v>
      </c>
      <c r="E1769" t="s">
        <v>23</v>
      </c>
      <c r="F1769" t="s">
        <v>24</v>
      </c>
      <c r="G1769">
        <v>60</v>
      </c>
      <c r="H1769">
        <v>13</v>
      </c>
      <c r="I1769">
        <v>13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1</v>
      </c>
      <c r="P1769">
        <v>1168</v>
      </c>
      <c r="Q1769">
        <v>1168</v>
      </c>
      <c r="R1769">
        <v>0</v>
      </c>
      <c r="S1769">
        <v>0</v>
      </c>
      <c r="T1769">
        <v>0</v>
      </c>
      <c r="U1769">
        <v>0</v>
      </c>
      <c r="V1769" s="1">
        <f t="shared" si="81"/>
        <v>0.2167</v>
      </c>
      <c r="W1769" s="1">
        <f t="shared" si="82"/>
        <v>0</v>
      </c>
      <c r="X1769" s="1">
        <f t="shared" si="83"/>
        <v>1.67E-2</v>
      </c>
    </row>
    <row r="1770" spans="1:24" x14ac:dyDescent="0.25">
      <c r="A1770">
        <v>2012</v>
      </c>
      <c r="B1770">
        <v>4</v>
      </c>
      <c r="C1770" t="s">
        <v>27</v>
      </c>
      <c r="D1770" t="str">
        <f>_xlfn.XLOOKUP(C1770,'Carrier Name Rename'!A:A,'Carrier Name Rename'!B:B)</f>
        <v>SkyWest Airlines Inc.</v>
      </c>
      <c r="E1770" t="s">
        <v>23</v>
      </c>
      <c r="F1770" t="s">
        <v>24</v>
      </c>
      <c r="G1770">
        <v>510</v>
      </c>
      <c r="H1770">
        <v>37</v>
      </c>
      <c r="I1770">
        <v>15.33</v>
      </c>
      <c r="J1770">
        <v>0</v>
      </c>
      <c r="K1770">
        <v>4.5199999999999996</v>
      </c>
      <c r="L1770">
        <v>0</v>
      </c>
      <c r="M1770">
        <v>17.16</v>
      </c>
      <c r="N1770">
        <v>2</v>
      </c>
      <c r="O1770">
        <v>1</v>
      </c>
      <c r="P1770">
        <v>1555</v>
      </c>
      <c r="Q1770">
        <v>710</v>
      </c>
      <c r="R1770">
        <v>0</v>
      </c>
      <c r="S1770">
        <v>136</v>
      </c>
      <c r="T1770">
        <v>0</v>
      </c>
      <c r="U1770">
        <v>709</v>
      </c>
      <c r="V1770" s="1">
        <f t="shared" si="81"/>
        <v>7.2499999999999995E-2</v>
      </c>
      <c r="W1770" s="1">
        <f t="shared" si="82"/>
        <v>3.8999999999999998E-3</v>
      </c>
      <c r="X1770" s="1">
        <f t="shared" si="83"/>
        <v>2E-3</v>
      </c>
    </row>
    <row r="1771" spans="1:24" x14ac:dyDescent="0.25">
      <c r="A1771">
        <v>2012</v>
      </c>
      <c r="B1771">
        <v>4</v>
      </c>
      <c r="C1771" t="s">
        <v>41</v>
      </c>
      <c r="D1771" t="str">
        <f>_xlfn.XLOOKUP(C1771,'Carrier Name Rename'!A:A,'Carrier Name Rename'!B:B)</f>
        <v>United Air Lines Inc.</v>
      </c>
      <c r="E1771" t="s">
        <v>23</v>
      </c>
      <c r="F1771" t="s">
        <v>24</v>
      </c>
      <c r="G1771">
        <v>849</v>
      </c>
      <c r="H1771">
        <v>185</v>
      </c>
      <c r="I1771">
        <v>79.459999999999994</v>
      </c>
      <c r="J1771">
        <v>0.44</v>
      </c>
      <c r="K1771">
        <v>47.45</v>
      </c>
      <c r="L1771">
        <v>0.88</v>
      </c>
      <c r="M1771">
        <v>56.77</v>
      </c>
      <c r="N1771">
        <v>2</v>
      </c>
      <c r="O1771">
        <v>2</v>
      </c>
      <c r="P1771">
        <v>8788</v>
      </c>
      <c r="Q1771">
        <v>3692</v>
      </c>
      <c r="R1771">
        <v>28</v>
      </c>
      <c r="S1771">
        <v>1361</v>
      </c>
      <c r="T1771">
        <v>36</v>
      </c>
      <c r="U1771">
        <v>3671</v>
      </c>
      <c r="V1771" s="1">
        <f t="shared" si="81"/>
        <v>0.21790000000000001</v>
      </c>
      <c r="W1771" s="1">
        <f t="shared" si="82"/>
        <v>2.3999999999999998E-3</v>
      </c>
      <c r="X1771" s="1">
        <f t="shared" si="83"/>
        <v>2.3999999999999998E-3</v>
      </c>
    </row>
    <row r="1772" spans="1:24" x14ac:dyDescent="0.25">
      <c r="A1772">
        <v>2012</v>
      </c>
      <c r="B1772">
        <v>4</v>
      </c>
      <c r="C1772" t="s">
        <v>61</v>
      </c>
      <c r="D1772" t="str">
        <f>_xlfn.XLOOKUP(C1772,'Carrier Name Rename'!A:A,'Carrier Name Rename'!B:B)</f>
        <v>US Airways Inc.</v>
      </c>
      <c r="E1772" t="s">
        <v>23</v>
      </c>
      <c r="F1772" t="s">
        <v>24</v>
      </c>
      <c r="G1772">
        <v>258</v>
      </c>
      <c r="H1772">
        <v>35</v>
      </c>
      <c r="I1772">
        <v>13.49</v>
      </c>
      <c r="J1772">
        <v>0</v>
      </c>
      <c r="K1772">
        <v>15.56</v>
      </c>
      <c r="L1772">
        <v>0</v>
      </c>
      <c r="M1772">
        <v>5.94</v>
      </c>
      <c r="N1772">
        <v>0</v>
      </c>
      <c r="O1772">
        <v>0</v>
      </c>
      <c r="P1772">
        <v>1578</v>
      </c>
      <c r="Q1772">
        <v>763</v>
      </c>
      <c r="R1772">
        <v>0</v>
      </c>
      <c r="S1772">
        <v>438</v>
      </c>
      <c r="T1772">
        <v>0</v>
      </c>
      <c r="U1772">
        <v>377</v>
      </c>
      <c r="V1772" s="1">
        <f t="shared" si="81"/>
        <v>0.13569999999999999</v>
      </c>
      <c r="W1772" s="1">
        <f t="shared" si="82"/>
        <v>0</v>
      </c>
      <c r="X1772" s="1">
        <f t="shared" si="83"/>
        <v>0</v>
      </c>
    </row>
    <row r="1773" spans="1:24" x14ac:dyDescent="0.25">
      <c r="A1773">
        <v>2012</v>
      </c>
      <c r="B1773">
        <v>4</v>
      </c>
      <c r="C1773" t="s">
        <v>51</v>
      </c>
      <c r="D1773" t="str">
        <f>_xlfn.XLOOKUP(C1773,'Carrier Name Rename'!A:A,'Carrier Name Rename'!B:B)</f>
        <v>Virgin America</v>
      </c>
      <c r="E1773" t="s">
        <v>23</v>
      </c>
      <c r="F1773" t="s">
        <v>24</v>
      </c>
      <c r="G1773">
        <v>232</v>
      </c>
      <c r="H1773">
        <v>14</v>
      </c>
      <c r="I1773">
        <v>4.3099999999999996</v>
      </c>
      <c r="J1773">
        <v>0.62</v>
      </c>
      <c r="K1773">
        <v>1.41</v>
      </c>
      <c r="L1773">
        <v>0.63</v>
      </c>
      <c r="M1773">
        <v>7.04</v>
      </c>
      <c r="N1773">
        <v>0</v>
      </c>
      <c r="O1773">
        <v>0</v>
      </c>
      <c r="P1773">
        <v>801</v>
      </c>
      <c r="Q1773">
        <v>237</v>
      </c>
      <c r="R1773">
        <v>16</v>
      </c>
      <c r="S1773">
        <v>38</v>
      </c>
      <c r="T1773">
        <v>12</v>
      </c>
      <c r="U1773">
        <v>498</v>
      </c>
      <c r="V1773" s="1">
        <f t="shared" si="81"/>
        <v>6.0299999999999999E-2</v>
      </c>
      <c r="W1773" s="1">
        <f t="shared" si="82"/>
        <v>0</v>
      </c>
      <c r="X1773" s="1">
        <f t="shared" si="83"/>
        <v>0</v>
      </c>
    </row>
    <row r="1774" spans="1:24" x14ac:dyDescent="0.25">
      <c r="A1774">
        <v>2012</v>
      </c>
      <c r="B1774">
        <v>4</v>
      </c>
      <c r="C1774" t="s">
        <v>43</v>
      </c>
      <c r="D1774" t="str">
        <f>_xlfn.XLOOKUP(C1774,'Carrier Name Rename'!A:A,'Carrier Name Rename'!B:B)</f>
        <v>Southwest Airlines Co.</v>
      </c>
      <c r="E1774" t="s">
        <v>23</v>
      </c>
      <c r="F1774" t="s">
        <v>24</v>
      </c>
      <c r="G1774">
        <v>1033</v>
      </c>
      <c r="H1774">
        <v>123</v>
      </c>
      <c r="I1774">
        <v>46.95</v>
      </c>
      <c r="J1774">
        <v>1.1299999999999999</v>
      </c>
      <c r="K1774">
        <v>22.33</v>
      </c>
      <c r="L1774">
        <v>1.44</v>
      </c>
      <c r="M1774">
        <v>51.16</v>
      </c>
      <c r="N1774">
        <v>3</v>
      </c>
      <c r="O1774">
        <v>0</v>
      </c>
      <c r="P1774">
        <v>4939</v>
      </c>
      <c r="Q1774">
        <v>1977</v>
      </c>
      <c r="R1774">
        <v>54</v>
      </c>
      <c r="S1774">
        <v>546</v>
      </c>
      <c r="T1774">
        <v>53</v>
      </c>
      <c r="U1774">
        <v>2309</v>
      </c>
      <c r="V1774" s="1">
        <f t="shared" si="81"/>
        <v>0.1191</v>
      </c>
      <c r="W1774" s="1">
        <f t="shared" si="82"/>
        <v>2.8999999999999998E-3</v>
      </c>
      <c r="X1774" s="1">
        <f t="shared" si="83"/>
        <v>0</v>
      </c>
    </row>
    <row r="1775" spans="1:24" x14ac:dyDescent="0.25">
      <c r="A1775">
        <v>2012</v>
      </c>
      <c r="B1775">
        <v>3</v>
      </c>
      <c r="C1775" t="s">
        <v>31</v>
      </c>
      <c r="D1775" t="str">
        <f>_xlfn.XLOOKUP(C1775,'Carrier Name Rename'!A:A,'Carrier Name Rename'!B:B)</f>
        <v>American Airlines Inc.</v>
      </c>
      <c r="E1775" t="s">
        <v>23</v>
      </c>
      <c r="F1775" t="s">
        <v>24</v>
      </c>
      <c r="G1775">
        <v>331</v>
      </c>
      <c r="H1775">
        <v>62</v>
      </c>
      <c r="I1775">
        <v>24.43</v>
      </c>
      <c r="J1775">
        <v>3.8</v>
      </c>
      <c r="K1775">
        <v>12.77</v>
      </c>
      <c r="L1775">
        <v>0</v>
      </c>
      <c r="M1775">
        <v>21</v>
      </c>
      <c r="N1775">
        <v>5</v>
      </c>
      <c r="O1775">
        <v>0</v>
      </c>
      <c r="P1775">
        <v>2698</v>
      </c>
      <c r="Q1775">
        <v>1166</v>
      </c>
      <c r="R1775">
        <v>142</v>
      </c>
      <c r="S1775">
        <v>389</v>
      </c>
      <c r="T1775">
        <v>0</v>
      </c>
      <c r="U1775">
        <v>1001</v>
      </c>
      <c r="V1775" s="1">
        <f t="shared" si="81"/>
        <v>0.18729999999999999</v>
      </c>
      <c r="W1775" s="1">
        <f t="shared" si="82"/>
        <v>1.5100000000000001E-2</v>
      </c>
      <c r="X1775" s="1">
        <f t="shared" si="83"/>
        <v>0</v>
      </c>
    </row>
    <row r="1776" spans="1:24" x14ac:dyDescent="0.25">
      <c r="A1776">
        <v>2012</v>
      </c>
      <c r="B1776">
        <v>3</v>
      </c>
      <c r="C1776" t="s">
        <v>33</v>
      </c>
      <c r="D1776" t="str">
        <f>_xlfn.XLOOKUP(C1776,'Carrier Name Rename'!A:A,'Carrier Name Rename'!B:B)</f>
        <v>Alaska Airlines Inc.</v>
      </c>
      <c r="E1776" t="s">
        <v>23</v>
      </c>
      <c r="F1776" t="s">
        <v>24</v>
      </c>
      <c r="G1776">
        <v>3657</v>
      </c>
      <c r="H1776">
        <v>423</v>
      </c>
      <c r="I1776">
        <v>92.61</v>
      </c>
      <c r="J1776">
        <v>5.19</v>
      </c>
      <c r="K1776">
        <v>132.19</v>
      </c>
      <c r="L1776">
        <v>3.01</v>
      </c>
      <c r="M1776">
        <v>189.99</v>
      </c>
      <c r="N1776">
        <v>16</v>
      </c>
      <c r="O1776">
        <v>5</v>
      </c>
      <c r="P1776">
        <v>23940</v>
      </c>
      <c r="Q1776">
        <v>7148</v>
      </c>
      <c r="R1776">
        <v>356</v>
      </c>
      <c r="S1776">
        <v>3788</v>
      </c>
      <c r="T1776">
        <v>90</v>
      </c>
      <c r="U1776">
        <v>12558</v>
      </c>
      <c r="V1776" s="1">
        <f t="shared" si="81"/>
        <v>0.1157</v>
      </c>
      <c r="W1776" s="1">
        <f t="shared" si="82"/>
        <v>4.4000000000000003E-3</v>
      </c>
      <c r="X1776" s="1">
        <f t="shared" si="83"/>
        <v>1.4E-3</v>
      </c>
    </row>
    <row r="1777" spans="1:24" x14ac:dyDescent="0.25">
      <c r="A1777">
        <v>2012</v>
      </c>
      <c r="B1777">
        <v>3</v>
      </c>
      <c r="C1777" t="s">
        <v>35</v>
      </c>
      <c r="D1777" t="str">
        <f>_xlfn.XLOOKUP(C1777,'Carrier Name Rename'!A:A,'Carrier Name Rename'!B:B)</f>
        <v>JetBlue Airways</v>
      </c>
      <c r="E1777" t="s">
        <v>23</v>
      </c>
      <c r="F1777" t="s">
        <v>24</v>
      </c>
      <c r="G1777">
        <v>155</v>
      </c>
      <c r="H1777">
        <v>30</v>
      </c>
      <c r="I1777">
        <v>14.48</v>
      </c>
      <c r="J1777">
        <v>0</v>
      </c>
      <c r="K1777">
        <v>5.94</v>
      </c>
      <c r="L1777">
        <v>0</v>
      </c>
      <c r="M1777">
        <v>9.58</v>
      </c>
      <c r="N1777">
        <v>0</v>
      </c>
      <c r="O1777">
        <v>1</v>
      </c>
      <c r="P1777">
        <v>1722</v>
      </c>
      <c r="Q1777">
        <v>998</v>
      </c>
      <c r="R1777">
        <v>0</v>
      </c>
      <c r="S1777">
        <v>154</v>
      </c>
      <c r="T1777">
        <v>0</v>
      </c>
      <c r="U1777">
        <v>570</v>
      </c>
      <c r="V1777" s="1">
        <f t="shared" si="81"/>
        <v>0.19350000000000001</v>
      </c>
      <c r="W1777" s="1">
        <f t="shared" si="82"/>
        <v>0</v>
      </c>
      <c r="X1777" s="1">
        <f t="shared" si="83"/>
        <v>6.4999999999999997E-3</v>
      </c>
    </row>
    <row r="1778" spans="1:24" x14ac:dyDescent="0.25">
      <c r="A1778">
        <v>2012</v>
      </c>
      <c r="B1778">
        <v>3</v>
      </c>
      <c r="C1778" t="s">
        <v>37</v>
      </c>
      <c r="D1778" t="str">
        <f>_xlfn.XLOOKUP(C1778,'Carrier Name Rename'!A:A,'Carrier Name Rename'!B:B)</f>
        <v>Delta Air Lines Inc.</v>
      </c>
      <c r="E1778" t="s">
        <v>23</v>
      </c>
      <c r="F1778" t="s">
        <v>24</v>
      </c>
      <c r="G1778">
        <v>720</v>
      </c>
      <c r="H1778">
        <v>134</v>
      </c>
      <c r="I1778">
        <v>46.51</v>
      </c>
      <c r="J1778">
        <v>2.66</v>
      </c>
      <c r="K1778">
        <v>62.79</v>
      </c>
      <c r="L1778">
        <v>0</v>
      </c>
      <c r="M1778">
        <v>22.04</v>
      </c>
      <c r="N1778">
        <v>1</v>
      </c>
      <c r="O1778">
        <v>1</v>
      </c>
      <c r="P1778">
        <v>5693</v>
      </c>
      <c r="Q1778">
        <v>2188</v>
      </c>
      <c r="R1778">
        <v>222</v>
      </c>
      <c r="S1778">
        <v>1816</v>
      </c>
      <c r="T1778">
        <v>0</v>
      </c>
      <c r="U1778">
        <v>1467</v>
      </c>
      <c r="V1778" s="1">
        <f t="shared" si="81"/>
        <v>0.18609999999999999</v>
      </c>
      <c r="W1778" s="1">
        <f t="shared" si="82"/>
        <v>1.4E-3</v>
      </c>
      <c r="X1778" s="1">
        <f t="shared" si="83"/>
        <v>1.4E-3</v>
      </c>
    </row>
    <row r="1779" spans="1:24" x14ac:dyDescent="0.25">
      <c r="A1779">
        <v>2012</v>
      </c>
      <c r="B1779">
        <v>3</v>
      </c>
      <c r="C1779" t="s">
        <v>39</v>
      </c>
      <c r="D1779" t="str">
        <f>_xlfn.XLOOKUP(C1779,'Carrier Name Rename'!A:A,'Carrier Name Rename'!B:B)</f>
        <v>Frontier Airlines Inc.</v>
      </c>
      <c r="E1779" t="s">
        <v>23</v>
      </c>
      <c r="F1779" t="s">
        <v>24</v>
      </c>
      <c r="G1779">
        <v>138</v>
      </c>
      <c r="H1779">
        <v>20</v>
      </c>
      <c r="I1779">
        <v>9.3699999999999992</v>
      </c>
      <c r="J1779">
        <v>0</v>
      </c>
      <c r="K1779">
        <v>5.98</v>
      </c>
      <c r="L1779">
        <v>0</v>
      </c>
      <c r="M1779">
        <v>4.6500000000000004</v>
      </c>
      <c r="N1779">
        <v>0</v>
      </c>
      <c r="O1779">
        <v>0</v>
      </c>
      <c r="P1779">
        <v>780</v>
      </c>
      <c r="Q1779">
        <v>306</v>
      </c>
      <c r="R1779">
        <v>0</v>
      </c>
      <c r="S1779">
        <v>146</v>
      </c>
      <c r="T1779">
        <v>0</v>
      </c>
      <c r="U1779">
        <v>328</v>
      </c>
      <c r="V1779" s="1">
        <f t="shared" si="81"/>
        <v>0.1449</v>
      </c>
      <c r="W1779" s="1">
        <f t="shared" si="82"/>
        <v>0</v>
      </c>
      <c r="X1779" s="1">
        <f t="shared" si="83"/>
        <v>0</v>
      </c>
    </row>
    <row r="1780" spans="1:24" x14ac:dyDescent="0.25">
      <c r="A1780">
        <v>2012</v>
      </c>
      <c r="B1780">
        <v>3</v>
      </c>
      <c r="C1780" t="s">
        <v>63</v>
      </c>
      <c r="D1780" t="str">
        <f>_xlfn.XLOOKUP(C1780,'Carrier Name Rename'!A:A,'Carrier Name Rename'!B:B)</f>
        <v>AirTran Airways Corporation</v>
      </c>
      <c r="E1780" t="s">
        <v>23</v>
      </c>
      <c r="F1780" t="s">
        <v>24</v>
      </c>
      <c r="G1780">
        <v>31</v>
      </c>
      <c r="H1780">
        <v>3</v>
      </c>
      <c r="I1780">
        <v>0.77</v>
      </c>
      <c r="J1780">
        <v>0</v>
      </c>
      <c r="K1780">
        <v>2.23</v>
      </c>
      <c r="L1780">
        <v>0</v>
      </c>
      <c r="M1780">
        <v>0</v>
      </c>
      <c r="N1780">
        <v>0</v>
      </c>
      <c r="O1780">
        <v>0</v>
      </c>
      <c r="P1780">
        <v>111</v>
      </c>
      <c r="Q1780">
        <v>45</v>
      </c>
      <c r="R1780">
        <v>0</v>
      </c>
      <c r="S1780">
        <v>66</v>
      </c>
      <c r="T1780">
        <v>0</v>
      </c>
      <c r="U1780">
        <v>0</v>
      </c>
      <c r="V1780" s="1">
        <f t="shared" si="81"/>
        <v>9.6799999999999997E-2</v>
      </c>
      <c r="W1780" s="1">
        <f t="shared" si="82"/>
        <v>0</v>
      </c>
      <c r="X1780" s="1">
        <f t="shared" si="83"/>
        <v>0</v>
      </c>
    </row>
    <row r="1781" spans="1:24" x14ac:dyDescent="0.25">
      <c r="A1781">
        <v>2012</v>
      </c>
      <c r="B1781">
        <v>3</v>
      </c>
      <c r="C1781" t="s">
        <v>21</v>
      </c>
      <c r="D1781" t="str">
        <f>_xlfn.XLOOKUP(C1781,'Carrier Name Rename'!A:A,'Carrier Name Rename'!B:B)</f>
        <v>Hawaiian Airlines Inc.</v>
      </c>
      <c r="E1781" t="s">
        <v>23</v>
      </c>
      <c r="F1781" t="s">
        <v>24</v>
      </c>
      <c r="G1781">
        <v>62</v>
      </c>
      <c r="H1781">
        <v>18</v>
      </c>
      <c r="I1781">
        <v>16</v>
      </c>
      <c r="J1781">
        <v>0</v>
      </c>
      <c r="K1781">
        <v>0</v>
      </c>
      <c r="L1781">
        <v>0</v>
      </c>
      <c r="M1781">
        <v>2</v>
      </c>
      <c r="N1781">
        <v>0</v>
      </c>
      <c r="O1781">
        <v>0</v>
      </c>
      <c r="P1781">
        <v>1141</v>
      </c>
      <c r="Q1781">
        <v>1077</v>
      </c>
      <c r="R1781">
        <v>0</v>
      </c>
      <c r="S1781">
        <v>0</v>
      </c>
      <c r="T1781">
        <v>0</v>
      </c>
      <c r="U1781">
        <v>64</v>
      </c>
      <c r="V1781" s="1">
        <f t="shared" si="81"/>
        <v>0.2903</v>
      </c>
      <c r="W1781" s="1">
        <f t="shared" si="82"/>
        <v>0</v>
      </c>
      <c r="X1781" s="1">
        <f t="shared" si="83"/>
        <v>0</v>
      </c>
    </row>
    <row r="1782" spans="1:24" x14ac:dyDescent="0.25">
      <c r="A1782">
        <v>2012</v>
      </c>
      <c r="B1782">
        <v>3</v>
      </c>
      <c r="C1782" t="s">
        <v>27</v>
      </c>
      <c r="D1782" t="str">
        <f>_xlfn.XLOOKUP(C1782,'Carrier Name Rename'!A:A,'Carrier Name Rename'!B:B)</f>
        <v>SkyWest Airlines Inc.</v>
      </c>
      <c r="E1782" t="s">
        <v>23</v>
      </c>
      <c r="F1782" t="s">
        <v>24</v>
      </c>
      <c r="G1782">
        <v>540</v>
      </c>
      <c r="H1782">
        <v>64</v>
      </c>
      <c r="I1782">
        <v>25.74</v>
      </c>
      <c r="J1782">
        <v>0</v>
      </c>
      <c r="K1782">
        <v>12.34</v>
      </c>
      <c r="L1782">
        <v>0</v>
      </c>
      <c r="M1782">
        <v>25.92</v>
      </c>
      <c r="N1782">
        <v>5</v>
      </c>
      <c r="O1782">
        <v>0</v>
      </c>
      <c r="P1782">
        <v>3706</v>
      </c>
      <c r="Q1782">
        <v>1863</v>
      </c>
      <c r="R1782">
        <v>0</v>
      </c>
      <c r="S1782">
        <v>412</v>
      </c>
      <c r="T1782">
        <v>0</v>
      </c>
      <c r="U1782">
        <v>1431</v>
      </c>
      <c r="V1782" s="1">
        <f t="shared" si="81"/>
        <v>0.11849999999999999</v>
      </c>
      <c r="W1782" s="1">
        <f t="shared" si="82"/>
        <v>9.2999999999999992E-3</v>
      </c>
      <c r="X1782" s="1">
        <f t="shared" si="83"/>
        <v>0</v>
      </c>
    </row>
    <row r="1783" spans="1:24" x14ac:dyDescent="0.25">
      <c r="A1783">
        <v>2012</v>
      </c>
      <c r="B1783">
        <v>3</v>
      </c>
      <c r="C1783" t="s">
        <v>41</v>
      </c>
      <c r="D1783" t="str">
        <f>_xlfn.XLOOKUP(C1783,'Carrier Name Rename'!A:A,'Carrier Name Rename'!B:B)</f>
        <v>United Air Lines Inc.</v>
      </c>
      <c r="E1783" t="s">
        <v>23</v>
      </c>
      <c r="F1783" t="s">
        <v>24</v>
      </c>
      <c r="G1783">
        <v>881</v>
      </c>
      <c r="H1783">
        <v>255</v>
      </c>
      <c r="I1783">
        <v>104.97</v>
      </c>
      <c r="J1783">
        <v>5.04</v>
      </c>
      <c r="K1783">
        <v>77.22</v>
      </c>
      <c r="L1783">
        <v>0</v>
      </c>
      <c r="M1783">
        <v>67.77</v>
      </c>
      <c r="N1783">
        <v>2</v>
      </c>
      <c r="O1783">
        <v>1</v>
      </c>
      <c r="P1783">
        <v>12207</v>
      </c>
      <c r="Q1783">
        <v>4700</v>
      </c>
      <c r="R1783">
        <v>324</v>
      </c>
      <c r="S1783">
        <v>2569</v>
      </c>
      <c r="T1783">
        <v>0</v>
      </c>
      <c r="U1783">
        <v>4614</v>
      </c>
      <c r="V1783" s="1">
        <f t="shared" si="81"/>
        <v>0.28939999999999999</v>
      </c>
      <c r="W1783" s="1">
        <f t="shared" si="82"/>
        <v>2.3E-3</v>
      </c>
      <c r="X1783" s="1">
        <f t="shared" si="83"/>
        <v>1.1000000000000001E-3</v>
      </c>
    </row>
    <row r="1784" spans="1:24" x14ac:dyDescent="0.25">
      <c r="A1784">
        <v>2012</v>
      </c>
      <c r="B1784">
        <v>3</v>
      </c>
      <c r="C1784" t="s">
        <v>61</v>
      </c>
      <c r="D1784" t="str">
        <f>_xlfn.XLOOKUP(C1784,'Carrier Name Rename'!A:A,'Carrier Name Rename'!B:B)</f>
        <v>US Airways Inc.</v>
      </c>
      <c r="E1784" t="s">
        <v>23</v>
      </c>
      <c r="F1784" t="s">
        <v>24</v>
      </c>
      <c r="G1784">
        <v>260</v>
      </c>
      <c r="H1784">
        <v>36</v>
      </c>
      <c r="I1784">
        <v>11.6</v>
      </c>
      <c r="J1784">
        <v>0</v>
      </c>
      <c r="K1784">
        <v>17.88</v>
      </c>
      <c r="L1784">
        <v>0</v>
      </c>
      <c r="M1784">
        <v>6.52</v>
      </c>
      <c r="N1784">
        <v>1</v>
      </c>
      <c r="O1784">
        <v>0</v>
      </c>
      <c r="P1784">
        <v>1629</v>
      </c>
      <c r="Q1784">
        <v>662</v>
      </c>
      <c r="R1784">
        <v>0</v>
      </c>
      <c r="S1784">
        <v>433</v>
      </c>
      <c r="T1784">
        <v>0</v>
      </c>
      <c r="U1784">
        <v>534</v>
      </c>
      <c r="V1784" s="1">
        <f t="shared" si="81"/>
        <v>0.13850000000000001</v>
      </c>
      <c r="W1784" s="1">
        <f t="shared" si="82"/>
        <v>3.8E-3</v>
      </c>
      <c r="X1784" s="1">
        <f t="shared" si="83"/>
        <v>0</v>
      </c>
    </row>
    <row r="1785" spans="1:24" x14ac:dyDescent="0.25">
      <c r="A1785">
        <v>2012</v>
      </c>
      <c r="B1785">
        <v>3</v>
      </c>
      <c r="C1785" t="s">
        <v>51</v>
      </c>
      <c r="D1785" t="str">
        <f>_xlfn.XLOOKUP(C1785,'Carrier Name Rename'!A:A,'Carrier Name Rename'!B:B)</f>
        <v>Virgin America</v>
      </c>
      <c r="E1785" t="s">
        <v>23</v>
      </c>
      <c r="F1785" t="s">
        <v>24</v>
      </c>
      <c r="G1785">
        <v>233</v>
      </c>
      <c r="H1785">
        <v>49</v>
      </c>
      <c r="I1785">
        <v>9.68</v>
      </c>
      <c r="J1785">
        <v>4.76</v>
      </c>
      <c r="K1785">
        <v>9.4700000000000006</v>
      </c>
      <c r="L1785">
        <v>0.26</v>
      </c>
      <c r="M1785">
        <v>24.82</v>
      </c>
      <c r="N1785">
        <v>2</v>
      </c>
      <c r="O1785">
        <v>0</v>
      </c>
      <c r="P1785">
        <v>3683</v>
      </c>
      <c r="Q1785">
        <v>687</v>
      </c>
      <c r="R1785">
        <v>157</v>
      </c>
      <c r="S1785">
        <v>717</v>
      </c>
      <c r="T1785">
        <v>10</v>
      </c>
      <c r="U1785">
        <v>2112</v>
      </c>
      <c r="V1785" s="1">
        <f t="shared" si="81"/>
        <v>0.21029999999999999</v>
      </c>
      <c r="W1785" s="1">
        <f t="shared" si="82"/>
        <v>8.6E-3</v>
      </c>
      <c r="X1785" s="1">
        <f t="shared" si="83"/>
        <v>0</v>
      </c>
    </row>
    <row r="1786" spans="1:24" x14ac:dyDescent="0.25">
      <c r="A1786">
        <v>2012</v>
      </c>
      <c r="B1786">
        <v>3</v>
      </c>
      <c r="C1786" t="s">
        <v>43</v>
      </c>
      <c r="D1786" t="str">
        <f>_xlfn.XLOOKUP(C1786,'Carrier Name Rename'!A:A,'Carrier Name Rename'!B:B)</f>
        <v>Southwest Airlines Co.</v>
      </c>
      <c r="E1786" t="s">
        <v>23</v>
      </c>
      <c r="F1786" t="s">
        <v>24</v>
      </c>
      <c r="G1786">
        <v>964</v>
      </c>
      <c r="H1786">
        <v>147</v>
      </c>
      <c r="I1786">
        <v>48.3</v>
      </c>
      <c r="J1786">
        <v>1.49</v>
      </c>
      <c r="K1786">
        <v>30.8</v>
      </c>
      <c r="L1786">
        <v>0.56000000000000005</v>
      </c>
      <c r="M1786">
        <v>65.849999999999994</v>
      </c>
      <c r="N1786">
        <v>0</v>
      </c>
      <c r="O1786">
        <v>0</v>
      </c>
      <c r="P1786">
        <v>5655</v>
      </c>
      <c r="Q1786">
        <v>1698</v>
      </c>
      <c r="R1786">
        <v>52</v>
      </c>
      <c r="S1786">
        <v>878</v>
      </c>
      <c r="T1786">
        <v>9</v>
      </c>
      <c r="U1786">
        <v>3018</v>
      </c>
      <c r="V1786" s="1">
        <f t="shared" si="81"/>
        <v>0.1525</v>
      </c>
      <c r="W1786" s="1">
        <f t="shared" si="82"/>
        <v>0</v>
      </c>
      <c r="X1786" s="1">
        <f t="shared" si="83"/>
        <v>0</v>
      </c>
    </row>
    <row r="1787" spans="1:24" x14ac:dyDescent="0.25">
      <c r="A1787">
        <v>2012</v>
      </c>
      <c r="B1787">
        <v>2</v>
      </c>
      <c r="C1787" t="s">
        <v>31</v>
      </c>
      <c r="D1787" t="str">
        <f>_xlfn.XLOOKUP(C1787,'Carrier Name Rename'!A:A,'Carrier Name Rename'!B:B)</f>
        <v>American Airlines Inc.</v>
      </c>
      <c r="E1787" t="s">
        <v>23</v>
      </c>
      <c r="F1787" t="s">
        <v>24</v>
      </c>
      <c r="G1787">
        <v>297</v>
      </c>
      <c r="H1787">
        <v>60</v>
      </c>
      <c r="I1787">
        <v>24.96</v>
      </c>
      <c r="J1787">
        <v>0.89</v>
      </c>
      <c r="K1787">
        <v>23.81</v>
      </c>
      <c r="L1787">
        <v>0</v>
      </c>
      <c r="M1787">
        <v>10.34</v>
      </c>
      <c r="N1787">
        <v>2</v>
      </c>
      <c r="O1787">
        <v>1</v>
      </c>
      <c r="P1787">
        <v>2304</v>
      </c>
      <c r="Q1787">
        <v>1073</v>
      </c>
      <c r="R1787">
        <v>49</v>
      </c>
      <c r="S1787">
        <v>720</v>
      </c>
      <c r="T1787">
        <v>0</v>
      </c>
      <c r="U1787">
        <v>462</v>
      </c>
      <c r="V1787" s="1">
        <f t="shared" si="81"/>
        <v>0.20200000000000001</v>
      </c>
      <c r="W1787" s="1">
        <f t="shared" si="82"/>
        <v>6.7000000000000002E-3</v>
      </c>
      <c r="X1787" s="1">
        <f t="shared" si="83"/>
        <v>3.3999999999999998E-3</v>
      </c>
    </row>
    <row r="1788" spans="1:24" x14ac:dyDescent="0.25">
      <c r="A1788">
        <v>2012</v>
      </c>
      <c r="B1788">
        <v>2</v>
      </c>
      <c r="C1788" t="s">
        <v>33</v>
      </c>
      <c r="D1788" t="str">
        <f>_xlfn.XLOOKUP(C1788,'Carrier Name Rename'!A:A,'Carrier Name Rename'!B:B)</f>
        <v>Alaska Airlines Inc.</v>
      </c>
      <c r="E1788" t="s">
        <v>23</v>
      </c>
      <c r="F1788" t="s">
        <v>24</v>
      </c>
      <c r="G1788">
        <v>3271</v>
      </c>
      <c r="H1788">
        <v>326</v>
      </c>
      <c r="I1788">
        <v>66.59</v>
      </c>
      <c r="J1788">
        <v>4</v>
      </c>
      <c r="K1788">
        <v>162.99</v>
      </c>
      <c r="L1788">
        <v>3</v>
      </c>
      <c r="M1788">
        <v>89.41</v>
      </c>
      <c r="N1788">
        <v>5</v>
      </c>
      <c r="O1788">
        <v>1</v>
      </c>
      <c r="P1788">
        <v>14865</v>
      </c>
      <c r="Q1788">
        <v>4643</v>
      </c>
      <c r="R1788">
        <v>155</v>
      </c>
      <c r="S1788">
        <v>4080</v>
      </c>
      <c r="T1788">
        <v>98</v>
      </c>
      <c r="U1788">
        <v>5889</v>
      </c>
      <c r="V1788" s="1">
        <f t="shared" si="81"/>
        <v>9.9699999999999997E-2</v>
      </c>
      <c r="W1788" s="1">
        <f t="shared" si="82"/>
        <v>1.5E-3</v>
      </c>
      <c r="X1788" s="1">
        <f t="shared" si="83"/>
        <v>2.9999999999999997E-4</v>
      </c>
    </row>
    <row r="1789" spans="1:24" x14ac:dyDescent="0.25">
      <c r="A1789">
        <v>2012</v>
      </c>
      <c r="B1789">
        <v>2</v>
      </c>
      <c r="C1789" t="s">
        <v>35</v>
      </c>
      <c r="D1789" t="str">
        <f>_xlfn.XLOOKUP(C1789,'Carrier Name Rename'!A:A,'Carrier Name Rename'!B:B)</f>
        <v>JetBlue Airways</v>
      </c>
      <c r="E1789" t="s">
        <v>23</v>
      </c>
      <c r="F1789" t="s">
        <v>24</v>
      </c>
      <c r="G1789">
        <v>137</v>
      </c>
      <c r="H1789">
        <v>19</v>
      </c>
      <c r="I1789">
        <v>6.13</v>
      </c>
      <c r="J1789">
        <v>0</v>
      </c>
      <c r="K1789">
        <v>2.88</v>
      </c>
      <c r="L1789">
        <v>0</v>
      </c>
      <c r="M1789">
        <v>9.99</v>
      </c>
      <c r="N1789">
        <v>0</v>
      </c>
      <c r="O1789">
        <v>0</v>
      </c>
      <c r="P1789">
        <v>864</v>
      </c>
      <c r="Q1789">
        <v>369</v>
      </c>
      <c r="R1789">
        <v>0</v>
      </c>
      <c r="S1789">
        <v>99</v>
      </c>
      <c r="T1789">
        <v>0</v>
      </c>
      <c r="U1789">
        <v>396</v>
      </c>
      <c r="V1789" s="1">
        <f t="shared" si="81"/>
        <v>0.13869999999999999</v>
      </c>
      <c r="W1789" s="1">
        <f t="shared" si="82"/>
        <v>0</v>
      </c>
      <c r="X1789" s="1">
        <f t="shared" si="83"/>
        <v>0</v>
      </c>
    </row>
    <row r="1790" spans="1:24" x14ac:dyDescent="0.25">
      <c r="A1790">
        <v>2012</v>
      </c>
      <c r="B1790">
        <v>2</v>
      </c>
      <c r="C1790" t="s">
        <v>37</v>
      </c>
      <c r="D1790" t="str">
        <f>_xlfn.XLOOKUP(C1790,'Carrier Name Rename'!A:A,'Carrier Name Rename'!B:B)</f>
        <v>Delta Air Lines Inc.</v>
      </c>
      <c r="E1790" t="s">
        <v>23</v>
      </c>
      <c r="F1790" t="s">
        <v>24</v>
      </c>
      <c r="G1790">
        <v>628</v>
      </c>
      <c r="H1790">
        <v>49</v>
      </c>
      <c r="I1790">
        <v>17.34</v>
      </c>
      <c r="J1790">
        <v>1.1399999999999999</v>
      </c>
      <c r="K1790">
        <v>22.19</v>
      </c>
      <c r="L1790">
        <v>0</v>
      </c>
      <c r="M1790">
        <v>8.34</v>
      </c>
      <c r="N1790">
        <v>0</v>
      </c>
      <c r="O1790">
        <v>0</v>
      </c>
      <c r="P1790">
        <v>2163</v>
      </c>
      <c r="Q1790">
        <v>976</v>
      </c>
      <c r="R1790">
        <v>99</v>
      </c>
      <c r="S1790">
        <v>688</v>
      </c>
      <c r="T1790">
        <v>0</v>
      </c>
      <c r="U1790">
        <v>400</v>
      </c>
      <c r="V1790" s="1">
        <f t="shared" si="81"/>
        <v>7.8E-2</v>
      </c>
      <c r="W1790" s="1">
        <f t="shared" si="82"/>
        <v>0</v>
      </c>
      <c r="X1790" s="1">
        <f t="shared" si="83"/>
        <v>0</v>
      </c>
    </row>
    <row r="1791" spans="1:24" x14ac:dyDescent="0.25">
      <c r="A1791">
        <v>2012</v>
      </c>
      <c r="B1791">
        <v>2</v>
      </c>
      <c r="C1791" t="s">
        <v>39</v>
      </c>
      <c r="D1791" t="str">
        <f>_xlfn.XLOOKUP(C1791,'Carrier Name Rename'!A:A,'Carrier Name Rename'!B:B)</f>
        <v>Frontier Airlines Inc.</v>
      </c>
      <c r="E1791" t="s">
        <v>23</v>
      </c>
      <c r="F1791" t="s">
        <v>24</v>
      </c>
      <c r="G1791">
        <v>126</v>
      </c>
      <c r="H1791">
        <v>34</v>
      </c>
      <c r="I1791">
        <v>15.46</v>
      </c>
      <c r="J1791">
        <v>0</v>
      </c>
      <c r="K1791">
        <v>11.04</v>
      </c>
      <c r="L1791">
        <v>0</v>
      </c>
      <c r="M1791">
        <v>7.5</v>
      </c>
      <c r="N1791">
        <v>0</v>
      </c>
      <c r="O1791">
        <v>0</v>
      </c>
      <c r="P1791">
        <v>1467</v>
      </c>
      <c r="Q1791">
        <v>759</v>
      </c>
      <c r="R1791">
        <v>0</v>
      </c>
      <c r="S1791">
        <v>341</v>
      </c>
      <c r="T1791">
        <v>0</v>
      </c>
      <c r="U1791">
        <v>367</v>
      </c>
      <c r="V1791" s="1">
        <f t="shared" si="81"/>
        <v>0.26979999999999998</v>
      </c>
      <c r="W1791" s="1">
        <f t="shared" si="82"/>
        <v>0</v>
      </c>
      <c r="X1791" s="1">
        <f t="shared" si="83"/>
        <v>0</v>
      </c>
    </row>
    <row r="1792" spans="1:24" x14ac:dyDescent="0.25">
      <c r="A1792">
        <v>2012</v>
      </c>
      <c r="B1792">
        <v>2</v>
      </c>
      <c r="C1792" t="s">
        <v>63</v>
      </c>
      <c r="D1792" t="str">
        <f>_xlfn.XLOOKUP(C1792,'Carrier Name Rename'!A:A,'Carrier Name Rename'!B:B)</f>
        <v>AirTran Airways Corporation</v>
      </c>
      <c r="E1792" t="s">
        <v>23</v>
      </c>
      <c r="F1792" t="s">
        <v>24</v>
      </c>
      <c r="G1792">
        <v>29</v>
      </c>
      <c r="H1792">
        <v>3</v>
      </c>
      <c r="I1792">
        <v>0</v>
      </c>
      <c r="J1792">
        <v>0</v>
      </c>
      <c r="K1792">
        <v>2.2599999999999998</v>
      </c>
      <c r="L1792">
        <v>0</v>
      </c>
      <c r="M1792">
        <v>0.74</v>
      </c>
      <c r="N1792">
        <v>0</v>
      </c>
      <c r="O1792">
        <v>0</v>
      </c>
      <c r="P1792">
        <v>89</v>
      </c>
      <c r="Q1792">
        <v>0</v>
      </c>
      <c r="R1792">
        <v>0</v>
      </c>
      <c r="S1792">
        <v>55</v>
      </c>
      <c r="T1792">
        <v>0</v>
      </c>
      <c r="U1792">
        <v>34</v>
      </c>
      <c r="V1792" s="1">
        <f t="shared" si="81"/>
        <v>0.10340000000000001</v>
      </c>
      <c r="W1792" s="1">
        <f t="shared" si="82"/>
        <v>0</v>
      </c>
      <c r="X1792" s="1">
        <f t="shared" si="83"/>
        <v>0</v>
      </c>
    </row>
    <row r="1793" spans="1:24" x14ac:dyDescent="0.25">
      <c r="A1793">
        <v>2012</v>
      </c>
      <c r="B1793">
        <v>2</v>
      </c>
      <c r="C1793" t="s">
        <v>21</v>
      </c>
      <c r="D1793" t="str">
        <f>_xlfn.XLOOKUP(C1793,'Carrier Name Rename'!A:A,'Carrier Name Rename'!B:B)</f>
        <v>Hawaiian Airlines Inc.</v>
      </c>
      <c r="E1793" t="s">
        <v>23</v>
      </c>
      <c r="F1793" t="s">
        <v>24</v>
      </c>
      <c r="G1793">
        <v>58</v>
      </c>
      <c r="H1793">
        <v>16</v>
      </c>
      <c r="I1793">
        <v>14.57</v>
      </c>
      <c r="J1793">
        <v>0</v>
      </c>
      <c r="K1793">
        <v>0</v>
      </c>
      <c r="L1793">
        <v>0</v>
      </c>
      <c r="M1793">
        <v>1.43</v>
      </c>
      <c r="N1793">
        <v>0</v>
      </c>
      <c r="O1793">
        <v>1</v>
      </c>
      <c r="P1793">
        <v>380</v>
      </c>
      <c r="Q1793">
        <v>353</v>
      </c>
      <c r="R1793">
        <v>0</v>
      </c>
      <c r="S1793">
        <v>0</v>
      </c>
      <c r="T1793">
        <v>0</v>
      </c>
      <c r="U1793">
        <v>27</v>
      </c>
      <c r="V1793" s="1">
        <f t="shared" si="81"/>
        <v>0.27589999999999998</v>
      </c>
      <c r="W1793" s="1">
        <f t="shared" si="82"/>
        <v>0</v>
      </c>
      <c r="X1793" s="1">
        <f t="shared" si="83"/>
        <v>1.72E-2</v>
      </c>
    </row>
    <row r="1794" spans="1:24" x14ac:dyDescent="0.25">
      <c r="A1794">
        <v>2012</v>
      </c>
      <c r="B1794">
        <v>2</v>
      </c>
      <c r="C1794" t="s">
        <v>27</v>
      </c>
      <c r="D1794" t="str">
        <f>_xlfn.XLOOKUP(C1794,'Carrier Name Rename'!A:A,'Carrier Name Rename'!B:B)</f>
        <v>SkyWest Airlines Inc.</v>
      </c>
      <c r="E1794" t="s">
        <v>23</v>
      </c>
      <c r="F1794" t="s">
        <v>24</v>
      </c>
      <c r="G1794">
        <v>516</v>
      </c>
      <c r="H1794">
        <v>66</v>
      </c>
      <c r="I1794">
        <v>21.6</v>
      </c>
      <c r="J1794">
        <v>1.25</v>
      </c>
      <c r="K1794">
        <v>14.69</v>
      </c>
      <c r="L1794">
        <v>0</v>
      </c>
      <c r="M1794">
        <v>28.46</v>
      </c>
      <c r="N1794">
        <v>6</v>
      </c>
      <c r="O1794">
        <v>1</v>
      </c>
      <c r="P1794">
        <v>2820</v>
      </c>
      <c r="Q1794">
        <v>920</v>
      </c>
      <c r="R1794">
        <v>42</v>
      </c>
      <c r="S1794">
        <v>383</v>
      </c>
      <c r="T1794">
        <v>0</v>
      </c>
      <c r="U1794">
        <v>1475</v>
      </c>
      <c r="V1794" s="1">
        <f t="shared" si="81"/>
        <v>0.12790000000000001</v>
      </c>
      <c r="W1794" s="1">
        <f t="shared" si="82"/>
        <v>1.1599999999999999E-2</v>
      </c>
      <c r="X1794" s="1">
        <f t="shared" si="83"/>
        <v>1.9E-3</v>
      </c>
    </row>
    <row r="1795" spans="1:24" x14ac:dyDescent="0.25">
      <c r="A1795">
        <v>2012</v>
      </c>
      <c r="B1795">
        <v>2</v>
      </c>
      <c r="C1795" t="s">
        <v>41</v>
      </c>
      <c r="D1795" t="str">
        <f>_xlfn.XLOOKUP(C1795,'Carrier Name Rename'!A:A,'Carrier Name Rename'!B:B)</f>
        <v>United Air Lines Inc.</v>
      </c>
      <c r="E1795" t="s">
        <v>23</v>
      </c>
      <c r="F1795" t="s">
        <v>24</v>
      </c>
      <c r="G1795">
        <v>756</v>
      </c>
      <c r="H1795">
        <v>138</v>
      </c>
      <c r="I1795">
        <v>50.35</v>
      </c>
      <c r="J1795">
        <v>2.4900000000000002</v>
      </c>
      <c r="K1795">
        <v>50.3</v>
      </c>
      <c r="L1795">
        <v>0</v>
      </c>
      <c r="M1795">
        <v>34.86</v>
      </c>
      <c r="N1795">
        <v>4</v>
      </c>
      <c r="O1795">
        <v>0</v>
      </c>
      <c r="P1795">
        <v>5322</v>
      </c>
      <c r="Q1795">
        <v>1842</v>
      </c>
      <c r="R1795">
        <v>71</v>
      </c>
      <c r="S1795">
        <v>1687</v>
      </c>
      <c r="T1795">
        <v>0</v>
      </c>
      <c r="U1795">
        <v>1722</v>
      </c>
      <c r="V1795" s="1">
        <f t="shared" ref="V1795:V1858" si="84">ROUND(H1795/G1795,4)</f>
        <v>0.1825</v>
      </c>
      <c r="W1795" s="1">
        <f t="shared" ref="W1795:W1858" si="85">ROUND(N1795/G1795,4)</f>
        <v>5.3E-3</v>
      </c>
      <c r="X1795" s="1">
        <f t="shared" ref="X1795:X1858" si="86">ROUND(O1795/G1795,4)</f>
        <v>0</v>
      </c>
    </row>
    <row r="1796" spans="1:24" x14ac:dyDescent="0.25">
      <c r="A1796">
        <v>2012</v>
      </c>
      <c r="B1796">
        <v>2</v>
      </c>
      <c r="C1796" t="s">
        <v>61</v>
      </c>
      <c r="D1796" t="str">
        <f>_xlfn.XLOOKUP(C1796,'Carrier Name Rename'!A:A,'Carrier Name Rename'!B:B)</f>
        <v>US Airways Inc.</v>
      </c>
      <c r="E1796" t="s">
        <v>23</v>
      </c>
      <c r="F1796" t="s">
        <v>24</v>
      </c>
      <c r="G1796">
        <v>204</v>
      </c>
      <c r="H1796">
        <v>25</v>
      </c>
      <c r="I1796">
        <v>9.41</v>
      </c>
      <c r="J1796">
        <v>0</v>
      </c>
      <c r="K1796">
        <v>12.2</v>
      </c>
      <c r="L1796">
        <v>0</v>
      </c>
      <c r="M1796">
        <v>3.38</v>
      </c>
      <c r="N1796">
        <v>0</v>
      </c>
      <c r="O1796">
        <v>0</v>
      </c>
      <c r="P1796">
        <v>914</v>
      </c>
      <c r="Q1796">
        <v>479</v>
      </c>
      <c r="R1796">
        <v>0</v>
      </c>
      <c r="S1796">
        <v>316</v>
      </c>
      <c r="T1796">
        <v>0</v>
      </c>
      <c r="U1796">
        <v>119</v>
      </c>
      <c r="V1796" s="1">
        <f t="shared" si="84"/>
        <v>0.1225</v>
      </c>
      <c r="W1796" s="1">
        <f t="shared" si="85"/>
        <v>0</v>
      </c>
      <c r="X1796" s="1">
        <f t="shared" si="86"/>
        <v>0</v>
      </c>
    </row>
    <row r="1797" spans="1:24" x14ac:dyDescent="0.25">
      <c r="A1797">
        <v>2012</v>
      </c>
      <c r="B1797">
        <v>2</v>
      </c>
      <c r="C1797" t="s">
        <v>51</v>
      </c>
      <c r="D1797" t="str">
        <f>_xlfn.XLOOKUP(C1797,'Carrier Name Rename'!A:A,'Carrier Name Rename'!B:B)</f>
        <v>Virgin America</v>
      </c>
      <c r="E1797" t="s">
        <v>23</v>
      </c>
      <c r="F1797" t="s">
        <v>24</v>
      </c>
      <c r="G1797">
        <v>208</v>
      </c>
      <c r="H1797">
        <v>14</v>
      </c>
      <c r="I1797">
        <v>4.91</v>
      </c>
      <c r="J1797">
        <v>3.02</v>
      </c>
      <c r="K1797">
        <v>2.27</v>
      </c>
      <c r="L1797">
        <v>0</v>
      </c>
      <c r="M1797">
        <v>3.8</v>
      </c>
      <c r="N1797">
        <v>0</v>
      </c>
      <c r="O1797">
        <v>0</v>
      </c>
      <c r="P1797">
        <v>479</v>
      </c>
      <c r="Q1797">
        <v>238</v>
      </c>
      <c r="R1797">
        <v>66</v>
      </c>
      <c r="S1797">
        <v>56</v>
      </c>
      <c r="T1797">
        <v>0</v>
      </c>
      <c r="U1797">
        <v>119</v>
      </c>
      <c r="V1797" s="1">
        <f t="shared" si="84"/>
        <v>6.7299999999999999E-2</v>
      </c>
      <c r="W1797" s="1">
        <f t="shared" si="85"/>
        <v>0</v>
      </c>
      <c r="X1797" s="1">
        <f t="shared" si="86"/>
        <v>0</v>
      </c>
    </row>
    <row r="1798" spans="1:24" x14ac:dyDescent="0.25">
      <c r="A1798">
        <v>2012</v>
      </c>
      <c r="B1798">
        <v>2</v>
      </c>
      <c r="C1798" t="s">
        <v>43</v>
      </c>
      <c r="D1798" t="str">
        <f>_xlfn.XLOOKUP(C1798,'Carrier Name Rename'!A:A,'Carrier Name Rename'!B:B)</f>
        <v>Southwest Airlines Co.</v>
      </c>
      <c r="E1798" t="s">
        <v>23</v>
      </c>
      <c r="F1798" t="s">
        <v>24</v>
      </c>
      <c r="G1798">
        <v>778</v>
      </c>
      <c r="H1798">
        <v>115</v>
      </c>
      <c r="I1798">
        <v>41.22</v>
      </c>
      <c r="J1798">
        <v>0.57999999999999996</v>
      </c>
      <c r="K1798">
        <v>29.98</v>
      </c>
      <c r="L1798">
        <v>1</v>
      </c>
      <c r="M1798">
        <v>42.22</v>
      </c>
      <c r="N1798">
        <v>5</v>
      </c>
      <c r="O1798">
        <v>0</v>
      </c>
      <c r="P1798">
        <v>4460</v>
      </c>
      <c r="Q1798">
        <v>1784</v>
      </c>
      <c r="R1798">
        <v>22</v>
      </c>
      <c r="S1798">
        <v>825</v>
      </c>
      <c r="T1798">
        <v>47</v>
      </c>
      <c r="U1798">
        <v>1782</v>
      </c>
      <c r="V1798" s="1">
        <f t="shared" si="84"/>
        <v>0.14779999999999999</v>
      </c>
      <c r="W1798" s="1">
        <f t="shared" si="85"/>
        <v>6.4000000000000003E-3</v>
      </c>
      <c r="X1798" s="1">
        <f t="shared" si="86"/>
        <v>0</v>
      </c>
    </row>
    <row r="1799" spans="1:24" x14ac:dyDescent="0.25">
      <c r="A1799">
        <v>2012</v>
      </c>
      <c r="B1799">
        <v>1</v>
      </c>
      <c r="C1799" t="s">
        <v>31</v>
      </c>
      <c r="D1799" t="str">
        <f>_xlfn.XLOOKUP(C1799,'Carrier Name Rename'!A:A,'Carrier Name Rename'!B:B)</f>
        <v>American Airlines Inc.</v>
      </c>
      <c r="E1799" t="s">
        <v>23</v>
      </c>
      <c r="F1799" t="s">
        <v>24</v>
      </c>
      <c r="G1799">
        <v>337</v>
      </c>
      <c r="H1799">
        <v>70</v>
      </c>
      <c r="I1799">
        <v>30.19</v>
      </c>
      <c r="J1799">
        <v>7.09</v>
      </c>
      <c r="K1799">
        <v>23.4</v>
      </c>
      <c r="L1799">
        <v>0</v>
      </c>
      <c r="M1799">
        <v>9.31</v>
      </c>
      <c r="N1799">
        <v>15</v>
      </c>
      <c r="O1799">
        <v>1</v>
      </c>
      <c r="P1799">
        <v>3207</v>
      </c>
      <c r="Q1799">
        <v>1696</v>
      </c>
      <c r="R1799">
        <v>278</v>
      </c>
      <c r="S1799">
        <v>870</v>
      </c>
      <c r="T1799">
        <v>0</v>
      </c>
      <c r="U1799">
        <v>363</v>
      </c>
      <c r="V1799" s="1">
        <f t="shared" si="84"/>
        <v>0.2077</v>
      </c>
      <c r="W1799" s="1">
        <f t="shared" si="85"/>
        <v>4.4499999999999998E-2</v>
      </c>
      <c r="X1799" s="1">
        <f t="shared" si="86"/>
        <v>3.0000000000000001E-3</v>
      </c>
    </row>
    <row r="1800" spans="1:24" x14ac:dyDescent="0.25">
      <c r="A1800">
        <v>2012</v>
      </c>
      <c r="B1800">
        <v>1</v>
      </c>
      <c r="C1800" t="s">
        <v>33</v>
      </c>
      <c r="D1800" t="str">
        <f>_xlfn.XLOOKUP(C1800,'Carrier Name Rename'!A:A,'Carrier Name Rename'!B:B)</f>
        <v>Alaska Airlines Inc.</v>
      </c>
      <c r="E1800" t="s">
        <v>23</v>
      </c>
      <c r="F1800" t="s">
        <v>24</v>
      </c>
      <c r="G1800">
        <v>3463</v>
      </c>
      <c r="H1800">
        <v>518</v>
      </c>
      <c r="I1800">
        <v>105.98</v>
      </c>
      <c r="J1800">
        <v>17.77</v>
      </c>
      <c r="K1800">
        <v>186.8</v>
      </c>
      <c r="L1800">
        <v>1.74</v>
      </c>
      <c r="M1800">
        <v>205.72</v>
      </c>
      <c r="N1800">
        <v>143</v>
      </c>
      <c r="O1800">
        <v>11</v>
      </c>
      <c r="P1800">
        <v>30335</v>
      </c>
      <c r="Q1800">
        <v>7161</v>
      </c>
      <c r="R1800">
        <v>1553</v>
      </c>
      <c r="S1800">
        <v>6140</v>
      </c>
      <c r="T1800">
        <v>53</v>
      </c>
      <c r="U1800">
        <v>15428</v>
      </c>
      <c r="V1800" s="1">
        <f t="shared" si="84"/>
        <v>0.14960000000000001</v>
      </c>
      <c r="W1800" s="1">
        <f t="shared" si="85"/>
        <v>4.1300000000000003E-2</v>
      </c>
      <c r="X1800" s="1">
        <f t="shared" si="86"/>
        <v>3.2000000000000002E-3</v>
      </c>
    </row>
    <row r="1801" spans="1:24" x14ac:dyDescent="0.25">
      <c r="A1801">
        <v>2012</v>
      </c>
      <c r="B1801">
        <v>1</v>
      </c>
      <c r="C1801" t="s">
        <v>35</v>
      </c>
      <c r="D1801" t="str">
        <f>_xlfn.XLOOKUP(C1801,'Carrier Name Rename'!A:A,'Carrier Name Rename'!B:B)</f>
        <v>JetBlue Airways</v>
      </c>
      <c r="E1801" t="s">
        <v>23</v>
      </c>
      <c r="F1801" t="s">
        <v>24</v>
      </c>
      <c r="G1801">
        <v>140</v>
      </c>
      <c r="H1801">
        <v>26</v>
      </c>
      <c r="I1801">
        <v>8.51</v>
      </c>
      <c r="J1801">
        <v>1.71</v>
      </c>
      <c r="K1801">
        <v>10.3</v>
      </c>
      <c r="L1801">
        <v>0</v>
      </c>
      <c r="M1801">
        <v>5.47</v>
      </c>
      <c r="N1801">
        <v>8</v>
      </c>
      <c r="O1801">
        <v>1</v>
      </c>
      <c r="P1801">
        <v>982</v>
      </c>
      <c r="Q1801">
        <v>362</v>
      </c>
      <c r="R1801">
        <v>71</v>
      </c>
      <c r="S1801">
        <v>391</v>
      </c>
      <c r="T1801">
        <v>0</v>
      </c>
      <c r="U1801">
        <v>158</v>
      </c>
      <c r="V1801" s="1">
        <f t="shared" si="84"/>
        <v>0.1857</v>
      </c>
      <c r="W1801" s="1">
        <f t="shared" si="85"/>
        <v>5.7099999999999998E-2</v>
      </c>
      <c r="X1801" s="1">
        <f t="shared" si="86"/>
        <v>7.1000000000000004E-3</v>
      </c>
    </row>
    <row r="1802" spans="1:24" x14ac:dyDescent="0.25">
      <c r="A1802">
        <v>2012</v>
      </c>
      <c r="B1802">
        <v>1</v>
      </c>
      <c r="C1802" t="s">
        <v>37</v>
      </c>
      <c r="D1802" t="str">
        <f>_xlfn.XLOOKUP(C1802,'Carrier Name Rename'!A:A,'Carrier Name Rename'!B:B)</f>
        <v>Delta Air Lines Inc.</v>
      </c>
      <c r="E1802" t="s">
        <v>23</v>
      </c>
      <c r="F1802" t="s">
        <v>24</v>
      </c>
      <c r="G1802">
        <v>664</v>
      </c>
      <c r="H1802">
        <v>106</v>
      </c>
      <c r="I1802">
        <v>28.31</v>
      </c>
      <c r="J1802">
        <v>2.92</v>
      </c>
      <c r="K1802">
        <v>68.23</v>
      </c>
      <c r="L1802">
        <v>0</v>
      </c>
      <c r="M1802">
        <v>6.53</v>
      </c>
      <c r="N1802">
        <v>18</v>
      </c>
      <c r="O1802">
        <v>2</v>
      </c>
      <c r="P1802">
        <v>5162</v>
      </c>
      <c r="Q1802">
        <v>2199</v>
      </c>
      <c r="R1802">
        <v>231</v>
      </c>
      <c r="S1802">
        <v>2457</v>
      </c>
      <c r="T1802">
        <v>0</v>
      </c>
      <c r="U1802">
        <v>275</v>
      </c>
      <c r="V1802" s="1">
        <f t="shared" si="84"/>
        <v>0.15959999999999999</v>
      </c>
      <c r="W1802" s="1">
        <f t="shared" si="85"/>
        <v>2.7099999999999999E-2</v>
      </c>
      <c r="X1802" s="1">
        <f t="shared" si="86"/>
        <v>3.0000000000000001E-3</v>
      </c>
    </row>
    <row r="1803" spans="1:24" x14ac:dyDescent="0.25">
      <c r="A1803">
        <v>2012</v>
      </c>
      <c r="B1803">
        <v>1</v>
      </c>
      <c r="C1803" t="s">
        <v>39</v>
      </c>
      <c r="D1803" t="str">
        <f>_xlfn.XLOOKUP(C1803,'Carrier Name Rename'!A:A,'Carrier Name Rename'!B:B)</f>
        <v>Frontier Airlines Inc.</v>
      </c>
      <c r="E1803" t="s">
        <v>23</v>
      </c>
      <c r="F1803" t="s">
        <v>24</v>
      </c>
      <c r="G1803">
        <v>135</v>
      </c>
      <c r="H1803">
        <v>39</v>
      </c>
      <c r="I1803">
        <v>19.940000000000001</v>
      </c>
      <c r="J1803">
        <v>0</v>
      </c>
      <c r="K1803">
        <v>16.940000000000001</v>
      </c>
      <c r="L1803">
        <v>0</v>
      </c>
      <c r="M1803">
        <v>2.12</v>
      </c>
      <c r="N1803">
        <v>2</v>
      </c>
      <c r="O1803">
        <v>1</v>
      </c>
      <c r="P1803">
        <v>1935</v>
      </c>
      <c r="Q1803">
        <v>1068</v>
      </c>
      <c r="R1803">
        <v>0</v>
      </c>
      <c r="S1803">
        <v>765</v>
      </c>
      <c r="T1803">
        <v>0</v>
      </c>
      <c r="U1803">
        <v>102</v>
      </c>
      <c r="V1803" s="1">
        <f t="shared" si="84"/>
        <v>0.28889999999999999</v>
      </c>
      <c r="W1803" s="1">
        <f t="shared" si="85"/>
        <v>1.4800000000000001E-2</v>
      </c>
      <c r="X1803" s="1">
        <f t="shared" si="86"/>
        <v>7.4000000000000003E-3</v>
      </c>
    </row>
    <row r="1804" spans="1:24" x14ac:dyDescent="0.25">
      <c r="A1804">
        <v>2012</v>
      </c>
      <c r="B1804">
        <v>1</v>
      </c>
      <c r="C1804" t="s">
        <v>63</v>
      </c>
      <c r="D1804" t="str">
        <f>_xlfn.XLOOKUP(C1804,'Carrier Name Rename'!A:A,'Carrier Name Rename'!B:B)</f>
        <v>AirTran Airways Corporation</v>
      </c>
      <c r="E1804" t="s">
        <v>23</v>
      </c>
      <c r="F1804" t="s">
        <v>24</v>
      </c>
      <c r="G1804">
        <v>31</v>
      </c>
      <c r="H1804">
        <v>9</v>
      </c>
      <c r="I1804">
        <v>0.41</v>
      </c>
      <c r="J1804">
        <v>0</v>
      </c>
      <c r="K1804">
        <v>5.14</v>
      </c>
      <c r="L1804">
        <v>0</v>
      </c>
      <c r="M1804">
        <v>3.45</v>
      </c>
      <c r="N1804">
        <v>1</v>
      </c>
      <c r="O1804">
        <v>0</v>
      </c>
      <c r="P1804">
        <v>442</v>
      </c>
      <c r="Q1804">
        <v>11</v>
      </c>
      <c r="R1804">
        <v>0</v>
      </c>
      <c r="S1804">
        <v>267</v>
      </c>
      <c r="T1804">
        <v>0</v>
      </c>
      <c r="U1804">
        <v>164</v>
      </c>
      <c r="V1804" s="1">
        <f t="shared" si="84"/>
        <v>0.2903</v>
      </c>
      <c r="W1804" s="1">
        <f t="shared" si="85"/>
        <v>3.2300000000000002E-2</v>
      </c>
      <c r="X1804" s="1">
        <f t="shared" si="86"/>
        <v>0</v>
      </c>
    </row>
    <row r="1805" spans="1:24" x14ac:dyDescent="0.25">
      <c r="A1805">
        <v>2012</v>
      </c>
      <c r="B1805">
        <v>1</v>
      </c>
      <c r="C1805" t="s">
        <v>21</v>
      </c>
      <c r="D1805" t="str">
        <f>_xlfn.XLOOKUP(C1805,'Carrier Name Rename'!A:A,'Carrier Name Rename'!B:B)</f>
        <v>Hawaiian Airlines Inc.</v>
      </c>
      <c r="E1805" t="s">
        <v>23</v>
      </c>
      <c r="F1805" t="s">
        <v>24</v>
      </c>
      <c r="G1805">
        <v>62</v>
      </c>
      <c r="H1805">
        <v>19</v>
      </c>
      <c r="I1805">
        <v>15.15</v>
      </c>
      <c r="J1805">
        <v>1</v>
      </c>
      <c r="K1805">
        <v>0</v>
      </c>
      <c r="L1805">
        <v>0</v>
      </c>
      <c r="M1805">
        <v>2.85</v>
      </c>
      <c r="N1805">
        <v>0</v>
      </c>
      <c r="O1805">
        <v>0</v>
      </c>
      <c r="P1805">
        <v>1144</v>
      </c>
      <c r="Q1805">
        <v>605</v>
      </c>
      <c r="R1805">
        <v>287</v>
      </c>
      <c r="S1805">
        <v>0</v>
      </c>
      <c r="T1805">
        <v>0</v>
      </c>
      <c r="U1805">
        <v>252</v>
      </c>
      <c r="V1805" s="1">
        <f t="shared" si="84"/>
        <v>0.30649999999999999</v>
      </c>
      <c r="W1805" s="1">
        <f t="shared" si="85"/>
        <v>0</v>
      </c>
      <c r="X1805" s="1">
        <f t="shared" si="86"/>
        <v>0</v>
      </c>
    </row>
    <row r="1806" spans="1:24" x14ac:dyDescent="0.25">
      <c r="A1806">
        <v>2012</v>
      </c>
      <c r="B1806">
        <v>1</v>
      </c>
      <c r="C1806" t="s">
        <v>27</v>
      </c>
      <c r="D1806" t="str">
        <f>_xlfn.XLOOKUP(C1806,'Carrier Name Rename'!A:A,'Carrier Name Rename'!B:B)</f>
        <v>SkyWest Airlines Inc.</v>
      </c>
      <c r="E1806" t="s">
        <v>23</v>
      </c>
      <c r="F1806" t="s">
        <v>24</v>
      </c>
      <c r="G1806">
        <v>542</v>
      </c>
      <c r="H1806">
        <v>76</v>
      </c>
      <c r="I1806">
        <v>14.47</v>
      </c>
      <c r="J1806">
        <v>4.47</v>
      </c>
      <c r="K1806">
        <v>18.190000000000001</v>
      </c>
      <c r="L1806">
        <v>0</v>
      </c>
      <c r="M1806">
        <v>38.869999999999997</v>
      </c>
      <c r="N1806">
        <v>26</v>
      </c>
      <c r="O1806">
        <v>1</v>
      </c>
      <c r="P1806">
        <v>4260</v>
      </c>
      <c r="Q1806">
        <v>909</v>
      </c>
      <c r="R1806">
        <v>194</v>
      </c>
      <c r="S1806">
        <v>688</v>
      </c>
      <c r="T1806">
        <v>0</v>
      </c>
      <c r="U1806">
        <v>2469</v>
      </c>
      <c r="V1806" s="1">
        <f t="shared" si="84"/>
        <v>0.14019999999999999</v>
      </c>
      <c r="W1806" s="1">
        <f t="shared" si="85"/>
        <v>4.8000000000000001E-2</v>
      </c>
      <c r="X1806" s="1">
        <f t="shared" si="86"/>
        <v>1.8E-3</v>
      </c>
    </row>
    <row r="1807" spans="1:24" x14ac:dyDescent="0.25">
      <c r="A1807">
        <v>2012</v>
      </c>
      <c r="B1807">
        <v>1</v>
      </c>
      <c r="C1807" t="s">
        <v>41</v>
      </c>
      <c r="D1807" t="str">
        <f>_xlfn.XLOOKUP(C1807,'Carrier Name Rename'!A:A,'Carrier Name Rename'!B:B)</f>
        <v>United Air Lines Inc.</v>
      </c>
      <c r="E1807" t="s">
        <v>23</v>
      </c>
      <c r="F1807" t="s">
        <v>24</v>
      </c>
      <c r="G1807">
        <v>792</v>
      </c>
      <c r="H1807">
        <v>173</v>
      </c>
      <c r="I1807">
        <v>51.11</v>
      </c>
      <c r="J1807">
        <v>2.82</v>
      </c>
      <c r="K1807">
        <v>74.33</v>
      </c>
      <c r="L1807">
        <v>0</v>
      </c>
      <c r="M1807">
        <v>44.74</v>
      </c>
      <c r="N1807">
        <v>29</v>
      </c>
      <c r="O1807">
        <v>5</v>
      </c>
      <c r="P1807">
        <v>10549</v>
      </c>
      <c r="Q1807">
        <v>2970</v>
      </c>
      <c r="R1807">
        <v>969</v>
      </c>
      <c r="S1807">
        <v>3081</v>
      </c>
      <c r="T1807">
        <v>0</v>
      </c>
      <c r="U1807">
        <v>3529</v>
      </c>
      <c r="V1807" s="1">
        <f t="shared" si="84"/>
        <v>0.21840000000000001</v>
      </c>
      <c r="W1807" s="1">
        <f t="shared" si="85"/>
        <v>3.6600000000000001E-2</v>
      </c>
      <c r="X1807" s="1">
        <f t="shared" si="86"/>
        <v>6.3E-3</v>
      </c>
    </row>
    <row r="1808" spans="1:24" x14ac:dyDescent="0.25">
      <c r="A1808">
        <v>2012</v>
      </c>
      <c r="B1808">
        <v>1</v>
      </c>
      <c r="C1808" t="s">
        <v>61</v>
      </c>
      <c r="D1808" t="str">
        <f>_xlfn.XLOOKUP(C1808,'Carrier Name Rename'!A:A,'Carrier Name Rename'!B:B)</f>
        <v>US Airways Inc.</v>
      </c>
      <c r="E1808" t="s">
        <v>23</v>
      </c>
      <c r="F1808" t="s">
        <v>24</v>
      </c>
      <c r="G1808">
        <v>231</v>
      </c>
      <c r="H1808">
        <v>43</v>
      </c>
      <c r="I1808">
        <v>14.48</v>
      </c>
      <c r="J1808">
        <v>0</v>
      </c>
      <c r="K1808">
        <v>17.2</v>
      </c>
      <c r="L1808">
        <v>1.34</v>
      </c>
      <c r="M1808">
        <v>9.98</v>
      </c>
      <c r="N1808">
        <v>8</v>
      </c>
      <c r="O1808">
        <v>1</v>
      </c>
      <c r="P1808">
        <v>1571</v>
      </c>
      <c r="Q1808">
        <v>731</v>
      </c>
      <c r="R1808">
        <v>0</v>
      </c>
      <c r="S1808">
        <v>448</v>
      </c>
      <c r="T1808">
        <v>34</v>
      </c>
      <c r="U1808">
        <v>358</v>
      </c>
      <c r="V1808" s="1">
        <f t="shared" si="84"/>
        <v>0.18609999999999999</v>
      </c>
      <c r="W1808" s="1">
        <f t="shared" si="85"/>
        <v>3.4599999999999999E-2</v>
      </c>
      <c r="X1808" s="1">
        <f t="shared" si="86"/>
        <v>4.3E-3</v>
      </c>
    </row>
    <row r="1809" spans="1:24" x14ac:dyDescent="0.25">
      <c r="A1809">
        <v>2012</v>
      </c>
      <c r="B1809">
        <v>1</v>
      </c>
      <c r="C1809" t="s">
        <v>51</v>
      </c>
      <c r="D1809" t="str">
        <f>_xlfn.XLOOKUP(C1809,'Carrier Name Rename'!A:A,'Carrier Name Rename'!B:B)</f>
        <v>Virgin America</v>
      </c>
      <c r="E1809" t="s">
        <v>23</v>
      </c>
      <c r="F1809" t="s">
        <v>24</v>
      </c>
      <c r="G1809">
        <v>236</v>
      </c>
      <c r="H1809">
        <v>34</v>
      </c>
      <c r="I1809">
        <v>5.91</v>
      </c>
      <c r="J1809">
        <v>3.32</v>
      </c>
      <c r="K1809">
        <v>7.55</v>
      </c>
      <c r="L1809">
        <v>0</v>
      </c>
      <c r="M1809">
        <v>17.22</v>
      </c>
      <c r="N1809">
        <v>7</v>
      </c>
      <c r="O1809">
        <v>0</v>
      </c>
      <c r="P1809">
        <v>3148</v>
      </c>
      <c r="Q1809">
        <v>345</v>
      </c>
      <c r="R1809">
        <v>102</v>
      </c>
      <c r="S1809">
        <v>973</v>
      </c>
      <c r="T1809">
        <v>0</v>
      </c>
      <c r="U1809">
        <v>1728</v>
      </c>
      <c r="V1809" s="1">
        <f t="shared" si="84"/>
        <v>0.14410000000000001</v>
      </c>
      <c r="W1809" s="1">
        <f t="shared" si="85"/>
        <v>2.9700000000000001E-2</v>
      </c>
      <c r="X1809" s="1">
        <f t="shared" si="86"/>
        <v>0</v>
      </c>
    </row>
    <row r="1810" spans="1:24" x14ac:dyDescent="0.25">
      <c r="A1810">
        <v>2012</v>
      </c>
      <c r="B1810">
        <v>1</v>
      </c>
      <c r="C1810" t="s">
        <v>43</v>
      </c>
      <c r="D1810" t="str">
        <f>_xlfn.XLOOKUP(C1810,'Carrier Name Rename'!A:A,'Carrier Name Rename'!B:B)</f>
        <v>Southwest Airlines Co.</v>
      </c>
      <c r="E1810" t="s">
        <v>23</v>
      </c>
      <c r="F1810" t="s">
        <v>24</v>
      </c>
      <c r="G1810">
        <v>839</v>
      </c>
      <c r="H1810">
        <v>106</v>
      </c>
      <c r="I1810">
        <v>31.67</v>
      </c>
      <c r="J1810">
        <v>1.28</v>
      </c>
      <c r="K1810">
        <v>22.63</v>
      </c>
      <c r="L1810">
        <v>0.17</v>
      </c>
      <c r="M1810">
        <v>50.25</v>
      </c>
      <c r="N1810">
        <v>26</v>
      </c>
      <c r="O1810">
        <v>4</v>
      </c>
      <c r="P1810">
        <v>4514</v>
      </c>
      <c r="Q1810">
        <v>1411</v>
      </c>
      <c r="R1810">
        <v>28</v>
      </c>
      <c r="S1810">
        <v>734</v>
      </c>
      <c r="T1810">
        <v>4</v>
      </c>
      <c r="U1810">
        <v>2337</v>
      </c>
      <c r="V1810" s="1">
        <f t="shared" si="84"/>
        <v>0.1263</v>
      </c>
      <c r="W1810" s="1">
        <f t="shared" si="85"/>
        <v>3.1E-2</v>
      </c>
      <c r="X1810" s="1">
        <f t="shared" si="86"/>
        <v>4.7999999999999996E-3</v>
      </c>
    </row>
    <row r="1811" spans="1:24" x14ac:dyDescent="0.25">
      <c r="A1811">
        <v>2011</v>
      </c>
      <c r="B1811">
        <v>12</v>
      </c>
      <c r="C1811" t="s">
        <v>39</v>
      </c>
      <c r="D1811" t="str">
        <f>_xlfn.XLOOKUP(C1811,'Carrier Name Rename'!A:A,'Carrier Name Rename'!B:B)</f>
        <v>Frontier Airlines Inc.</v>
      </c>
      <c r="E1811" t="s">
        <v>23</v>
      </c>
      <c r="F1811" t="s">
        <v>24</v>
      </c>
      <c r="G1811">
        <v>162</v>
      </c>
      <c r="H1811">
        <v>48</v>
      </c>
      <c r="I1811">
        <v>20.14</v>
      </c>
      <c r="J1811">
        <v>0.71</v>
      </c>
      <c r="K1811">
        <v>18.760000000000002</v>
      </c>
      <c r="L1811">
        <v>0</v>
      </c>
      <c r="M1811">
        <v>8.4</v>
      </c>
      <c r="N1811">
        <v>0</v>
      </c>
      <c r="O1811">
        <v>0</v>
      </c>
      <c r="P1811">
        <v>2336</v>
      </c>
      <c r="Q1811">
        <v>913</v>
      </c>
      <c r="R1811">
        <v>24</v>
      </c>
      <c r="S1811">
        <v>744</v>
      </c>
      <c r="T1811">
        <v>0</v>
      </c>
      <c r="U1811">
        <v>655</v>
      </c>
      <c r="V1811" s="1">
        <f t="shared" si="84"/>
        <v>0.29630000000000001</v>
      </c>
      <c r="W1811" s="1">
        <f t="shared" si="85"/>
        <v>0</v>
      </c>
      <c r="X1811" s="1">
        <f t="shared" si="86"/>
        <v>0</v>
      </c>
    </row>
    <row r="1812" spans="1:24" x14ac:dyDescent="0.25">
      <c r="A1812">
        <v>2011</v>
      </c>
      <c r="B1812">
        <v>12</v>
      </c>
      <c r="C1812" t="s">
        <v>63</v>
      </c>
      <c r="D1812" t="str">
        <f>_xlfn.XLOOKUP(C1812,'Carrier Name Rename'!A:A,'Carrier Name Rename'!B:B)</f>
        <v>AirTran Airways Corporation</v>
      </c>
      <c r="E1812" t="s">
        <v>23</v>
      </c>
      <c r="F1812" t="s">
        <v>24</v>
      </c>
      <c r="G1812">
        <v>31</v>
      </c>
      <c r="H1812">
        <v>4</v>
      </c>
      <c r="I1812">
        <v>1</v>
      </c>
      <c r="J1812">
        <v>0</v>
      </c>
      <c r="K1812">
        <v>1.1000000000000001</v>
      </c>
      <c r="L1812">
        <v>0</v>
      </c>
      <c r="M1812">
        <v>1.9</v>
      </c>
      <c r="N1812">
        <v>0</v>
      </c>
      <c r="O1812">
        <v>0</v>
      </c>
      <c r="P1812">
        <v>124</v>
      </c>
      <c r="Q1812">
        <v>30</v>
      </c>
      <c r="R1812">
        <v>0</v>
      </c>
      <c r="S1812">
        <v>25</v>
      </c>
      <c r="T1812">
        <v>0</v>
      </c>
      <c r="U1812">
        <v>69</v>
      </c>
      <c r="V1812" s="1">
        <f t="shared" si="84"/>
        <v>0.129</v>
      </c>
      <c r="W1812" s="1">
        <f t="shared" si="85"/>
        <v>0</v>
      </c>
      <c r="X1812" s="1">
        <f t="shared" si="86"/>
        <v>0</v>
      </c>
    </row>
    <row r="1813" spans="1:24" x14ac:dyDescent="0.25">
      <c r="A1813">
        <v>2011</v>
      </c>
      <c r="B1813">
        <v>12</v>
      </c>
      <c r="C1813" t="s">
        <v>21</v>
      </c>
      <c r="D1813" t="str">
        <f>_xlfn.XLOOKUP(C1813,'Carrier Name Rename'!A:A,'Carrier Name Rename'!B:B)</f>
        <v>Hawaiian Airlines Inc.</v>
      </c>
      <c r="E1813" t="s">
        <v>23</v>
      </c>
      <c r="F1813" t="s">
        <v>24</v>
      </c>
      <c r="G1813">
        <v>69</v>
      </c>
      <c r="H1813">
        <v>27</v>
      </c>
      <c r="I1813">
        <v>26.37</v>
      </c>
      <c r="J1813">
        <v>0</v>
      </c>
      <c r="K1813">
        <v>0.16</v>
      </c>
      <c r="L1813">
        <v>0</v>
      </c>
      <c r="M1813">
        <v>0.47</v>
      </c>
      <c r="N1813">
        <v>0</v>
      </c>
      <c r="O1813">
        <v>0</v>
      </c>
      <c r="P1813">
        <v>902</v>
      </c>
      <c r="Q1813">
        <v>888</v>
      </c>
      <c r="R1813">
        <v>0</v>
      </c>
      <c r="S1813">
        <v>6</v>
      </c>
      <c r="T1813">
        <v>0</v>
      </c>
      <c r="U1813">
        <v>8</v>
      </c>
      <c r="V1813" s="1">
        <f t="shared" si="84"/>
        <v>0.39129999999999998</v>
      </c>
      <c r="W1813" s="1">
        <f t="shared" si="85"/>
        <v>0</v>
      </c>
      <c r="X1813" s="1">
        <f t="shared" si="86"/>
        <v>0</v>
      </c>
    </row>
    <row r="1814" spans="1:24" x14ac:dyDescent="0.25">
      <c r="A1814">
        <v>2011</v>
      </c>
      <c r="B1814">
        <v>12</v>
      </c>
      <c r="C1814" t="s">
        <v>27</v>
      </c>
      <c r="D1814" t="str">
        <f>_xlfn.XLOOKUP(C1814,'Carrier Name Rename'!A:A,'Carrier Name Rename'!B:B)</f>
        <v>SkyWest Airlines Inc.</v>
      </c>
      <c r="E1814" t="s">
        <v>23</v>
      </c>
      <c r="F1814" t="s">
        <v>24</v>
      </c>
      <c r="G1814">
        <v>607</v>
      </c>
      <c r="H1814">
        <v>99</v>
      </c>
      <c r="I1814">
        <v>27.61</v>
      </c>
      <c r="J1814">
        <v>9.42</v>
      </c>
      <c r="K1814">
        <v>20.71</v>
      </c>
      <c r="L1814">
        <v>0</v>
      </c>
      <c r="M1814">
        <v>41.27</v>
      </c>
      <c r="N1814">
        <v>7</v>
      </c>
      <c r="O1814">
        <v>1</v>
      </c>
      <c r="P1814">
        <v>4825</v>
      </c>
      <c r="Q1814">
        <v>1752</v>
      </c>
      <c r="R1814">
        <v>555</v>
      </c>
      <c r="S1814">
        <v>555</v>
      </c>
      <c r="T1814">
        <v>0</v>
      </c>
      <c r="U1814">
        <v>1963</v>
      </c>
      <c r="V1814" s="1">
        <f t="shared" si="84"/>
        <v>0.16309999999999999</v>
      </c>
      <c r="W1814" s="1">
        <f t="shared" si="85"/>
        <v>1.15E-2</v>
      </c>
      <c r="X1814" s="1">
        <f t="shared" si="86"/>
        <v>1.6000000000000001E-3</v>
      </c>
    </row>
    <row r="1815" spans="1:24" x14ac:dyDescent="0.25">
      <c r="A1815">
        <v>2011</v>
      </c>
      <c r="B1815">
        <v>12</v>
      </c>
      <c r="C1815" t="s">
        <v>41</v>
      </c>
      <c r="D1815" t="str">
        <f>_xlfn.XLOOKUP(C1815,'Carrier Name Rename'!A:A,'Carrier Name Rename'!B:B)</f>
        <v>United Air Lines Inc.</v>
      </c>
      <c r="E1815" t="s">
        <v>23</v>
      </c>
      <c r="F1815" t="s">
        <v>24</v>
      </c>
      <c r="G1815">
        <v>559</v>
      </c>
      <c r="H1815">
        <v>73</v>
      </c>
      <c r="I1815">
        <v>33.49</v>
      </c>
      <c r="J1815">
        <v>2.84</v>
      </c>
      <c r="K1815">
        <v>15.56</v>
      </c>
      <c r="L1815">
        <v>0</v>
      </c>
      <c r="M1815">
        <v>21.11</v>
      </c>
      <c r="N1815">
        <v>0</v>
      </c>
      <c r="O1815">
        <v>0</v>
      </c>
      <c r="P1815">
        <v>3812</v>
      </c>
      <c r="Q1815">
        <v>2111</v>
      </c>
      <c r="R1815">
        <v>228</v>
      </c>
      <c r="S1815">
        <v>421</v>
      </c>
      <c r="T1815">
        <v>0</v>
      </c>
      <c r="U1815">
        <v>1052</v>
      </c>
      <c r="V1815" s="1">
        <f t="shared" si="84"/>
        <v>0.13059999999999999</v>
      </c>
      <c r="W1815" s="1">
        <f t="shared" si="85"/>
        <v>0</v>
      </c>
      <c r="X1815" s="1">
        <f t="shared" si="86"/>
        <v>0</v>
      </c>
    </row>
    <row r="1816" spans="1:24" x14ac:dyDescent="0.25">
      <c r="A1816">
        <v>2011</v>
      </c>
      <c r="B1816">
        <v>12</v>
      </c>
      <c r="C1816" t="s">
        <v>61</v>
      </c>
      <c r="D1816" t="str">
        <f>_xlfn.XLOOKUP(C1816,'Carrier Name Rename'!A:A,'Carrier Name Rename'!B:B)</f>
        <v>US Airways Inc.</v>
      </c>
      <c r="E1816" t="s">
        <v>23</v>
      </c>
      <c r="F1816" t="s">
        <v>24</v>
      </c>
      <c r="G1816">
        <v>325</v>
      </c>
      <c r="H1816">
        <v>67</v>
      </c>
      <c r="I1816">
        <v>29.56</v>
      </c>
      <c r="J1816">
        <v>1</v>
      </c>
      <c r="K1816">
        <v>25.41</v>
      </c>
      <c r="L1816">
        <v>0.73</v>
      </c>
      <c r="M1816">
        <v>10.29</v>
      </c>
      <c r="N1816">
        <v>2</v>
      </c>
      <c r="O1816">
        <v>3</v>
      </c>
      <c r="P1816">
        <v>3020</v>
      </c>
      <c r="Q1816">
        <v>1773</v>
      </c>
      <c r="R1816">
        <v>99</v>
      </c>
      <c r="S1816">
        <v>675</v>
      </c>
      <c r="T1816">
        <v>11</v>
      </c>
      <c r="U1816">
        <v>462</v>
      </c>
      <c r="V1816" s="1">
        <f t="shared" si="84"/>
        <v>0.20619999999999999</v>
      </c>
      <c r="W1816" s="1">
        <f t="shared" si="85"/>
        <v>6.1999999999999998E-3</v>
      </c>
      <c r="X1816" s="1">
        <f t="shared" si="86"/>
        <v>9.1999999999999998E-3</v>
      </c>
    </row>
    <row r="1817" spans="1:24" x14ac:dyDescent="0.25">
      <c r="A1817">
        <v>2011</v>
      </c>
      <c r="B1817">
        <v>12</v>
      </c>
      <c r="C1817" t="s">
        <v>43</v>
      </c>
      <c r="D1817" t="str">
        <f>_xlfn.XLOOKUP(C1817,'Carrier Name Rename'!A:A,'Carrier Name Rename'!B:B)</f>
        <v>Southwest Airlines Co.</v>
      </c>
      <c r="E1817" t="s">
        <v>23</v>
      </c>
      <c r="F1817" t="s">
        <v>24</v>
      </c>
      <c r="G1817">
        <v>1131</v>
      </c>
      <c r="H1817">
        <v>135</v>
      </c>
      <c r="I1817">
        <v>44.1</v>
      </c>
      <c r="J1817">
        <v>5</v>
      </c>
      <c r="K1817">
        <v>12.12</v>
      </c>
      <c r="L1817">
        <v>0.28999999999999998</v>
      </c>
      <c r="M1817">
        <v>73.5</v>
      </c>
      <c r="N1817">
        <v>1</v>
      </c>
      <c r="O1817">
        <v>1</v>
      </c>
      <c r="P1817">
        <v>6210</v>
      </c>
      <c r="Q1817">
        <v>1866</v>
      </c>
      <c r="R1817">
        <v>198</v>
      </c>
      <c r="S1817">
        <v>302</v>
      </c>
      <c r="T1817">
        <v>6</v>
      </c>
      <c r="U1817">
        <v>3838</v>
      </c>
      <c r="V1817" s="1">
        <f t="shared" si="84"/>
        <v>0.11940000000000001</v>
      </c>
      <c r="W1817" s="1">
        <f t="shared" si="85"/>
        <v>8.9999999999999998E-4</v>
      </c>
      <c r="X1817" s="1">
        <f t="shared" si="86"/>
        <v>8.9999999999999998E-4</v>
      </c>
    </row>
    <row r="1818" spans="1:24" x14ac:dyDescent="0.25">
      <c r="A1818">
        <v>2011</v>
      </c>
      <c r="B1818">
        <v>12</v>
      </c>
      <c r="C1818" t="s">
        <v>31</v>
      </c>
      <c r="D1818" t="str">
        <f>_xlfn.XLOOKUP(C1818,'Carrier Name Rename'!A:A,'Carrier Name Rename'!B:B)</f>
        <v>American Airlines Inc.</v>
      </c>
      <c r="E1818" t="s">
        <v>23</v>
      </c>
      <c r="F1818" t="s">
        <v>24</v>
      </c>
      <c r="G1818">
        <v>353</v>
      </c>
      <c r="H1818">
        <v>60</v>
      </c>
      <c r="I1818">
        <v>32.700000000000003</v>
      </c>
      <c r="J1818">
        <v>5.0199999999999996</v>
      </c>
      <c r="K1818">
        <v>10.19</v>
      </c>
      <c r="L1818">
        <v>0</v>
      </c>
      <c r="M1818">
        <v>12.09</v>
      </c>
      <c r="N1818">
        <v>2</v>
      </c>
      <c r="O1818">
        <v>0</v>
      </c>
      <c r="P1818">
        <v>2559</v>
      </c>
      <c r="Q1818">
        <v>1581</v>
      </c>
      <c r="R1818">
        <v>226</v>
      </c>
      <c r="S1818">
        <v>246</v>
      </c>
      <c r="T1818">
        <v>0</v>
      </c>
      <c r="U1818">
        <v>506</v>
      </c>
      <c r="V1818" s="1">
        <f t="shared" si="84"/>
        <v>0.17</v>
      </c>
      <c r="W1818" s="1">
        <f t="shared" si="85"/>
        <v>5.7000000000000002E-3</v>
      </c>
      <c r="X1818" s="1">
        <f t="shared" si="86"/>
        <v>0</v>
      </c>
    </row>
    <row r="1819" spans="1:24" x14ac:dyDescent="0.25">
      <c r="A1819">
        <v>2011</v>
      </c>
      <c r="B1819">
        <v>12</v>
      </c>
      <c r="C1819" t="s">
        <v>33</v>
      </c>
      <c r="D1819" t="str">
        <f>_xlfn.XLOOKUP(C1819,'Carrier Name Rename'!A:A,'Carrier Name Rename'!B:B)</f>
        <v>Alaska Airlines Inc.</v>
      </c>
      <c r="E1819" t="s">
        <v>23</v>
      </c>
      <c r="F1819" t="s">
        <v>24</v>
      </c>
      <c r="G1819">
        <v>3504</v>
      </c>
      <c r="H1819">
        <v>380</v>
      </c>
      <c r="I1819">
        <v>89.92</v>
      </c>
      <c r="J1819">
        <v>6.14</v>
      </c>
      <c r="K1819">
        <v>158.80000000000001</v>
      </c>
      <c r="L1819">
        <v>0.06</v>
      </c>
      <c r="M1819">
        <v>125.08</v>
      </c>
      <c r="N1819">
        <v>11</v>
      </c>
      <c r="O1819">
        <v>1</v>
      </c>
      <c r="P1819">
        <v>17214</v>
      </c>
      <c r="Q1819">
        <v>5910</v>
      </c>
      <c r="R1819">
        <v>146</v>
      </c>
      <c r="S1819">
        <v>4105</v>
      </c>
      <c r="T1819">
        <v>3</v>
      </c>
      <c r="U1819">
        <v>7050</v>
      </c>
      <c r="V1819" s="1">
        <f t="shared" si="84"/>
        <v>0.1084</v>
      </c>
      <c r="W1819" s="1">
        <f t="shared" si="85"/>
        <v>3.0999999999999999E-3</v>
      </c>
      <c r="X1819" s="1">
        <f t="shared" si="86"/>
        <v>2.9999999999999997E-4</v>
      </c>
    </row>
    <row r="1820" spans="1:24" x14ac:dyDescent="0.25">
      <c r="A1820">
        <v>2011</v>
      </c>
      <c r="B1820">
        <v>12</v>
      </c>
      <c r="C1820" t="s">
        <v>35</v>
      </c>
      <c r="D1820" t="str">
        <f>_xlfn.XLOOKUP(C1820,'Carrier Name Rename'!A:A,'Carrier Name Rename'!B:B)</f>
        <v>JetBlue Airways</v>
      </c>
      <c r="E1820" t="s">
        <v>23</v>
      </c>
      <c r="F1820" t="s">
        <v>24</v>
      </c>
      <c r="G1820">
        <v>138</v>
      </c>
      <c r="H1820">
        <v>16</v>
      </c>
      <c r="I1820">
        <v>6.95</v>
      </c>
      <c r="J1820">
        <v>0.98</v>
      </c>
      <c r="K1820">
        <v>5.65</v>
      </c>
      <c r="L1820">
        <v>0</v>
      </c>
      <c r="M1820">
        <v>2.42</v>
      </c>
      <c r="N1820">
        <v>0</v>
      </c>
      <c r="O1820">
        <v>0</v>
      </c>
      <c r="P1820">
        <v>978</v>
      </c>
      <c r="Q1820">
        <v>518</v>
      </c>
      <c r="R1820">
        <v>49</v>
      </c>
      <c r="S1820">
        <v>179</v>
      </c>
      <c r="T1820">
        <v>0</v>
      </c>
      <c r="U1820">
        <v>232</v>
      </c>
      <c r="V1820" s="1">
        <f t="shared" si="84"/>
        <v>0.1159</v>
      </c>
      <c r="W1820" s="1">
        <f t="shared" si="85"/>
        <v>0</v>
      </c>
      <c r="X1820" s="1">
        <f t="shared" si="86"/>
        <v>0</v>
      </c>
    </row>
    <row r="1821" spans="1:24" x14ac:dyDescent="0.25">
      <c r="A1821">
        <v>2011</v>
      </c>
      <c r="B1821">
        <v>12</v>
      </c>
      <c r="C1821" t="s">
        <v>65</v>
      </c>
      <c r="D1821" t="str">
        <f>_xlfn.XLOOKUP(C1821,'Carrier Name Rename'!A:A,'Carrier Name Rename'!B:B)</f>
        <v>Continental Air Lines Inc.</v>
      </c>
      <c r="E1821" t="s">
        <v>23</v>
      </c>
      <c r="F1821" t="s">
        <v>24</v>
      </c>
      <c r="G1821">
        <v>440</v>
      </c>
      <c r="H1821">
        <v>130</v>
      </c>
      <c r="I1821">
        <v>44.49</v>
      </c>
      <c r="J1821">
        <v>1.64</v>
      </c>
      <c r="K1821">
        <v>52.5</v>
      </c>
      <c r="L1821">
        <v>0</v>
      </c>
      <c r="M1821">
        <v>31.38</v>
      </c>
      <c r="N1821">
        <v>1</v>
      </c>
      <c r="O1821">
        <v>0</v>
      </c>
      <c r="P1821">
        <v>5086</v>
      </c>
      <c r="Q1821">
        <v>2049</v>
      </c>
      <c r="R1821">
        <v>69</v>
      </c>
      <c r="S1821">
        <v>1589</v>
      </c>
      <c r="T1821">
        <v>0</v>
      </c>
      <c r="U1821">
        <v>1379</v>
      </c>
      <c r="V1821" s="1">
        <f t="shared" si="84"/>
        <v>0.29549999999999998</v>
      </c>
      <c r="W1821" s="1">
        <f t="shared" si="85"/>
        <v>2.3E-3</v>
      </c>
      <c r="X1821" s="1">
        <f t="shared" si="86"/>
        <v>0</v>
      </c>
    </row>
    <row r="1822" spans="1:24" x14ac:dyDescent="0.25">
      <c r="A1822">
        <v>2011</v>
      </c>
      <c r="B1822">
        <v>12</v>
      </c>
      <c r="C1822" t="s">
        <v>37</v>
      </c>
      <c r="D1822" t="str">
        <f>_xlfn.XLOOKUP(C1822,'Carrier Name Rename'!A:A,'Carrier Name Rename'!B:B)</f>
        <v>Delta Air Lines Inc.</v>
      </c>
      <c r="E1822" t="s">
        <v>23</v>
      </c>
      <c r="F1822" t="s">
        <v>24</v>
      </c>
      <c r="G1822">
        <v>752</v>
      </c>
      <c r="H1822">
        <v>74</v>
      </c>
      <c r="I1822">
        <v>25.41</v>
      </c>
      <c r="J1822">
        <v>2.73</v>
      </c>
      <c r="K1822">
        <v>32.19</v>
      </c>
      <c r="L1822">
        <v>0</v>
      </c>
      <c r="M1822">
        <v>13.67</v>
      </c>
      <c r="N1822">
        <v>0</v>
      </c>
      <c r="O1822">
        <v>2</v>
      </c>
      <c r="P1822">
        <v>2817</v>
      </c>
      <c r="Q1822">
        <v>955</v>
      </c>
      <c r="R1822">
        <v>90</v>
      </c>
      <c r="S1822">
        <v>800</v>
      </c>
      <c r="T1822">
        <v>0</v>
      </c>
      <c r="U1822">
        <v>972</v>
      </c>
      <c r="V1822" s="1">
        <f t="shared" si="84"/>
        <v>9.8400000000000001E-2</v>
      </c>
      <c r="W1822" s="1">
        <f t="shared" si="85"/>
        <v>0</v>
      </c>
      <c r="X1822" s="1">
        <f t="shared" si="86"/>
        <v>2.7000000000000001E-3</v>
      </c>
    </row>
    <row r="1823" spans="1:24" x14ac:dyDescent="0.25">
      <c r="A1823">
        <v>2011</v>
      </c>
      <c r="B1823">
        <v>11</v>
      </c>
      <c r="C1823" t="s">
        <v>31</v>
      </c>
      <c r="D1823" t="str">
        <f>_xlfn.XLOOKUP(C1823,'Carrier Name Rename'!A:A,'Carrier Name Rename'!B:B)</f>
        <v>American Airlines Inc.</v>
      </c>
      <c r="E1823" t="s">
        <v>23</v>
      </c>
      <c r="F1823" t="s">
        <v>24</v>
      </c>
      <c r="G1823">
        <v>348</v>
      </c>
      <c r="H1823">
        <v>111</v>
      </c>
      <c r="I1823">
        <v>39.67</v>
      </c>
      <c r="J1823">
        <v>6.71</v>
      </c>
      <c r="K1823">
        <v>48.71</v>
      </c>
      <c r="L1823">
        <v>0</v>
      </c>
      <c r="M1823">
        <v>15.92</v>
      </c>
      <c r="N1823">
        <v>1</v>
      </c>
      <c r="O1823">
        <v>0</v>
      </c>
      <c r="P1823">
        <v>4419</v>
      </c>
      <c r="Q1823">
        <v>2083</v>
      </c>
      <c r="R1823">
        <v>253</v>
      </c>
      <c r="S1823">
        <v>1289</v>
      </c>
      <c r="T1823">
        <v>0</v>
      </c>
      <c r="U1823">
        <v>794</v>
      </c>
      <c r="V1823" s="1">
        <f t="shared" si="84"/>
        <v>0.31900000000000001</v>
      </c>
      <c r="W1823" s="1">
        <f t="shared" si="85"/>
        <v>2.8999999999999998E-3</v>
      </c>
      <c r="X1823" s="1">
        <f t="shared" si="86"/>
        <v>0</v>
      </c>
    </row>
    <row r="1824" spans="1:24" x14ac:dyDescent="0.25">
      <c r="A1824">
        <v>2011</v>
      </c>
      <c r="B1824">
        <v>11</v>
      </c>
      <c r="C1824" t="s">
        <v>33</v>
      </c>
      <c r="D1824" t="str">
        <f>_xlfn.XLOOKUP(C1824,'Carrier Name Rename'!A:A,'Carrier Name Rename'!B:B)</f>
        <v>Alaska Airlines Inc.</v>
      </c>
      <c r="E1824" t="s">
        <v>23</v>
      </c>
      <c r="F1824" t="s">
        <v>24</v>
      </c>
      <c r="G1824">
        <v>3452</v>
      </c>
      <c r="H1824">
        <v>420</v>
      </c>
      <c r="I1824">
        <v>85.02</v>
      </c>
      <c r="J1824">
        <v>10.97</v>
      </c>
      <c r="K1824">
        <v>170.24</v>
      </c>
      <c r="L1824">
        <v>1.76</v>
      </c>
      <c r="M1824">
        <v>152</v>
      </c>
      <c r="N1824">
        <v>17</v>
      </c>
      <c r="O1824">
        <v>8</v>
      </c>
      <c r="P1824">
        <v>21036</v>
      </c>
      <c r="Q1824">
        <v>5502</v>
      </c>
      <c r="R1824">
        <v>868</v>
      </c>
      <c r="S1824">
        <v>5178</v>
      </c>
      <c r="T1824">
        <v>56</v>
      </c>
      <c r="U1824">
        <v>9432</v>
      </c>
      <c r="V1824" s="1">
        <f t="shared" si="84"/>
        <v>0.1217</v>
      </c>
      <c r="W1824" s="1">
        <f t="shared" si="85"/>
        <v>4.8999999999999998E-3</v>
      </c>
      <c r="X1824" s="1">
        <f t="shared" si="86"/>
        <v>2.3E-3</v>
      </c>
    </row>
    <row r="1825" spans="1:24" x14ac:dyDescent="0.25">
      <c r="A1825">
        <v>2011</v>
      </c>
      <c r="B1825">
        <v>11</v>
      </c>
      <c r="C1825" t="s">
        <v>35</v>
      </c>
      <c r="D1825" t="str">
        <f>_xlfn.XLOOKUP(C1825,'Carrier Name Rename'!A:A,'Carrier Name Rename'!B:B)</f>
        <v>JetBlue Airways</v>
      </c>
      <c r="E1825" t="s">
        <v>23</v>
      </c>
      <c r="F1825" t="s">
        <v>24</v>
      </c>
      <c r="G1825">
        <v>117</v>
      </c>
      <c r="H1825">
        <v>15</v>
      </c>
      <c r="I1825">
        <v>8.6999999999999993</v>
      </c>
      <c r="J1825">
        <v>0.14000000000000001</v>
      </c>
      <c r="K1825">
        <v>4.29</v>
      </c>
      <c r="L1825">
        <v>0</v>
      </c>
      <c r="M1825">
        <v>1.87</v>
      </c>
      <c r="N1825">
        <v>0</v>
      </c>
      <c r="O1825">
        <v>1</v>
      </c>
      <c r="P1825">
        <v>755</v>
      </c>
      <c r="Q1825">
        <v>597</v>
      </c>
      <c r="R1825">
        <v>5</v>
      </c>
      <c r="S1825">
        <v>96</v>
      </c>
      <c r="T1825">
        <v>0</v>
      </c>
      <c r="U1825">
        <v>57</v>
      </c>
      <c r="V1825" s="1">
        <f t="shared" si="84"/>
        <v>0.12820000000000001</v>
      </c>
      <c r="W1825" s="1">
        <f t="shared" si="85"/>
        <v>0</v>
      </c>
      <c r="X1825" s="1">
        <f t="shared" si="86"/>
        <v>8.5000000000000006E-3</v>
      </c>
    </row>
    <row r="1826" spans="1:24" x14ac:dyDescent="0.25">
      <c r="A1826">
        <v>2011</v>
      </c>
      <c r="B1826">
        <v>11</v>
      </c>
      <c r="C1826" t="s">
        <v>65</v>
      </c>
      <c r="D1826" t="str">
        <f>_xlfn.XLOOKUP(C1826,'Carrier Name Rename'!A:A,'Carrier Name Rename'!B:B)</f>
        <v>Continental Air Lines Inc.</v>
      </c>
      <c r="E1826" t="s">
        <v>23</v>
      </c>
      <c r="F1826" t="s">
        <v>24</v>
      </c>
      <c r="G1826">
        <v>356</v>
      </c>
      <c r="H1826">
        <v>102</v>
      </c>
      <c r="I1826">
        <v>37.07</v>
      </c>
      <c r="J1826">
        <v>1.64</v>
      </c>
      <c r="K1826">
        <v>43.47</v>
      </c>
      <c r="L1826">
        <v>0</v>
      </c>
      <c r="M1826">
        <v>19.829999999999998</v>
      </c>
      <c r="N1826">
        <v>1</v>
      </c>
      <c r="O1826">
        <v>0</v>
      </c>
      <c r="P1826">
        <v>3838</v>
      </c>
      <c r="Q1826">
        <v>1355</v>
      </c>
      <c r="R1826">
        <v>92</v>
      </c>
      <c r="S1826">
        <v>1364</v>
      </c>
      <c r="T1826">
        <v>0</v>
      </c>
      <c r="U1826">
        <v>1027</v>
      </c>
      <c r="V1826" s="1">
        <f t="shared" si="84"/>
        <v>0.28649999999999998</v>
      </c>
      <c r="W1826" s="1">
        <f t="shared" si="85"/>
        <v>2.8E-3</v>
      </c>
      <c r="X1826" s="1">
        <f t="shared" si="86"/>
        <v>0</v>
      </c>
    </row>
    <row r="1827" spans="1:24" x14ac:dyDescent="0.25">
      <c r="A1827">
        <v>2011</v>
      </c>
      <c r="B1827">
        <v>11</v>
      </c>
      <c r="C1827" t="s">
        <v>37</v>
      </c>
      <c r="D1827" t="str">
        <f>_xlfn.XLOOKUP(C1827,'Carrier Name Rename'!A:A,'Carrier Name Rename'!B:B)</f>
        <v>Delta Air Lines Inc.</v>
      </c>
      <c r="E1827" t="s">
        <v>23</v>
      </c>
      <c r="F1827" t="s">
        <v>24</v>
      </c>
      <c r="G1827">
        <v>761</v>
      </c>
      <c r="H1827">
        <v>85</v>
      </c>
      <c r="I1827">
        <v>34.75</v>
      </c>
      <c r="J1827">
        <v>1.95</v>
      </c>
      <c r="K1827">
        <v>36.78</v>
      </c>
      <c r="L1827">
        <v>0</v>
      </c>
      <c r="M1827">
        <v>11.51</v>
      </c>
      <c r="N1827">
        <v>0</v>
      </c>
      <c r="O1827">
        <v>1</v>
      </c>
      <c r="P1827">
        <v>3788</v>
      </c>
      <c r="Q1827">
        <v>1969</v>
      </c>
      <c r="R1827">
        <v>83</v>
      </c>
      <c r="S1827">
        <v>1199</v>
      </c>
      <c r="T1827">
        <v>0</v>
      </c>
      <c r="U1827">
        <v>537</v>
      </c>
      <c r="V1827" s="1">
        <f t="shared" si="84"/>
        <v>0.11169999999999999</v>
      </c>
      <c r="W1827" s="1">
        <f t="shared" si="85"/>
        <v>0</v>
      </c>
      <c r="X1827" s="1">
        <f t="shared" si="86"/>
        <v>1.2999999999999999E-3</v>
      </c>
    </row>
    <row r="1828" spans="1:24" x14ac:dyDescent="0.25">
      <c r="A1828">
        <v>2011</v>
      </c>
      <c r="B1828">
        <v>11</v>
      </c>
      <c r="C1828" t="s">
        <v>39</v>
      </c>
      <c r="D1828" t="str">
        <f>_xlfn.XLOOKUP(C1828,'Carrier Name Rename'!A:A,'Carrier Name Rename'!B:B)</f>
        <v>Frontier Airlines Inc.</v>
      </c>
      <c r="E1828" t="s">
        <v>23</v>
      </c>
      <c r="F1828" t="s">
        <v>24</v>
      </c>
      <c r="G1828">
        <v>159</v>
      </c>
      <c r="H1828">
        <v>41</v>
      </c>
      <c r="I1828">
        <v>14.73</v>
      </c>
      <c r="J1828">
        <v>0.38</v>
      </c>
      <c r="K1828">
        <v>16.89</v>
      </c>
      <c r="L1828">
        <v>0</v>
      </c>
      <c r="M1828">
        <v>8.99</v>
      </c>
      <c r="N1828">
        <v>0</v>
      </c>
      <c r="O1828">
        <v>0</v>
      </c>
      <c r="P1828">
        <v>1362</v>
      </c>
      <c r="Q1828">
        <v>351</v>
      </c>
      <c r="R1828">
        <v>42</v>
      </c>
      <c r="S1828">
        <v>496</v>
      </c>
      <c r="T1828">
        <v>0</v>
      </c>
      <c r="U1828">
        <v>473</v>
      </c>
      <c r="V1828" s="1">
        <f t="shared" si="84"/>
        <v>0.25790000000000002</v>
      </c>
      <c r="W1828" s="1">
        <f t="shared" si="85"/>
        <v>0</v>
      </c>
      <c r="X1828" s="1">
        <f t="shared" si="86"/>
        <v>0</v>
      </c>
    </row>
    <row r="1829" spans="1:24" x14ac:dyDescent="0.25">
      <c r="A1829">
        <v>2011</v>
      </c>
      <c r="B1829">
        <v>11</v>
      </c>
      <c r="C1829" t="s">
        <v>63</v>
      </c>
      <c r="D1829" t="str">
        <f>_xlfn.XLOOKUP(C1829,'Carrier Name Rename'!A:A,'Carrier Name Rename'!B:B)</f>
        <v>AirTran Airways Corporation</v>
      </c>
      <c r="E1829" t="s">
        <v>23</v>
      </c>
      <c r="F1829" t="s">
        <v>24</v>
      </c>
      <c r="G1829">
        <v>43</v>
      </c>
      <c r="H1829">
        <v>9</v>
      </c>
      <c r="I1829">
        <v>4.4000000000000004</v>
      </c>
      <c r="J1829">
        <v>0</v>
      </c>
      <c r="K1829">
        <v>3.62</v>
      </c>
      <c r="L1829">
        <v>0</v>
      </c>
      <c r="M1829">
        <v>0.98</v>
      </c>
      <c r="N1829">
        <v>0</v>
      </c>
      <c r="O1829">
        <v>0</v>
      </c>
      <c r="P1829">
        <v>390</v>
      </c>
      <c r="Q1829">
        <v>258</v>
      </c>
      <c r="R1829">
        <v>0</v>
      </c>
      <c r="S1829">
        <v>86</v>
      </c>
      <c r="T1829">
        <v>0</v>
      </c>
      <c r="U1829">
        <v>46</v>
      </c>
      <c r="V1829" s="1">
        <f t="shared" si="84"/>
        <v>0.20930000000000001</v>
      </c>
      <c r="W1829" s="1">
        <f t="shared" si="85"/>
        <v>0</v>
      </c>
      <c r="X1829" s="1">
        <f t="shared" si="86"/>
        <v>0</v>
      </c>
    </row>
    <row r="1830" spans="1:24" x14ac:dyDescent="0.25">
      <c r="A1830">
        <v>2011</v>
      </c>
      <c r="B1830">
        <v>11</v>
      </c>
      <c r="C1830" t="s">
        <v>21</v>
      </c>
      <c r="D1830" t="str">
        <f>_xlfn.XLOOKUP(C1830,'Carrier Name Rename'!A:A,'Carrier Name Rename'!B:B)</f>
        <v>Hawaiian Airlines Inc.</v>
      </c>
      <c r="E1830" t="s">
        <v>23</v>
      </c>
      <c r="F1830" t="s">
        <v>24</v>
      </c>
      <c r="G1830">
        <v>70</v>
      </c>
      <c r="H1830">
        <v>22</v>
      </c>
      <c r="I1830">
        <v>19.87</v>
      </c>
      <c r="J1830">
        <v>0</v>
      </c>
      <c r="K1830">
        <v>0.36</v>
      </c>
      <c r="L1830">
        <v>0</v>
      </c>
      <c r="M1830">
        <v>1.77</v>
      </c>
      <c r="N1830">
        <v>0</v>
      </c>
      <c r="O1830">
        <v>0</v>
      </c>
      <c r="P1830">
        <v>1227</v>
      </c>
      <c r="Q1830">
        <v>1088</v>
      </c>
      <c r="R1830">
        <v>0</v>
      </c>
      <c r="S1830">
        <v>14</v>
      </c>
      <c r="T1830">
        <v>0</v>
      </c>
      <c r="U1830">
        <v>125</v>
      </c>
      <c r="V1830" s="1">
        <f t="shared" si="84"/>
        <v>0.31430000000000002</v>
      </c>
      <c r="W1830" s="1">
        <f t="shared" si="85"/>
        <v>0</v>
      </c>
      <c r="X1830" s="1">
        <f t="shared" si="86"/>
        <v>0</v>
      </c>
    </row>
    <row r="1831" spans="1:24" x14ac:dyDescent="0.25">
      <c r="A1831">
        <v>2011</v>
      </c>
      <c r="B1831">
        <v>11</v>
      </c>
      <c r="C1831" t="s">
        <v>27</v>
      </c>
      <c r="D1831" t="str">
        <f>_xlfn.XLOOKUP(C1831,'Carrier Name Rename'!A:A,'Carrier Name Rename'!B:B)</f>
        <v>SkyWest Airlines Inc.</v>
      </c>
      <c r="E1831" t="s">
        <v>23</v>
      </c>
      <c r="F1831" t="s">
        <v>24</v>
      </c>
      <c r="G1831">
        <v>590</v>
      </c>
      <c r="H1831">
        <v>75</v>
      </c>
      <c r="I1831">
        <v>12.11</v>
      </c>
      <c r="J1831">
        <v>0</v>
      </c>
      <c r="K1831">
        <v>24.53</v>
      </c>
      <c r="L1831">
        <v>0</v>
      </c>
      <c r="M1831">
        <v>38.35</v>
      </c>
      <c r="N1831">
        <v>2</v>
      </c>
      <c r="O1831">
        <v>5</v>
      </c>
      <c r="P1831">
        <v>3744</v>
      </c>
      <c r="Q1831">
        <v>976</v>
      </c>
      <c r="R1831">
        <v>0</v>
      </c>
      <c r="S1831">
        <v>705</v>
      </c>
      <c r="T1831">
        <v>0</v>
      </c>
      <c r="U1831">
        <v>2063</v>
      </c>
      <c r="V1831" s="1">
        <f t="shared" si="84"/>
        <v>0.12709999999999999</v>
      </c>
      <c r="W1831" s="1">
        <f t="shared" si="85"/>
        <v>3.3999999999999998E-3</v>
      </c>
      <c r="X1831" s="1">
        <f t="shared" si="86"/>
        <v>8.5000000000000006E-3</v>
      </c>
    </row>
    <row r="1832" spans="1:24" x14ac:dyDescent="0.25">
      <c r="A1832">
        <v>2011</v>
      </c>
      <c r="B1832">
        <v>11</v>
      </c>
      <c r="C1832" t="s">
        <v>41</v>
      </c>
      <c r="D1832" t="str">
        <f>_xlfn.XLOOKUP(C1832,'Carrier Name Rename'!A:A,'Carrier Name Rename'!B:B)</f>
        <v>United Air Lines Inc.</v>
      </c>
      <c r="E1832" t="s">
        <v>23</v>
      </c>
      <c r="F1832" t="s">
        <v>24</v>
      </c>
      <c r="G1832">
        <v>504</v>
      </c>
      <c r="H1832">
        <v>78</v>
      </c>
      <c r="I1832">
        <v>33.99</v>
      </c>
      <c r="J1832">
        <v>0</v>
      </c>
      <c r="K1832">
        <v>23.16</v>
      </c>
      <c r="L1832">
        <v>0</v>
      </c>
      <c r="M1832">
        <v>20.85</v>
      </c>
      <c r="N1832">
        <v>0</v>
      </c>
      <c r="O1832">
        <v>0</v>
      </c>
      <c r="P1832">
        <v>3457</v>
      </c>
      <c r="Q1832">
        <v>1554</v>
      </c>
      <c r="R1832">
        <v>0</v>
      </c>
      <c r="S1832">
        <v>710</v>
      </c>
      <c r="T1832">
        <v>0</v>
      </c>
      <c r="U1832">
        <v>1193</v>
      </c>
      <c r="V1832" s="1">
        <f t="shared" si="84"/>
        <v>0.15479999999999999</v>
      </c>
      <c r="W1832" s="1">
        <f t="shared" si="85"/>
        <v>0</v>
      </c>
      <c r="X1832" s="1">
        <f t="shared" si="86"/>
        <v>0</v>
      </c>
    </row>
    <row r="1833" spans="1:24" x14ac:dyDescent="0.25">
      <c r="A1833">
        <v>2011</v>
      </c>
      <c r="B1833">
        <v>11</v>
      </c>
      <c r="C1833" t="s">
        <v>61</v>
      </c>
      <c r="D1833" t="str">
        <f>_xlfn.XLOOKUP(C1833,'Carrier Name Rename'!A:A,'Carrier Name Rename'!B:B)</f>
        <v>US Airways Inc.</v>
      </c>
      <c r="E1833" t="s">
        <v>23</v>
      </c>
      <c r="F1833" t="s">
        <v>24</v>
      </c>
      <c r="G1833">
        <v>263</v>
      </c>
      <c r="H1833">
        <v>35</v>
      </c>
      <c r="I1833">
        <v>13.79</v>
      </c>
      <c r="J1833">
        <v>0</v>
      </c>
      <c r="K1833">
        <v>17.38</v>
      </c>
      <c r="L1833">
        <v>1.06</v>
      </c>
      <c r="M1833">
        <v>2.77</v>
      </c>
      <c r="N1833">
        <v>1</v>
      </c>
      <c r="O1833">
        <v>0</v>
      </c>
      <c r="P1833">
        <v>1231</v>
      </c>
      <c r="Q1833">
        <v>660</v>
      </c>
      <c r="R1833">
        <v>0</v>
      </c>
      <c r="S1833">
        <v>457</v>
      </c>
      <c r="T1833">
        <v>29</v>
      </c>
      <c r="U1833">
        <v>85</v>
      </c>
      <c r="V1833" s="1">
        <f t="shared" si="84"/>
        <v>0.1331</v>
      </c>
      <c r="W1833" s="1">
        <f t="shared" si="85"/>
        <v>3.8E-3</v>
      </c>
      <c r="X1833" s="1">
        <f t="shared" si="86"/>
        <v>0</v>
      </c>
    </row>
    <row r="1834" spans="1:24" x14ac:dyDescent="0.25">
      <c r="A1834">
        <v>2011</v>
      </c>
      <c r="B1834">
        <v>11</v>
      </c>
      <c r="C1834" t="s">
        <v>43</v>
      </c>
      <c r="D1834" t="str">
        <f>_xlfn.XLOOKUP(C1834,'Carrier Name Rename'!A:A,'Carrier Name Rename'!B:B)</f>
        <v>Southwest Airlines Co.</v>
      </c>
      <c r="E1834" t="s">
        <v>23</v>
      </c>
      <c r="F1834" t="s">
        <v>24</v>
      </c>
      <c r="G1834">
        <v>1091</v>
      </c>
      <c r="H1834">
        <v>136</v>
      </c>
      <c r="I1834">
        <v>39.159999999999997</v>
      </c>
      <c r="J1834">
        <v>3</v>
      </c>
      <c r="K1834">
        <v>22.37</v>
      </c>
      <c r="L1834">
        <v>0</v>
      </c>
      <c r="M1834">
        <v>71.47</v>
      </c>
      <c r="N1834">
        <v>4</v>
      </c>
      <c r="O1834">
        <v>1</v>
      </c>
      <c r="P1834">
        <v>4755</v>
      </c>
      <c r="Q1834">
        <v>1382</v>
      </c>
      <c r="R1834">
        <v>225</v>
      </c>
      <c r="S1834">
        <v>614</v>
      </c>
      <c r="T1834">
        <v>0</v>
      </c>
      <c r="U1834">
        <v>2534</v>
      </c>
      <c r="V1834" s="1">
        <f t="shared" si="84"/>
        <v>0.12470000000000001</v>
      </c>
      <c r="W1834" s="1">
        <f t="shared" si="85"/>
        <v>3.7000000000000002E-3</v>
      </c>
      <c r="X1834" s="1">
        <f t="shared" si="86"/>
        <v>8.9999999999999998E-4</v>
      </c>
    </row>
    <row r="1835" spans="1:24" x14ac:dyDescent="0.25">
      <c r="A1835">
        <v>2011</v>
      </c>
      <c r="B1835">
        <v>10</v>
      </c>
      <c r="C1835" t="s">
        <v>31</v>
      </c>
      <c r="D1835" t="str">
        <f>_xlfn.XLOOKUP(C1835,'Carrier Name Rename'!A:A,'Carrier Name Rename'!B:B)</f>
        <v>American Airlines Inc.</v>
      </c>
      <c r="E1835" t="s">
        <v>23</v>
      </c>
      <c r="F1835" t="s">
        <v>24</v>
      </c>
      <c r="G1835">
        <v>403</v>
      </c>
      <c r="H1835">
        <v>124</v>
      </c>
      <c r="I1835">
        <v>36.36</v>
      </c>
      <c r="J1835">
        <v>3.88</v>
      </c>
      <c r="K1835">
        <v>67.75</v>
      </c>
      <c r="L1835">
        <v>0</v>
      </c>
      <c r="M1835">
        <v>16.010000000000002</v>
      </c>
      <c r="N1835">
        <v>1</v>
      </c>
      <c r="O1835">
        <v>0</v>
      </c>
      <c r="P1835">
        <v>5274</v>
      </c>
      <c r="Q1835">
        <v>2071</v>
      </c>
      <c r="R1835">
        <v>351</v>
      </c>
      <c r="S1835">
        <v>1927</v>
      </c>
      <c r="T1835">
        <v>0</v>
      </c>
      <c r="U1835">
        <v>925</v>
      </c>
      <c r="V1835" s="1">
        <f t="shared" si="84"/>
        <v>0.30769999999999997</v>
      </c>
      <c r="W1835" s="1">
        <f t="shared" si="85"/>
        <v>2.5000000000000001E-3</v>
      </c>
      <c r="X1835" s="1">
        <f t="shared" si="86"/>
        <v>0</v>
      </c>
    </row>
    <row r="1836" spans="1:24" x14ac:dyDescent="0.25">
      <c r="A1836">
        <v>2011</v>
      </c>
      <c r="B1836">
        <v>10</v>
      </c>
      <c r="C1836" t="s">
        <v>33</v>
      </c>
      <c r="D1836" t="str">
        <f>_xlfn.XLOOKUP(C1836,'Carrier Name Rename'!A:A,'Carrier Name Rename'!B:B)</f>
        <v>Alaska Airlines Inc.</v>
      </c>
      <c r="E1836" t="s">
        <v>23</v>
      </c>
      <c r="F1836" t="s">
        <v>24</v>
      </c>
      <c r="G1836">
        <v>3724</v>
      </c>
      <c r="H1836">
        <v>292</v>
      </c>
      <c r="I1836">
        <v>86.33</v>
      </c>
      <c r="J1836">
        <v>3.86</v>
      </c>
      <c r="K1836">
        <v>126.43</v>
      </c>
      <c r="L1836">
        <v>0.45</v>
      </c>
      <c r="M1836">
        <v>74.930000000000007</v>
      </c>
      <c r="N1836">
        <v>11</v>
      </c>
      <c r="O1836">
        <v>4</v>
      </c>
      <c r="P1836">
        <v>14990</v>
      </c>
      <c r="Q1836">
        <v>5901</v>
      </c>
      <c r="R1836">
        <v>176</v>
      </c>
      <c r="S1836">
        <v>3278</v>
      </c>
      <c r="T1836">
        <v>37</v>
      </c>
      <c r="U1836">
        <v>5598</v>
      </c>
      <c r="V1836" s="1">
        <f t="shared" si="84"/>
        <v>7.8399999999999997E-2</v>
      </c>
      <c r="W1836" s="1">
        <f t="shared" si="85"/>
        <v>3.0000000000000001E-3</v>
      </c>
      <c r="X1836" s="1">
        <f t="shared" si="86"/>
        <v>1.1000000000000001E-3</v>
      </c>
    </row>
    <row r="1837" spans="1:24" x14ac:dyDescent="0.25">
      <c r="A1837">
        <v>2011</v>
      </c>
      <c r="B1837">
        <v>10</v>
      </c>
      <c r="C1837" t="s">
        <v>35</v>
      </c>
      <c r="D1837" t="str">
        <f>_xlfn.XLOOKUP(C1837,'Carrier Name Rename'!A:A,'Carrier Name Rename'!B:B)</f>
        <v>JetBlue Airways</v>
      </c>
      <c r="E1837" t="s">
        <v>23</v>
      </c>
      <c r="F1837" t="s">
        <v>24</v>
      </c>
      <c r="G1837">
        <v>154</v>
      </c>
      <c r="H1837">
        <v>19</v>
      </c>
      <c r="I1837">
        <v>5.3</v>
      </c>
      <c r="J1837">
        <v>0.57999999999999996</v>
      </c>
      <c r="K1837">
        <v>9.18</v>
      </c>
      <c r="L1837">
        <v>0</v>
      </c>
      <c r="M1837">
        <v>3.94</v>
      </c>
      <c r="N1837">
        <v>0</v>
      </c>
      <c r="O1837">
        <v>0</v>
      </c>
      <c r="P1837">
        <v>830</v>
      </c>
      <c r="Q1837">
        <v>370</v>
      </c>
      <c r="R1837">
        <v>23</v>
      </c>
      <c r="S1837">
        <v>285</v>
      </c>
      <c r="T1837">
        <v>0</v>
      </c>
      <c r="U1837">
        <v>152</v>
      </c>
      <c r="V1837" s="1">
        <f t="shared" si="84"/>
        <v>0.1234</v>
      </c>
      <c r="W1837" s="1">
        <f t="shared" si="85"/>
        <v>0</v>
      </c>
      <c r="X1837" s="1">
        <f t="shared" si="86"/>
        <v>0</v>
      </c>
    </row>
    <row r="1838" spans="1:24" x14ac:dyDescent="0.25">
      <c r="A1838">
        <v>2011</v>
      </c>
      <c r="B1838">
        <v>10</v>
      </c>
      <c r="C1838" t="s">
        <v>65</v>
      </c>
      <c r="D1838" t="str">
        <f>_xlfn.XLOOKUP(C1838,'Carrier Name Rename'!A:A,'Carrier Name Rename'!B:B)</f>
        <v>Continental Air Lines Inc.</v>
      </c>
      <c r="E1838" t="s">
        <v>23</v>
      </c>
      <c r="F1838" t="s">
        <v>24</v>
      </c>
      <c r="G1838">
        <v>368</v>
      </c>
      <c r="H1838">
        <v>110</v>
      </c>
      <c r="I1838">
        <v>22.8</v>
      </c>
      <c r="J1838">
        <v>2.21</v>
      </c>
      <c r="K1838">
        <v>80.099999999999994</v>
      </c>
      <c r="L1838">
        <v>0</v>
      </c>
      <c r="M1838">
        <v>4.8899999999999997</v>
      </c>
      <c r="N1838">
        <v>2</v>
      </c>
      <c r="O1838">
        <v>0</v>
      </c>
      <c r="P1838">
        <v>3923</v>
      </c>
      <c r="Q1838">
        <v>1021</v>
      </c>
      <c r="R1838">
        <v>342</v>
      </c>
      <c r="S1838">
        <v>2126</v>
      </c>
      <c r="T1838">
        <v>0</v>
      </c>
      <c r="U1838">
        <v>434</v>
      </c>
      <c r="V1838" s="1">
        <f t="shared" si="84"/>
        <v>0.2989</v>
      </c>
      <c r="W1838" s="1">
        <f t="shared" si="85"/>
        <v>5.4000000000000003E-3</v>
      </c>
      <c r="X1838" s="1">
        <f t="shared" si="86"/>
        <v>0</v>
      </c>
    </row>
    <row r="1839" spans="1:24" x14ac:dyDescent="0.25">
      <c r="A1839">
        <v>2011</v>
      </c>
      <c r="B1839">
        <v>10</v>
      </c>
      <c r="C1839" t="s">
        <v>37</v>
      </c>
      <c r="D1839" t="str">
        <f>_xlfn.XLOOKUP(C1839,'Carrier Name Rename'!A:A,'Carrier Name Rename'!B:B)</f>
        <v>Delta Air Lines Inc.</v>
      </c>
      <c r="E1839" t="s">
        <v>23</v>
      </c>
      <c r="F1839" t="s">
        <v>24</v>
      </c>
      <c r="G1839">
        <v>805</v>
      </c>
      <c r="H1839">
        <v>118</v>
      </c>
      <c r="I1839">
        <v>23.26</v>
      </c>
      <c r="J1839">
        <v>1.73</v>
      </c>
      <c r="K1839">
        <v>81.02</v>
      </c>
      <c r="L1839">
        <v>0</v>
      </c>
      <c r="M1839">
        <v>11.99</v>
      </c>
      <c r="N1839">
        <v>0</v>
      </c>
      <c r="O1839">
        <v>2</v>
      </c>
      <c r="P1839">
        <v>3901</v>
      </c>
      <c r="Q1839">
        <v>1018</v>
      </c>
      <c r="R1839">
        <v>167</v>
      </c>
      <c r="S1839">
        <v>2076</v>
      </c>
      <c r="T1839">
        <v>0</v>
      </c>
      <c r="U1839">
        <v>640</v>
      </c>
      <c r="V1839" s="1">
        <f t="shared" si="84"/>
        <v>0.14660000000000001</v>
      </c>
      <c r="W1839" s="1">
        <f t="shared" si="85"/>
        <v>0</v>
      </c>
      <c r="X1839" s="1">
        <f t="shared" si="86"/>
        <v>2.5000000000000001E-3</v>
      </c>
    </row>
    <row r="1840" spans="1:24" x14ac:dyDescent="0.25">
      <c r="A1840">
        <v>2011</v>
      </c>
      <c r="B1840">
        <v>10</v>
      </c>
      <c r="C1840" t="s">
        <v>39</v>
      </c>
      <c r="D1840" t="str">
        <f>_xlfn.XLOOKUP(C1840,'Carrier Name Rename'!A:A,'Carrier Name Rename'!B:B)</f>
        <v>Frontier Airlines Inc.</v>
      </c>
      <c r="E1840" t="s">
        <v>23</v>
      </c>
      <c r="F1840" t="s">
        <v>24</v>
      </c>
      <c r="G1840">
        <v>146</v>
      </c>
      <c r="H1840">
        <v>21</v>
      </c>
      <c r="I1840">
        <v>9.7200000000000006</v>
      </c>
      <c r="J1840">
        <v>0</v>
      </c>
      <c r="K1840">
        <v>5.4</v>
      </c>
      <c r="L1840">
        <v>0</v>
      </c>
      <c r="M1840">
        <v>5.87</v>
      </c>
      <c r="N1840">
        <v>0</v>
      </c>
      <c r="O1840">
        <v>0</v>
      </c>
      <c r="P1840">
        <v>575</v>
      </c>
      <c r="Q1840">
        <v>279</v>
      </c>
      <c r="R1840">
        <v>0</v>
      </c>
      <c r="S1840">
        <v>142</v>
      </c>
      <c r="T1840">
        <v>0</v>
      </c>
      <c r="U1840">
        <v>154</v>
      </c>
      <c r="V1840" s="1">
        <f t="shared" si="84"/>
        <v>0.14380000000000001</v>
      </c>
      <c r="W1840" s="1">
        <f t="shared" si="85"/>
        <v>0</v>
      </c>
      <c r="X1840" s="1">
        <f t="shared" si="86"/>
        <v>0</v>
      </c>
    </row>
    <row r="1841" spans="1:24" x14ac:dyDescent="0.25">
      <c r="A1841">
        <v>2011</v>
      </c>
      <c r="B1841">
        <v>10</v>
      </c>
      <c r="C1841" t="s">
        <v>63</v>
      </c>
      <c r="D1841" t="str">
        <f>_xlfn.XLOOKUP(C1841,'Carrier Name Rename'!A:A,'Carrier Name Rename'!B:B)</f>
        <v>AirTran Airways Corporation</v>
      </c>
      <c r="E1841" t="s">
        <v>23</v>
      </c>
      <c r="F1841" t="s">
        <v>24</v>
      </c>
      <c r="G1841">
        <v>81</v>
      </c>
      <c r="H1841">
        <v>8</v>
      </c>
      <c r="I1841">
        <v>4</v>
      </c>
      <c r="J1841">
        <v>0</v>
      </c>
      <c r="K1841">
        <v>4</v>
      </c>
      <c r="L1841">
        <v>0</v>
      </c>
      <c r="M1841">
        <v>0</v>
      </c>
      <c r="N1841">
        <v>0</v>
      </c>
      <c r="O1841">
        <v>0</v>
      </c>
      <c r="P1841">
        <v>223</v>
      </c>
      <c r="Q1841">
        <v>143</v>
      </c>
      <c r="R1841">
        <v>0</v>
      </c>
      <c r="S1841">
        <v>80</v>
      </c>
      <c r="T1841">
        <v>0</v>
      </c>
      <c r="U1841">
        <v>0</v>
      </c>
      <c r="V1841" s="1">
        <f t="shared" si="84"/>
        <v>9.8799999999999999E-2</v>
      </c>
      <c r="W1841" s="1">
        <f t="shared" si="85"/>
        <v>0</v>
      </c>
      <c r="X1841" s="1">
        <f t="shared" si="86"/>
        <v>0</v>
      </c>
    </row>
    <row r="1842" spans="1:24" x14ac:dyDescent="0.25">
      <c r="A1842">
        <v>2011</v>
      </c>
      <c r="B1842">
        <v>10</v>
      </c>
      <c r="C1842" t="s">
        <v>21</v>
      </c>
      <c r="D1842" t="str">
        <f>_xlfn.XLOOKUP(C1842,'Carrier Name Rename'!A:A,'Carrier Name Rename'!B:B)</f>
        <v>Hawaiian Airlines Inc.</v>
      </c>
      <c r="E1842" t="s">
        <v>23</v>
      </c>
      <c r="F1842" t="s">
        <v>24</v>
      </c>
      <c r="G1842">
        <v>62</v>
      </c>
      <c r="H1842">
        <v>16</v>
      </c>
      <c r="I1842">
        <v>14.74</v>
      </c>
      <c r="J1842">
        <v>0</v>
      </c>
      <c r="K1842">
        <v>0</v>
      </c>
      <c r="L1842">
        <v>0</v>
      </c>
      <c r="M1842">
        <v>1.26</v>
      </c>
      <c r="N1842">
        <v>0</v>
      </c>
      <c r="O1842">
        <v>0</v>
      </c>
      <c r="P1842">
        <v>1611</v>
      </c>
      <c r="Q1842">
        <v>1562</v>
      </c>
      <c r="R1842">
        <v>0</v>
      </c>
      <c r="S1842">
        <v>0</v>
      </c>
      <c r="T1842">
        <v>0</v>
      </c>
      <c r="U1842">
        <v>49</v>
      </c>
      <c r="V1842" s="1">
        <f t="shared" si="84"/>
        <v>0.2581</v>
      </c>
      <c r="W1842" s="1">
        <f t="shared" si="85"/>
        <v>0</v>
      </c>
      <c r="X1842" s="1">
        <f t="shared" si="86"/>
        <v>0</v>
      </c>
    </row>
    <row r="1843" spans="1:24" x14ac:dyDescent="0.25">
      <c r="A1843">
        <v>2011</v>
      </c>
      <c r="B1843">
        <v>10</v>
      </c>
      <c r="C1843" t="s">
        <v>27</v>
      </c>
      <c r="D1843" t="str">
        <f>_xlfn.XLOOKUP(C1843,'Carrier Name Rename'!A:A,'Carrier Name Rename'!B:B)</f>
        <v>SkyWest Airlines Inc.</v>
      </c>
      <c r="E1843" t="s">
        <v>23</v>
      </c>
      <c r="F1843" t="s">
        <v>24</v>
      </c>
      <c r="G1843">
        <v>604</v>
      </c>
      <c r="H1843">
        <v>57</v>
      </c>
      <c r="I1843">
        <v>17.329999999999998</v>
      </c>
      <c r="J1843">
        <v>0</v>
      </c>
      <c r="K1843">
        <v>26</v>
      </c>
      <c r="L1843">
        <v>0</v>
      </c>
      <c r="M1843">
        <v>13.67</v>
      </c>
      <c r="N1843">
        <v>5</v>
      </c>
      <c r="O1843">
        <v>0</v>
      </c>
      <c r="P1843">
        <v>2740</v>
      </c>
      <c r="Q1843">
        <v>1448</v>
      </c>
      <c r="R1843">
        <v>0</v>
      </c>
      <c r="S1843">
        <v>744</v>
      </c>
      <c r="T1843">
        <v>0</v>
      </c>
      <c r="U1843">
        <v>548</v>
      </c>
      <c r="V1843" s="1">
        <f t="shared" si="84"/>
        <v>9.4399999999999998E-2</v>
      </c>
      <c r="W1843" s="1">
        <f t="shared" si="85"/>
        <v>8.3000000000000001E-3</v>
      </c>
      <c r="X1843" s="1">
        <f t="shared" si="86"/>
        <v>0</v>
      </c>
    </row>
    <row r="1844" spans="1:24" x14ac:dyDescent="0.25">
      <c r="A1844">
        <v>2011</v>
      </c>
      <c r="B1844">
        <v>10</v>
      </c>
      <c r="C1844" t="s">
        <v>41</v>
      </c>
      <c r="D1844" t="str">
        <f>_xlfn.XLOOKUP(C1844,'Carrier Name Rename'!A:A,'Carrier Name Rename'!B:B)</f>
        <v>United Air Lines Inc.</v>
      </c>
      <c r="E1844" t="s">
        <v>23</v>
      </c>
      <c r="F1844" t="s">
        <v>24</v>
      </c>
      <c r="G1844">
        <v>551</v>
      </c>
      <c r="H1844">
        <v>109</v>
      </c>
      <c r="I1844">
        <v>28.06</v>
      </c>
      <c r="J1844">
        <v>1.55</v>
      </c>
      <c r="K1844">
        <v>60.99</v>
      </c>
      <c r="L1844">
        <v>0</v>
      </c>
      <c r="M1844">
        <v>18.399999999999999</v>
      </c>
      <c r="N1844">
        <v>0</v>
      </c>
      <c r="O1844">
        <v>0</v>
      </c>
      <c r="P1844">
        <v>4589</v>
      </c>
      <c r="Q1844">
        <v>1502</v>
      </c>
      <c r="R1844">
        <v>98</v>
      </c>
      <c r="S1844">
        <v>1721</v>
      </c>
      <c r="T1844">
        <v>0</v>
      </c>
      <c r="U1844">
        <v>1268</v>
      </c>
      <c r="V1844" s="1">
        <f t="shared" si="84"/>
        <v>0.1978</v>
      </c>
      <c r="W1844" s="1">
        <f t="shared" si="85"/>
        <v>0</v>
      </c>
      <c r="X1844" s="1">
        <f t="shared" si="86"/>
        <v>0</v>
      </c>
    </row>
    <row r="1845" spans="1:24" x14ac:dyDescent="0.25">
      <c r="A1845">
        <v>2011</v>
      </c>
      <c r="B1845">
        <v>10</v>
      </c>
      <c r="C1845" t="s">
        <v>61</v>
      </c>
      <c r="D1845" t="str">
        <f>_xlfn.XLOOKUP(C1845,'Carrier Name Rename'!A:A,'Carrier Name Rename'!B:B)</f>
        <v>US Airways Inc.</v>
      </c>
      <c r="E1845" t="s">
        <v>23</v>
      </c>
      <c r="F1845" t="s">
        <v>24</v>
      </c>
      <c r="G1845">
        <v>261</v>
      </c>
      <c r="H1845">
        <v>42</v>
      </c>
      <c r="I1845">
        <v>13.47</v>
      </c>
      <c r="J1845">
        <v>0</v>
      </c>
      <c r="K1845">
        <v>27.93</v>
      </c>
      <c r="L1845">
        <v>0</v>
      </c>
      <c r="M1845">
        <v>0.6</v>
      </c>
      <c r="N1845">
        <v>0</v>
      </c>
      <c r="O1845">
        <v>0</v>
      </c>
      <c r="P1845">
        <v>1503</v>
      </c>
      <c r="Q1845">
        <v>707</v>
      </c>
      <c r="R1845">
        <v>0</v>
      </c>
      <c r="S1845">
        <v>777</v>
      </c>
      <c r="T1845">
        <v>0</v>
      </c>
      <c r="U1845">
        <v>19</v>
      </c>
      <c r="V1845" s="1">
        <f t="shared" si="84"/>
        <v>0.16089999999999999</v>
      </c>
      <c r="W1845" s="1">
        <f t="shared" si="85"/>
        <v>0</v>
      </c>
      <c r="X1845" s="1">
        <f t="shared" si="86"/>
        <v>0</v>
      </c>
    </row>
    <row r="1846" spans="1:24" x14ac:dyDescent="0.25">
      <c r="A1846">
        <v>2011</v>
      </c>
      <c r="B1846">
        <v>10</v>
      </c>
      <c r="C1846" t="s">
        <v>43</v>
      </c>
      <c r="D1846" t="str">
        <f>_xlfn.XLOOKUP(C1846,'Carrier Name Rename'!A:A,'Carrier Name Rename'!B:B)</f>
        <v>Southwest Airlines Co.</v>
      </c>
      <c r="E1846" t="s">
        <v>23</v>
      </c>
      <c r="F1846" t="s">
        <v>24</v>
      </c>
      <c r="G1846">
        <v>1176</v>
      </c>
      <c r="H1846">
        <v>132</v>
      </c>
      <c r="I1846">
        <v>47.31</v>
      </c>
      <c r="J1846">
        <v>0</v>
      </c>
      <c r="K1846">
        <v>17.82</v>
      </c>
      <c r="L1846">
        <v>0.26</v>
      </c>
      <c r="M1846">
        <v>66.599999999999994</v>
      </c>
      <c r="N1846">
        <v>4</v>
      </c>
      <c r="O1846">
        <v>0</v>
      </c>
      <c r="P1846">
        <v>5616</v>
      </c>
      <c r="Q1846">
        <v>2031</v>
      </c>
      <c r="R1846">
        <v>0</v>
      </c>
      <c r="S1846">
        <v>455</v>
      </c>
      <c r="T1846">
        <v>6</v>
      </c>
      <c r="U1846">
        <v>3124</v>
      </c>
      <c r="V1846" s="1">
        <f t="shared" si="84"/>
        <v>0.11219999999999999</v>
      </c>
      <c r="W1846" s="1">
        <f t="shared" si="85"/>
        <v>3.3999999999999998E-3</v>
      </c>
      <c r="X1846" s="1">
        <f t="shared" si="86"/>
        <v>0</v>
      </c>
    </row>
    <row r="1847" spans="1:24" x14ac:dyDescent="0.25">
      <c r="A1847">
        <v>2011</v>
      </c>
      <c r="B1847">
        <v>9</v>
      </c>
      <c r="C1847" t="s">
        <v>31</v>
      </c>
      <c r="D1847" t="str">
        <f>_xlfn.XLOOKUP(C1847,'Carrier Name Rename'!A:A,'Carrier Name Rename'!B:B)</f>
        <v>American Airlines Inc.</v>
      </c>
      <c r="E1847" t="s">
        <v>23</v>
      </c>
      <c r="F1847" t="s">
        <v>24</v>
      </c>
      <c r="G1847">
        <v>400</v>
      </c>
      <c r="H1847">
        <v>64</v>
      </c>
      <c r="I1847">
        <v>33.159999999999997</v>
      </c>
      <c r="J1847">
        <v>5.26</v>
      </c>
      <c r="K1847">
        <v>14.78</v>
      </c>
      <c r="L1847">
        <v>0</v>
      </c>
      <c r="M1847">
        <v>10.8</v>
      </c>
      <c r="N1847">
        <v>0</v>
      </c>
      <c r="O1847">
        <v>0</v>
      </c>
      <c r="P1847">
        <v>3453</v>
      </c>
      <c r="Q1847">
        <v>1903</v>
      </c>
      <c r="R1847">
        <v>434</v>
      </c>
      <c r="S1847">
        <v>467</v>
      </c>
      <c r="T1847">
        <v>0</v>
      </c>
      <c r="U1847">
        <v>649</v>
      </c>
      <c r="V1847" s="1">
        <f t="shared" si="84"/>
        <v>0.16</v>
      </c>
      <c r="W1847" s="1">
        <f t="shared" si="85"/>
        <v>0</v>
      </c>
      <c r="X1847" s="1">
        <f t="shared" si="86"/>
        <v>0</v>
      </c>
    </row>
    <row r="1848" spans="1:24" x14ac:dyDescent="0.25">
      <c r="A1848">
        <v>2011</v>
      </c>
      <c r="B1848">
        <v>9</v>
      </c>
      <c r="C1848" t="s">
        <v>33</v>
      </c>
      <c r="D1848" t="str">
        <f>_xlfn.XLOOKUP(C1848,'Carrier Name Rename'!A:A,'Carrier Name Rename'!B:B)</f>
        <v>Alaska Airlines Inc.</v>
      </c>
      <c r="E1848" t="s">
        <v>23</v>
      </c>
      <c r="F1848" t="s">
        <v>24</v>
      </c>
      <c r="G1848">
        <v>3728</v>
      </c>
      <c r="H1848">
        <v>245</v>
      </c>
      <c r="I1848">
        <v>76.25</v>
      </c>
      <c r="J1848">
        <v>3.09</v>
      </c>
      <c r="K1848">
        <v>78.48</v>
      </c>
      <c r="L1848">
        <v>2.5299999999999998</v>
      </c>
      <c r="M1848">
        <v>84.66</v>
      </c>
      <c r="N1848">
        <v>10</v>
      </c>
      <c r="O1848">
        <v>2</v>
      </c>
      <c r="P1848">
        <v>11672</v>
      </c>
      <c r="Q1848">
        <v>4073</v>
      </c>
      <c r="R1848">
        <v>155</v>
      </c>
      <c r="S1848">
        <v>2236</v>
      </c>
      <c r="T1848">
        <v>171</v>
      </c>
      <c r="U1848">
        <v>5037</v>
      </c>
      <c r="V1848" s="1">
        <f t="shared" si="84"/>
        <v>6.5699999999999995E-2</v>
      </c>
      <c r="W1848" s="1">
        <f t="shared" si="85"/>
        <v>2.7000000000000001E-3</v>
      </c>
      <c r="X1848" s="1">
        <f t="shared" si="86"/>
        <v>5.0000000000000001E-4</v>
      </c>
    </row>
    <row r="1849" spans="1:24" x14ac:dyDescent="0.25">
      <c r="A1849">
        <v>2011</v>
      </c>
      <c r="B1849">
        <v>9</v>
      </c>
      <c r="C1849" t="s">
        <v>35</v>
      </c>
      <c r="D1849" t="str">
        <f>_xlfn.XLOOKUP(C1849,'Carrier Name Rename'!A:A,'Carrier Name Rename'!B:B)</f>
        <v>JetBlue Airways</v>
      </c>
      <c r="E1849" t="s">
        <v>23</v>
      </c>
      <c r="F1849" t="s">
        <v>24</v>
      </c>
      <c r="G1849">
        <v>189</v>
      </c>
      <c r="H1849">
        <v>22</v>
      </c>
      <c r="I1849">
        <v>7.92</v>
      </c>
      <c r="J1849">
        <v>0</v>
      </c>
      <c r="K1849">
        <v>8.65</v>
      </c>
      <c r="L1849">
        <v>0.4</v>
      </c>
      <c r="M1849">
        <v>5.0199999999999996</v>
      </c>
      <c r="N1849">
        <v>0</v>
      </c>
      <c r="O1849">
        <v>0</v>
      </c>
      <c r="P1849">
        <v>803</v>
      </c>
      <c r="Q1849">
        <v>322</v>
      </c>
      <c r="R1849">
        <v>0</v>
      </c>
      <c r="S1849">
        <v>267</v>
      </c>
      <c r="T1849">
        <v>12</v>
      </c>
      <c r="U1849">
        <v>202</v>
      </c>
      <c r="V1849" s="1">
        <f t="shared" si="84"/>
        <v>0.1164</v>
      </c>
      <c r="W1849" s="1">
        <f t="shared" si="85"/>
        <v>0</v>
      </c>
      <c r="X1849" s="1">
        <f t="shared" si="86"/>
        <v>0</v>
      </c>
    </row>
    <row r="1850" spans="1:24" x14ac:dyDescent="0.25">
      <c r="A1850">
        <v>2011</v>
      </c>
      <c r="B1850">
        <v>9</v>
      </c>
      <c r="C1850" t="s">
        <v>65</v>
      </c>
      <c r="D1850" t="str">
        <f>_xlfn.XLOOKUP(C1850,'Carrier Name Rename'!A:A,'Carrier Name Rename'!B:B)</f>
        <v>Continental Air Lines Inc.</v>
      </c>
      <c r="E1850" t="s">
        <v>23</v>
      </c>
      <c r="F1850" t="s">
        <v>24</v>
      </c>
      <c r="G1850">
        <v>412</v>
      </c>
      <c r="H1850">
        <v>82</v>
      </c>
      <c r="I1850">
        <v>28.12</v>
      </c>
      <c r="J1850">
        <v>2.0699999999999998</v>
      </c>
      <c r="K1850">
        <v>42.54</v>
      </c>
      <c r="L1850">
        <v>0</v>
      </c>
      <c r="M1850">
        <v>9.27</v>
      </c>
      <c r="N1850">
        <v>0</v>
      </c>
      <c r="O1850">
        <v>0</v>
      </c>
      <c r="P1850">
        <v>3155</v>
      </c>
      <c r="Q1850">
        <v>981</v>
      </c>
      <c r="R1850">
        <v>115</v>
      </c>
      <c r="S1850">
        <v>1147</v>
      </c>
      <c r="T1850">
        <v>0</v>
      </c>
      <c r="U1850">
        <v>912</v>
      </c>
      <c r="V1850" s="1">
        <f t="shared" si="84"/>
        <v>0.19900000000000001</v>
      </c>
      <c r="W1850" s="1">
        <f t="shared" si="85"/>
        <v>0</v>
      </c>
      <c r="X1850" s="1">
        <f t="shared" si="86"/>
        <v>0</v>
      </c>
    </row>
    <row r="1851" spans="1:24" x14ac:dyDescent="0.25">
      <c r="A1851">
        <v>2011</v>
      </c>
      <c r="B1851">
        <v>9</v>
      </c>
      <c r="C1851" t="s">
        <v>37</v>
      </c>
      <c r="D1851" t="str">
        <f>_xlfn.XLOOKUP(C1851,'Carrier Name Rename'!A:A,'Carrier Name Rename'!B:B)</f>
        <v>Delta Air Lines Inc.</v>
      </c>
      <c r="E1851" t="s">
        <v>23</v>
      </c>
      <c r="F1851" t="s">
        <v>24</v>
      </c>
      <c r="G1851">
        <v>839</v>
      </c>
      <c r="H1851">
        <v>64</v>
      </c>
      <c r="I1851">
        <v>25.32</v>
      </c>
      <c r="J1851">
        <v>1</v>
      </c>
      <c r="K1851">
        <v>22.38</v>
      </c>
      <c r="L1851">
        <v>0</v>
      </c>
      <c r="M1851">
        <v>15.3</v>
      </c>
      <c r="N1851">
        <v>0</v>
      </c>
      <c r="O1851">
        <v>1</v>
      </c>
      <c r="P1851">
        <v>3221</v>
      </c>
      <c r="Q1851">
        <v>1904</v>
      </c>
      <c r="R1851">
        <v>20</v>
      </c>
      <c r="S1851">
        <v>571</v>
      </c>
      <c r="T1851">
        <v>0</v>
      </c>
      <c r="U1851">
        <v>726</v>
      </c>
      <c r="V1851" s="1">
        <f t="shared" si="84"/>
        <v>7.6300000000000007E-2</v>
      </c>
      <c r="W1851" s="1">
        <f t="shared" si="85"/>
        <v>0</v>
      </c>
      <c r="X1851" s="1">
        <f t="shared" si="86"/>
        <v>1.1999999999999999E-3</v>
      </c>
    </row>
    <row r="1852" spans="1:24" x14ac:dyDescent="0.25">
      <c r="A1852">
        <v>2011</v>
      </c>
      <c r="B1852">
        <v>9</v>
      </c>
      <c r="C1852" t="s">
        <v>39</v>
      </c>
      <c r="D1852" t="str">
        <f>_xlfn.XLOOKUP(C1852,'Carrier Name Rename'!A:A,'Carrier Name Rename'!B:B)</f>
        <v>Frontier Airlines Inc.</v>
      </c>
      <c r="E1852" t="s">
        <v>23</v>
      </c>
      <c r="F1852" t="s">
        <v>24</v>
      </c>
      <c r="G1852">
        <v>147</v>
      </c>
      <c r="H1852">
        <v>15</v>
      </c>
      <c r="I1852">
        <v>4.63</v>
      </c>
      <c r="J1852">
        <v>1.22</v>
      </c>
      <c r="K1852">
        <v>6.1</v>
      </c>
      <c r="L1852">
        <v>0</v>
      </c>
      <c r="M1852">
        <v>3.05</v>
      </c>
      <c r="N1852">
        <v>0</v>
      </c>
      <c r="O1852">
        <v>0</v>
      </c>
      <c r="P1852">
        <v>633</v>
      </c>
      <c r="Q1852">
        <v>170</v>
      </c>
      <c r="R1852">
        <v>50</v>
      </c>
      <c r="S1852">
        <v>211</v>
      </c>
      <c r="T1852">
        <v>0</v>
      </c>
      <c r="U1852">
        <v>202</v>
      </c>
      <c r="V1852" s="1">
        <f t="shared" si="84"/>
        <v>0.10199999999999999</v>
      </c>
      <c r="W1852" s="1">
        <f t="shared" si="85"/>
        <v>0</v>
      </c>
      <c r="X1852" s="1">
        <f t="shared" si="86"/>
        <v>0</v>
      </c>
    </row>
    <row r="1853" spans="1:24" x14ac:dyDescent="0.25">
      <c r="A1853">
        <v>2011</v>
      </c>
      <c r="B1853">
        <v>9</v>
      </c>
      <c r="C1853" t="s">
        <v>63</v>
      </c>
      <c r="D1853" t="str">
        <f>_xlfn.XLOOKUP(C1853,'Carrier Name Rename'!A:A,'Carrier Name Rename'!B:B)</f>
        <v>AirTran Airways Corporation</v>
      </c>
      <c r="E1853" t="s">
        <v>23</v>
      </c>
      <c r="F1853" t="s">
        <v>24</v>
      </c>
      <c r="G1853">
        <v>95</v>
      </c>
      <c r="H1853">
        <v>3</v>
      </c>
      <c r="I1853">
        <v>2</v>
      </c>
      <c r="J1853">
        <v>0</v>
      </c>
      <c r="K1853">
        <v>0</v>
      </c>
      <c r="L1853">
        <v>0</v>
      </c>
      <c r="M1853">
        <v>1</v>
      </c>
      <c r="N1853">
        <v>0</v>
      </c>
      <c r="O1853">
        <v>0</v>
      </c>
      <c r="P1853">
        <v>103</v>
      </c>
      <c r="Q1853">
        <v>67</v>
      </c>
      <c r="R1853">
        <v>0</v>
      </c>
      <c r="S1853">
        <v>0</v>
      </c>
      <c r="T1853">
        <v>0</v>
      </c>
      <c r="U1853">
        <v>36</v>
      </c>
      <c r="V1853" s="1">
        <f t="shared" si="84"/>
        <v>3.1600000000000003E-2</v>
      </c>
      <c r="W1853" s="1">
        <f t="shared" si="85"/>
        <v>0</v>
      </c>
      <c r="X1853" s="1">
        <f t="shared" si="86"/>
        <v>0</v>
      </c>
    </row>
    <row r="1854" spans="1:24" x14ac:dyDescent="0.25">
      <c r="A1854">
        <v>2011</v>
      </c>
      <c r="B1854">
        <v>9</v>
      </c>
      <c r="C1854" t="s">
        <v>21</v>
      </c>
      <c r="D1854" t="str">
        <f>_xlfn.XLOOKUP(C1854,'Carrier Name Rename'!A:A,'Carrier Name Rename'!B:B)</f>
        <v>Hawaiian Airlines Inc.</v>
      </c>
      <c r="E1854" t="s">
        <v>23</v>
      </c>
      <c r="F1854" t="s">
        <v>24</v>
      </c>
      <c r="G1854">
        <v>60</v>
      </c>
      <c r="H1854">
        <v>4</v>
      </c>
      <c r="I1854">
        <v>2.44</v>
      </c>
      <c r="J1854">
        <v>0</v>
      </c>
      <c r="K1854">
        <v>0</v>
      </c>
      <c r="L1854">
        <v>0.56999999999999995</v>
      </c>
      <c r="M1854">
        <v>0.99</v>
      </c>
      <c r="N1854">
        <v>0</v>
      </c>
      <c r="O1854">
        <v>0</v>
      </c>
      <c r="P1854">
        <v>493</v>
      </c>
      <c r="Q1854">
        <v>119</v>
      </c>
      <c r="R1854">
        <v>0</v>
      </c>
      <c r="S1854">
        <v>0</v>
      </c>
      <c r="T1854">
        <v>33</v>
      </c>
      <c r="U1854">
        <v>341</v>
      </c>
      <c r="V1854" s="1">
        <f t="shared" si="84"/>
        <v>6.6699999999999995E-2</v>
      </c>
      <c r="W1854" s="1">
        <f t="shared" si="85"/>
        <v>0</v>
      </c>
      <c r="X1854" s="1">
        <f t="shared" si="86"/>
        <v>0</v>
      </c>
    </row>
    <row r="1855" spans="1:24" x14ac:dyDescent="0.25">
      <c r="A1855">
        <v>2011</v>
      </c>
      <c r="B1855">
        <v>9</v>
      </c>
      <c r="C1855" t="s">
        <v>27</v>
      </c>
      <c r="D1855" t="str">
        <f>_xlfn.XLOOKUP(C1855,'Carrier Name Rename'!A:A,'Carrier Name Rename'!B:B)</f>
        <v>SkyWest Airlines Inc.</v>
      </c>
      <c r="E1855" t="s">
        <v>23</v>
      </c>
      <c r="F1855" t="s">
        <v>24</v>
      </c>
      <c r="G1855">
        <v>600</v>
      </c>
      <c r="H1855">
        <v>40</v>
      </c>
      <c r="I1855">
        <v>15.6</v>
      </c>
      <c r="J1855">
        <v>0</v>
      </c>
      <c r="K1855">
        <v>6.7</v>
      </c>
      <c r="L1855">
        <v>0</v>
      </c>
      <c r="M1855">
        <v>17.7</v>
      </c>
      <c r="N1855">
        <v>2</v>
      </c>
      <c r="O1855">
        <v>0</v>
      </c>
      <c r="P1855">
        <v>1708</v>
      </c>
      <c r="Q1855">
        <v>568</v>
      </c>
      <c r="R1855">
        <v>0</v>
      </c>
      <c r="S1855">
        <v>165</v>
      </c>
      <c r="T1855">
        <v>0</v>
      </c>
      <c r="U1855">
        <v>975</v>
      </c>
      <c r="V1855" s="1">
        <f t="shared" si="84"/>
        <v>6.6699999999999995E-2</v>
      </c>
      <c r="W1855" s="1">
        <f t="shared" si="85"/>
        <v>3.3E-3</v>
      </c>
      <c r="X1855" s="1">
        <f t="shared" si="86"/>
        <v>0</v>
      </c>
    </row>
    <row r="1856" spans="1:24" x14ac:dyDescent="0.25">
      <c r="A1856">
        <v>2011</v>
      </c>
      <c r="B1856">
        <v>9</v>
      </c>
      <c r="C1856" t="s">
        <v>41</v>
      </c>
      <c r="D1856" t="str">
        <f>_xlfn.XLOOKUP(C1856,'Carrier Name Rename'!A:A,'Carrier Name Rename'!B:B)</f>
        <v>United Air Lines Inc.</v>
      </c>
      <c r="E1856" t="s">
        <v>23</v>
      </c>
      <c r="F1856" t="s">
        <v>24</v>
      </c>
      <c r="G1856">
        <v>539</v>
      </c>
      <c r="H1856">
        <v>59</v>
      </c>
      <c r="I1856">
        <v>19.43</v>
      </c>
      <c r="J1856">
        <v>1.92</v>
      </c>
      <c r="K1856">
        <v>15.78</v>
      </c>
      <c r="L1856">
        <v>0</v>
      </c>
      <c r="M1856">
        <v>21.87</v>
      </c>
      <c r="N1856">
        <v>0</v>
      </c>
      <c r="O1856">
        <v>1</v>
      </c>
      <c r="P1856">
        <v>3151</v>
      </c>
      <c r="Q1856">
        <v>883</v>
      </c>
      <c r="R1856">
        <v>55</v>
      </c>
      <c r="S1856">
        <v>644</v>
      </c>
      <c r="T1856">
        <v>0</v>
      </c>
      <c r="U1856">
        <v>1569</v>
      </c>
      <c r="V1856" s="1">
        <f t="shared" si="84"/>
        <v>0.1095</v>
      </c>
      <c r="W1856" s="1">
        <f t="shared" si="85"/>
        <v>0</v>
      </c>
      <c r="X1856" s="1">
        <f t="shared" si="86"/>
        <v>1.9E-3</v>
      </c>
    </row>
    <row r="1857" spans="1:24" x14ac:dyDescent="0.25">
      <c r="A1857">
        <v>2011</v>
      </c>
      <c r="B1857">
        <v>9</v>
      </c>
      <c r="C1857" t="s">
        <v>61</v>
      </c>
      <c r="D1857" t="str">
        <f>_xlfn.XLOOKUP(C1857,'Carrier Name Rename'!A:A,'Carrier Name Rename'!B:B)</f>
        <v>US Airways Inc.</v>
      </c>
      <c r="E1857" t="s">
        <v>23</v>
      </c>
      <c r="F1857" t="s">
        <v>24</v>
      </c>
      <c r="G1857">
        <v>311</v>
      </c>
      <c r="H1857">
        <v>36</v>
      </c>
      <c r="I1857">
        <v>13.6</v>
      </c>
      <c r="J1857">
        <v>0</v>
      </c>
      <c r="K1857">
        <v>13.77</v>
      </c>
      <c r="L1857">
        <v>0.19</v>
      </c>
      <c r="M1857">
        <v>8.4499999999999993</v>
      </c>
      <c r="N1857">
        <v>0</v>
      </c>
      <c r="O1857">
        <v>0</v>
      </c>
      <c r="P1857">
        <v>1630</v>
      </c>
      <c r="Q1857">
        <v>782</v>
      </c>
      <c r="R1857">
        <v>0</v>
      </c>
      <c r="S1857">
        <v>432</v>
      </c>
      <c r="T1857">
        <v>3</v>
      </c>
      <c r="U1857">
        <v>413</v>
      </c>
      <c r="V1857" s="1">
        <f t="shared" si="84"/>
        <v>0.1158</v>
      </c>
      <c r="W1857" s="1">
        <f t="shared" si="85"/>
        <v>0</v>
      </c>
      <c r="X1857" s="1">
        <f t="shared" si="86"/>
        <v>0</v>
      </c>
    </row>
    <row r="1858" spans="1:24" x14ac:dyDescent="0.25">
      <c r="A1858">
        <v>2011</v>
      </c>
      <c r="B1858">
        <v>9</v>
      </c>
      <c r="C1858" t="s">
        <v>43</v>
      </c>
      <c r="D1858" t="str">
        <f>_xlfn.XLOOKUP(C1858,'Carrier Name Rename'!A:A,'Carrier Name Rename'!B:B)</f>
        <v>Southwest Airlines Co.</v>
      </c>
      <c r="E1858" t="s">
        <v>23</v>
      </c>
      <c r="F1858" t="s">
        <v>24</v>
      </c>
      <c r="G1858">
        <v>1238</v>
      </c>
      <c r="H1858">
        <v>122</v>
      </c>
      <c r="I1858">
        <v>41.13</v>
      </c>
      <c r="J1858">
        <v>0.15</v>
      </c>
      <c r="K1858">
        <v>8.51</v>
      </c>
      <c r="L1858">
        <v>1.59</v>
      </c>
      <c r="M1858">
        <v>70.61</v>
      </c>
      <c r="N1858">
        <v>8</v>
      </c>
      <c r="O1858">
        <v>1</v>
      </c>
      <c r="P1858">
        <v>5720</v>
      </c>
      <c r="Q1858">
        <v>1776</v>
      </c>
      <c r="R1858">
        <v>4</v>
      </c>
      <c r="S1858">
        <v>245</v>
      </c>
      <c r="T1858">
        <v>66</v>
      </c>
      <c r="U1858">
        <v>3629</v>
      </c>
      <c r="V1858" s="1">
        <f t="shared" si="84"/>
        <v>9.8500000000000004E-2</v>
      </c>
      <c r="W1858" s="1">
        <f t="shared" si="85"/>
        <v>6.4999999999999997E-3</v>
      </c>
      <c r="X1858" s="1">
        <f t="shared" si="86"/>
        <v>8.0000000000000004E-4</v>
      </c>
    </row>
    <row r="1859" spans="1:24" x14ac:dyDescent="0.25">
      <c r="A1859">
        <v>2011</v>
      </c>
      <c r="B1859">
        <v>8</v>
      </c>
      <c r="C1859" t="s">
        <v>31</v>
      </c>
      <c r="D1859" t="str">
        <f>_xlfn.XLOOKUP(C1859,'Carrier Name Rename'!A:A,'Carrier Name Rename'!B:B)</f>
        <v>American Airlines Inc.</v>
      </c>
      <c r="E1859" t="s">
        <v>23</v>
      </c>
      <c r="F1859" t="s">
        <v>24</v>
      </c>
      <c r="G1859">
        <v>470</v>
      </c>
      <c r="H1859">
        <v>107</v>
      </c>
      <c r="I1859">
        <v>50.39</v>
      </c>
      <c r="J1859">
        <v>5.69</v>
      </c>
      <c r="K1859">
        <v>24.11</v>
      </c>
      <c r="L1859">
        <v>0</v>
      </c>
      <c r="M1859">
        <v>26.81</v>
      </c>
      <c r="N1859">
        <v>5</v>
      </c>
      <c r="O1859">
        <v>0</v>
      </c>
      <c r="P1859">
        <v>6009</v>
      </c>
      <c r="Q1859">
        <v>2275</v>
      </c>
      <c r="R1859">
        <v>644</v>
      </c>
      <c r="S1859">
        <v>1143</v>
      </c>
      <c r="T1859">
        <v>0</v>
      </c>
      <c r="U1859">
        <v>1947</v>
      </c>
      <c r="V1859" s="1">
        <f t="shared" ref="V1859:V1922" si="87">ROUND(H1859/G1859,4)</f>
        <v>0.22770000000000001</v>
      </c>
      <c r="W1859" s="1">
        <f t="shared" ref="W1859:W1922" si="88">ROUND(N1859/G1859,4)</f>
        <v>1.06E-2</v>
      </c>
      <c r="X1859" s="1">
        <f t="shared" ref="X1859:X1922" si="89">ROUND(O1859/G1859,4)</f>
        <v>0</v>
      </c>
    </row>
    <row r="1860" spans="1:24" x14ac:dyDescent="0.25">
      <c r="A1860">
        <v>2011</v>
      </c>
      <c r="B1860">
        <v>8</v>
      </c>
      <c r="C1860" t="s">
        <v>33</v>
      </c>
      <c r="D1860" t="str">
        <f>_xlfn.XLOOKUP(C1860,'Carrier Name Rename'!A:A,'Carrier Name Rename'!B:B)</f>
        <v>Alaska Airlines Inc.</v>
      </c>
      <c r="E1860" t="s">
        <v>23</v>
      </c>
      <c r="F1860" t="s">
        <v>24</v>
      </c>
      <c r="G1860">
        <v>4169</v>
      </c>
      <c r="H1860">
        <v>290</v>
      </c>
      <c r="I1860">
        <v>103.21</v>
      </c>
      <c r="J1860">
        <v>6.61</v>
      </c>
      <c r="K1860">
        <v>58.74</v>
      </c>
      <c r="L1860">
        <v>1.47</v>
      </c>
      <c r="M1860">
        <v>119.97</v>
      </c>
      <c r="N1860">
        <v>24</v>
      </c>
      <c r="O1860">
        <v>2</v>
      </c>
      <c r="P1860">
        <v>16014</v>
      </c>
      <c r="Q1860">
        <v>7251</v>
      </c>
      <c r="R1860">
        <v>300</v>
      </c>
      <c r="S1860">
        <v>1753</v>
      </c>
      <c r="T1860">
        <v>27</v>
      </c>
      <c r="U1860">
        <v>6683</v>
      </c>
      <c r="V1860" s="1">
        <f t="shared" si="87"/>
        <v>6.9599999999999995E-2</v>
      </c>
      <c r="W1860" s="1">
        <f t="shared" si="88"/>
        <v>5.7999999999999996E-3</v>
      </c>
      <c r="X1860" s="1">
        <f t="shared" si="89"/>
        <v>5.0000000000000001E-4</v>
      </c>
    </row>
    <row r="1861" spans="1:24" x14ac:dyDescent="0.25">
      <c r="A1861">
        <v>2011</v>
      </c>
      <c r="B1861">
        <v>8</v>
      </c>
      <c r="C1861" t="s">
        <v>35</v>
      </c>
      <c r="D1861" t="str">
        <f>_xlfn.XLOOKUP(C1861,'Carrier Name Rename'!A:A,'Carrier Name Rename'!B:B)</f>
        <v>JetBlue Airways</v>
      </c>
      <c r="E1861" t="s">
        <v>23</v>
      </c>
      <c r="F1861" t="s">
        <v>24</v>
      </c>
      <c r="G1861">
        <v>217</v>
      </c>
      <c r="H1861">
        <v>56</v>
      </c>
      <c r="I1861">
        <v>22.87</v>
      </c>
      <c r="J1861">
        <v>1.23</v>
      </c>
      <c r="K1861">
        <v>10.45</v>
      </c>
      <c r="L1861">
        <v>0.82</v>
      </c>
      <c r="M1861">
        <v>20.62</v>
      </c>
      <c r="N1861">
        <v>8</v>
      </c>
      <c r="O1861">
        <v>0</v>
      </c>
      <c r="P1861">
        <v>3527</v>
      </c>
      <c r="Q1861">
        <v>1305</v>
      </c>
      <c r="R1861">
        <v>153</v>
      </c>
      <c r="S1861">
        <v>590</v>
      </c>
      <c r="T1861">
        <v>14</v>
      </c>
      <c r="U1861">
        <v>1465</v>
      </c>
      <c r="V1861" s="1">
        <f t="shared" si="87"/>
        <v>0.2581</v>
      </c>
      <c r="W1861" s="1">
        <f t="shared" si="88"/>
        <v>3.6900000000000002E-2</v>
      </c>
      <c r="X1861" s="1">
        <f t="shared" si="89"/>
        <v>0</v>
      </c>
    </row>
    <row r="1862" spans="1:24" x14ac:dyDescent="0.25">
      <c r="A1862">
        <v>2011</v>
      </c>
      <c r="B1862">
        <v>8</v>
      </c>
      <c r="C1862" t="s">
        <v>65</v>
      </c>
      <c r="D1862" t="str">
        <f>_xlfn.XLOOKUP(C1862,'Carrier Name Rename'!A:A,'Carrier Name Rename'!B:B)</f>
        <v>Continental Air Lines Inc.</v>
      </c>
      <c r="E1862" t="s">
        <v>23</v>
      </c>
      <c r="F1862" t="s">
        <v>24</v>
      </c>
      <c r="G1862">
        <v>488</v>
      </c>
      <c r="H1862">
        <v>115</v>
      </c>
      <c r="I1862">
        <v>49.64</v>
      </c>
      <c r="J1862">
        <v>4.1900000000000004</v>
      </c>
      <c r="K1862">
        <v>45.18</v>
      </c>
      <c r="L1862">
        <v>0.56999999999999995</v>
      </c>
      <c r="M1862">
        <v>15.42</v>
      </c>
      <c r="N1862">
        <v>9</v>
      </c>
      <c r="O1862">
        <v>0</v>
      </c>
      <c r="P1862">
        <v>5377</v>
      </c>
      <c r="Q1862">
        <v>1937</v>
      </c>
      <c r="R1862">
        <v>244</v>
      </c>
      <c r="S1862">
        <v>1593</v>
      </c>
      <c r="T1862">
        <v>12</v>
      </c>
      <c r="U1862">
        <v>1591</v>
      </c>
      <c r="V1862" s="1">
        <f t="shared" si="87"/>
        <v>0.23569999999999999</v>
      </c>
      <c r="W1862" s="1">
        <f t="shared" si="88"/>
        <v>1.84E-2</v>
      </c>
      <c r="X1862" s="1">
        <f t="shared" si="89"/>
        <v>0</v>
      </c>
    </row>
    <row r="1863" spans="1:24" x14ac:dyDescent="0.25">
      <c r="A1863">
        <v>2011</v>
      </c>
      <c r="B1863">
        <v>8</v>
      </c>
      <c r="C1863" t="s">
        <v>37</v>
      </c>
      <c r="D1863" t="str">
        <f>_xlfn.XLOOKUP(C1863,'Carrier Name Rename'!A:A,'Carrier Name Rename'!B:B)</f>
        <v>Delta Air Lines Inc.</v>
      </c>
      <c r="E1863" t="s">
        <v>23</v>
      </c>
      <c r="F1863" t="s">
        <v>24</v>
      </c>
      <c r="G1863">
        <v>920</v>
      </c>
      <c r="H1863">
        <v>117</v>
      </c>
      <c r="I1863">
        <v>55.24</v>
      </c>
      <c r="J1863">
        <v>6.59</v>
      </c>
      <c r="K1863">
        <v>28.19</v>
      </c>
      <c r="L1863">
        <v>0</v>
      </c>
      <c r="M1863">
        <v>26.99</v>
      </c>
      <c r="N1863">
        <v>9</v>
      </c>
      <c r="O1863">
        <v>0</v>
      </c>
      <c r="P1863">
        <v>7403</v>
      </c>
      <c r="Q1863">
        <v>3776</v>
      </c>
      <c r="R1863">
        <v>628</v>
      </c>
      <c r="S1863">
        <v>1247</v>
      </c>
      <c r="T1863">
        <v>0</v>
      </c>
      <c r="U1863">
        <v>1752</v>
      </c>
      <c r="V1863" s="1">
        <f t="shared" si="87"/>
        <v>0.12720000000000001</v>
      </c>
      <c r="W1863" s="1">
        <f t="shared" si="88"/>
        <v>9.7999999999999997E-3</v>
      </c>
      <c r="X1863" s="1">
        <f t="shared" si="89"/>
        <v>0</v>
      </c>
    </row>
    <row r="1864" spans="1:24" x14ac:dyDescent="0.25">
      <c r="A1864">
        <v>2011</v>
      </c>
      <c r="B1864">
        <v>8</v>
      </c>
      <c r="C1864" t="s">
        <v>39</v>
      </c>
      <c r="D1864" t="str">
        <f>_xlfn.XLOOKUP(C1864,'Carrier Name Rename'!A:A,'Carrier Name Rename'!B:B)</f>
        <v>Frontier Airlines Inc.</v>
      </c>
      <c r="E1864" t="s">
        <v>23</v>
      </c>
      <c r="F1864" t="s">
        <v>24</v>
      </c>
      <c r="G1864">
        <v>167</v>
      </c>
      <c r="H1864">
        <v>26</v>
      </c>
      <c r="I1864">
        <v>9.49</v>
      </c>
      <c r="J1864">
        <v>0</v>
      </c>
      <c r="K1864">
        <v>7.3</v>
      </c>
      <c r="L1864">
        <v>0</v>
      </c>
      <c r="M1864">
        <v>9.2100000000000009</v>
      </c>
      <c r="N1864">
        <v>0</v>
      </c>
      <c r="O1864">
        <v>0</v>
      </c>
      <c r="P1864">
        <v>809</v>
      </c>
      <c r="Q1864">
        <v>298</v>
      </c>
      <c r="R1864">
        <v>0</v>
      </c>
      <c r="S1864">
        <v>179</v>
      </c>
      <c r="T1864">
        <v>0</v>
      </c>
      <c r="U1864">
        <v>332</v>
      </c>
      <c r="V1864" s="1">
        <f t="shared" si="87"/>
        <v>0.15570000000000001</v>
      </c>
      <c r="W1864" s="1">
        <f t="shared" si="88"/>
        <v>0</v>
      </c>
      <c r="X1864" s="1">
        <f t="shared" si="89"/>
        <v>0</v>
      </c>
    </row>
    <row r="1865" spans="1:24" x14ac:dyDescent="0.25">
      <c r="A1865">
        <v>2011</v>
      </c>
      <c r="B1865">
        <v>8</v>
      </c>
      <c r="C1865" t="s">
        <v>63</v>
      </c>
      <c r="D1865" t="str">
        <f>_xlfn.XLOOKUP(C1865,'Carrier Name Rename'!A:A,'Carrier Name Rename'!B:B)</f>
        <v>AirTran Airways Corporation</v>
      </c>
      <c r="E1865" t="s">
        <v>23</v>
      </c>
      <c r="F1865" t="s">
        <v>24</v>
      </c>
      <c r="G1865">
        <v>233</v>
      </c>
      <c r="H1865">
        <v>21</v>
      </c>
      <c r="I1865">
        <v>5.98</v>
      </c>
      <c r="J1865">
        <v>1</v>
      </c>
      <c r="K1865">
        <v>5.71</v>
      </c>
      <c r="L1865">
        <v>0</v>
      </c>
      <c r="M1865">
        <v>8.31</v>
      </c>
      <c r="N1865">
        <v>3</v>
      </c>
      <c r="O1865">
        <v>0</v>
      </c>
      <c r="P1865">
        <v>977</v>
      </c>
      <c r="Q1865">
        <v>253</v>
      </c>
      <c r="R1865">
        <v>48</v>
      </c>
      <c r="S1865">
        <v>165</v>
      </c>
      <c r="T1865">
        <v>0</v>
      </c>
      <c r="U1865">
        <v>511</v>
      </c>
      <c r="V1865" s="1">
        <f t="shared" si="87"/>
        <v>9.01E-2</v>
      </c>
      <c r="W1865" s="1">
        <f t="shared" si="88"/>
        <v>1.29E-2</v>
      </c>
      <c r="X1865" s="1">
        <f t="shared" si="89"/>
        <v>0</v>
      </c>
    </row>
    <row r="1866" spans="1:24" x14ac:dyDescent="0.25">
      <c r="A1866">
        <v>2011</v>
      </c>
      <c r="B1866">
        <v>8</v>
      </c>
      <c r="C1866" t="s">
        <v>21</v>
      </c>
      <c r="D1866" t="str">
        <f>_xlfn.XLOOKUP(C1866,'Carrier Name Rename'!A:A,'Carrier Name Rename'!B:B)</f>
        <v>Hawaiian Airlines Inc.</v>
      </c>
      <c r="E1866" t="s">
        <v>23</v>
      </c>
      <c r="F1866" t="s">
        <v>24</v>
      </c>
      <c r="G1866">
        <v>73</v>
      </c>
      <c r="H1866">
        <v>8</v>
      </c>
      <c r="I1866">
        <v>6.93</v>
      </c>
      <c r="J1866">
        <v>0</v>
      </c>
      <c r="K1866">
        <v>0</v>
      </c>
      <c r="L1866">
        <v>0</v>
      </c>
      <c r="M1866">
        <v>1.07</v>
      </c>
      <c r="N1866">
        <v>0</v>
      </c>
      <c r="O1866">
        <v>1</v>
      </c>
      <c r="P1866">
        <v>213</v>
      </c>
      <c r="Q1866">
        <v>166</v>
      </c>
      <c r="R1866">
        <v>0</v>
      </c>
      <c r="S1866">
        <v>0</v>
      </c>
      <c r="T1866">
        <v>0</v>
      </c>
      <c r="U1866">
        <v>47</v>
      </c>
      <c r="V1866" s="1">
        <f t="shared" si="87"/>
        <v>0.1096</v>
      </c>
      <c r="W1866" s="1">
        <f t="shared" si="88"/>
        <v>0</v>
      </c>
      <c r="X1866" s="1">
        <f t="shared" si="89"/>
        <v>1.37E-2</v>
      </c>
    </row>
    <row r="1867" spans="1:24" x14ac:dyDescent="0.25">
      <c r="A1867">
        <v>2011</v>
      </c>
      <c r="B1867">
        <v>8</v>
      </c>
      <c r="C1867" t="s">
        <v>27</v>
      </c>
      <c r="D1867" t="str">
        <f>_xlfn.XLOOKUP(C1867,'Carrier Name Rename'!A:A,'Carrier Name Rename'!B:B)</f>
        <v>SkyWest Airlines Inc.</v>
      </c>
      <c r="E1867" t="s">
        <v>23</v>
      </c>
      <c r="F1867" t="s">
        <v>24</v>
      </c>
      <c r="G1867">
        <v>669</v>
      </c>
      <c r="H1867">
        <v>42</v>
      </c>
      <c r="I1867">
        <v>16.350000000000001</v>
      </c>
      <c r="J1867">
        <v>0</v>
      </c>
      <c r="K1867">
        <v>7.27</v>
      </c>
      <c r="L1867">
        <v>0</v>
      </c>
      <c r="M1867">
        <v>18.38</v>
      </c>
      <c r="N1867">
        <v>1</v>
      </c>
      <c r="O1867">
        <v>0</v>
      </c>
      <c r="P1867">
        <v>1147</v>
      </c>
      <c r="Q1867">
        <v>481</v>
      </c>
      <c r="R1867">
        <v>0</v>
      </c>
      <c r="S1867">
        <v>156</v>
      </c>
      <c r="T1867">
        <v>0</v>
      </c>
      <c r="U1867">
        <v>510</v>
      </c>
      <c r="V1867" s="1">
        <f t="shared" si="87"/>
        <v>6.2799999999999995E-2</v>
      </c>
      <c r="W1867" s="1">
        <f t="shared" si="88"/>
        <v>1.5E-3</v>
      </c>
      <c r="X1867" s="1">
        <f t="shared" si="89"/>
        <v>0</v>
      </c>
    </row>
    <row r="1868" spans="1:24" x14ac:dyDescent="0.25">
      <c r="A1868">
        <v>2011</v>
      </c>
      <c r="B1868">
        <v>8</v>
      </c>
      <c r="C1868" t="s">
        <v>41</v>
      </c>
      <c r="D1868" t="str">
        <f>_xlfn.XLOOKUP(C1868,'Carrier Name Rename'!A:A,'Carrier Name Rename'!B:B)</f>
        <v>United Air Lines Inc.</v>
      </c>
      <c r="E1868" t="s">
        <v>23</v>
      </c>
      <c r="F1868" t="s">
        <v>24</v>
      </c>
      <c r="G1868">
        <v>631</v>
      </c>
      <c r="H1868">
        <v>111</v>
      </c>
      <c r="I1868">
        <v>32.74</v>
      </c>
      <c r="J1868">
        <v>4.82</v>
      </c>
      <c r="K1868">
        <v>20.25</v>
      </c>
      <c r="L1868">
        <v>0</v>
      </c>
      <c r="M1868">
        <v>53.19</v>
      </c>
      <c r="N1868">
        <v>4</v>
      </c>
      <c r="O1868">
        <v>0</v>
      </c>
      <c r="P1868">
        <v>7263</v>
      </c>
      <c r="Q1868">
        <v>2283</v>
      </c>
      <c r="R1868">
        <v>530</v>
      </c>
      <c r="S1868">
        <v>968</v>
      </c>
      <c r="T1868">
        <v>0</v>
      </c>
      <c r="U1868">
        <v>3482</v>
      </c>
      <c r="V1868" s="1">
        <f t="shared" si="87"/>
        <v>0.1759</v>
      </c>
      <c r="W1868" s="1">
        <f t="shared" si="88"/>
        <v>6.3E-3</v>
      </c>
      <c r="X1868" s="1">
        <f t="shared" si="89"/>
        <v>0</v>
      </c>
    </row>
    <row r="1869" spans="1:24" x14ac:dyDescent="0.25">
      <c r="A1869">
        <v>2011</v>
      </c>
      <c r="B1869">
        <v>8</v>
      </c>
      <c r="C1869" t="s">
        <v>61</v>
      </c>
      <c r="D1869" t="str">
        <f>_xlfn.XLOOKUP(C1869,'Carrier Name Rename'!A:A,'Carrier Name Rename'!B:B)</f>
        <v>US Airways Inc.</v>
      </c>
      <c r="E1869" t="s">
        <v>23</v>
      </c>
      <c r="F1869" t="s">
        <v>24</v>
      </c>
      <c r="G1869">
        <v>372</v>
      </c>
      <c r="H1869">
        <v>56</v>
      </c>
      <c r="I1869">
        <v>23.53</v>
      </c>
      <c r="J1869">
        <v>6.36</v>
      </c>
      <c r="K1869">
        <v>19.05</v>
      </c>
      <c r="L1869">
        <v>0</v>
      </c>
      <c r="M1869">
        <v>7.06</v>
      </c>
      <c r="N1869">
        <v>6</v>
      </c>
      <c r="O1869">
        <v>0</v>
      </c>
      <c r="P1869">
        <v>3570</v>
      </c>
      <c r="Q1869">
        <v>1591</v>
      </c>
      <c r="R1869">
        <v>784</v>
      </c>
      <c r="S1869">
        <v>737</v>
      </c>
      <c r="T1869">
        <v>0</v>
      </c>
      <c r="U1869">
        <v>458</v>
      </c>
      <c r="V1869" s="1">
        <f t="shared" si="87"/>
        <v>0.15049999999999999</v>
      </c>
      <c r="W1869" s="1">
        <f t="shared" si="88"/>
        <v>1.61E-2</v>
      </c>
      <c r="X1869" s="1">
        <f t="shared" si="89"/>
        <v>0</v>
      </c>
    </row>
    <row r="1870" spans="1:24" x14ac:dyDescent="0.25">
      <c r="A1870">
        <v>2011</v>
      </c>
      <c r="B1870">
        <v>8</v>
      </c>
      <c r="C1870" t="s">
        <v>43</v>
      </c>
      <c r="D1870" t="str">
        <f>_xlfn.XLOOKUP(C1870,'Carrier Name Rename'!A:A,'Carrier Name Rename'!B:B)</f>
        <v>Southwest Airlines Co.</v>
      </c>
      <c r="E1870" t="s">
        <v>23</v>
      </c>
      <c r="F1870" t="s">
        <v>24</v>
      </c>
      <c r="G1870">
        <v>1329</v>
      </c>
      <c r="H1870">
        <v>161</v>
      </c>
      <c r="I1870">
        <v>54.03</v>
      </c>
      <c r="J1870">
        <v>1.37</v>
      </c>
      <c r="K1870">
        <v>9.86</v>
      </c>
      <c r="L1870">
        <v>0</v>
      </c>
      <c r="M1870">
        <v>95.73</v>
      </c>
      <c r="N1870">
        <v>1</v>
      </c>
      <c r="O1870">
        <v>1</v>
      </c>
      <c r="P1870">
        <v>8033</v>
      </c>
      <c r="Q1870">
        <v>2859</v>
      </c>
      <c r="R1870">
        <v>37</v>
      </c>
      <c r="S1870">
        <v>261</v>
      </c>
      <c r="T1870">
        <v>0</v>
      </c>
      <c r="U1870">
        <v>4876</v>
      </c>
      <c r="V1870" s="1">
        <f t="shared" si="87"/>
        <v>0.1211</v>
      </c>
      <c r="W1870" s="1">
        <f t="shared" si="88"/>
        <v>8.0000000000000004E-4</v>
      </c>
      <c r="X1870" s="1">
        <f t="shared" si="89"/>
        <v>8.0000000000000004E-4</v>
      </c>
    </row>
    <row r="1871" spans="1:24" x14ac:dyDescent="0.25">
      <c r="A1871">
        <v>2011</v>
      </c>
      <c r="B1871">
        <v>7</v>
      </c>
      <c r="C1871" t="s">
        <v>31</v>
      </c>
      <c r="D1871" t="str">
        <f>_xlfn.XLOOKUP(C1871,'Carrier Name Rename'!A:A,'Carrier Name Rename'!B:B)</f>
        <v>American Airlines Inc.</v>
      </c>
      <c r="E1871" t="s">
        <v>23</v>
      </c>
      <c r="F1871" t="s">
        <v>24</v>
      </c>
      <c r="G1871">
        <v>494</v>
      </c>
      <c r="H1871">
        <v>120</v>
      </c>
      <c r="I1871">
        <v>59.86</v>
      </c>
      <c r="J1871">
        <v>6.06</v>
      </c>
      <c r="K1871">
        <v>20.65</v>
      </c>
      <c r="L1871">
        <v>0</v>
      </c>
      <c r="M1871">
        <v>33.43</v>
      </c>
      <c r="N1871">
        <v>4</v>
      </c>
      <c r="O1871">
        <v>1</v>
      </c>
      <c r="P1871">
        <v>6918</v>
      </c>
      <c r="Q1871">
        <v>3808</v>
      </c>
      <c r="R1871">
        <v>396</v>
      </c>
      <c r="S1871">
        <v>927</v>
      </c>
      <c r="T1871">
        <v>0</v>
      </c>
      <c r="U1871">
        <v>1787</v>
      </c>
      <c r="V1871" s="1">
        <f t="shared" si="87"/>
        <v>0.2429</v>
      </c>
      <c r="W1871" s="1">
        <f t="shared" si="88"/>
        <v>8.0999999999999996E-3</v>
      </c>
      <c r="X1871" s="1">
        <f t="shared" si="89"/>
        <v>2E-3</v>
      </c>
    </row>
    <row r="1872" spans="1:24" x14ac:dyDescent="0.25">
      <c r="A1872">
        <v>2011</v>
      </c>
      <c r="B1872">
        <v>7</v>
      </c>
      <c r="C1872" t="s">
        <v>33</v>
      </c>
      <c r="D1872" t="str">
        <f>_xlfn.XLOOKUP(C1872,'Carrier Name Rename'!A:A,'Carrier Name Rename'!B:B)</f>
        <v>Alaska Airlines Inc.</v>
      </c>
      <c r="E1872" t="s">
        <v>23</v>
      </c>
      <c r="F1872" t="s">
        <v>24</v>
      </c>
      <c r="G1872">
        <v>4168</v>
      </c>
      <c r="H1872">
        <v>304</v>
      </c>
      <c r="I1872">
        <v>108.09</v>
      </c>
      <c r="J1872">
        <v>5.93</v>
      </c>
      <c r="K1872">
        <v>48.75</v>
      </c>
      <c r="L1872">
        <v>1</v>
      </c>
      <c r="M1872">
        <v>140.22</v>
      </c>
      <c r="N1872">
        <v>10</v>
      </c>
      <c r="O1872">
        <v>2</v>
      </c>
      <c r="P1872">
        <v>17902</v>
      </c>
      <c r="Q1872">
        <v>8464</v>
      </c>
      <c r="R1872">
        <v>282</v>
      </c>
      <c r="S1872">
        <v>1610</v>
      </c>
      <c r="T1872">
        <v>20</v>
      </c>
      <c r="U1872">
        <v>7526</v>
      </c>
      <c r="V1872" s="1">
        <f t="shared" si="87"/>
        <v>7.2900000000000006E-2</v>
      </c>
      <c r="W1872" s="1">
        <f t="shared" si="88"/>
        <v>2.3999999999999998E-3</v>
      </c>
      <c r="X1872" s="1">
        <f t="shared" si="89"/>
        <v>5.0000000000000001E-4</v>
      </c>
    </row>
    <row r="1873" spans="1:24" x14ac:dyDescent="0.25">
      <c r="A1873">
        <v>2011</v>
      </c>
      <c r="B1873">
        <v>7</v>
      </c>
      <c r="C1873" t="s">
        <v>35</v>
      </c>
      <c r="D1873" t="str">
        <f>_xlfn.XLOOKUP(C1873,'Carrier Name Rename'!A:A,'Carrier Name Rename'!B:B)</f>
        <v>JetBlue Airways</v>
      </c>
      <c r="E1873" t="s">
        <v>23</v>
      </c>
      <c r="F1873" t="s">
        <v>24</v>
      </c>
      <c r="G1873">
        <v>216</v>
      </c>
      <c r="H1873">
        <v>50</v>
      </c>
      <c r="I1873">
        <v>19.84</v>
      </c>
      <c r="J1873">
        <v>0</v>
      </c>
      <c r="K1873">
        <v>14.27</v>
      </c>
      <c r="L1873">
        <v>0</v>
      </c>
      <c r="M1873">
        <v>15.89</v>
      </c>
      <c r="N1873">
        <v>0</v>
      </c>
      <c r="O1873">
        <v>0</v>
      </c>
      <c r="P1873">
        <v>2633</v>
      </c>
      <c r="Q1873">
        <v>1245</v>
      </c>
      <c r="R1873">
        <v>0</v>
      </c>
      <c r="S1873">
        <v>530</v>
      </c>
      <c r="T1873">
        <v>0</v>
      </c>
      <c r="U1873">
        <v>858</v>
      </c>
      <c r="V1873" s="1">
        <f t="shared" si="87"/>
        <v>0.23150000000000001</v>
      </c>
      <c r="W1873" s="1">
        <f t="shared" si="88"/>
        <v>0</v>
      </c>
      <c r="X1873" s="1">
        <f t="shared" si="89"/>
        <v>0</v>
      </c>
    </row>
    <row r="1874" spans="1:24" x14ac:dyDescent="0.25">
      <c r="A1874">
        <v>2011</v>
      </c>
      <c r="B1874">
        <v>7</v>
      </c>
      <c r="C1874" t="s">
        <v>65</v>
      </c>
      <c r="D1874" t="str">
        <f>_xlfn.XLOOKUP(C1874,'Carrier Name Rename'!A:A,'Carrier Name Rename'!B:B)</f>
        <v>Continental Air Lines Inc.</v>
      </c>
      <c r="E1874" t="s">
        <v>23</v>
      </c>
      <c r="F1874" t="s">
        <v>24</v>
      </c>
      <c r="G1874">
        <v>494</v>
      </c>
      <c r="H1874">
        <v>105</v>
      </c>
      <c r="I1874">
        <v>43.87</v>
      </c>
      <c r="J1874">
        <v>8.14</v>
      </c>
      <c r="K1874">
        <v>32.119999999999997</v>
      </c>
      <c r="L1874">
        <v>0.2</v>
      </c>
      <c r="M1874">
        <v>20.68</v>
      </c>
      <c r="N1874">
        <v>0</v>
      </c>
      <c r="O1874">
        <v>1</v>
      </c>
      <c r="P1874">
        <v>5085</v>
      </c>
      <c r="Q1874">
        <v>1614</v>
      </c>
      <c r="R1874">
        <v>334</v>
      </c>
      <c r="S1874">
        <v>1649</v>
      </c>
      <c r="T1874">
        <v>8</v>
      </c>
      <c r="U1874">
        <v>1480</v>
      </c>
      <c r="V1874" s="1">
        <f t="shared" si="87"/>
        <v>0.21260000000000001</v>
      </c>
      <c r="W1874" s="1">
        <f t="shared" si="88"/>
        <v>0</v>
      </c>
      <c r="X1874" s="1">
        <f t="shared" si="89"/>
        <v>2E-3</v>
      </c>
    </row>
    <row r="1875" spans="1:24" x14ac:dyDescent="0.25">
      <c r="A1875">
        <v>2011</v>
      </c>
      <c r="B1875">
        <v>7</v>
      </c>
      <c r="C1875" t="s">
        <v>37</v>
      </c>
      <c r="D1875" t="str">
        <f>_xlfn.XLOOKUP(C1875,'Carrier Name Rename'!A:A,'Carrier Name Rename'!B:B)</f>
        <v>Delta Air Lines Inc.</v>
      </c>
      <c r="E1875" t="s">
        <v>23</v>
      </c>
      <c r="F1875" t="s">
        <v>24</v>
      </c>
      <c r="G1875">
        <v>986</v>
      </c>
      <c r="H1875">
        <v>158</v>
      </c>
      <c r="I1875">
        <v>64.709999999999994</v>
      </c>
      <c r="J1875">
        <v>11.19</v>
      </c>
      <c r="K1875">
        <v>40.049999999999997</v>
      </c>
      <c r="L1875">
        <v>0</v>
      </c>
      <c r="M1875">
        <v>42.05</v>
      </c>
      <c r="N1875">
        <v>4</v>
      </c>
      <c r="O1875">
        <v>1</v>
      </c>
      <c r="P1875">
        <v>9885</v>
      </c>
      <c r="Q1875">
        <v>4213</v>
      </c>
      <c r="R1875">
        <v>671</v>
      </c>
      <c r="S1875">
        <v>1631</v>
      </c>
      <c r="T1875">
        <v>0</v>
      </c>
      <c r="U1875">
        <v>3370</v>
      </c>
      <c r="V1875" s="1">
        <f t="shared" si="87"/>
        <v>0.16020000000000001</v>
      </c>
      <c r="W1875" s="1">
        <f t="shared" si="88"/>
        <v>4.1000000000000003E-3</v>
      </c>
      <c r="X1875" s="1">
        <f t="shared" si="89"/>
        <v>1E-3</v>
      </c>
    </row>
    <row r="1876" spans="1:24" x14ac:dyDescent="0.25">
      <c r="A1876">
        <v>2011</v>
      </c>
      <c r="B1876">
        <v>7</v>
      </c>
      <c r="C1876" t="s">
        <v>39</v>
      </c>
      <c r="D1876" t="str">
        <f>_xlfn.XLOOKUP(C1876,'Carrier Name Rename'!A:A,'Carrier Name Rename'!B:B)</f>
        <v>Frontier Airlines Inc.</v>
      </c>
      <c r="E1876" t="s">
        <v>23</v>
      </c>
      <c r="F1876" t="s">
        <v>24</v>
      </c>
      <c r="G1876">
        <v>169</v>
      </c>
      <c r="H1876">
        <v>38</v>
      </c>
      <c r="I1876">
        <v>13.06</v>
      </c>
      <c r="J1876">
        <v>2.66</v>
      </c>
      <c r="K1876">
        <v>9.24</v>
      </c>
      <c r="L1876">
        <v>0</v>
      </c>
      <c r="M1876">
        <v>13.04</v>
      </c>
      <c r="N1876">
        <v>4</v>
      </c>
      <c r="O1876">
        <v>0</v>
      </c>
      <c r="P1876">
        <v>2846</v>
      </c>
      <c r="Q1876">
        <v>621</v>
      </c>
      <c r="R1876">
        <v>262</v>
      </c>
      <c r="S1876">
        <v>1004</v>
      </c>
      <c r="T1876">
        <v>0</v>
      </c>
      <c r="U1876">
        <v>959</v>
      </c>
      <c r="V1876" s="1">
        <f t="shared" si="87"/>
        <v>0.22489999999999999</v>
      </c>
      <c r="W1876" s="1">
        <f t="shared" si="88"/>
        <v>2.3699999999999999E-2</v>
      </c>
      <c r="X1876" s="1">
        <f t="shared" si="89"/>
        <v>0</v>
      </c>
    </row>
    <row r="1877" spans="1:24" x14ac:dyDescent="0.25">
      <c r="A1877">
        <v>2011</v>
      </c>
      <c r="B1877">
        <v>7</v>
      </c>
      <c r="C1877" t="s">
        <v>63</v>
      </c>
      <c r="D1877" t="str">
        <f>_xlfn.XLOOKUP(C1877,'Carrier Name Rename'!A:A,'Carrier Name Rename'!B:B)</f>
        <v>AirTran Airways Corporation</v>
      </c>
      <c r="E1877" t="s">
        <v>23</v>
      </c>
      <c r="F1877" t="s">
        <v>24</v>
      </c>
      <c r="G1877">
        <v>217</v>
      </c>
      <c r="H1877">
        <v>31</v>
      </c>
      <c r="I1877">
        <v>11.75</v>
      </c>
      <c r="J1877">
        <v>0</v>
      </c>
      <c r="K1877">
        <v>4.74</v>
      </c>
      <c r="L1877">
        <v>0</v>
      </c>
      <c r="M1877">
        <v>14.5</v>
      </c>
      <c r="N1877">
        <v>0</v>
      </c>
      <c r="O1877">
        <v>0</v>
      </c>
      <c r="P1877">
        <v>1301</v>
      </c>
      <c r="Q1877">
        <v>356</v>
      </c>
      <c r="R1877">
        <v>0</v>
      </c>
      <c r="S1877">
        <v>242</v>
      </c>
      <c r="T1877">
        <v>0</v>
      </c>
      <c r="U1877">
        <v>703</v>
      </c>
      <c r="V1877" s="1">
        <f t="shared" si="87"/>
        <v>0.1429</v>
      </c>
      <c r="W1877" s="1">
        <f t="shared" si="88"/>
        <v>0</v>
      </c>
      <c r="X1877" s="1">
        <f t="shared" si="89"/>
        <v>0</v>
      </c>
    </row>
    <row r="1878" spans="1:24" x14ac:dyDescent="0.25">
      <c r="A1878">
        <v>2011</v>
      </c>
      <c r="B1878">
        <v>7</v>
      </c>
      <c r="C1878" t="s">
        <v>21</v>
      </c>
      <c r="D1878" t="str">
        <f>_xlfn.XLOOKUP(C1878,'Carrier Name Rename'!A:A,'Carrier Name Rename'!B:B)</f>
        <v>Hawaiian Airlines Inc.</v>
      </c>
      <c r="E1878" t="s">
        <v>23</v>
      </c>
      <c r="F1878" t="s">
        <v>24</v>
      </c>
      <c r="G1878">
        <v>62</v>
      </c>
      <c r="H1878">
        <v>10</v>
      </c>
      <c r="I1878">
        <v>8.09</v>
      </c>
      <c r="J1878">
        <v>0</v>
      </c>
      <c r="K1878">
        <v>0</v>
      </c>
      <c r="L1878">
        <v>0</v>
      </c>
      <c r="M1878">
        <v>1.91</v>
      </c>
      <c r="N1878">
        <v>0</v>
      </c>
      <c r="O1878">
        <v>0</v>
      </c>
      <c r="P1878">
        <v>632</v>
      </c>
      <c r="Q1878">
        <v>455</v>
      </c>
      <c r="R1878">
        <v>0</v>
      </c>
      <c r="S1878">
        <v>0</v>
      </c>
      <c r="T1878">
        <v>0</v>
      </c>
      <c r="U1878">
        <v>177</v>
      </c>
      <c r="V1878" s="1">
        <f t="shared" si="87"/>
        <v>0.1613</v>
      </c>
      <c r="W1878" s="1">
        <f t="shared" si="88"/>
        <v>0</v>
      </c>
      <c r="X1878" s="1">
        <f t="shared" si="89"/>
        <v>0</v>
      </c>
    </row>
    <row r="1879" spans="1:24" x14ac:dyDescent="0.25">
      <c r="A1879">
        <v>2011</v>
      </c>
      <c r="B1879">
        <v>7</v>
      </c>
      <c r="C1879" t="s">
        <v>27</v>
      </c>
      <c r="D1879" t="str">
        <f>_xlfn.XLOOKUP(C1879,'Carrier Name Rename'!A:A,'Carrier Name Rename'!B:B)</f>
        <v>SkyWest Airlines Inc.</v>
      </c>
      <c r="E1879" t="s">
        <v>23</v>
      </c>
      <c r="F1879" t="s">
        <v>24</v>
      </c>
      <c r="G1879">
        <v>656</v>
      </c>
      <c r="H1879">
        <v>56</v>
      </c>
      <c r="I1879">
        <v>21.94</v>
      </c>
      <c r="J1879">
        <v>0</v>
      </c>
      <c r="K1879">
        <v>12.39</v>
      </c>
      <c r="L1879">
        <v>0</v>
      </c>
      <c r="M1879">
        <v>21.68</v>
      </c>
      <c r="N1879">
        <v>3</v>
      </c>
      <c r="O1879">
        <v>0</v>
      </c>
      <c r="P1879">
        <v>2169</v>
      </c>
      <c r="Q1879">
        <v>1034</v>
      </c>
      <c r="R1879">
        <v>0</v>
      </c>
      <c r="S1879">
        <v>311</v>
      </c>
      <c r="T1879">
        <v>0</v>
      </c>
      <c r="U1879">
        <v>824</v>
      </c>
      <c r="V1879" s="1">
        <f t="shared" si="87"/>
        <v>8.5400000000000004E-2</v>
      </c>
      <c r="W1879" s="1">
        <f t="shared" si="88"/>
        <v>4.5999999999999999E-3</v>
      </c>
      <c r="X1879" s="1">
        <f t="shared" si="89"/>
        <v>0</v>
      </c>
    </row>
    <row r="1880" spans="1:24" x14ac:dyDescent="0.25">
      <c r="A1880">
        <v>2011</v>
      </c>
      <c r="B1880">
        <v>7</v>
      </c>
      <c r="C1880" t="s">
        <v>41</v>
      </c>
      <c r="D1880" t="str">
        <f>_xlfn.XLOOKUP(C1880,'Carrier Name Rename'!A:A,'Carrier Name Rename'!B:B)</f>
        <v>United Air Lines Inc.</v>
      </c>
      <c r="E1880" t="s">
        <v>23</v>
      </c>
      <c r="F1880" t="s">
        <v>24</v>
      </c>
      <c r="G1880">
        <v>626</v>
      </c>
      <c r="H1880">
        <v>155</v>
      </c>
      <c r="I1880">
        <v>49.06</v>
      </c>
      <c r="J1880">
        <v>4.25</v>
      </c>
      <c r="K1880">
        <v>17.649999999999999</v>
      </c>
      <c r="L1880">
        <v>0</v>
      </c>
      <c r="M1880">
        <v>84.04</v>
      </c>
      <c r="N1880">
        <v>14</v>
      </c>
      <c r="O1880">
        <v>0</v>
      </c>
      <c r="P1880">
        <v>10966</v>
      </c>
      <c r="Q1880">
        <v>3378</v>
      </c>
      <c r="R1880">
        <v>409</v>
      </c>
      <c r="S1880">
        <v>710</v>
      </c>
      <c r="T1880">
        <v>0</v>
      </c>
      <c r="U1880">
        <v>6469</v>
      </c>
      <c r="V1880" s="1">
        <f t="shared" si="87"/>
        <v>0.24759999999999999</v>
      </c>
      <c r="W1880" s="1">
        <f t="shared" si="88"/>
        <v>2.24E-2</v>
      </c>
      <c r="X1880" s="1">
        <f t="shared" si="89"/>
        <v>0</v>
      </c>
    </row>
    <row r="1881" spans="1:24" x14ac:dyDescent="0.25">
      <c r="A1881">
        <v>2011</v>
      </c>
      <c r="B1881">
        <v>7</v>
      </c>
      <c r="C1881" t="s">
        <v>61</v>
      </c>
      <c r="D1881" t="str">
        <f>_xlfn.XLOOKUP(C1881,'Carrier Name Rename'!A:A,'Carrier Name Rename'!B:B)</f>
        <v>US Airways Inc.</v>
      </c>
      <c r="E1881" t="s">
        <v>23</v>
      </c>
      <c r="F1881" t="s">
        <v>24</v>
      </c>
      <c r="G1881">
        <v>387</v>
      </c>
      <c r="H1881">
        <v>67</v>
      </c>
      <c r="I1881">
        <v>34.33</v>
      </c>
      <c r="J1881">
        <v>4.46</v>
      </c>
      <c r="K1881">
        <v>17.34</v>
      </c>
      <c r="L1881">
        <v>0.5</v>
      </c>
      <c r="M1881">
        <v>10.37</v>
      </c>
      <c r="N1881">
        <v>1</v>
      </c>
      <c r="O1881">
        <v>0</v>
      </c>
      <c r="P1881">
        <v>3497</v>
      </c>
      <c r="Q1881">
        <v>2037</v>
      </c>
      <c r="R1881">
        <v>217</v>
      </c>
      <c r="S1881">
        <v>648</v>
      </c>
      <c r="T1881">
        <v>22</v>
      </c>
      <c r="U1881">
        <v>573</v>
      </c>
      <c r="V1881" s="1">
        <f t="shared" si="87"/>
        <v>0.1731</v>
      </c>
      <c r="W1881" s="1">
        <f t="shared" si="88"/>
        <v>2.5999999999999999E-3</v>
      </c>
      <c r="X1881" s="1">
        <f t="shared" si="89"/>
        <v>0</v>
      </c>
    </row>
    <row r="1882" spans="1:24" x14ac:dyDescent="0.25">
      <c r="A1882">
        <v>2011</v>
      </c>
      <c r="B1882">
        <v>7</v>
      </c>
      <c r="C1882" t="s">
        <v>43</v>
      </c>
      <c r="D1882" t="str">
        <f>_xlfn.XLOOKUP(C1882,'Carrier Name Rename'!A:A,'Carrier Name Rename'!B:B)</f>
        <v>Southwest Airlines Co.</v>
      </c>
      <c r="E1882" t="s">
        <v>23</v>
      </c>
      <c r="F1882" t="s">
        <v>24</v>
      </c>
      <c r="G1882">
        <v>1350</v>
      </c>
      <c r="H1882">
        <v>165</v>
      </c>
      <c r="I1882">
        <v>56.26</v>
      </c>
      <c r="J1882">
        <v>3.43</v>
      </c>
      <c r="K1882">
        <v>7.51</v>
      </c>
      <c r="L1882">
        <v>0</v>
      </c>
      <c r="M1882">
        <v>97.79</v>
      </c>
      <c r="N1882">
        <v>0</v>
      </c>
      <c r="O1882">
        <v>0</v>
      </c>
      <c r="P1882">
        <v>9111</v>
      </c>
      <c r="Q1882">
        <v>2487</v>
      </c>
      <c r="R1882">
        <v>292</v>
      </c>
      <c r="S1882">
        <v>310</v>
      </c>
      <c r="T1882">
        <v>0</v>
      </c>
      <c r="U1882">
        <v>6022</v>
      </c>
      <c r="V1882" s="1">
        <f t="shared" si="87"/>
        <v>0.1222</v>
      </c>
      <c r="W1882" s="1">
        <f t="shared" si="88"/>
        <v>0</v>
      </c>
      <c r="X1882" s="1">
        <f t="shared" si="89"/>
        <v>0</v>
      </c>
    </row>
    <row r="1883" spans="1:24" x14ac:dyDescent="0.25">
      <c r="A1883">
        <v>2011</v>
      </c>
      <c r="B1883">
        <v>6</v>
      </c>
      <c r="C1883" t="s">
        <v>31</v>
      </c>
      <c r="D1883" t="str">
        <f>_xlfn.XLOOKUP(C1883,'Carrier Name Rename'!A:A,'Carrier Name Rename'!B:B)</f>
        <v>American Airlines Inc.</v>
      </c>
      <c r="E1883" t="s">
        <v>23</v>
      </c>
      <c r="F1883" t="s">
        <v>24</v>
      </c>
      <c r="G1883">
        <v>462</v>
      </c>
      <c r="H1883">
        <v>108</v>
      </c>
      <c r="I1883">
        <v>51.47</v>
      </c>
      <c r="J1883">
        <v>7.3</v>
      </c>
      <c r="K1883">
        <v>24.68</v>
      </c>
      <c r="L1883">
        <v>0</v>
      </c>
      <c r="M1883">
        <v>24.56</v>
      </c>
      <c r="N1883">
        <v>5</v>
      </c>
      <c r="O1883">
        <v>0</v>
      </c>
      <c r="P1883">
        <v>5775</v>
      </c>
      <c r="Q1883">
        <v>2401</v>
      </c>
      <c r="R1883">
        <v>757</v>
      </c>
      <c r="S1883">
        <v>732</v>
      </c>
      <c r="T1883">
        <v>0</v>
      </c>
      <c r="U1883">
        <v>1885</v>
      </c>
      <c r="V1883" s="1">
        <f t="shared" si="87"/>
        <v>0.23380000000000001</v>
      </c>
      <c r="W1883" s="1">
        <f t="shared" si="88"/>
        <v>1.0800000000000001E-2</v>
      </c>
      <c r="X1883" s="1">
        <f t="shared" si="89"/>
        <v>0</v>
      </c>
    </row>
    <row r="1884" spans="1:24" x14ac:dyDescent="0.25">
      <c r="A1884">
        <v>2011</v>
      </c>
      <c r="B1884">
        <v>6</v>
      </c>
      <c r="C1884" t="s">
        <v>33</v>
      </c>
      <c r="D1884" t="str">
        <f>_xlfn.XLOOKUP(C1884,'Carrier Name Rename'!A:A,'Carrier Name Rename'!B:B)</f>
        <v>Alaska Airlines Inc.</v>
      </c>
      <c r="E1884" t="s">
        <v>23</v>
      </c>
      <c r="F1884" t="s">
        <v>24</v>
      </c>
      <c r="G1884">
        <v>4025</v>
      </c>
      <c r="H1884">
        <v>301</v>
      </c>
      <c r="I1884">
        <v>71.97</v>
      </c>
      <c r="J1884">
        <v>7.68</v>
      </c>
      <c r="K1884">
        <v>114.53</v>
      </c>
      <c r="L1884">
        <v>1.1200000000000001</v>
      </c>
      <c r="M1884">
        <v>105.7</v>
      </c>
      <c r="N1884">
        <v>9</v>
      </c>
      <c r="O1884">
        <v>9</v>
      </c>
      <c r="P1884">
        <v>15029</v>
      </c>
      <c r="Q1884">
        <v>4669</v>
      </c>
      <c r="R1884">
        <v>530</v>
      </c>
      <c r="S1884">
        <v>3197</v>
      </c>
      <c r="T1884">
        <v>64</v>
      </c>
      <c r="U1884">
        <v>6569</v>
      </c>
      <c r="V1884" s="1">
        <f t="shared" si="87"/>
        <v>7.4800000000000005E-2</v>
      </c>
      <c r="W1884" s="1">
        <f t="shared" si="88"/>
        <v>2.2000000000000001E-3</v>
      </c>
      <c r="X1884" s="1">
        <f t="shared" si="89"/>
        <v>2.2000000000000001E-3</v>
      </c>
    </row>
    <row r="1885" spans="1:24" x14ac:dyDescent="0.25">
      <c r="A1885">
        <v>2011</v>
      </c>
      <c r="B1885">
        <v>6</v>
      </c>
      <c r="C1885" t="s">
        <v>35</v>
      </c>
      <c r="D1885" t="str">
        <f>_xlfn.XLOOKUP(C1885,'Carrier Name Rename'!A:A,'Carrier Name Rename'!B:B)</f>
        <v>JetBlue Airways</v>
      </c>
      <c r="E1885" t="s">
        <v>23</v>
      </c>
      <c r="F1885" t="s">
        <v>24</v>
      </c>
      <c r="G1885">
        <v>201</v>
      </c>
      <c r="H1885">
        <v>41</v>
      </c>
      <c r="I1885">
        <v>19.579999999999998</v>
      </c>
      <c r="J1885">
        <v>0.61</v>
      </c>
      <c r="K1885">
        <v>10.02</v>
      </c>
      <c r="L1885">
        <v>0.39</v>
      </c>
      <c r="M1885">
        <v>10.4</v>
      </c>
      <c r="N1885">
        <v>0</v>
      </c>
      <c r="O1885">
        <v>0</v>
      </c>
      <c r="P1885">
        <v>1950</v>
      </c>
      <c r="Q1885">
        <v>972</v>
      </c>
      <c r="R1885">
        <v>57</v>
      </c>
      <c r="S1885">
        <v>464</v>
      </c>
      <c r="T1885">
        <v>12</v>
      </c>
      <c r="U1885">
        <v>445</v>
      </c>
      <c r="V1885" s="1">
        <f t="shared" si="87"/>
        <v>0.20399999999999999</v>
      </c>
      <c r="W1885" s="1">
        <f t="shared" si="88"/>
        <v>0</v>
      </c>
      <c r="X1885" s="1">
        <f t="shared" si="89"/>
        <v>0</v>
      </c>
    </row>
    <row r="1886" spans="1:24" x14ac:dyDescent="0.25">
      <c r="A1886">
        <v>2011</v>
      </c>
      <c r="B1886">
        <v>6</v>
      </c>
      <c r="C1886" t="s">
        <v>65</v>
      </c>
      <c r="D1886" t="str">
        <f>_xlfn.XLOOKUP(C1886,'Carrier Name Rename'!A:A,'Carrier Name Rename'!B:B)</f>
        <v>Continental Air Lines Inc.</v>
      </c>
      <c r="E1886" t="s">
        <v>23</v>
      </c>
      <c r="F1886" t="s">
        <v>24</v>
      </c>
      <c r="G1886">
        <v>459</v>
      </c>
      <c r="H1886">
        <v>122</v>
      </c>
      <c r="I1886">
        <v>44.95</v>
      </c>
      <c r="J1886">
        <v>6.32</v>
      </c>
      <c r="K1886">
        <v>51.77</v>
      </c>
      <c r="L1886">
        <v>2.0499999999999998</v>
      </c>
      <c r="M1886">
        <v>16.91</v>
      </c>
      <c r="N1886">
        <v>0</v>
      </c>
      <c r="O1886">
        <v>0</v>
      </c>
      <c r="P1886">
        <v>5319</v>
      </c>
      <c r="Q1886">
        <v>1888</v>
      </c>
      <c r="R1886">
        <v>355</v>
      </c>
      <c r="S1886">
        <v>1883</v>
      </c>
      <c r="T1886">
        <v>46</v>
      </c>
      <c r="U1886">
        <v>1147</v>
      </c>
      <c r="V1886" s="1">
        <f t="shared" si="87"/>
        <v>0.26579999999999998</v>
      </c>
      <c r="W1886" s="1">
        <f t="shared" si="88"/>
        <v>0</v>
      </c>
      <c r="X1886" s="1">
        <f t="shared" si="89"/>
        <v>0</v>
      </c>
    </row>
    <row r="1887" spans="1:24" x14ac:dyDescent="0.25">
      <c r="A1887">
        <v>2011</v>
      </c>
      <c r="B1887">
        <v>6</v>
      </c>
      <c r="C1887" t="s">
        <v>37</v>
      </c>
      <c r="D1887" t="str">
        <f>_xlfn.XLOOKUP(C1887,'Carrier Name Rename'!A:A,'Carrier Name Rename'!B:B)</f>
        <v>Delta Air Lines Inc.</v>
      </c>
      <c r="E1887" t="s">
        <v>23</v>
      </c>
      <c r="F1887" t="s">
        <v>24</v>
      </c>
      <c r="G1887">
        <v>896</v>
      </c>
      <c r="H1887">
        <v>146</v>
      </c>
      <c r="I1887">
        <v>52.05</v>
      </c>
      <c r="J1887">
        <v>7.4</v>
      </c>
      <c r="K1887">
        <v>48.48</v>
      </c>
      <c r="L1887">
        <v>0</v>
      </c>
      <c r="M1887">
        <v>38.07</v>
      </c>
      <c r="N1887">
        <v>3</v>
      </c>
      <c r="O1887">
        <v>1</v>
      </c>
      <c r="P1887">
        <v>7154</v>
      </c>
      <c r="Q1887">
        <v>2727</v>
      </c>
      <c r="R1887">
        <v>408</v>
      </c>
      <c r="S1887">
        <v>1803</v>
      </c>
      <c r="T1887">
        <v>0</v>
      </c>
      <c r="U1887">
        <v>2216</v>
      </c>
      <c r="V1887" s="1">
        <f t="shared" si="87"/>
        <v>0.16289999999999999</v>
      </c>
      <c r="W1887" s="1">
        <f t="shared" si="88"/>
        <v>3.3E-3</v>
      </c>
      <c r="X1887" s="1">
        <f t="shared" si="89"/>
        <v>1.1000000000000001E-3</v>
      </c>
    </row>
    <row r="1888" spans="1:24" x14ac:dyDescent="0.25">
      <c r="A1888">
        <v>2011</v>
      </c>
      <c r="B1888">
        <v>6</v>
      </c>
      <c r="C1888" t="s">
        <v>39</v>
      </c>
      <c r="D1888" t="str">
        <f>_xlfn.XLOOKUP(C1888,'Carrier Name Rename'!A:A,'Carrier Name Rename'!B:B)</f>
        <v>Frontier Airlines Inc.</v>
      </c>
      <c r="E1888" t="s">
        <v>23</v>
      </c>
      <c r="F1888" t="s">
        <v>24</v>
      </c>
      <c r="G1888">
        <v>154</v>
      </c>
      <c r="H1888">
        <v>44</v>
      </c>
      <c r="I1888">
        <v>14.46</v>
      </c>
      <c r="J1888">
        <v>2.88</v>
      </c>
      <c r="K1888">
        <v>9.42</v>
      </c>
      <c r="L1888">
        <v>0</v>
      </c>
      <c r="M1888">
        <v>17.25</v>
      </c>
      <c r="N1888">
        <v>1</v>
      </c>
      <c r="O1888">
        <v>0</v>
      </c>
      <c r="P1888">
        <v>1908</v>
      </c>
      <c r="Q1888">
        <v>446</v>
      </c>
      <c r="R1888">
        <v>197</v>
      </c>
      <c r="S1888">
        <v>384</v>
      </c>
      <c r="T1888">
        <v>0</v>
      </c>
      <c r="U1888">
        <v>881</v>
      </c>
      <c r="V1888" s="1">
        <f t="shared" si="87"/>
        <v>0.28570000000000001</v>
      </c>
      <c r="W1888" s="1">
        <f t="shared" si="88"/>
        <v>6.4999999999999997E-3</v>
      </c>
      <c r="X1888" s="1">
        <f t="shared" si="89"/>
        <v>0</v>
      </c>
    </row>
    <row r="1889" spans="1:24" x14ac:dyDescent="0.25">
      <c r="A1889">
        <v>2011</v>
      </c>
      <c r="B1889">
        <v>6</v>
      </c>
      <c r="C1889" t="s">
        <v>63</v>
      </c>
      <c r="D1889" t="str">
        <f>_xlfn.XLOOKUP(C1889,'Carrier Name Rename'!A:A,'Carrier Name Rename'!B:B)</f>
        <v>AirTran Airways Corporation</v>
      </c>
      <c r="E1889" t="s">
        <v>23</v>
      </c>
      <c r="F1889" t="s">
        <v>24</v>
      </c>
      <c r="G1889">
        <v>202</v>
      </c>
      <c r="H1889">
        <v>29</v>
      </c>
      <c r="I1889">
        <v>4.9000000000000004</v>
      </c>
      <c r="J1889">
        <v>1</v>
      </c>
      <c r="K1889">
        <v>3.75</v>
      </c>
      <c r="L1889">
        <v>0</v>
      </c>
      <c r="M1889">
        <v>19.350000000000001</v>
      </c>
      <c r="N1889">
        <v>2</v>
      </c>
      <c r="O1889">
        <v>0</v>
      </c>
      <c r="P1889">
        <v>1891</v>
      </c>
      <c r="Q1889">
        <v>163</v>
      </c>
      <c r="R1889">
        <v>82</v>
      </c>
      <c r="S1889">
        <v>245</v>
      </c>
      <c r="T1889">
        <v>0</v>
      </c>
      <c r="U1889">
        <v>1401</v>
      </c>
      <c r="V1889" s="1">
        <f t="shared" si="87"/>
        <v>0.14360000000000001</v>
      </c>
      <c r="W1889" s="1">
        <f t="shared" si="88"/>
        <v>9.9000000000000008E-3</v>
      </c>
      <c r="X1889" s="1">
        <f t="shared" si="89"/>
        <v>0</v>
      </c>
    </row>
    <row r="1890" spans="1:24" x14ac:dyDescent="0.25">
      <c r="A1890">
        <v>2011</v>
      </c>
      <c r="B1890">
        <v>6</v>
      </c>
      <c r="C1890" t="s">
        <v>21</v>
      </c>
      <c r="D1890" t="str">
        <f>_xlfn.XLOOKUP(C1890,'Carrier Name Rename'!A:A,'Carrier Name Rename'!B:B)</f>
        <v>Hawaiian Airlines Inc.</v>
      </c>
      <c r="E1890" t="s">
        <v>23</v>
      </c>
      <c r="F1890" t="s">
        <v>24</v>
      </c>
      <c r="G1890">
        <v>60</v>
      </c>
      <c r="H1890">
        <v>27</v>
      </c>
      <c r="I1890">
        <v>24.75</v>
      </c>
      <c r="J1890">
        <v>0</v>
      </c>
      <c r="K1890">
        <v>0</v>
      </c>
      <c r="L1890">
        <v>0</v>
      </c>
      <c r="M1890">
        <v>2.25</v>
      </c>
      <c r="N1890">
        <v>0</v>
      </c>
      <c r="O1890">
        <v>0</v>
      </c>
      <c r="P1890">
        <v>953</v>
      </c>
      <c r="Q1890">
        <v>860</v>
      </c>
      <c r="R1890">
        <v>0</v>
      </c>
      <c r="S1890">
        <v>0</v>
      </c>
      <c r="T1890">
        <v>0</v>
      </c>
      <c r="U1890">
        <v>93</v>
      </c>
      <c r="V1890" s="1">
        <f t="shared" si="87"/>
        <v>0.45</v>
      </c>
      <c r="W1890" s="1">
        <f t="shared" si="88"/>
        <v>0</v>
      </c>
      <c r="X1890" s="1">
        <f t="shared" si="89"/>
        <v>0</v>
      </c>
    </row>
    <row r="1891" spans="1:24" x14ac:dyDescent="0.25">
      <c r="A1891">
        <v>2011</v>
      </c>
      <c r="B1891">
        <v>6</v>
      </c>
      <c r="C1891" t="s">
        <v>27</v>
      </c>
      <c r="D1891" t="str">
        <f>_xlfn.XLOOKUP(C1891,'Carrier Name Rename'!A:A,'Carrier Name Rename'!B:B)</f>
        <v>SkyWest Airlines Inc.</v>
      </c>
      <c r="E1891" t="s">
        <v>23</v>
      </c>
      <c r="F1891" t="s">
        <v>24</v>
      </c>
      <c r="G1891">
        <v>599</v>
      </c>
      <c r="H1891">
        <v>112</v>
      </c>
      <c r="I1891">
        <v>22.86</v>
      </c>
      <c r="J1891">
        <v>0.05</v>
      </c>
      <c r="K1891">
        <v>43.34</v>
      </c>
      <c r="L1891">
        <v>0</v>
      </c>
      <c r="M1891">
        <v>45.75</v>
      </c>
      <c r="N1891">
        <v>3</v>
      </c>
      <c r="O1891">
        <v>0</v>
      </c>
      <c r="P1891">
        <v>4794</v>
      </c>
      <c r="Q1891">
        <v>1378</v>
      </c>
      <c r="R1891">
        <v>1</v>
      </c>
      <c r="S1891">
        <v>1164</v>
      </c>
      <c r="T1891">
        <v>0</v>
      </c>
      <c r="U1891">
        <v>2251</v>
      </c>
      <c r="V1891" s="1">
        <f t="shared" si="87"/>
        <v>0.187</v>
      </c>
      <c r="W1891" s="1">
        <f t="shared" si="88"/>
        <v>5.0000000000000001E-3</v>
      </c>
      <c r="X1891" s="1">
        <f t="shared" si="89"/>
        <v>0</v>
      </c>
    </row>
    <row r="1892" spans="1:24" x14ac:dyDescent="0.25">
      <c r="A1892">
        <v>2011</v>
      </c>
      <c r="B1892">
        <v>6</v>
      </c>
      <c r="C1892" t="s">
        <v>41</v>
      </c>
      <c r="D1892" t="str">
        <f>_xlfn.XLOOKUP(C1892,'Carrier Name Rename'!A:A,'Carrier Name Rename'!B:B)</f>
        <v>United Air Lines Inc.</v>
      </c>
      <c r="E1892" t="s">
        <v>23</v>
      </c>
      <c r="F1892" t="s">
        <v>24</v>
      </c>
      <c r="G1892">
        <v>593</v>
      </c>
      <c r="H1892">
        <v>144</v>
      </c>
      <c r="I1892">
        <v>38.49</v>
      </c>
      <c r="J1892">
        <v>1.81</v>
      </c>
      <c r="K1892">
        <v>27.05</v>
      </c>
      <c r="L1892">
        <v>0</v>
      </c>
      <c r="M1892">
        <v>76.66</v>
      </c>
      <c r="N1892">
        <v>7</v>
      </c>
      <c r="O1892">
        <v>0</v>
      </c>
      <c r="P1892">
        <v>10665</v>
      </c>
      <c r="Q1892">
        <v>2876</v>
      </c>
      <c r="R1892">
        <v>133</v>
      </c>
      <c r="S1892">
        <v>1692</v>
      </c>
      <c r="T1892">
        <v>0</v>
      </c>
      <c r="U1892">
        <v>5964</v>
      </c>
      <c r="V1892" s="1">
        <f t="shared" si="87"/>
        <v>0.24279999999999999</v>
      </c>
      <c r="W1892" s="1">
        <f t="shared" si="88"/>
        <v>1.18E-2</v>
      </c>
      <c r="X1892" s="1">
        <f t="shared" si="89"/>
        <v>0</v>
      </c>
    </row>
    <row r="1893" spans="1:24" x14ac:dyDescent="0.25">
      <c r="A1893">
        <v>2011</v>
      </c>
      <c r="B1893">
        <v>6</v>
      </c>
      <c r="C1893" t="s">
        <v>61</v>
      </c>
      <c r="D1893" t="str">
        <f>_xlfn.XLOOKUP(C1893,'Carrier Name Rename'!A:A,'Carrier Name Rename'!B:B)</f>
        <v>US Airways Inc.</v>
      </c>
      <c r="E1893" t="s">
        <v>23</v>
      </c>
      <c r="F1893" t="s">
        <v>24</v>
      </c>
      <c r="G1893">
        <v>372</v>
      </c>
      <c r="H1893">
        <v>101</v>
      </c>
      <c r="I1893">
        <v>43.03</v>
      </c>
      <c r="J1893">
        <v>1.36</v>
      </c>
      <c r="K1893">
        <v>37.799999999999997</v>
      </c>
      <c r="L1893">
        <v>0</v>
      </c>
      <c r="M1893">
        <v>18.8</v>
      </c>
      <c r="N1893">
        <v>3</v>
      </c>
      <c r="O1893">
        <v>1</v>
      </c>
      <c r="P1893">
        <v>4939</v>
      </c>
      <c r="Q1893">
        <v>2296</v>
      </c>
      <c r="R1893">
        <v>97</v>
      </c>
      <c r="S1893">
        <v>1592</v>
      </c>
      <c r="T1893">
        <v>0</v>
      </c>
      <c r="U1893">
        <v>954</v>
      </c>
      <c r="V1893" s="1">
        <f t="shared" si="87"/>
        <v>0.27150000000000002</v>
      </c>
      <c r="W1893" s="1">
        <f t="shared" si="88"/>
        <v>8.0999999999999996E-3</v>
      </c>
      <c r="X1893" s="1">
        <f t="shared" si="89"/>
        <v>2.7000000000000001E-3</v>
      </c>
    </row>
    <row r="1894" spans="1:24" x14ac:dyDescent="0.25">
      <c r="A1894">
        <v>2011</v>
      </c>
      <c r="B1894">
        <v>6</v>
      </c>
      <c r="C1894" t="s">
        <v>43</v>
      </c>
      <c r="D1894" t="str">
        <f>_xlfn.XLOOKUP(C1894,'Carrier Name Rename'!A:A,'Carrier Name Rename'!B:B)</f>
        <v>Southwest Airlines Co.</v>
      </c>
      <c r="E1894" t="s">
        <v>23</v>
      </c>
      <c r="F1894" t="s">
        <v>24</v>
      </c>
      <c r="G1894">
        <v>1311</v>
      </c>
      <c r="H1894">
        <v>248</v>
      </c>
      <c r="I1894">
        <v>74.92</v>
      </c>
      <c r="J1894">
        <v>0</v>
      </c>
      <c r="K1894">
        <v>31.76</v>
      </c>
      <c r="L1894">
        <v>1.05</v>
      </c>
      <c r="M1894">
        <v>140.27000000000001</v>
      </c>
      <c r="N1894">
        <v>2</v>
      </c>
      <c r="O1894">
        <v>0</v>
      </c>
      <c r="P1894">
        <v>11313</v>
      </c>
      <c r="Q1894">
        <v>3312</v>
      </c>
      <c r="R1894">
        <v>0</v>
      </c>
      <c r="S1894">
        <v>926</v>
      </c>
      <c r="T1894">
        <v>67</v>
      </c>
      <c r="U1894">
        <v>7008</v>
      </c>
      <c r="V1894" s="1">
        <f t="shared" si="87"/>
        <v>0.18920000000000001</v>
      </c>
      <c r="W1894" s="1">
        <f t="shared" si="88"/>
        <v>1.5E-3</v>
      </c>
      <c r="X1894" s="1">
        <f t="shared" si="89"/>
        <v>0</v>
      </c>
    </row>
    <row r="1895" spans="1:24" x14ac:dyDescent="0.25">
      <c r="A1895">
        <v>2011</v>
      </c>
      <c r="B1895">
        <v>5</v>
      </c>
      <c r="C1895" t="s">
        <v>27</v>
      </c>
      <c r="D1895" t="str">
        <f>_xlfn.XLOOKUP(C1895,'Carrier Name Rename'!A:A,'Carrier Name Rename'!B:B)</f>
        <v>SkyWest Airlines Inc.</v>
      </c>
      <c r="E1895" t="s">
        <v>23</v>
      </c>
      <c r="F1895" t="s">
        <v>24</v>
      </c>
      <c r="G1895">
        <v>525</v>
      </c>
      <c r="H1895">
        <v>56</v>
      </c>
      <c r="I1895">
        <v>15.19</v>
      </c>
      <c r="J1895">
        <v>0</v>
      </c>
      <c r="K1895">
        <v>13.44</v>
      </c>
      <c r="L1895">
        <v>0</v>
      </c>
      <c r="M1895">
        <v>27.36</v>
      </c>
      <c r="N1895">
        <v>4</v>
      </c>
      <c r="O1895">
        <v>0</v>
      </c>
      <c r="P1895">
        <v>2482</v>
      </c>
      <c r="Q1895">
        <v>880</v>
      </c>
      <c r="R1895">
        <v>0</v>
      </c>
      <c r="S1895">
        <v>326</v>
      </c>
      <c r="T1895">
        <v>0</v>
      </c>
      <c r="U1895">
        <v>1276</v>
      </c>
      <c r="V1895" s="1">
        <f t="shared" si="87"/>
        <v>0.1067</v>
      </c>
      <c r="W1895" s="1">
        <f t="shared" si="88"/>
        <v>7.6E-3</v>
      </c>
      <c r="X1895" s="1">
        <f t="shared" si="89"/>
        <v>0</v>
      </c>
    </row>
    <row r="1896" spans="1:24" x14ac:dyDescent="0.25">
      <c r="A1896">
        <v>2011</v>
      </c>
      <c r="B1896">
        <v>5</v>
      </c>
      <c r="C1896" t="s">
        <v>41</v>
      </c>
      <c r="D1896" t="str">
        <f>_xlfn.XLOOKUP(C1896,'Carrier Name Rename'!A:A,'Carrier Name Rename'!B:B)</f>
        <v>United Air Lines Inc.</v>
      </c>
      <c r="E1896" t="s">
        <v>23</v>
      </c>
      <c r="F1896" t="s">
        <v>24</v>
      </c>
      <c r="G1896">
        <v>539</v>
      </c>
      <c r="H1896">
        <v>70</v>
      </c>
      <c r="I1896">
        <v>11.74</v>
      </c>
      <c r="J1896">
        <v>3.46</v>
      </c>
      <c r="K1896">
        <v>13.49</v>
      </c>
      <c r="L1896">
        <v>1</v>
      </c>
      <c r="M1896">
        <v>40.32</v>
      </c>
      <c r="N1896">
        <v>1</v>
      </c>
      <c r="O1896">
        <v>0</v>
      </c>
      <c r="P1896">
        <v>4661</v>
      </c>
      <c r="Q1896">
        <v>941</v>
      </c>
      <c r="R1896">
        <v>293</v>
      </c>
      <c r="S1896">
        <v>740</v>
      </c>
      <c r="T1896">
        <v>23</v>
      </c>
      <c r="U1896">
        <v>2664</v>
      </c>
      <c r="V1896" s="1">
        <f t="shared" si="87"/>
        <v>0.12989999999999999</v>
      </c>
      <c r="W1896" s="1">
        <f t="shared" si="88"/>
        <v>1.9E-3</v>
      </c>
      <c r="X1896" s="1">
        <f t="shared" si="89"/>
        <v>0</v>
      </c>
    </row>
    <row r="1897" spans="1:24" x14ac:dyDescent="0.25">
      <c r="A1897">
        <v>2011</v>
      </c>
      <c r="B1897">
        <v>5</v>
      </c>
      <c r="C1897" t="s">
        <v>61</v>
      </c>
      <c r="D1897" t="str">
        <f>_xlfn.XLOOKUP(C1897,'Carrier Name Rename'!A:A,'Carrier Name Rename'!B:B)</f>
        <v>US Airways Inc.</v>
      </c>
      <c r="E1897" t="s">
        <v>23</v>
      </c>
      <c r="F1897" t="s">
        <v>24</v>
      </c>
      <c r="G1897">
        <v>340</v>
      </c>
      <c r="H1897">
        <v>69</v>
      </c>
      <c r="I1897">
        <v>29.14</v>
      </c>
      <c r="J1897">
        <v>0.57999999999999996</v>
      </c>
      <c r="K1897">
        <v>20.05</v>
      </c>
      <c r="L1897">
        <v>1.18</v>
      </c>
      <c r="M1897">
        <v>18.05</v>
      </c>
      <c r="N1897">
        <v>1</v>
      </c>
      <c r="O1897">
        <v>0</v>
      </c>
      <c r="P1897">
        <v>3052</v>
      </c>
      <c r="Q1897">
        <v>1314</v>
      </c>
      <c r="R1897">
        <v>59</v>
      </c>
      <c r="S1897">
        <v>757</v>
      </c>
      <c r="T1897">
        <v>31</v>
      </c>
      <c r="U1897">
        <v>891</v>
      </c>
      <c r="V1897" s="1">
        <f t="shared" si="87"/>
        <v>0.2029</v>
      </c>
      <c r="W1897" s="1">
        <f t="shared" si="88"/>
        <v>2.8999999999999998E-3</v>
      </c>
      <c r="X1897" s="1">
        <f t="shared" si="89"/>
        <v>0</v>
      </c>
    </row>
    <row r="1898" spans="1:24" x14ac:dyDescent="0.25">
      <c r="A1898">
        <v>2011</v>
      </c>
      <c r="B1898">
        <v>5</v>
      </c>
      <c r="C1898" t="s">
        <v>43</v>
      </c>
      <c r="D1898" t="str">
        <f>_xlfn.XLOOKUP(C1898,'Carrier Name Rename'!A:A,'Carrier Name Rename'!B:B)</f>
        <v>Southwest Airlines Co.</v>
      </c>
      <c r="E1898" t="s">
        <v>23</v>
      </c>
      <c r="F1898" t="s">
        <v>24</v>
      </c>
      <c r="G1898">
        <v>1267</v>
      </c>
      <c r="H1898">
        <v>255</v>
      </c>
      <c r="I1898">
        <v>81.010000000000005</v>
      </c>
      <c r="J1898">
        <v>3</v>
      </c>
      <c r="K1898">
        <v>15.89</v>
      </c>
      <c r="L1898">
        <v>1.64</v>
      </c>
      <c r="M1898">
        <v>153.46</v>
      </c>
      <c r="N1898">
        <v>2</v>
      </c>
      <c r="O1898">
        <v>0</v>
      </c>
      <c r="P1898">
        <v>13075</v>
      </c>
      <c r="Q1898">
        <v>3416</v>
      </c>
      <c r="R1898">
        <v>79</v>
      </c>
      <c r="S1898">
        <v>651</v>
      </c>
      <c r="T1898">
        <v>50</v>
      </c>
      <c r="U1898">
        <v>8879</v>
      </c>
      <c r="V1898" s="1">
        <f t="shared" si="87"/>
        <v>0.20130000000000001</v>
      </c>
      <c r="W1898" s="1">
        <f t="shared" si="88"/>
        <v>1.6000000000000001E-3</v>
      </c>
      <c r="X1898" s="1">
        <f t="shared" si="89"/>
        <v>0</v>
      </c>
    </row>
    <row r="1899" spans="1:24" x14ac:dyDescent="0.25">
      <c r="A1899">
        <v>2011</v>
      </c>
      <c r="B1899">
        <v>5</v>
      </c>
      <c r="C1899" t="s">
        <v>31</v>
      </c>
      <c r="D1899" t="str">
        <f>_xlfn.XLOOKUP(C1899,'Carrier Name Rename'!A:A,'Carrier Name Rename'!B:B)</f>
        <v>American Airlines Inc.</v>
      </c>
      <c r="E1899" t="s">
        <v>23</v>
      </c>
      <c r="F1899" t="s">
        <v>24</v>
      </c>
      <c r="G1899">
        <v>444</v>
      </c>
      <c r="H1899">
        <v>134</v>
      </c>
      <c r="I1899">
        <v>44.77</v>
      </c>
      <c r="J1899">
        <v>19.97</v>
      </c>
      <c r="K1899">
        <v>34.659999999999997</v>
      </c>
      <c r="L1899">
        <v>0</v>
      </c>
      <c r="M1899">
        <v>34.6</v>
      </c>
      <c r="N1899">
        <v>21</v>
      </c>
      <c r="O1899">
        <v>3</v>
      </c>
      <c r="P1899">
        <v>8107</v>
      </c>
      <c r="Q1899">
        <v>2352</v>
      </c>
      <c r="R1899">
        <v>1531</v>
      </c>
      <c r="S1899">
        <v>1447</v>
      </c>
      <c r="T1899">
        <v>0</v>
      </c>
      <c r="U1899">
        <v>2777</v>
      </c>
      <c r="V1899" s="1">
        <f t="shared" si="87"/>
        <v>0.30180000000000001</v>
      </c>
      <c r="W1899" s="1">
        <f t="shared" si="88"/>
        <v>4.7300000000000002E-2</v>
      </c>
      <c r="X1899" s="1">
        <f t="shared" si="89"/>
        <v>6.7999999999999996E-3</v>
      </c>
    </row>
    <row r="1900" spans="1:24" x14ac:dyDescent="0.25">
      <c r="A1900">
        <v>2011</v>
      </c>
      <c r="B1900">
        <v>5</v>
      </c>
      <c r="C1900" t="s">
        <v>33</v>
      </c>
      <c r="D1900" t="str">
        <f>_xlfn.XLOOKUP(C1900,'Carrier Name Rename'!A:A,'Carrier Name Rename'!B:B)</f>
        <v>Alaska Airlines Inc.</v>
      </c>
      <c r="E1900" t="s">
        <v>23</v>
      </c>
      <c r="F1900" t="s">
        <v>24</v>
      </c>
      <c r="G1900">
        <v>3817</v>
      </c>
      <c r="H1900">
        <v>298</v>
      </c>
      <c r="I1900">
        <v>77.59</v>
      </c>
      <c r="J1900">
        <v>4.08</v>
      </c>
      <c r="K1900">
        <v>104.56</v>
      </c>
      <c r="L1900">
        <v>1.21</v>
      </c>
      <c r="M1900">
        <v>110.56</v>
      </c>
      <c r="N1900">
        <v>3</v>
      </c>
      <c r="O1900">
        <v>17</v>
      </c>
      <c r="P1900">
        <v>16415</v>
      </c>
      <c r="Q1900">
        <v>6240</v>
      </c>
      <c r="R1900">
        <v>269</v>
      </c>
      <c r="S1900">
        <v>2541</v>
      </c>
      <c r="T1900">
        <v>100</v>
      </c>
      <c r="U1900">
        <v>7265</v>
      </c>
      <c r="V1900" s="1">
        <f t="shared" si="87"/>
        <v>7.8100000000000003E-2</v>
      </c>
      <c r="W1900" s="1">
        <f t="shared" si="88"/>
        <v>8.0000000000000004E-4</v>
      </c>
      <c r="X1900" s="1">
        <f t="shared" si="89"/>
        <v>4.4999999999999997E-3</v>
      </c>
    </row>
    <row r="1901" spans="1:24" x14ac:dyDescent="0.25">
      <c r="A1901">
        <v>2011</v>
      </c>
      <c r="B1901">
        <v>5</v>
      </c>
      <c r="C1901" t="s">
        <v>35</v>
      </c>
      <c r="D1901" t="str">
        <f>_xlfn.XLOOKUP(C1901,'Carrier Name Rename'!A:A,'Carrier Name Rename'!B:B)</f>
        <v>JetBlue Airways</v>
      </c>
      <c r="E1901" t="s">
        <v>23</v>
      </c>
      <c r="F1901" t="s">
        <v>24</v>
      </c>
      <c r="G1901">
        <v>183</v>
      </c>
      <c r="H1901">
        <v>24</v>
      </c>
      <c r="I1901">
        <v>13.86</v>
      </c>
      <c r="J1901">
        <v>0</v>
      </c>
      <c r="K1901">
        <v>2.2400000000000002</v>
      </c>
      <c r="L1901">
        <v>0</v>
      </c>
      <c r="M1901">
        <v>7.89</v>
      </c>
      <c r="N1901">
        <v>0</v>
      </c>
      <c r="O1901">
        <v>0</v>
      </c>
      <c r="P1901">
        <v>1233</v>
      </c>
      <c r="Q1901">
        <v>739</v>
      </c>
      <c r="R1901">
        <v>0</v>
      </c>
      <c r="S1901">
        <v>215</v>
      </c>
      <c r="T1901">
        <v>0</v>
      </c>
      <c r="U1901">
        <v>279</v>
      </c>
      <c r="V1901" s="1">
        <f t="shared" si="87"/>
        <v>0.13109999999999999</v>
      </c>
      <c r="W1901" s="1">
        <f t="shared" si="88"/>
        <v>0</v>
      </c>
      <c r="X1901" s="1">
        <f t="shared" si="89"/>
        <v>0</v>
      </c>
    </row>
    <row r="1902" spans="1:24" x14ac:dyDescent="0.25">
      <c r="A1902">
        <v>2011</v>
      </c>
      <c r="B1902">
        <v>5</v>
      </c>
      <c r="C1902" t="s">
        <v>65</v>
      </c>
      <c r="D1902" t="str">
        <f>_xlfn.XLOOKUP(C1902,'Carrier Name Rename'!A:A,'Carrier Name Rename'!B:B)</f>
        <v>Continental Air Lines Inc.</v>
      </c>
      <c r="E1902" t="s">
        <v>23</v>
      </c>
      <c r="F1902" t="s">
        <v>24</v>
      </c>
      <c r="G1902">
        <v>362</v>
      </c>
      <c r="H1902">
        <v>95</v>
      </c>
      <c r="I1902">
        <v>36.020000000000003</v>
      </c>
      <c r="J1902">
        <v>2.41</v>
      </c>
      <c r="K1902">
        <v>39.42</v>
      </c>
      <c r="L1902">
        <v>0.71</v>
      </c>
      <c r="M1902">
        <v>16.45</v>
      </c>
      <c r="N1902">
        <v>0</v>
      </c>
      <c r="O1902">
        <v>1</v>
      </c>
      <c r="P1902">
        <v>4303</v>
      </c>
      <c r="Q1902">
        <v>1440</v>
      </c>
      <c r="R1902">
        <v>144</v>
      </c>
      <c r="S1902">
        <v>1530</v>
      </c>
      <c r="T1902">
        <v>19</v>
      </c>
      <c r="U1902">
        <v>1170</v>
      </c>
      <c r="V1902" s="1">
        <f t="shared" si="87"/>
        <v>0.26240000000000002</v>
      </c>
      <c r="W1902" s="1">
        <f t="shared" si="88"/>
        <v>0</v>
      </c>
      <c r="X1902" s="1">
        <f t="shared" si="89"/>
        <v>2.8E-3</v>
      </c>
    </row>
    <row r="1903" spans="1:24" x14ac:dyDescent="0.25">
      <c r="A1903">
        <v>2011</v>
      </c>
      <c r="B1903">
        <v>5</v>
      </c>
      <c r="C1903" t="s">
        <v>37</v>
      </c>
      <c r="D1903" t="str">
        <f>_xlfn.XLOOKUP(C1903,'Carrier Name Rename'!A:A,'Carrier Name Rename'!B:B)</f>
        <v>Delta Air Lines Inc.</v>
      </c>
      <c r="E1903" t="s">
        <v>23</v>
      </c>
      <c r="F1903" t="s">
        <v>24</v>
      </c>
      <c r="G1903">
        <v>735</v>
      </c>
      <c r="H1903">
        <v>102</v>
      </c>
      <c r="I1903">
        <v>43.22</v>
      </c>
      <c r="J1903">
        <v>1.78</v>
      </c>
      <c r="K1903">
        <v>34.47</v>
      </c>
      <c r="L1903">
        <v>0</v>
      </c>
      <c r="M1903">
        <v>22.53</v>
      </c>
      <c r="N1903">
        <v>1</v>
      </c>
      <c r="O1903">
        <v>1</v>
      </c>
      <c r="P1903">
        <v>4781</v>
      </c>
      <c r="Q1903">
        <v>2272</v>
      </c>
      <c r="R1903">
        <v>78</v>
      </c>
      <c r="S1903">
        <v>1309</v>
      </c>
      <c r="T1903">
        <v>0</v>
      </c>
      <c r="U1903">
        <v>1122</v>
      </c>
      <c r="V1903" s="1">
        <f t="shared" si="87"/>
        <v>0.13880000000000001</v>
      </c>
      <c r="W1903" s="1">
        <f t="shared" si="88"/>
        <v>1.4E-3</v>
      </c>
      <c r="X1903" s="1">
        <f t="shared" si="89"/>
        <v>1.4E-3</v>
      </c>
    </row>
    <row r="1904" spans="1:24" x14ac:dyDescent="0.25">
      <c r="A1904">
        <v>2011</v>
      </c>
      <c r="B1904">
        <v>5</v>
      </c>
      <c r="C1904" t="s">
        <v>39</v>
      </c>
      <c r="D1904" t="str">
        <f>_xlfn.XLOOKUP(C1904,'Carrier Name Rename'!A:A,'Carrier Name Rename'!B:B)</f>
        <v>Frontier Airlines Inc.</v>
      </c>
      <c r="E1904" t="s">
        <v>23</v>
      </c>
      <c r="F1904" t="s">
        <v>24</v>
      </c>
      <c r="G1904">
        <v>157</v>
      </c>
      <c r="H1904">
        <v>46</v>
      </c>
      <c r="I1904">
        <v>14.46</v>
      </c>
      <c r="J1904">
        <v>3.21</v>
      </c>
      <c r="K1904">
        <v>11.45</v>
      </c>
      <c r="L1904">
        <v>0</v>
      </c>
      <c r="M1904">
        <v>16.88</v>
      </c>
      <c r="N1904">
        <v>0</v>
      </c>
      <c r="O1904">
        <v>0</v>
      </c>
      <c r="P1904">
        <v>2592</v>
      </c>
      <c r="Q1904">
        <v>704</v>
      </c>
      <c r="R1904">
        <v>315</v>
      </c>
      <c r="S1904">
        <v>550</v>
      </c>
      <c r="T1904">
        <v>0</v>
      </c>
      <c r="U1904">
        <v>1023</v>
      </c>
      <c r="V1904" s="1">
        <f t="shared" si="87"/>
        <v>0.29299999999999998</v>
      </c>
      <c r="W1904" s="1">
        <f t="shared" si="88"/>
        <v>0</v>
      </c>
      <c r="X1904" s="1">
        <f t="shared" si="89"/>
        <v>0</v>
      </c>
    </row>
    <row r="1905" spans="1:24" x14ac:dyDescent="0.25">
      <c r="A1905">
        <v>2011</v>
      </c>
      <c r="B1905">
        <v>5</v>
      </c>
      <c r="C1905" t="s">
        <v>63</v>
      </c>
      <c r="D1905" t="str">
        <f>_xlfn.XLOOKUP(C1905,'Carrier Name Rename'!A:A,'Carrier Name Rename'!B:B)</f>
        <v>AirTran Airways Corporation</v>
      </c>
      <c r="E1905" t="s">
        <v>23</v>
      </c>
      <c r="F1905" t="s">
        <v>24</v>
      </c>
      <c r="G1905">
        <v>106</v>
      </c>
      <c r="H1905">
        <v>12</v>
      </c>
      <c r="I1905">
        <v>3.09</v>
      </c>
      <c r="J1905">
        <v>0.41</v>
      </c>
      <c r="K1905">
        <v>3.88</v>
      </c>
      <c r="L1905">
        <v>0</v>
      </c>
      <c r="M1905">
        <v>4.6100000000000003</v>
      </c>
      <c r="N1905">
        <v>1</v>
      </c>
      <c r="O1905">
        <v>0</v>
      </c>
      <c r="P1905">
        <v>702</v>
      </c>
      <c r="Q1905">
        <v>173</v>
      </c>
      <c r="R1905">
        <v>12</v>
      </c>
      <c r="S1905">
        <v>94</v>
      </c>
      <c r="T1905">
        <v>0</v>
      </c>
      <c r="U1905">
        <v>423</v>
      </c>
      <c r="V1905" s="1">
        <f t="shared" si="87"/>
        <v>0.1132</v>
      </c>
      <c r="W1905" s="1">
        <f t="shared" si="88"/>
        <v>9.4000000000000004E-3</v>
      </c>
      <c r="X1905" s="1">
        <f t="shared" si="89"/>
        <v>0</v>
      </c>
    </row>
    <row r="1906" spans="1:24" x14ac:dyDescent="0.25">
      <c r="A1906">
        <v>2011</v>
      </c>
      <c r="B1906">
        <v>5</v>
      </c>
      <c r="C1906" t="s">
        <v>21</v>
      </c>
      <c r="D1906" t="str">
        <f>_xlfn.XLOOKUP(C1906,'Carrier Name Rename'!A:A,'Carrier Name Rename'!B:B)</f>
        <v>Hawaiian Airlines Inc.</v>
      </c>
      <c r="E1906" t="s">
        <v>23</v>
      </c>
      <c r="F1906" t="s">
        <v>24</v>
      </c>
      <c r="G1906">
        <v>62</v>
      </c>
      <c r="H1906">
        <v>23</v>
      </c>
      <c r="I1906">
        <v>21.05</v>
      </c>
      <c r="J1906">
        <v>0</v>
      </c>
      <c r="K1906">
        <v>0</v>
      </c>
      <c r="L1906">
        <v>0</v>
      </c>
      <c r="M1906">
        <v>1.95</v>
      </c>
      <c r="N1906">
        <v>0</v>
      </c>
      <c r="O1906">
        <v>0</v>
      </c>
      <c r="P1906">
        <v>876</v>
      </c>
      <c r="Q1906">
        <v>774</v>
      </c>
      <c r="R1906">
        <v>0</v>
      </c>
      <c r="S1906">
        <v>0</v>
      </c>
      <c r="T1906">
        <v>0</v>
      </c>
      <c r="U1906">
        <v>102</v>
      </c>
      <c r="V1906" s="1">
        <f t="shared" si="87"/>
        <v>0.371</v>
      </c>
      <c r="W1906" s="1">
        <f t="shared" si="88"/>
        <v>0</v>
      </c>
      <c r="X1906" s="1">
        <f t="shared" si="89"/>
        <v>0</v>
      </c>
    </row>
    <row r="1907" spans="1:24" x14ac:dyDescent="0.25">
      <c r="A1907">
        <v>2011</v>
      </c>
      <c r="B1907">
        <v>4</v>
      </c>
      <c r="C1907" t="s">
        <v>31</v>
      </c>
      <c r="D1907" t="str">
        <f>_xlfn.XLOOKUP(C1907,'Carrier Name Rename'!A:A,'Carrier Name Rename'!B:B)</f>
        <v>American Airlines Inc.</v>
      </c>
      <c r="E1907" t="s">
        <v>23</v>
      </c>
      <c r="F1907" t="s">
        <v>24</v>
      </c>
      <c r="G1907">
        <v>433</v>
      </c>
      <c r="H1907">
        <v>194</v>
      </c>
      <c r="I1907">
        <v>50.35</v>
      </c>
      <c r="J1907">
        <v>16.28</v>
      </c>
      <c r="K1907">
        <v>87</v>
      </c>
      <c r="L1907">
        <v>0</v>
      </c>
      <c r="M1907">
        <v>40.369999999999997</v>
      </c>
      <c r="N1907">
        <v>6</v>
      </c>
      <c r="O1907">
        <v>1</v>
      </c>
      <c r="P1907">
        <v>9710</v>
      </c>
      <c r="Q1907">
        <v>2635</v>
      </c>
      <c r="R1907">
        <v>1433</v>
      </c>
      <c r="S1907">
        <v>2975</v>
      </c>
      <c r="T1907">
        <v>0</v>
      </c>
      <c r="U1907">
        <v>2667</v>
      </c>
      <c r="V1907" s="1">
        <f t="shared" si="87"/>
        <v>0.44800000000000001</v>
      </c>
      <c r="W1907" s="1">
        <f t="shared" si="88"/>
        <v>1.3899999999999999E-2</v>
      </c>
      <c r="X1907" s="1">
        <f t="shared" si="89"/>
        <v>2.3E-3</v>
      </c>
    </row>
    <row r="1908" spans="1:24" x14ac:dyDescent="0.25">
      <c r="A1908">
        <v>2011</v>
      </c>
      <c r="B1908">
        <v>4</v>
      </c>
      <c r="C1908" t="s">
        <v>33</v>
      </c>
      <c r="D1908" t="str">
        <f>_xlfn.XLOOKUP(C1908,'Carrier Name Rename'!A:A,'Carrier Name Rename'!B:B)</f>
        <v>Alaska Airlines Inc.</v>
      </c>
      <c r="E1908" t="s">
        <v>23</v>
      </c>
      <c r="F1908" t="s">
        <v>24</v>
      </c>
      <c r="G1908">
        <v>3580</v>
      </c>
      <c r="H1908">
        <v>390</v>
      </c>
      <c r="I1908">
        <v>98.15</v>
      </c>
      <c r="J1908">
        <v>3.64</v>
      </c>
      <c r="K1908">
        <v>174.19</v>
      </c>
      <c r="L1908">
        <v>4.55</v>
      </c>
      <c r="M1908">
        <v>109.47</v>
      </c>
      <c r="N1908">
        <v>8</v>
      </c>
      <c r="O1908">
        <v>2</v>
      </c>
      <c r="P1908">
        <v>18161</v>
      </c>
      <c r="Q1908">
        <v>6331</v>
      </c>
      <c r="R1908">
        <v>232</v>
      </c>
      <c r="S1908">
        <v>5143</v>
      </c>
      <c r="T1908">
        <v>161</v>
      </c>
      <c r="U1908">
        <v>6294</v>
      </c>
      <c r="V1908" s="1">
        <f t="shared" si="87"/>
        <v>0.1089</v>
      </c>
      <c r="W1908" s="1">
        <f t="shared" si="88"/>
        <v>2.2000000000000001E-3</v>
      </c>
      <c r="X1908" s="1">
        <f t="shared" si="89"/>
        <v>5.9999999999999995E-4</v>
      </c>
    </row>
    <row r="1909" spans="1:24" x14ac:dyDescent="0.25">
      <c r="A1909">
        <v>2011</v>
      </c>
      <c r="B1909">
        <v>4</v>
      </c>
      <c r="C1909" t="s">
        <v>35</v>
      </c>
      <c r="D1909" t="str">
        <f>_xlfn.XLOOKUP(C1909,'Carrier Name Rename'!A:A,'Carrier Name Rename'!B:B)</f>
        <v>JetBlue Airways</v>
      </c>
      <c r="E1909" t="s">
        <v>23</v>
      </c>
      <c r="F1909" t="s">
        <v>24</v>
      </c>
      <c r="G1909">
        <v>131</v>
      </c>
      <c r="H1909">
        <v>42</v>
      </c>
      <c r="I1909">
        <v>12.1</v>
      </c>
      <c r="J1909">
        <v>0</v>
      </c>
      <c r="K1909">
        <v>17.399999999999999</v>
      </c>
      <c r="L1909">
        <v>0</v>
      </c>
      <c r="M1909">
        <v>12.5</v>
      </c>
      <c r="N1909">
        <v>0</v>
      </c>
      <c r="O1909">
        <v>0</v>
      </c>
      <c r="P1909">
        <v>1470</v>
      </c>
      <c r="Q1909">
        <v>513</v>
      </c>
      <c r="R1909">
        <v>0</v>
      </c>
      <c r="S1909">
        <v>499</v>
      </c>
      <c r="T1909">
        <v>0</v>
      </c>
      <c r="U1909">
        <v>458</v>
      </c>
      <c r="V1909" s="1">
        <f t="shared" si="87"/>
        <v>0.3206</v>
      </c>
      <c r="W1909" s="1">
        <f t="shared" si="88"/>
        <v>0</v>
      </c>
      <c r="X1909" s="1">
        <f t="shared" si="89"/>
        <v>0</v>
      </c>
    </row>
    <row r="1910" spans="1:24" x14ac:dyDescent="0.25">
      <c r="A1910">
        <v>2011</v>
      </c>
      <c r="B1910">
        <v>4</v>
      </c>
      <c r="C1910" t="s">
        <v>65</v>
      </c>
      <c r="D1910" t="str">
        <f>_xlfn.XLOOKUP(C1910,'Carrier Name Rename'!A:A,'Carrier Name Rename'!B:B)</f>
        <v>Continental Air Lines Inc.</v>
      </c>
      <c r="E1910" t="s">
        <v>23</v>
      </c>
      <c r="F1910" t="s">
        <v>24</v>
      </c>
      <c r="G1910">
        <v>317</v>
      </c>
      <c r="H1910">
        <v>144</v>
      </c>
      <c r="I1910">
        <v>41.28</v>
      </c>
      <c r="J1910">
        <v>0.99</v>
      </c>
      <c r="K1910">
        <v>86.57</v>
      </c>
      <c r="L1910">
        <v>1.0900000000000001</v>
      </c>
      <c r="M1910">
        <v>14.07</v>
      </c>
      <c r="N1910">
        <v>0</v>
      </c>
      <c r="O1910">
        <v>0</v>
      </c>
      <c r="P1910">
        <v>7131</v>
      </c>
      <c r="Q1910">
        <v>2322</v>
      </c>
      <c r="R1910">
        <v>322</v>
      </c>
      <c r="S1910">
        <v>3086</v>
      </c>
      <c r="T1910">
        <v>24</v>
      </c>
      <c r="U1910">
        <v>1377</v>
      </c>
      <c r="V1910" s="1">
        <f t="shared" si="87"/>
        <v>0.45429999999999998</v>
      </c>
      <c r="W1910" s="1">
        <f t="shared" si="88"/>
        <v>0</v>
      </c>
      <c r="X1910" s="1">
        <f t="shared" si="89"/>
        <v>0</v>
      </c>
    </row>
    <row r="1911" spans="1:24" x14ac:dyDescent="0.25">
      <c r="A1911">
        <v>2011</v>
      </c>
      <c r="B1911">
        <v>4</v>
      </c>
      <c r="C1911" t="s">
        <v>37</v>
      </c>
      <c r="D1911" t="str">
        <f>_xlfn.XLOOKUP(C1911,'Carrier Name Rename'!A:A,'Carrier Name Rename'!B:B)</f>
        <v>Delta Air Lines Inc.</v>
      </c>
      <c r="E1911" t="s">
        <v>23</v>
      </c>
      <c r="F1911" t="s">
        <v>24</v>
      </c>
      <c r="G1911">
        <v>696</v>
      </c>
      <c r="H1911">
        <v>218</v>
      </c>
      <c r="I1911">
        <v>66.73</v>
      </c>
      <c r="J1911">
        <v>4.78</v>
      </c>
      <c r="K1911">
        <v>107.29</v>
      </c>
      <c r="L1911">
        <v>0</v>
      </c>
      <c r="M1911">
        <v>39.19</v>
      </c>
      <c r="N1911">
        <v>1</v>
      </c>
      <c r="O1911">
        <v>0</v>
      </c>
      <c r="P1911">
        <v>10072</v>
      </c>
      <c r="Q1911">
        <v>3664</v>
      </c>
      <c r="R1911">
        <v>374</v>
      </c>
      <c r="S1911">
        <v>3769</v>
      </c>
      <c r="T1911">
        <v>0</v>
      </c>
      <c r="U1911">
        <v>2265</v>
      </c>
      <c r="V1911" s="1">
        <f t="shared" si="87"/>
        <v>0.31319999999999998</v>
      </c>
      <c r="W1911" s="1">
        <f t="shared" si="88"/>
        <v>1.4E-3</v>
      </c>
      <c r="X1911" s="1">
        <f t="shared" si="89"/>
        <v>0</v>
      </c>
    </row>
    <row r="1912" spans="1:24" x14ac:dyDescent="0.25">
      <c r="A1912">
        <v>2011</v>
      </c>
      <c r="B1912">
        <v>4</v>
      </c>
      <c r="C1912" t="s">
        <v>39</v>
      </c>
      <c r="D1912" t="str">
        <f>_xlfn.XLOOKUP(C1912,'Carrier Name Rename'!A:A,'Carrier Name Rename'!B:B)</f>
        <v>Frontier Airlines Inc.</v>
      </c>
      <c r="E1912" t="s">
        <v>23</v>
      </c>
      <c r="F1912" t="s">
        <v>24</v>
      </c>
      <c r="G1912">
        <v>135</v>
      </c>
      <c r="H1912">
        <v>39</v>
      </c>
      <c r="I1912">
        <v>15.02</v>
      </c>
      <c r="J1912">
        <v>0</v>
      </c>
      <c r="K1912">
        <v>11.03</v>
      </c>
      <c r="L1912">
        <v>0</v>
      </c>
      <c r="M1912">
        <v>12.95</v>
      </c>
      <c r="N1912">
        <v>0</v>
      </c>
      <c r="O1912">
        <v>0</v>
      </c>
      <c r="P1912">
        <v>1449</v>
      </c>
      <c r="Q1912">
        <v>502</v>
      </c>
      <c r="R1912">
        <v>0</v>
      </c>
      <c r="S1912">
        <v>398</v>
      </c>
      <c r="T1912">
        <v>0</v>
      </c>
      <c r="U1912">
        <v>549</v>
      </c>
      <c r="V1912" s="1">
        <f t="shared" si="87"/>
        <v>0.28889999999999999</v>
      </c>
      <c r="W1912" s="1">
        <f t="shared" si="88"/>
        <v>0</v>
      </c>
      <c r="X1912" s="1">
        <f t="shared" si="89"/>
        <v>0</v>
      </c>
    </row>
    <row r="1913" spans="1:24" x14ac:dyDescent="0.25">
      <c r="A1913">
        <v>2011</v>
      </c>
      <c r="B1913">
        <v>4</v>
      </c>
      <c r="C1913" t="s">
        <v>63</v>
      </c>
      <c r="D1913" t="str">
        <f>_xlfn.XLOOKUP(C1913,'Carrier Name Rename'!A:A,'Carrier Name Rename'!B:B)</f>
        <v>AirTran Airways Corporation</v>
      </c>
      <c r="E1913" t="s">
        <v>23</v>
      </c>
      <c r="F1913" t="s">
        <v>24</v>
      </c>
      <c r="G1913">
        <v>47</v>
      </c>
      <c r="H1913">
        <v>13</v>
      </c>
      <c r="I1913">
        <v>3.63</v>
      </c>
      <c r="J1913">
        <v>1</v>
      </c>
      <c r="K1913">
        <v>6.8</v>
      </c>
      <c r="L1913">
        <v>0</v>
      </c>
      <c r="M1913">
        <v>1.57</v>
      </c>
      <c r="N1913">
        <v>0</v>
      </c>
      <c r="O1913">
        <v>0</v>
      </c>
      <c r="P1913">
        <v>564</v>
      </c>
      <c r="Q1913">
        <v>144</v>
      </c>
      <c r="R1913">
        <v>33</v>
      </c>
      <c r="S1913">
        <v>334</v>
      </c>
      <c r="T1913">
        <v>0</v>
      </c>
      <c r="U1913">
        <v>53</v>
      </c>
      <c r="V1913" s="1">
        <f t="shared" si="87"/>
        <v>0.27660000000000001</v>
      </c>
      <c r="W1913" s="1">
        <f t="shared" si="88"/>
        <v>0</v>
      </c>
      <c r="X1913" s="1">
        <f t="shared" si="89"/>
        <v>0</v>
      </c>
    </row>
    <row r="1914" spans="1:24" x14ac:dyDescent="0.25">
      <c r="A1914">
        <v>2011</v>
      </c>
      <c r="B1914">
        <v>4</v>
      </c>
      <c r="C1914" t="s">
        <v>21</v>
      </c>
      <c r="D1914" t="str">
        <f>_xlfn.XLOOKUP(C1914,'Carrier Name Rename'!A:A,'Carrier Name Rename'!B:B)</f>
        <v>Hawaiian Airlines Inc.</v>
      </c>
      <c r="E1914" t="s">
        <v>23</v>
      </c>
      <c r="F1914" t="s">
        <v>24</v>
      </c>
      <c r="G1914">
        <v>63</v>
      </c>
      <c r="H1914">
        <v>9</v>
      </c>
      <c r="I1914">
        <v>9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597</v>
      </c>
      <c r="Q1914">
        <v>597</v>
      </c>
      <c r="R1914">
        <v>0</v>
      </c>
      <c r="S1914">
        <v>0</v>
      </c>
      <c r="T1914">
        <v>0</v>
      </c>
      <c r="U1914">
        <v>0</v>
      </c>
      <c r="V1914" s="1">
        <f t="shared" si="87"/>
        <v>0.1429</v>
      </c>
      <c r="W1914" s="1">
        <f t="shared" si="88"/>
        <v>0</v>
      </c>
      <c r="X1914" s="1">
        <f t="shared" si="89"/>
        <v>0</v>
      </c>
    </row>
    <row r="1915" spans="1:24" x14ac:dyDescent="0.25">
      <c r="A1915">
        <v>2011</v>
      </c>
      <c r="B1915">
        <v>4</v>
      </c>
      <c r="C1915" t="s">
        <v>27</v>
      </c>
      <c r="D1915" t="str">
        <f>_xlfn.XLOOKUP(C1915,'Carrier Name Rename'!A:A,'Carrier Name Rename'!B:B)</f>
        <v>SkyWest Airlines Inc.</v>
      </c>
      <c r="E1915" t="s">
        <v>23</v>
      </c>
      <c r="F1915" t="s">
        <v>24</v>
      </c>
      <c r="G1915">
        <v>438</v>
      </c>
      <c r="H1915">
        <v>61</v>
      </c>
      <c r="I1915">
        <v>9.76</v>
      </c>
      <c r="J1915">
        <v>0.05</v>
      </c>
      <c r="K1915">
        <v>25.29</v>
      </c>
      <c r="L1915">
        <v>0</v>
      </c>
      <c r="M1915">
        <v>25.9</v>
      </c>
      <c r="N1915">
        <v>3</v>
      </c>
      <c r="O1915">
        <v>0</v>
      </c>
      <c r="P1915">
        <v>2309</v>
      </c>
      <c r="Q1915">
        <v>441</v>
      </c>
      <c r="R1915">
        <v>4</v>
      </c>
      <c r="S1915">
        <v>708</v>
      </c>
      <c r="T1915">
        <v>0</v>
      </c>
      <c r="U1915">
        <v>1156</v>
      </c>
      <c r="V1915" s="1">
        <f t="shared" si="87"/>
        <v>0.13930000000000001</v>
      </c>
      <c r="W1915" s="1">
        <f t="shared" si="88"/>
        <v>6.7999999999999996E-3</v>
      </c>
      <c r="X1915" s="1">
        <f t="shared" si="89"/>
        <v>0</v>
      </c>
    </row>
    <row r="1916" spans="1:24" x14ac:dyDescent="0.25">
      <c r="A1916">
        <v>2011</v>
      </c>
      <c r="B1916">
        <v>4</v>
      </c>
      <c r="C1916" t="s">
        <v>41</v>
      </c>
      <c r="D1916" t="str">
        <f>_xlfn.XLOOKUP(C1916,'Carrier Name Rename'!A:A,'Carrier Name Rename'!B:B)</f>
        <v>United Air Lines Inc.</v>
      </c>
      <c r="E1916" t="s">
        <v>23</v>
      </c>
      <c r="F1916" t="s">
        <v>24</v>
      </c>
      <c r="G1916">
        <v>525</v>
      </c>
      <c r="H1916">
        <v>101</v>
      </c>
      <c r="I1916">
        <v>14.47</v>
      </c>
      <c r="J1916">
        <v>2.44</v>
      </c>
      <c r="K1916">
        <v>36.25</v>
      </c>
      <c r="L1916">
        <v>0</v>
      </c>
      <c r="M1916">
        <v>47.84</v>
      </c>
      <c r="N1916">
        <v>2</v>
      </c>
      <c r="O1916">
        <v>1</v>
      </c>
      <c r="P1916">
        <v>5852</v>
      </c>
      <c r="Q1916">
        <v>766</v>
      </c>
      <c r="R1916">
        <v>274</v>
      </c>
      <c r="S1916">
        <v>1470</v>
      </c>
      <c r="T1916">
        <v>0</v>
      </c>
      <c r="U1916">
        <v>3342</v>
      </c>
      <c r="V1916" s="1">
        <f t="shared" si="87"/>
        <v>0.19239999999999999</v>
      </c>
      <c r="W1916" s="1">
        <f t="shared" si="88"/>
        <v>3.8E-3</v>
      </c>
      <c r="X1916" s="1">
        <f t="shared" si="89"/>
        <v>1.9E-3</v>
      </c>
    </row>
    <row r="1917" spans="1:24" x14ac:dyDescent="0.25">
      <c r="A1917">
        <v>2011</v>
      </c>
      <c r="B1917">
        <v>4</v>
      </c>
      <c r="C1917" t="s">
        <v>61</v>
      </c>
      <c r="D1917" t="str">
        <f>_xlfn.XLOOKUP(C1917,'Carrier Name Rename'!A:A,'Carrier Name Rename'!B:B)</f>
        <v>US Airways Inc.</v>
      </c>
      <c r="E1917" t="s">
        <v>23</v>
      </c>
      <c r="F1917" t="s">
        <v>24</v>
      </c>
      <c r="G1917">
        <v>254</v>
      </c>
      <c r="H1917">
        <v>64</v>
      </c>
      <c r="I1917">
        <v>20.22</v>
      </c>
      <c r="J1917">
        <v>1</v>
      </c>
      <c r="K1917">
        <v>34.11</v>
      </c>
      <c r="L1917">
        <v>0.1</v>
      </c>
      <c r="M1917">
        <v>8.56</v>
      </c>
      <c r="N1917">
        <v>1</v>
      </c>
      <c r="O1917">
        <v>1</v>
      </c>
      <c r="P1917">
        <v>3013</v>
      </c>
      <c r="Q1917">
        <v>915</v>
      </c>
      <c r="R1917">
        <v>188</v>
      </c>
      <c r="S1917">
        <v>1140</v>
      </c>
      <c r="T1917">
        <v>10</v>
      </c>
      <c r="U1917">
        <v>760</v>
      </c>
      <c r="V1917" s="1">
        <f t="shared" si="87"/>
        <v>0.252</v>
      </c>
      <c r="W1917" s="1">
        <f t="shared" si="88"/>
        <v>3.8999999999999998E-3</v>
      </c>
      <c r="X1917" s="1">
        <f t="shared" si="89"/>
        <v>3.8999999999999998E-3</v>
      </c>
    </row>
    <row r="1918" spans="1:24" x14ac:dyDescent="0.25">
      <c r="A1918">
        <v>2011</v>
      </c>
      <c r="B1918">
        <v>4</v>
      </c>
      <c r="C1918" t="s">
        <v>43</v>
      </c>
      <c r="D1918" t="str">
        <f>_xlfn.XLOOKUP(C1918,'Carrier Name Rename'!A:A,'Carrier Name Rename'!B:B)</f>
        <v>Southwest Airlines Co.</v>
      </c>
      <c r="E1918" t="s">
        <v>23</v>
      </c>
      <c r="F1918" t="s">
        <v>24</v>
      </c>
      <c r="G1918">
        <v>1100</v>
      </c>
      <c r="H1918">
        <v>260</v>
      </c>
      <c r="I1918">
        <v>87.47</v>
      </c>
      <c r="J1918">
        <v>1.66</v>
      </c>
      <c r="K1918">
        <v>35.79</v>
      </c>
      <c r="L1918">
        <v>0</v>
      </c>
      <c r="M1918">
        <v>135.08000000000001</v>
      </c>
      <c r="N1918">
        <v>15</v>
      </c>
      <c r="O1918">
        <v>0</v>
      </c>
      <c r="P1918">
        <v>12550</v>
      </c>
      <c r="Q1918">
        <v>4071</v>
      </c>
      <c r="R1918">
        <v>125</v>
      </c>
      <c r="S1918">
        <v>1124</v>
      </c>
      <c r="T1918">
        <v>0</v>
      </c>
      <c r="U1918">
        <v>7230</v>
      </c>
      <c r="V1918" s="1">
        <f t="shared" si="87"/>
        <v>0.2364</v>
      </c>
      <c r="W1918" s="1">
        <f t="shared" si="88"/>
        <v>1.3599999999999999E-2</v>
      </c>
      <c r="X1918" s="1">
        <f t="shared" si="89"/>
        <v>0</v>
      </c>
    </row>
    <row r="1919" spans="1:24" x14ac:dyDescent="0.25">
      <c r="A1919">
        <v>2011</v>
      </c>
      <c r="B1919">
        <v>3</v>
      </c>
      <c r="C1919" t="s">
        <v>31</v>
      </c>
      <c r="D1919" t="str">
        <f>_xlfn.XLOOKUP(C1919,'Carrier Name Rename'!A:A,'Carrier Name Rename'!B:B)</f>
        <v>American Airlines Inc.</v>
      </c>
      <c r="E1919" t="s">
        <v>23</v>
      </c>
      <c r="F1919" t="s">
        <v>24</v>
      </c>
      <c r="G1919">
        <v>368</v>
      </c>
      <c r="H1919">
        <v>120</v>
      </c>
      <c r="I1919">
        <v>48.42</v>
      </c>
      <c r="J1919">
        <v>3.25</v>
      </c>
      <c r="K1919">
        <v>51.54</v>
      </c>
      <c r="L1919">
        <v>0</v>
      </c>
      <c r="M1919">
        <v>16.8</v>
      </c>
      <c r="N1919">
        <v>1</v>
      </c>
      <c r="O1919">
        <v>0</v>
      </c>
      <c r="P1919">
        <v>4887</v>
      </c>
      <c r="Q1919">
        <v>2359</v>
      </c>
      <c r="R1919">
        <v>180</v>
      </c>
      <c r="S1919">
        <v>1381</v>
      </c>
      <c r="T1919">
        <v>0</v>
      </c>
      <c r="U1919">
        <v>967</v>
      </c>
      <c r="V1919" s="1">
        <f t="shared" si="87"/>
        <v>0.3261</v>
      </c>
      <c r="W1919" s="1">
        <f t="shared" si="88"/>
        <v>2.7000000000000001E-3</v>
      </c>
      <c r="X1919" s="1">
        <f t="shared" si="89"/>
        <v>0</v>
      </c>
    </row>
    <row r="1920" spans="1:24" x14ac:dyDescent="0.25">
      <c r="A1920">
        <v>2011</v>
      </c>
      <c r="B1920">
        <v>3</v>
      </c>
      <c r="C1920" t="s">
        <v>33</v>
      </c>
      <c r="D1920" t="str">
        <f>_xlfn.XLOOKUP(C1920,'Carrier Name Rename'!A:A,'Carrier Name Rename'!B:B)</f>
        <v>Alaska Airlines Inc.</v>
      </c>
      <c r="E1920" t="s">
        <v>23</v>
      </c>
      <c r="F1920" t="s">
        <v>24</v>
      </c>
      <c r="G1920">
        <v>3649</v>
      </c>
      <c r="H1920">
        <v>588</v>
      </c>
      <c r="I1920">
        <v>141.78</v>
      </c>
      <c r="J1920">
        <v>10.66</v>
      </c>
      <c r="K1920">
        <v>204.18</v>
      </c>
      <c r="L1920">
        <v>0.94</v>
      </c>
      <c r="M1920">
        <v>230.44</v>
      </c>
      <c r="N1920">
        <v>37</v>
      </c>
      <c r="O1920">
        <v>5</v>
      </c>
      <c r="P1920">
        <v>38386</v>
      </c>
      <c r="Q1920">
        <v>12552</v>
      </c>
      <c r="R1920">
        <v>2309</v>
      </c>
      <c r="S1920">
        <v>5957</v>
      </c>
      <c r="T1920">
        <v>39</v>
      </c>
      <c r="U1920">
        <v>17529</v>
      </c>
      <c r="V1920" s="1">
        <f t="shared" si="87"/>
        <v>0.16109999999999999</v>
      </c>
      <c r="W1920" s="1">
        <f t="shared" si="88"/>
        <v>1.01E-2</v>
      </c>
      <c r="X1920" s="1">
        <f t="shared" si="89"/>
        <v>1.4E-3</v>
      </c>
    </row>
    <row r="1921" spans="1:24" x14ac:dyDescent="0.25">
      <c r="A1921">
        <v>2011</v>
      </c>
      <c r="B1921">
        <v>3</v>
      </c>
      <c r="C1921" t="s">
        <v>35</v>
      </c>
      <c r="D1921" t="str">
        <f>_xlfn.XLOOKUP(C1921,'Carrier Name Rename'!A:A,'Carrier Name Rename'!B:B)</f>
        <v>JetBlue Airways</v>
      </c>
      <c r="E1921" t="s">
        <v>23</v>
      </c>
      <c r="F1921" t="s">
        <v>24</v>
      </c>
      <c r="G1921">
        <v>130</v>
      </c>
      <c r="H1921">
        <v>34</v>
      </c>
      <c r="I1921">
        <v>10.86</v>
      </c>
      <c r="J1921">
        <v>0</v>
      </c>
      <c r="K1921">
        <v>13.75</v>
      </c>
      <c r="L1921">
        <v>0</v>
      </c>
      <c r="M1921">
        <v>9.39</v>
      </c>
      <c r="N1921">
        <v>2</v>
      </c>
      <c r="O1921">
        <v>0</v>
      </c>
      <c r="P1921">
        <v>1338</v>
      </c>
      <c r="Q1921">
        <v>495</v>
      </c>
      <c r="R1921">
        <v>0</v>
      </c>
      <c r="S1921">
        <v>377</v>
      </c>
      <c r="T1921">
        <v>0</v>
      </c>
      <c r="U1921">
        <v>466</v>
      </c>
      <c r="V1921" s="1">
        <f t="shared" si="87"/>
        <v>0.26150000000000001</v>
      </c>
      <c r="W1921" s="1">
        <f t="shared" si="88"/>
        <v>1.54E-2</v>
      </c>
      <c r="X1921" s="1">
        <f t="shared" si="89"/>
        <v>0</v>
      </c>
    </row>
    <row r="1922" spans="1:24" x14ac:dyDescent="0.25">
      <c r="A1922">
        <v>2011</v>
      </c>
      <c r="B1922">
        <v>3</v>
      </c>
      <c r="C1922" t="s">
        <v>65</v>
      </c>
      <c r="D1922" t="str">
        <f>_xlfn.XLOOKUP(C1922,'Carrier Name Rename'!A:A,'Carrier Name Rename'!B:B)</f>
        <v>Continental Air Lines Inc.</v>
      </c>
      <c r="E1922" t="s">
        <v>23</v>
      </c>
      <c r="F1922" t="s">
        <v>24</v>
      </c>
      <c r="G1922">
        <v>338</v>
      </c>
      <c r="H1922">
        <v>128</v>
      </c>
      <c r="I1922">
        <v>41.58</v>
      </c>
      <c r="J1922">
        <v>1.53</v>
      </c>
      <c r="K1922">
        <v>69.819999999999993</v>
      </c>
      <c r="L1922">
        <v>0.61</v>
      </c>
      <c r="M1922">
        <v>14.47</v>
      </c>
      <c r="N1922">
        <v>0</v>
      </c>
      <c r="O1922">
        <v>2</v>
      </c>
      <c r="P1922">
        <v>5230</v>
      </c>
      <c r="Q1922">
        <v>1612</v>
      </c>
      <c r="R1922">
        <v>95</v>
      </c>
      <c r="S1922">
        <v>2655</v>
      </c>
      <c r="T1922">
        <v>19</v>
      </c>
      <c r="U1922">
        <v>849</v>
      </c>
      <c r="V1922" s="1">
        <f t="shared" si="87"/>
        <v>0.37869999999999998</v>
      </c>
      <c r="W1922" s="1">
        <f t="shared" si="88"/>
        <v>0</v>
      </c>
      <c r="X1922" s="1">
        <f t="shared" si="89"/>
        <v>5.8999999999999999E-3</v>
      </c>
    </row>
    <row r="1923" spans="1:24" x14ac:dyDescent="0.25">
      <c r="A1923">
        <v>2011</v>
      </c>
      <c r="B1923">
        <v>3</v>
      </c>
      <c r="C1923" t="s">
        <v>37</v>
      </c>
      <c r="D1923" t="str">
        <f>_xlfn.XLOOKUP(C1923,'Carrier Name Rename'!A:A,'Carrier Name Rename'!B:B)</f>
        <v>Delta Air Lines Inc.</v>
      </c>
      <c r="E1923" t="s">
        <v>23</v>
      </c>
      <c r="F1923" t="s">
        <v>24</v>
      </c>
      <c r="G1923">
        <v>692</v>
      </c>
      <c r="H1923">
        <v>182</v>
      </c>
      <c r="I1923">
        <v>48.35</v>
      </c>
      <c r="J1923">
        <v>1.53</v>
      </c>
      <c r="K1923">
        <v>87.94</v>
      </c>
      <c r="L1923">
        <v>0</v>
      </c>
      <c r="M1923">
        <v>44.18</v>
      </c>
      <c r="N1923">
        <v>1</v>
      </c>
      <c r="O1923">
        <v>0</v>
      </c>
      <c r="P1923">
        <v>7733</v>
      </c>
      <c r="Q1923">
        <v>2062</v>
      </c>
      <c r="R1923">
        <v>143</v>
      </c>
      <c r="S1923">
        <v>2705</v>
      </c>
      <c r="T1923">
        <v>0</v>
      </c>
      <c r="U1923">
        <v>2823</v>
      </c>
      <c r="V1923" s="1">
        <f t="shared" ref="V1923:V1986" si="90">ROUND(H1923/G1923,4)</f>
        <v>0.26300000000000001</v>
      </c>
      <c r="W1923" s="1">
        <f t="shared" ref="W1923:W1986" si="91">ROUND(N1923/G1923,4)</f>
        <v>1.4E-3</v>
      </c>
      <c r="X1923" s="1">
        <f t="shared" ref="X1923:X1986" si="92">ROUND(O1923/G1923,4)</f>
        <v>0</v>
      </c>
    </row>
    <row r="1924" spans="1:24" x14ac:dyDescent="0.25">
      <c r="A1924">
        <v>2011</v>
      </c>
      <c r="B1924">
        <v>3</v>
      </c>
      <c r="C1924" t="s">
        <v>39</v>
      </c>
      <c r="D1924" t="str">
        <f>_xlfn.XLOOKUP(C1924,'Carrier Name Rename'!A:A,'Carrier Name Rename'!B:B)</f>
        <v>Frontier Airlines Inc.</v>
      </c>
      <c r="E1924" t="s">
        <v>23</v>
      </c>
      <c r="F1924" t="s">
        <v>24</v>
      </c>
      <c r="G1924">
        <v>133</v>
      </c>
      <c r="H1924">
        <v>39</v>
      </c>
      <c r="I1924">
        <v>9.41</v>
      </c>
      <c r="J1924">
        <v>0.3</v>
      </c>
      <c r="K1924">
        <v>17.75</v>
      </c>
      <c r="L1924">
        <v>0</v>
      </c>
      <c r="M1924">
        <v>11.53</v>
      </c>
      <c r="N1924">
        <v>0</v>
      </c>
      <c r="O1924">
        <v>1</v>
      </c>
      <c r="P1924">
        <v>1782</v>
      </c>
      <c r="Q1924">
        <v>373</v>
      </c>
      <c r="R1924">
        <v>9</v>
      </c>
      <c r="S1924">
        <v>444</v>
      </c>
      <c r="T1924">
        <v>0</v>
      </c>
      <c r="U1924">
        <v>956</v>
      </c>
      <c r="V1924" s="1">
        <f t="shared" si="90"/>
        <v>0.29320000000000002</v>
      </c>
      <c r="W1924" s="1">
        <f t="shared" si="91"/>
        <v>0</v>
      </c>
      <c r="X1924" s="1">
        <f t="shared" si="92"/>
        <v>7.4999999999999997E-3</v>
      </c>
    </row>
    <row r="1925" spans="1:24" x14ac:dyDescent="0.25">
      <c r="A1925">
        <v>2011</v>
      </c>
      <c r="B1925">
        <v>3</v>
      </c>
      <c r="C1925" t="s">
        <v>63</v>
      </c>
      <c r="D1925" t="str">
        <f>_xlfn.XLOOKUP(C1925,'Carrier Name Rename'!A:A,'Carrier Name Rename'!B:B)</f>
        <v>AirTran Airways Corporation</v>
      </c>
      <c r="E1925" t="s">
        <v>23</v>
      </c>
      <c r="F1925" t="s">
        <v>24</v>
      </c>
      <c r="G1925">
        <v>31</v>
      </c>
      <c r="H1925">
        <v>14</v>
      </c>
      <c r="I1925">
        <v>3.67</v>
      </c>
      <c r="J1925">
        <v>0</v>
      </c>
      <c r="K1925">
        <v>6.04</v>
      </c>
      <c r="L1925">
        <v>0</v>
      </c>
      <c r="M1925">
        <v>4.29</v>
      </c>
      <c r="N1925">
        <v>0</v>
      </c>
      <c r="O1925">
        <v>0</v>
      </c>
      <c r="P1925">
        <v>352</v>
      </c>
      <c r="Q1925">
        <v>107</v>
      </c>
      <c r="R1925">
        <v>0</v>
      </c>
      <c r="S1925">
        <v>143</v>
      </c>
      <c r="T1925">
        <v>0</v>
      </c>
      <c r="U1925">
        <v>102</v>
      </c>
      <c r="V1925" s="1">
        <f t="shared" si="90"/>
        <v>0.4516</v>
      </c>
      <c r="W1925" s="1">
        <f t="shared" si="91"/>
        <v>0</v>
      </c>
      <c r="X1925" s="1">
        <f t="shared" si="92"/>
        <v>0</v>
      </c>
    </row>
    <row r="1926" spans="1:24" x14ac:dyDescent="0.25">
      <c r="A1926">
        <v>2011</v>
      </c>
      <c r="B1926">
        <v>3</v>
      </c>
      <c r="C1926" t="s">
        <v>21</v>
      </c>
      <c r="D1926" t="str">
        <f>_xlfn.XLOOKUP(C1926,'Carrier Name Rename'!A:A,'Carrier Name Rename'!B:B)</f>
        <v>Hawaiian Airlines Inc.</v>
      </c>
      <c r="E1926" t="s">
        <v>23</v>
      </c>
      <c r="F1926" t="s">
        <v>24</v>
      </c>
      <c r="G1926">
        <v>74</v>
      </c>
      <c r="H1926">
        <v>15</v>
      </c>
      <c r="I1926">
        <v>13.29</v>
      </c>
      <c r="J1926">
        <v>0</v>
      </c>
      <c r="K1926">
        <v>0</v>
      </c>
      <c r="L1926">
        <v>0</v>
      </c>
      <c r="M1926">
        <v>1.71</v>
      </c>
      <c r="N1926">
        <v>0</v>
      </c>
      <c r="O1926">
        <v>1</v>
      </c>
      <c r="P1926">
        <v>596</v>
      </c>
      <c r="Q1926">
        <v>529</v>
      </c>
      <c r="R1926">
        <v>0</v>
      </c>
      <c r="S1926">
        <v>0</v>
      </c>
      <c r="T1926">
        <v>0</v>
      </c>
      <c r="U1926">
        <v>67</v>
      </c>
      <c r="V1926" s="1">
        <f t="shared" si="90"/>
        <v>0.20269999999999999</v>
      </c>
      <c r="W1926" s="1">
        <f t="shared" si="91"/>
        <v>0</v>
      </c>
      <c r="X1926" s="1">
        <f t="shared" si="92"/>
        <v>1.35E-2</v>
      </c>
    </row>
    <row r="1927" spans="1:24" x14ac:dyDescent="0.25">
      <c r="A1927">
        <v>2011</v>
      </c>
      <c r="B1927">
        <v>3</v>
      </c>
      <c r="C1927" t="s">
        <v>27</v>
      </c>
      <c r="D1927" t="str">
        <f>_xlfn.XLOOKUP(C1927,'Carrier Name Rename'!A:A,'Carrier Name Rename'!B:B)</f>
        <v>SkyWest Airlines Inc.</v>
      </c>
      <c r="E1927" t="s">
        <v>23</v>
      </c>
      <c r="F1927" t="s">
        <v>24</v>
      </c>
      <c r="G1927">
        <v>515</v>
      </c>
      <c r="H1927">
        <v>75</v>
      </c>
      <c r="I1927">
        <v>27.56</v>
      </c>
      <c r="J1927">
        <v>0</v>
      </c>
      <c r="K1927">
        <v>16.18</v>
      </c>
      <c r="L1927">
        <v>0</v>
      </c>
      <c r="M1927">
        <v>31.26</v>
      </c>
      <c r="N1927">
        <v>4</v>
      </c>
      <c r="O1927">
        <v>0</v>
      </c>
      <c r="P1927">
        <v>2952</v>
      </c>
      <c r="Q1927">
        <v>1161</v>
      </c>
      <c r="R1927">
        <v>0</v>
      </c>
      <c r="S1927">
        <v>447</v>
      </c>
      <c r="T1927">
        <v>0</v>
      </c>
      <c r="U1927">
        <v>1344</v>
      </c>
      <c r="V1927" s="1">
        <f t="shared" si="90"/>
        <v>0.14560000000000001</v>
      </c>
      <c r="W1927" s="1">
        <f t="shared" si="91"/>
        <v>7.7999999999999996E-3</v>
      </c>
      <c r="X1927" s="1">
        <f t="shared" si="92"/>
        <v>0</v>
      </c>
    </row>
    <row r="1928" spans="1:24" x14ac:dyDescent="0.25">
      <c r="A1928">
        <v>2011</v>
      </c>
      <c r="B1928">
        <v>3</v>
      </c>
      <c r="C1928" t="s">
        <v>41</v>
      </c>
      <c r="D1928" t="str">
        <f>_xlfn.XLOOKUP(C1928,'Carrier Name Rename'!A:A,'Carrier Name Rename'!B:B)</f>
        <v>United Air Lines Inc.</v>
      </c>
      <c r="E1928" t="s">
        <v>23</v>
      </c>
      <c r="F1928" t="s">
        <v>24</v>
      </c>
      <c r="G1928">
        <v>562</v>
      </c>
      <c r="H1928">
        <v>83</v>
      </c>
      <c r="I1928">
        <v>20.260000000000002</v>
      </c>
      <c r="J1928">
        <v>1.42</v>
      </c>
      <c r="K1928">
        <v>18</v>
      </c>
      <c r="L1928">
        <v>0</v>
      </c>
      <c r="M1928">
        <v>43.31</v>
      </c>
      <c r="N1928">
        <v>2</v>
      </c>
      <c r="O1928">
        <v>3</v>
      </c>
      <c r="P1928">
        <v>4732</v>
      </c>
      <c r="Q1928">
        <v>1285</v>
      </c>
      <c r="R1928">
        <v>53</v>
      </c>
      <c r="S1928">
        <v>577</v>
      </c>
      <c r="T1928">
        <v>0</v>
      </c>
      <c r="U1928">
        <v>2817</v>
      </c>
      <c r="V1928" s="1">
        <f t="shared" si="90"/>
        <v>0.1477</v>
      </c>
      <c r="W1928" s="1">
        <f t="shared" si="91"/>
        <v>3.5999999999999999E-3</v>
      </c>
      <c r="X1928" s="1">
        <f t="shared" si="92"/>
        <v>5.3E-3</v>
      </c>
    </row>
    <row r="1929" spans="1:24" x14ac:dyDescent="0.25">
      <c r="A1929">
        <v>2011</v>
      </c>
      <c r="B1929">
        <v>3</v>
      </c>
      <c r="C1929" t="s">
        <v>61</v>
      </c>
      <c r="D1929" t="str">
        <f>_xlfn.XLOOKUP(C1929,'Carrier Name Rename'!A:A,'Carrier Name Rename'!B:B)</f>
        <v>US Airways Inc.</v>
      </c>
      <c r="E1929" t="s">
        <v>23</v>
      </c>
      <c r="F1929" t="s">
        <v>24</v>
      </c>
      <c r="G1929">
        <v>259</v>
      </c>
      <c r="H1929">
        <v>53</v>
      </c>
      <c r="I1929">
        <v>22.69</v>
      </c>
      <c r="J1929">
        <v>0.08</v>
      </c>
      <c r="K1929">
        <v>17.41</v>
      </c>
      <c r="L1929">
        <v>1.27</v>
      </c>
      <c r="M1929">
        <v>11.55</v>
      </c>
      <c r="N1929">
        <v>1</v>
      </c>
      <c r="O1929">
        <v>0</v>
      </c>
      <c r="P1929">
        <v>2178</v>
      </c>
      <c r="Q1929">
        <v>997</v>
      </c>
      <c r="R1929">
        <v>8</v>
      </c>
      <c r="S1929">
        <v>562</v>
      </c>
      <c r="T1929">
        <v>28</v>
      </c>
      <c r="U1929">
        <v>583</v>
      </c>
      <c r="V1929" s="1">
        <f t="shared" si="90"/>
        <v>0.2046</v>
      </c>
      <c r="W1929" s="1">
        <f t="shared" si="91"/>
        <v>3.8999999999999998E-3</v>
      </c>
      <c r="X1929" s="1">
        <f t="shared" si="92"/>
        <v>0</v>
      </c>
    </row>
    <row r="1930" spans="1:24" x14ac:dyDescent="0.25">
      <c r="A1930">
        <v>2011</v>
      </c>
      <c r="B1930">
        <v>3</v>
      </c>
      <c r="C1930" t="s">
        <v>43</v>
      </c>
      <c r="D1930" t="str">
        <f>_xlfn.XLOOKUP(C1930,'Carrier Name Rename'!A:A,'Carrier Name Rename'!B:B)</f>
        <v>Southwest Airlines Co.</v>
      </c>
      <c r="E1930" t="s">
        <v>23</v>
      </c>
      <c r="F1930" t="s">
        <v>24</v>
      </c>
      <c r="G1930">
        <v>1109</v>
      </c>
      <c r="H1930">
        <v>241</v>
      </c>
      <c r="I1930">
        <v>83.28</v>
      </c>
      <c r="J1930">
        <v>0.49</v>
      </c>
      <c r="K1930">
        <v>33.17</v>
      </c>
      <c r="L1930">
        <v>0.69</v>
      </c>
      <c r="M1930">
        <v>123.37</v>
      </c>
      <c r="N1930">
        <v>2</v>
      </c>
      <c r="O1930">
        <v>0</v>
      </c>
      <c r="P1930">
        <v>10326</v>
      </c>
      <c r="Q1930">
        <v>3904</v>
      </c>
      <c r="R1930">
        <v>22</v>
      </c>
      <c r="S1930">
        <v>997</v>
      </c>
      <c r="T1930">
        <v>14</v>
      </c>
      <c r="U1930">
        <v>5389</v>
      </c>
      <c r="V1930" s="1">
        <f t="shared" si="90"/>
        <v>0.21729999999999999</v>
      </c>
      <c r="W1930" s="1">
        <f t="shared" si="91"/>
        <v>1.8E-3</v>
      </c>
      <c r="X1930" s="1">
        <f t="shared" si="92"/>
        <v>0</v>
      </c>
    </row>
    <row r="1931" spans="1:24" x14ac:dyDescent="0.25">
      <c r="A1931">
        <v>2011</v>
      </c>
      <c r="B1931">
        <v>2</v>
      </c>
      <c r="C1931" t="s">
        <v>31</v>
      </c>
      <c r="D1931" t="str">
        <f>_xlfn.XLOOKUP(C1931,'Carrier Name Rename'!A:A,'Carrier Name Rename'!B:B)</f>
        <v>American Airlines Inc.</v>
      </c>
      <c r="E1931" t="s">
        <v>23</v>
      </c>
      <c r="F1931" t="s">
        <v>24</v>
      </c>
      <c r="G1931">
        <v>331</v>
      </c>
      <c r="H1931">
        <v>124</v>
      </c>
      <c r="I1931">
        <v>33.25</v>
      </c>
      <c r="J1931">
        <v>15.55</v>
      </c>
      <c r="K1931">
        <v>57.1</v>
      </c>
      <c r="L1931">
        <v>0</v>
      </c>
      <c r="M1931">
        <v>18.100000000000001</v>
      </c>
      <c r="N1931">
        <v>19</v>
      </c>
      <c r="O1931">
        <v>1</v>
      </c>
      <c r="P1931">
        <v>5853</v>
      </c>
      <c r="Q1931">
        <v>1789</v>
      </c>
      <c r="R1931">
        <v>941</v>
      </c>
      <c r="S1931">
        <v>2088</v>
      </c>
      <c r="T1931">
        <v>0</v>
      </c>
      <c r="U1931">
        <v>1035</v>
      </c>
      <c r="V1931" s="1">
        <f t="shared" si="90"/>
        <v>0.37459999999999999</v>
      </c>
      <c r="W1931" s="1">
        <f t="shared" si="91"/>
        <v>5.74E-2</v>
      </c>
      <c r="X1931" s="1">
        <f t="shared" si="92"/>
        <v>3.0000000000000001E-3</v>
      </c>
    </row>
    <row r="1932" spans="1:24" x14ac:dyDescent="0.25">
      <c r="A1932">
        <v>2011</v>
      </c>
      <c r="B1932">
        <v>2</v>
      </c>
      <c r="C1932" t="s">
        <v>33</v>
      </c>
      <c r="D1932" t="str">
        <f>_xlfn.XLOOKUP(C1932,'Carrier Name Rename'!A:A,'Carrier Name Rename'!B:B)</f>
        <v>Alaska Airlines Inc.</v>
      </c>
      <c r="E1932" t="s">
        <v>23</v>
      </c>
      <c r="F1932" t="s">
        <v>24</v>
      </c>
      <c r="G1932">
        <v>3188</v>
      </c>
      <c r="H1932">
        <v>474</v>
      </c>
      <c r="I1932">
        <v>102.74</v>
      </c>
      <c r="J1932">
        <v>10.039999999999999</v>
      </c>
      <c r="K1932">
        <v>206.88</v>
      </c>
      <c r="L1932">
        <v>2.78</v>
      </c>
      <c r="M1932">
        <v>151.56</v>
      </c>
      <c r="N1932">
        <v>28</v>
      </c>
      <c r="O1932">
        <v>3</v>
      </c>
      <c r="P1932">
        <v>22029</v>
      </c>
      <c r="Q1932">
        <v>6293</v>
      </c>
      <c r="R1932">
        <v>537</v>
      </c>
      <c r="S1932">
        <v>6049</v>
      </c>
      <c r="T1932">
        <v>90</v>
      </c>
      <c r="U1932">
        <v>9060</v>
      </c>
      <c r="V1932" s="1">
        <f t="shared" si="90"/>
        <v>0.1487</v>
      </c>
      <c r="W1932" s="1">
        <f t="shared" si="91"/>
        <v>8.8000000000000005E-3</v>
      </c>
      <c r="X1932" s="1">
        <f t="shared" si="92"/>
        <v>8.9999999999999998E-4</v>
      </c>
    </row>
    <row r="1933" spans="1:24" x14ac:dyDescent="0.25">
      <c r="A1933">
        <v>2011</v>
      </c>
      <c r="B1933">
        <v>2</v>
      </c>
      <c r="C1933" t="s">
        <v>35</v>
      </c>
      <c r="D1933" t="str">
        <f>_xlfn.XLOOKUP(C1933,'Carrier Name Rename'!A:A,'Carrier Name Rename'!B:B)</f>
        <v>JetBlue Airways</v>
      </c>
      <c r="E1933" t="s">
        <v>23</v>
      </c>
      <c r="F1933" t="s">
        <v>24</v>
      </c>
      <c r="G1933">
        <v>122</v>
      </c>
      <c r="H1933">
        <v>32</v>
      </c>
      <c r="I1933">
        <v>4.49</v>
      </c>
      <c r="J1933">
        <v>0.11</v>
      </c>
      <c r="K1933">
        <v>19.100000000000001</v>
      </c>
      <c r="L1933">
        <v>0</v>
      </c>
      <c r="M1933">
        <v>8.3000000000000007</v>
      </c>
      <c r="N1933">
        <v>0</v>
      </c>
      <c r="O1933">
        <v>0</v>
      </c>
      <c r="P1933">
        <v>1632</v>
      </c>
      <c r="Q1933">
        <v>311</v>
      </c>
      <c r="R1933">
        <v>10</v>
      </c>
      <c r="S1933">
        <v>634</v>
      </c>
      <c r="T1933">
        <v>0</v>
      </c>
      <c r="U1933">
        <v>677</v>
      </c>
      <c r="V1933" s="1">
        <f t="shared" si="90"/>
        <v>0.26229999999999998</v>
      </c>
      <c r="W1933" s="1">
        <f t="shared" si="91"/>
        <v>0</v>
      </c>
      <c r="X1933" s="1">
        <f t="shared" si="92"/>
        <v>0</v>
      </c>
    </row>
    <row r="1934" spans="1:24" x14ac:dyDescent="0.25">
      <c r="A1934">
        <v>2011</v>
      </c>
      <c r="B1934">
        <v>2</v>
      </c>
      <c r="C1934" t="s">
        <v>65</v>
      </c>
      <c r="D1934" t="str">
        <f>_xlfn.XLOOKUP(C1934,'Carrier Name Rename'!A:A,'Carrier Name Rename'!B:B)</f>
        <v>Continental Air Lines Inc.</v>
      </c>
      <c r="E1934" t="s">
        <v>23</v>
      </c>
      <c r="F1934" t="s">
        <v>24</v>
      </c>
      <c r="G1934">
        <v>252</v>
      </c>
      <c r="H1934">
        <v>88</v>
      </c>
      <c r="I1934">
        <v>26.98</v>
      </c>
      <c r="J1934">
        <v>2.2799999999999998</v>
      </c>
      <c r="K1934">
        <v>43.58</v>
      </c>
      <c r="L1934">
        <v>0.93</v>
      </c>
      <c r="M1934">
        <v>14.24</v>
      </c>
      <c r="N1934">
        <v>7</v>
      </c>
      <c r="O1934">
        <v>0</v>
      </c>
      <c r="P1934">
        <v>3732</v>
      </c>
      <c r="Q1934">
        <v>1152</v>
      </c>
      <c r="R1934">
        <v>108</v>
      </c>
      <c r="S1934">
        <v>1519</v>
      </c>
      <c r="T1934">
        <v>29</v>
      </c>
      <c r="U1934">
        <v>924</v>
      </c>
      <c r="V1934" s="1">
        <f t="shared" si="90"/>
        <v>0.34920000000000001</v>
      </c>
      <c r="W1934" s="1">
        <f t="shared" si="91"/>
        <v>2.7799999999999998E-2</v>
      </c>
      <c r="X1934" s="1">
        <f t="shared" si="92"/>
        <v>0</v>
      </c>
    </row>
    <row r="1935" spans="1:24" x14ac:dyDescent="0.25">
      <c r="A1935">
        <v>2011</v>
      </c>
      <c r="B1935">
        <v>2</v>
      </c>
      <c r="C1935" t="s">
        <v>37</v>
      </c>
      <c r="D1935" t="str">
        <f>_xlfn.XLOOKUP(C1935,'Carrier Name Rename'!A:A,'Carrier Name Rename'!B:B)</f>
        <v>Delta Air Lines Inc.</v>
      </c>
      <c r="E1935" t="s">
        <v>23</v>
      </c>
      <c r="F1935" t="s">
        <v>24</v>
      </c>
      <c r="G1935">
        <v>610</v>
      </c>
      <c r="H1935">
        <v>186</v>
      </c>
      <c r="I1935">
        <v>48.59</v>
      </c>
      <c r="J1935">
        <v>5.13</v>
      </c>
      <c r="K1935">
        <v>100.98</v>
      </c>
      <c r="L1935">
        <v>0</v>
      </c>
      <c r="M1935">
        <v>31.31</v>
      </c>
      <c r="N1935">
        <v>7</v>
      </c>
      <c r="O1935">
        <v>1</v>
      </c>
      <c r="P1935">
        <v>8667</v>
      </c>
      <c r="Q1935">
        <v>2577</v>
      </c>
      <c r="R1935">
        <v>213</v>
      </c>
      <c r="S1935">
        <v>3549</v>
      </c>
      <c r="T1935">
        <v>0</v>
      </c>
      <c r="U1935">
        <v>2328</v>
      </c>
      <c r="V1935" s="1">
        <f t="shared" si="90"/>
        <v>0.3049</v>
      </c>
      <c r="W1935" s="1">
        <f t="shared" si="91"/>
        <v>1.15E-2</v>
      </c>
      <c r="X1935" s="1">
        <f t="shared" si="92"/>
        <v>1.6000000000000001E-3</v>
      </c>
    </row>
    <row r="1936" spans="1:24" x14ac:dyDescent="0.25">
      <c r="A1936">
        <v>2011</v>
      </c>
      <c r="B1936">
        <v>2</v>
      </c>
      <c r="C1936" t="s">
        <v>39</v>
      </c>
      <c r="D1936" t="str">
        <f>_xlfn.XLOOKUP(C1936,'Carrier Name Rename'!A:A,'Carrier Name Rename'!B:B)</f>
        <v>Frontier Airlines Inc.</v>
      </c>
      <c r="E1936" t="s">
        <v>23</v>
      </c>
      <c r="F1936" t="s">
        <v>24</v>
      </c>
      <c r="G1936">
        <v>112</v>
      </c>
      <c r="H1936">
        <v>42</v>
      </c>
      <c r="I1936">
        <v>12.79</v>
      </c>
      <c r="J1936">
        <v>0.1</v>
      </c>
      <c r="K1936">
        <v>21.32</v>
      </c>
      <c r="L1936">
        <v>0</v>
      </c>
      <c r="M1936">
        <v>7.79</v>
      </c>
      <c r="N1936">
        <v>0</v>
      </c>
      <c r="O1936">
        <v>0</v>
      </c>
      <c r="P1936">
        <v>1822</v>
      </c>
      <c r="Q1936">
        <v>442</v>
      </c>
      <c r="R1936">
        <v>7</v>
      </c>
      <c r="S1936">
        <v>685</v>
      </c>
      <c r="T1936">
        <v>0</v>
      </c>
      <c r="U1936">
        <v>688</v>
      </c>
      <c r="V1936" s="1">
        <f t="shared" si="90"/>
        <v>0.375</v>
      </c>
      <c r="W1936" s="1">
        <f t="shared" si="91"/>
        <v>0</v>
      </c>
      <c r="X1936" s="1">
        <f t="shared" si="92"/>
        <v>0</v>
      </c>
    </row>
    <row r="1937" spans="1:24" x14ac:dyDescent="0.25">
      <c r="A1937">
        <v>2011</v>
      </c>
      <c r="B1937">
        <v>2</v>
      </c>
      <c r="C1937" t="s">
        <v>63</v>
      </c>
      <c r="D1937" t="str">
        <f>_xlfn.XLOOKUP(C1937,'Carrier Name Rename'!A:A,'Carrier Name Rename'!B:B)</f>
        <v>AirTran Airways Corporation</v>
      </c>
      <c r="E1937" t="s">
        <v>23</v>
      </c>
      <c r="F1937" t="s">
        <v>24</v>
      </c>
      <c r="G1937">
        <v>28</v>
      </c>
      <c r="H1937">
        <v>11</v>
      </c>
      <c r="I1937">
        <v>2.44</v>
      </c>
      <c r="J1937">
        <v>0</v>
      </c>
      <c r="K1937">
        <v>6.57</v>
      </c>
      <c r="L1937">
        <v>0</v>
      </c>
      <c r="M1937">
        <v>1.99</v>
      </c>
      <c r="N1937">
        <v>1</v>
      </c>
      <c r="O1937">
        <v>0</v>
      </c>
      <c r="P1937">
        <v>743</v>
      </c>
      <c r="Q1937">
        <v>193</v>
      </c>
      <c r="R1937">
        <v>0</v>
      </c>
      <c r="S1937">
        <v>262</v>
      </c>
      <c r="T1937">
        <v>0</v>
      </c>
      <c r="U1937">
        <v>288</v>
      </c>
      <c r="V1937" s="1">
        <f t="shared" si="90"/>
        <v>0.39290000000000003</v>
      </c>
      <c r="W1937" s="1">
        <f t="shared" si="91"/>
        <v>3.5700000000000003E-2</v>
      </c>
      <c r="X1937" s="1">
        <f t="shared" si="92"/>
        <v>0</v>
      </c>
    </row>
    <row r="1938" spans="1:24" x14ac:dyDescent="0.25">
      <c r="A1938">
        <v>2011</v>
      </c>
      <c r="B1938">
        <v>2</v>
      </c>
      <c r="C1938" t="s">
        <v>21</v>
      </c>
      <c r="D1938" t="str">
        <f>_xlfn.XLOOKUP(C1938,'Carrier Name Rename'!A:A,'Carrier Name Rename'!B:B)</f>
        <v>Hawaiian Airlines Inc.</v>
      </c>
      <c r="E1938" t="s">
        <v>23</v>
      </c>
      <c r="F1938" t="s">
        <v>24</v>
      </c>
      <c r="G1938">
        <v>68</v>
      </c>
      <c r="H1938">
        <v>19</v>
      </c>
      <c r="I1938">
        <v>17.95</v>
      </c>
      <c r="J1938">
        <v>0</v>
      </c>
      <c r="K1938">
        <v>0</v>
      </c>
      <c r="L1938">
        <v>0</v>
      </c>
      <c r="M1938">
        <v>1.05</v>
      </c>
      <c r="N1938">
        <v>0</v>
      </c>
      <c r="O1938">
        <v>0</v>
      </c>
      <c r="P1938">
        <v>921</v>
      </c>
      <c r="Q1938">
        <v>805</v>
      </c>
      <c r="R1938">
        <v>0</v>
      </c>
      <c r="S1938">
        <v>0</v>
      </c>
      <c r="T1938">
        <v>0</v>
      </c>
      <c r="U1938">
        <v>116</v>
      </c>
      <c r="V1938" s="1">
        <f t="shared" si="90"/>
        <v>0.27939999999999998</v>
      </c>
      <c r="W1938" s="1">
        <f t="shared" si="91"/>
        <v>0</v>
      </c>
      <c r="X1938" s="1">
        <f t="shared" si="92"/>
        <v>0</v>
      </c>
    </row>
    <row r="1939" spans="1:24" x14ac:dyDescent="0.25">
      <c r="A1939">
        <v>2011</v>
      </c>
      <c r="B1939">
        <v>2</v>
      </c>
      <c r="C1939" t="s">
        <v>27</v>
      </c>
      <c r="D1939" t="str">
        <f>_xlfn.XLOOKUP(C1939,'Carrier Name Rename'!A:A,'Carrier Name Rename'!B:B)</f>
        <v>SkyWest Airlines Inc.</v>
      </c>
      <c r="E1939" t="s">
        <v>23</v>
      </c>
      <c r="F1939" t="s">
        <v>24</v>
      </c>
      <c r="G1939">
        <v>429</v>
      </c>
      <c r="H1939">
        <v>73</v>
      </c>
      <c r="I1939">
        <v>26.67</v>
      </c>
      <c r="J1939">
        <v>0</v>
      </c>
      <c r="K1939">
        <v>17.8</v>
      </c>
      <c r="L1939">
        <v>0</v>
      </c>
      <c r="M1939">
        <v>28.53</v>
      </c>
      <c r="N1939">
        <v>2</v>
      </c>
      <c r="O1939">
        <v>1</v>
      </c>
      <c r="P1939">
        <v>3193</v>
      </c>
      <c r="Q1939">
        <v>1111</v>
      </c>
      <c r="R1939">
        <v>0</v>
      </c>
      <c r="S1939">
        <v>448</v>
      </c>
      <c r="T1939">
        <v>0</v>
      </c>
      <c r="U1939">
        <v>1634</v>
      </c>
      <c r="V1939" s="1">
        <f t="shared" si="90"/>
        <v>0.17019999999999999</v>
      </c>
      <c r="W1939" s="1">
        <f t="shared" si="91"/>
        <v>4.7000000000000002E-3</v>
      </c>
      <c r="X1939" s="1">
        <f t="shared" si="92"/>
        <v>2.3E-3</v>
      </c>
    </row>
    <row r="1940" spans="1:24" x14ac:dyDescent="0.25">
      <c r="A1940">
        <v>2011</v>
      </c>
      <c r="B1940">
        <v>2</v>
      </c>
      <c r="C1940" t="s">
        <v>41</v>
      </c>
      <c r="D1940" t="str">
        <f>_xlfn.XLOOKUP(C1940,'Carrier Name Rename'!A:A,'Carrier Name Rename'!B:B)</f>
        <v>United Air Lines Inc.</v>
      </c>
      <c r="E1940" t="s">
        <v>23</v>
      </c>
      <c r="F1940" t="s">
        <v>24</v>
      </c>
      <c r="G1940">
        <v>500</v>
      </c>
      <c r="H1940">
        <v>103</v>
      </c>
      <c r="I1940">
        <v>27.06</v>
      </c>
      <c r="J1940">
        <v>2</v>
      </c>
      <c r="K1940">
        <v>39.99</v>
      </c>
      <c r="L1940">
        <v>0</v>
      </c>
      <c r="M1940">
        <v>33.950000000000003</v>
      </c>
      <c r="N1940">
        <v>12</v>
      </c>
      <c r="O1940">
        <v>1</v>
      </c>
      <c r="P1940">
        <v>4871</v>
      </c>
      <c r="Q1940">
        <v>1332</v>
      </c>
      <c r="R1940">
        <v>133</v>
      </c>
      <c r="S1940">
        <v>1251</v>
      </c>
      <c r="T1940">
        <v>0</v>
      </c>
      <c r="U1940">
        <v>2155</v>
      </c>
      <c r="V1940" s="1">
        <f t="shared" si="90"/>
        <v>0.20599999999999999</v>
      </c>
      <c r="W1940" s="1">
        <f t="shared" si="91"/>
        <v>2.4E-2</v>
      </c>
      <c r="X1940" s="1">
        <f t="shared" si="92"/>
        <v>2E-3</v>
      </c>
    </row>
    <row r="1941" spans="1:24" x14ac:dyDescent="0.25">
      <c r="A1941">
        <v>2011</v>
      </c>
      <c r="B1941">
        <v>2</v>
      </c>
      <c r="C1941" t="s">
        <v>61</v>
      </c>
      <c r="D1941" t="str">
        <f>_xlfn.XLOOKUP(C1941,'Carrier Name Rename'!A:A,'Carrier Name Rename'!B:B)</f>
        <v>US Airways Inc.</v>
      </c>
      <c r="E1941" t="s">
        <v>23</v>
      </c>
      <c r="F1941" t="s">
        <v>24</v>
      </c>
      <c r="G1941">
        <v>200</v>
      </c>
      <c r="H1941">
        <v>57</v>
      </c>
      <c r="I1941">
        <v>12.39</v>
      </c>
      <c r="J1941">
        <v>0.51</v>
      </c>
      <c r="K1941">
        <v>31.7</v>
      </c>
      <c r="L1941">
        <v>1</v>
      </c>
      <c r="M1941">
        <v>11.4</v>
      </c>
      <c r="N1941">
        <v>0</v>
      </c>
      <c r="O1941">
        <v>0</v>
      </c>
      <c r="P1941">
        <v>2249</v>
      </c>
      <c r="Q1941">
        <v>630</v>
      </c>
      <c r="R1941">
        <v>45</v>
      </c>
      <c r="S1941">
        <v>1056</v>
      </c>
      <c r="T1941">
        <v>74</v>
      </c>
      <c r="U1941">
        <v>444</v>
      </c>
      <c r="V1941" s="1">
        <f t="shared" si="90"/>
        <v>0.28499999999999998</v>
      </c>
      <c r="W1941" s="1">
        <f t="shared" si="91"/>
        <v>0</v>
      </c>
      <c r="X1941" s="1">
        <f t="shared" si="92"/>
        <v>0</v>
      </c>
    </row>
    <row r="1942" spans="1:24" x14ac:dyDescent="0.25">
      <c r="A1942">
        <v>2011</v>
      </c>
      <c r="B1942">
        <v>2</v>
      </c>
      <c r="C1942" t="s">
        <v>43</v>
      </c>
      <c r="D1942" t="str">
        <f>_xlfn.XLOOKUP(C1942,'Carrier Name Rename'!A:A,'Carrier Name Rename'!B:B)</f>
        <v>Southwest Airlines Co.</v>
      </c>
      <c r="E1942" t="s">
        <v>23</v>
      </c>
      <c r="F1942" t="s">
        <v>24</v>
      </c>
      <c r="G1942">
        <v>971</v>
      </c>
      <c r="H1942">
        <v>288</v>
      </c>
      <c r="I1942">
        <v>90.12</v>
      </c>
      <c r="J1942">
        <v>1.2</v>
      </c>
      <c r="K1942">
        <v>53.55</v>
      </c>
      <c r="L1942">
        <v>0.12</v>
      </c>
      <c r="M1942">
        <v>143</v>
      </c>
      <c r="N1942">
        <v>9</v>
      </c>
      <c r="O1942">
        <v>1</v>
      </c>
      <c r="P1942">
        <v>12730</v>
      </c>
      <c r="Q1942">
        <v>3792</v>
      </c>
      <c r="R1942">
        <v>199</v>
      </c>
      <c r="S1942">
        <v>1699</v>
      </c>
      <c r="T1942">
        <v>8</v>
      </c>
      <c r="U1942">
        <v>7032</v>
      </c>
      <c r="V1942" s="1">
        <f t="shared" si="90"/>
        <v>0.29659999999999997</v>
      </c>
      <c r="W1942" s="1">
        <f t="shared" si="91"/>
        <v>9.2999999999999992E-3</v>
      </c>
      <c r="X1942" s="1">
        <f t="shared" si="92"/>
        <v>1E-3</v>
      </c>
    </row>
    <row r="1943" spans="1:24" x14ac:dyDescent="0.25">
      <c r="A1943">
        <v>2011</v>
      </c>
      <c r="B1943">
        <v>1</v>
      </c>
      <c r="C1943" t="s">
        <v>31</v>
      </c>
      <c r="D1943" t="str">
        <f>_xlfn.XLOOKUP(C1943,'Carrier Name Rename'!A:A,'Carrier Name Rename'!B:B)</f>
        <v>American Airlines Inc.</v>
      </c>
      <c r="E1943" t="s">
        <v>23</v>
      </c>
      <c r="F1943" t="s">
        <v>24</v>
      </c>
      <c r="G1943">
        <v>367</v>
      </c>
      <c r="H1943">
        <v>118</v>
      </c>
      <c r="I1943">
        <v>30.08</v>
      </c>
      <c r="J1943">
        <v>14.22</v>
      </c>
      <c r="K1943">
        <v>57.67</v>
      </c>
      <c r="L1943">
        <v>0</v>
      </c>
      <c r="M1943">
        <v>16.03</v>
      </c>
      <c r="N1943">
        <v>3</v>
      </c>
      <c r="O1943">
        <v>4</v>
      </c>
      <c r="P1943">
        <v>4869</v>
      </c>
      <c r="Q1943">
        <v>1584</v>
      </c>
      <c r="R1943">
        <v>547</v>
      </c>
      <c r="S1943">
        <v>1741</v>
      </c>
      <c r="T1943">
        <v>0</v>
      </c>
      <c r="U1943">
        <v>997</v>
      </c>
      <c r="V1943" s="1">
        <f t="shared" si="90"/>
        <v>0.32150000000000001</v>
      </c>
      <c r="W1943" s="1">
        <f t="shared" si="91"/>
        <v>8.2000000000000007E-3</v>
      </c>
      <c r="X1943" s="1">
        <f t="shared" si="92"/>
        <v>1.09E-2</v>
      </c>
    </row>
    <row r="1944" spans="1:24" x14ac:dyDescent="0.25">
      <c r="A1944">
        <v>2011</v>
      </c>
      <c r="B1944">
        <v>1</v>
      </c>
      <c r="C1944" t="s">
        <v>33</v>
      </c>
      <c r="D1944" t="str">
        <f>_xlfn.XLOOKUP(C1944,'Carrier Name Rename'!A:A,'Carrier Name Rename'!B:B)</f>
        <v>Alaska Airlines Inc.</v>
      </c>
      <c r="E1944" t="s">
        <v>23</v>
      </c>
      <c r="F1944" t="s">
        <v>24</v>
      </c>
      <c r="G1944">
        <v>3497</v>
      </c>
      <c r="H1944">
        <v>474</v>
      </c>
      <c r="I1944">
        <v>112.48</v>
      </c>
      <c r="J1944">
        <v>6.27</v>
      </c>
      <c r="K1944">
        <v>225.8</v>
      </c>
      <c r="L1944">
        <v>0.71</v>
      </c>
      <c r="M1944">
        <v>128.75</v>
      </c>
      <c r="N1944">
        <v>28</v>
      </c>
      <c r="O1944">
        <v>11</v>
      </c>
      <c r="P1944">
        <v>23280</v>
      </c>
      <c r="Q1944">
        <v>8281</v>
      </c>
      <c r="R1944">
        <v>393</v>
      </c>
      <c r="S1944">
        <v>6902</v>
      </c>
      <c r="T1944">
        <v>20</v>
      </c>
      <c r="U1944">
        <v>7684</v>
      </c>
      <c r="V1944" s="1">
        <f t="shared" si="90"/>
        <v>0.13550000000000001</v>
      </c>
      <c r="W1944" s="1">
        <f t="shared" si="91"/>
        <v>8.0000000000000002E-3</v>
      </c>
      <c r="X1944" s="1">
        <f t="shared" si="92"/>
        <v>3.0999999999999999E-3</v>
      </c>
    </row>
    <row r="1945" spans="1:24" x14ac:dyDescent="0.25">
      <c r="A1945">
        <v>2011</v>
      </c>
      <c r="B1945">
        <v>1</v>
      </c>
      <c r="C1945" t="s">
        <v>35</v>
      </c>
      <c r="D1945" t="str">
        <f>_xlfn.XLOOKUP(C1945,'Carrier Name Rename'!A:A,'Carrier Name Rename'!B:B)</f>
        <v>JetBlue Airways</v>
      </c>
      <c r="E1945" t="s">
        <v>23</v>
      </c>
      <c r="F1945" t="s">
        <v>24</v>
      </c>
      <c r="G1945">
        <v>128</v>
      </c>
      <c r="H1945">
        <v>35</v>
      </c>
      <c r="I1945">
        <v>13.48</v>
      </c>
      <c r="J1945">
        <v>0</v>
      </c>
      <c r="K1945">
        <v>12.31</v>
      </c>
      <c r="L1945">
        <v>0</v>
      </c>
      <c r="M1945">
        <v>9.2100000000000009</v>
      </c>
      <c r="N1945">
        <v>0</v>
      </c>
      <c r="O1945">
        <v>0</v>
      </c>
      <c r="P1945">
        <v>1781</v>
      </c>
      <c r="Q1945">
        <v>640</v>
      </c>
      <c r="R1945">
        <v>0</v>
      </c>
      <c r="S1945">
        <v>489</v>
      </c>
      <c r="T1945">
        <v>0</v>
      </c>
      <c r="U1945">
        <v>652</v>
      </c>
      <c r="V1945" s="1">
        <f t="shared" si="90"/>
        <v>0.27339999999999998</v>
      </c>
      <c r="W1945" s="1">
        <f t="shared" si="91"/>
        <v>0</v>
      </c>
      <c r="X1945" s="1">
        <f t="shared" si="92"/>
        <v>0</v>
      </c>
    </row>
    <row r="1946" spans="1:24" x14ac:dyDescent="0.25">
      <c r="A1946">
        <v>2011</v>
      </c>
      <c r="B1946">
        <v>1</v>
      </c>
      <c r="C1946" t="s">
        <v>65</v>
      </c>
      <c r="D1946" t="str">
        <f>_xlfn.XLOOKUP(C1946,'Carrier Name Rename'!A:A,'Carrier Name Rename'!B:B)</f>
        <v>Continental Air Lines Inc.</v>
      </c>
      <c r="E1946" t="s">
        <v>23</v>
      </c>
      <c r="F1946" t="s">
        <v>24</v>
      </c>
      <c r="G1946">
        <v>266</v>
      </c>
      <c r="H1946">
        <v>112</v>
      </c>
      <c r="I1946">
        <v>45.17</v>
      </c>
      <c r="J1946">
        <v>4.03</v>
      </c>
      <c r="K1946">
        <v>46.05</v>
      </c>
      <c r="L1946">
        <v>3.47</v>
      </c>
      <c r="M1946">
        <v>13.28</v>
      </c>
      <c r="N1946">
        <v>4</v>
      </c>
      <c r="O1946">
        <v>0</v>
      </c>
      <c r="P1946">
        <v>4470</v>
      </c>
      <c r="Q1946">
        <v>1800</v>
      </c>
      <c r="R1946">
        <v>565</v>
      </c>
      <c r="S1946">
        <v>1667</v>
      </c>
      <c r="T1946">
        <v>63</v>
      </c>
      <c r="U1946">
        <v>375</v>
      </c>
      <c r="V1946" s="1">
        <f t="shared" si="90"/>
        <v>0.42109999999999997</v>
      </c>
      <c r="W1946" s="1">
        <f t="shared" si="91"/>
        <v>1.4999999999999999E-2</v>
      </c>
      <c r="X1946" s="1">
        <f t="shared" si="92"/>
        <v>0</v>
      </c>
    </row>
    <row r="1947" spans="1:24" x14ac:dyDescent="0.25">
      <c r="A1947">
        <v>2011</v>
      </c>
      <c r="B1947">
        <v>1</v>
      </c>
      <c r="C1947" t="s">
        <v>37</v>
      </c>
      <c r="D1947" t="str">
        <f>_xlfn.XLOOKUP(C1947,'Carrier Name Rename'!A:A,'Carrier Name Rename'!B:B)</f>
        <v>Delta Air Lines Inc.</v>
      </c>
      <c r="E1947" t="s">
        <v>23</v>
      </c>
      <c r="F1947" t="s">
        <v>24</v>
      </c>
      <c r="G1947">
        <v>675</v>
      </c>
      <c r="H1947">
        <v>267</v>
      </c>
      <c r="I1947">
        <v>71.52</v>
      </c>
      <c r="J1947">
        <v>8.8800000000000008</v>
      </c>
      <c r="K1947">
        <v>144.62</v>
      </c>
      <c r="L1947">
        <v>0</v>
      </c>
      <c r="M1947">
        <v>41.99</v>
      </c>
      <c r="N1947">
        <v>15</v>
      </c>
      <c r="O1947">
        <v>2</v>
      </c>
      <c r="P1947">
        <v>12704</v>
      </c>
      <c r="Q1947">
        <v>4033</v>
      </c>
      <c r="R1947">
        <v>853</v>
      </c>
      <c r="S1947">
        <v>5176</v>
      </c>
      <c r="T1947">
        <v>0</v>
      </c>
      <c r="U1947">
        <v>2642</v>
      </c>
      <c r="V1947" s="1">
        <f t="shared" si="90"/>
        <v>0.39560000000000001</v>
      </c>
      <c r="W1947" s="1">
        <f t="shared" si="91"/>
        <v>2.2200000000000001E-2</v>
      </c>
      <c r="X1947" s="1">
        <f t="shared" si="92"/>
        <v>3.0000000000000001E-3</v>
      </c>
    </row>
    <row r="1948" spans="1:24" x14ac:dyDescent="0.25">
      <c r="A1948">
        <v>2011</v>
      </c>
      <c r="B1948">
        <v>1</v>
      </c>
      <c r="C1948" t="s">
        <v>39</v>
      </c>
      <c r="D1948" t="str">
        <f>_xlfn.XLOOKUP(C1948,'Carrier Name Rename'!A:A,'Carrier Name Rename'!B:B)</f>
        <v>Frontier Airlines Inc.</v>
      </c>
      <c r="E1948" t="s">
        <v>23</v>
      </c>
      <c r="F1948" t="s">
        <v>24</v>
      </c>
      <c r="G1948">
        <v>121</v>
      </c>
      <c r="H1948">
        <v>54</v>
      </c>
      <c r="I1948">
        <v>16.559999999999999</v>
      </c>
      <c r="J1948">
        <v>7.0000000000000007E-2</v>
      </c>
      <c r="K1948">
        <v>30.62</v>
      </c>
      <c r="L1948">
        <v>0</v>
      </c>
      <c r="M1948">
        <v>6.75</v>
      </c>
      <c r="N1948">
        <v>0</v>
      </c>
      <c r="O1948">
        <v>0</v>
      </c>
      <c r="P1948">
        <v>2212</v>
      </c>
      <c r="Q1948">
        <v>606</v>
      </c>
      <c r="R1948">
        <v>9</v>
      </c>
      <c r="S1948">
        <v>989</v>
      </c>
      <c r="T1948">
        <v>0</v>
      </c>
      <c r="U1948">
        <v>608</v>
      </c>
      <c r="V1948" s="1">
        <f t="shared" si="90"/>
        <v>0.44629999999999997</v>
      </c>
      <c r="W1948" s="1">
        <f t="shared" si="91"/>
        <v>0</v>
      </c>
      <c r="X1948" s="1">
        <f t="shared" si="92"/>
        <v>0</v>
      </c>
    </row>
    <row r="1949" spans="1:24" x14ac:dyDescent="0.25">
      <c r="A1949">
        <v>2011</v>
      </c>
      <c r="B1949">
        <v>1</v>
      </c>
      <c r="C1949" t="s">
        <v>63</v>
      </c>
      <c r="D1949" t="str">
        <f>_xlfn.XLOOKUP(C1949,'Carrier Name Rename'!A:A,'Carrier Name Rename'!B:B)</f>
        <v>AirTran Airways Corporation</v>
      </c>
      <c r="E1949" t="s">
        <v>23</v>
      </c>
      <c r="F1949" t="s">
        <v>24</v>
      </c>
      <c r="G1949">
        <v>34</v>
      </c>
      <c r="H1949">
        <v>16</v>
      </c>
      <c r="I1949">
        <v>5.67</v>
      </c>
      <c r="J1949">
        <v>0</v>
      </c>
      <c r="K1949">
        <v>6.99</v>
      </c>
      <c r="L1949">
        <v>0</v>
      </c>
      <c r="M1949">
        <v>3.34</v>
      </c>
      <c r="N1949">
        <v>0</v>
      </c>
      <c r="O1949">
        <v>0</v>
      </c>
      <c r="P1949">
        <v>800</v>
      </c>
      <c r="Q1949">
        <v>167</v>
      </c>
      <c r="R1949">
        <v>0</v>
      </c>
      <c r="S1949">
        <v>348</v>
      </c>
      <c r="T1949">
        <v>0</v>
      </c>
      <c r="U1949">
        <v>285</v>
      </c>
      <c r="V1949" s="1">
        <f t="shared" si="90"/>
        <v>0.47060000000000002</v>
      </c>
      <c r="W1949" s="1">
        <f t="shared" si="91"/>
        <v>0</v>
      </c>
      <c r="X1949" s="1">
        <f t="shared" si="92"/>
        <v>0</v>
      </c>
    </row>
    <row r="1950" spans="1:24" x14ac:dyDescent="0.25">
      <c r="A1950">
        <v>2011</v>
      </c>
      <c r="B1950">
        <v>1</v>
      </c>
      <c r="C1950" t="s">
        <v>21</v>
      </c>
      <c r="D1950" t="str">
        <f>_xlfn.XLOOKUP(C1950,'Carrier Name Rename'!A:A,'Carrier Name Rename'!B:B)</f>
        <v>Hawaiian Airlines Inc.</v>
      </c>
      <c r="E1950" t="s">
        <v>23</v>
      </c>
      <c r="F1950" t="s">
        <v>24</v>
      </c>
      <c r="G1950">
        <v>76</v>
      </c>
      <c r="H1950">
        <v>17</v>
      </c>
      <c r="I1950">
        <v>16.52</v>
      </c>
      <c r="J1950">
        <v>0</v>
      </c>
      <c r="K1950">
        <v>0</v>
      </c>
      <c r="L1950">
        <v>0</v>
      </c>
      <c r="M1950">
        <v>0.48</v>
      </c>
      <c r="N1950">
        <v>0</v>
      </c>
      <c r="O1950">
        <v>0</v>
      </c>
      <c r="P1950">
        <v>663</v>
      </c>
      <c r="Q1950">
        <v>640</v>
      </c>
      <c r="R1950">
        <v>0</v>
      </c>
      <c r="S1950">
        <v>0</v>
      </c>
      <c r="T1950">
        <v>0</v>
      </c>
      <c r="U1950">
        <v>23</v>
      </c>
      <c r="V1950" s="1">
        <f t="shared" si="90"/>
        <v>0.22370000000000001</v>
      </c>
      <c r="W1950" s="1">
        <f t="shared" si="91"/>
        <v>0</v>
      </c>
      <c r="X1950" s="1">
        <f t="shared" si="92"/>
        <v>0</v>
      </c>
    </row>
    <row r="1951" spans="1:24" x14ac:dyDescent="0.25">
      <c r="A1951">
        <v>2011</v>
      </c>
      <c r="B1951">
        <v>1</v>
      </c>
      <c r="C1951" t="s">
        <v>27</v>
      </c>
      <c r="D1951" t="str">
        <f>_xlfn.XLOOKUP(C1951,'Carrier Name Rename'!A:A,'Carrier Name Rename'!B:B)</f>
        <v>SkyWest Airlines Inc.</v>
      </c>
      <c r="E1951" t="s">
        <v>23</v>
      </c>
      <c r="F1951" t="s">
        <v>24</v>
      </c>
      <c r="G1951">
        <v>548</v>
      </c>
      <c r="H1951">
        <v>111</v>
      </c>
      <c r="I1951">
        <v>32.729999999999997</v>
      </c>
      <c r="J1951">
        <v>5.33</v>
      </c>
      <c r="K1951">
        <v>35.32</v>
      </c>
      <c r="L1951">
        <v>0</v>
      </c>
      <c r="M1951">
        <v>37.619999999999997</v>
      </c>
      <c r="N1951">
        <v>9</v>
      </c>
      <c r="O1951">
        <v>2</v>
      </c>
      <c r="P1951">
        <v>4666</v>
      </c>
      <c r="Q1951">
        <v>1457</v>
      </c>
      <c r="R1951">
        <v>317</v>
      </c>
      <c r="S1951">
        <v>959</v>
      </c>
      <c r="T1951">
        <v>0</v>
      </c>
      <c r="U1951">
        <v>1933</v>
      </c>
      <c r="V1951" s="1">
        <f t="shared" si="90"/>
        <v>0.2026</v>
      </c>
      <c r="W1951" s="1">
        <f t="shared" si="91"/>
        <v>1.6400000000000001E-2</v>
      </c>
      <c r="X1951" s="1">
        <f t="shared" si="92"/>
        <v>3.5999999999999999E-3</v>
      </c>
    </row>
    <row r="1952" spans="1:24" x14ac:dyDescent="0.25">
      <c r="A1952">
        <v>2011</v>
      </c>
      <c r="B1952">
        <v>1</v>
      </c>
      <c r="C1952" t="s">
        <v>41</v>
      </c>
      <c r="D1952" t="str">
        <f>_xlfn.XLOOKUP(C1952,'Carrier Name Rename'!A:A,'Carrier Name Rename'!B:B)</f>
        <v>United Air Lines Inc.</v>
      </c>
      <c r="E1952" t="s">
        <v>23</v>
      </c>
      <c r="F1952" t="s">
        <v>24</v>
      </c>
      <c r="G1952">
        <v>547</v>
      </c>
      <c r="H1952">
        <v>82</v>
      </c>
      <c r="I1952">
        <v>21.43</v>
      </c>
      <c r="J1952">
        <v>1.99</v>
      </c>
      <c r="K1952">
        <v>36.54</v>
      </c>
      <c r="L1952">
        <v>0.97</v>
      </c>
      <c r="M1952">
        <v>21.07</v>
      </c>
      <c r="N1952">
        <v>4</v>
      </c>
      <c r="O1952">
        <v>2</v>
      </c>
      <c r="P1952">
        <v>3785</v>
      </c>
      <c r="Q1952">
        <v>1265</v>
      </c>
      <c r="R1952">
        <v>120</v>
      </c>
      <c r="S1952">
        <v>986</v>
      </c>
      <c r="T1952">
        <v>146</v>
      </c>
      <c r="U1952">
        <v>1268</v>
      </c>
      <c r="V1952" s="1">
        <f t="shared" si="90"/>
        <v>0.14990000000000001</v>
      </c>
      <c r="W1952" s="1">
        <f t="shared" si="91"/>
        <v>7.3000000000000001E-3</v>
      </c>
      <c r="X1952" s="1">
        <f t="shared" si="92"/>
        <v>3.7000000000000002E-3</v>
      </c>
    </row>
    <row r="1953" spans="1:24" x14ac:dyDescent="0.25">
      <c r="A1953">
        <v>2011</v>
      </c>
      <c r="B1953">
        <v>1</v>
      </c>
      <c r="C1953" t="s">
        <v>61</v>
      </c>
      <c r="D1953" t="str">
        <f>_xlfn.XLOOKUP(C1953,'Carrier Name Rename'!A:A,'Carrier Name Rename'!B:B)</f>
        <v>US Airways Inc.</v>
      </c>
      <c r="E1953" t="s">
        <v>23</v>
      </c>
      <c r="F1953" t="s">
        <v>24</v>
      </c>
      <c r="G1953">
        <v>229</v>
      </c>
      <c r="H1953">
        <v>48</v>
      </c>
      <c r="I1953">
        <v>13.8</v>
      </c>
      <c r="J1953">
        <v>0</v>
      </c>
      <c r="K1953">
        <v>27.71</v>
      </c>
      <c r="L1953">
        <v>0.3</v>
      </c>
      <c r="M1953">
        <v>6.19</v>
      </c>
      <c r="N1953">
        <v>2</v>
      </c>
      <c r="O1953">
        <v>0</v>
      </c>
      <c r="P1953">
        <v>1764</v>
      </c>
      <c r="Q1953">
        <v>622</v>
      </c>
      <c r="R1953">
        <v>0</v>
      </c>
      <c r="S1953">
        <v>726</v>
      </c>
      <c r="T1953">
        <v>6</v>
      </c>
      <c r="U1953">
        <v>410</v>
      </c>
      <c r="V1953" s="1">
        <f t="shared" si="90"/>
        <v>0.20960000000000001</v>
      </c>
      <c r="W1953" s="1">
        <f t="shared" si="91"/>
        <v>8.6999999999999994E-3</v>
      </c>
      <c r="X1953" s="1">
        <f t="shared" si="92"/>
        <v>0</v>
      </c>
    </row>
    <row r="1954" spans="1:24" x14ac:dyDescent="0.25">
      <c r="A1954">
        <v>2011</v>
      </c>
      <c r="B1954">
        <v>1</v>
      </c>
      <c r="C1954" t="s">
        <v>43</v>
      </c>
      <c r="D1954" t="str">
        <f>_xlfn.XLOOKUP(C1954,'Carrier Name Rename'!A:A,'Carrier Name Rename'!B:B)</f>
        <v>Southwest Airlines Co.</v>
      </c>
      <c r="E1954" t="s">
        <v>23</v>
      </c>
      <c r="F1954" t="s">
        <v>24</v>
      </c>
      <c r="G1954">
        <v>1095</v>
      </c>
      <c r="H1954">
        <v>349</v>
      </c>
      <c r="I1954">
        <v>112.81</v>
      </c>
      <c r="J1954">
        <v>3.77</v>
      </c>
      <c r="K1954">
        <v>65.319999999999993</v>
      </c>
      <c r="L1954">
        <v>1.79</v>
      </c>
      <c r="M1954">
        <v>165.31</v>
      </c>
      <c r="N1954">
        <v>1</v>
      </c>
      <c r="O1954">
        <v>4</v>
      </c>
      <c r="P1954">
        <v>13500</v>
      </c>
      <c r="Q1954">
        <v>4106</v>
      </c>
      <c r="R1954">
        <v>136</v>
      </c>
      <c r="S1954">
        <v>2091</v>
      </c>
      <c r="T1954">
        <v>47</v>
      </c>
      <c r="U1954">
        <v>7120</v>
      </c>
      <c r="V1954" s="1">
        <f t="shared" si="90"/>
        <v>0.31869999999999998</v>
      </c>
      <c r="W1954" s="1">
        <f t="shared" si="91"/>
        <v>8.9999999999999998E-4</v>
      </c>
      <c r="X1954" s="1">
        <f t="shared" si="92"/>
        <v>3.7000000000000002E-3</v>
      </c>
    </row>
    <row r="1955" spans="1:24" x14ac:dyDescent="0.25">
      <c r="A1955">
        <v>2010</v>
      </c>
      <c r="B1955">
        <v>12</v>
      </c>
      <c r="C1955" t="s">
        <v>31</v>
      </c>
      <c r="D1955" t="str">
        <f>_xlfn.XLOOKUP(C1955,'Carrier Name Rename'!A:A,'Carrier Name Rename'!B:B)</f>
        <v>American Airlines Inc.</v>
      </c>
      <c r="E1955" t="s">
        <v>23</v>
      </c>
      <c r="F1955" t="s">
        <v>24</v>
      </c>
      <c r="G1955">
        <v>363</v>
      </c>
      <c r="H1955">
        <v>115</v>
      </c>
      <c r="I1955">
        <v>31.74</v>
      </c>
      <c r="J1955">
        <v>9.31</v>
      </c>
      <c r="K1955">
        <v>61.96</v>
      </c>
      <c r="L1955">
        <v>1</v>
      </c>
      <c r="M1955">
        <v>11</v>
      </c>
      <c r="N1955">
        <v>5</v>
      </c>
      <c r="O1955">
        <v>0</v>
      </c>
      <c r="P1955">
        <v>4320</v>
      </c>
      <c r="Q1955">
        <v>1249</v>
      </c>
      <c r="R1955">
        <v>468</v>
      </c>
      <c r="S1955">
        <v>1871</v>
      </c>
      <c r="T1955">
        <v>26</v>
      </c>
      <c r="U1955">
        <v>706</v>
      </c>
      <c r="V1955" s="1">
        <f t="shared" si="90"/>
        <v>0.31680000000000003</v>
      </c>
      <c r="W1955" s="1">
        <f t="shared" si="91"/>
        <v>1.38E-2</v>
      </c>
      <c r="X1955" s="1">
        <f t="shared" si="92"/>
        <v>0</v>
      </c>
    </row>
    <row r="1956" spans="1:24" x14ac:dyDescent="0.25">
      <c r="A1956">
        <v>2010</v>
      </c>
      <c r="B1956">
        <v>12</v>
      </c>
      <c r="C1956" t="s">
        <v>33</v>
      </c>
      <c r="D1956" t="str">
        <f>_xlfn.XLOOKUP(C1956,'Carrier Name Rename'!A:A,'Carrier Name Rename'!B:B)</f>
        <v>Alaska Airlines Inc.</v>
      </c>
      <c r="E1956" t="s">
        <v>23</v>
      </c>
      <c r="F1956" t="s">
        <v>24</v>
      </c>
      <c r="G1956">
        <v>3561</v>
      </c>
      <c r="H1956">
        <v>608</v>
      </c>
      <c r="I1956">
        <v>144.09</v>
      </c>
      <c r="J1956">
        <v>14.86</v>
      </c>
      <c r="K1956">
        <v>244.42</v>
      </c>
      <c r="L1956">
        <v>1.07</v>
      </c>
      <c r="M1956">
        <v>203.56</v>
      </c>
      <c r="N1956">
        <v>24</v>
      </c>
      <c r="O1956">
        <v>2</v>
      </c>
      <c r="P1956">
        <v>29768</v>
      </c>
      <c r="Q1956">
        <v>8780</v>
      </c>
      <c r="R1956">
        <v>974</v>
      </c>
      <c r="S1956">
        <v>7139</v>
      </c>
      <c r="T1956">
        <v>37</v>
      </c>
      <c r="U1956">
        <v>12838</v>
      </c>
      <c r="V1956" s="1">
        <f t="shared" si="90"/>
        <v>0.17069999999999999</v>
      </c>
      <c r="W1956" s="1">
        <f t="shared" si="91"/>
        <v>6.7000000000000002E-3</v>
      </c>
      <c r="X1956" s="1">
        <f t="shared" si="92"/>
        <v>5.9999999999999995E-4</v>
      </c>
    </row>
    <row r="1957" spans="1:24" x14ac:dyDescent="0.25">
      <c r="A1957">
        <v>2010</v>
      </c>
      <c r="B1957">
        <v>12</v>
      </c>
      <c r="C1957" t="s">
        <v>35</v>
      </c>
      <c r="D1957" t="str">
        <f>_xlfn.XLOOKUP(C1957,'Carrier Name Rename'!A:A,'Carrier Name Rename'!B:B)</f>
        <v>JetBlue Airways</v>
      </c>
      <c r="E1957" t="s">
        <v>23</v>
      </c>
      <c r="F1957" t="s">
        <v>24</v>
      </c>
      <c r="G1957">
        <v>151</v>
      </c>
      <c r="H1957">
        <v>42</v>
      </c>
      <c r="I1957">
        <v>16.100000000000001</v>
      </c>
      <c r="J1957">
        <v>0.32</v>
      </c>
      <c r="K1957">
        <v>8.2799999999999994</v>
      </c>
      <c r="L1957">
        <v>0</v>
      </c>
      <c r="M1957">
        <v>17.3</v>
      </c>
      <c r="N1957">
        <v>8</v>
      </c>
      <c r="O1957">
        <v>0</v>
      </c>
      <c r="P1957">
        <v>2423</v>
      </c>
      <c r="Q1957">
        <v>808</v>
      </c>
      <c r="R1957">
        <v>19</v>
      </c>
      <c r="S1957">
        <v>415</v>
      </c>
      <c r="T1957">
        <v>0</v>
      </c>
      <c r="U1957">
        <v>1181</v>
      </c>
      <c r="V1957" s="1">
        <f t="shared" si="90"/>
        <v>0.27810000000000001</v>
      </c>
      <c r="W1957" s="1">
        <f t="shared" si="91"/>
        <v>5.2999999999999999E-2</v>
      </c>
      <c r="X1957" s="1">
        <f t="shared" si="92"/>
        <v>0</v>
      </c>
    </row>
    <row r="1958" spans="1:24" x14ac:dyDescent="0.25">
      <c r="A1958">
        <v>2010</v>
      </c>
      <c r="B1958">
        <v>12</v>
      </c>
      <c r="C1958" t="s">
        <v>65</v>
      </c>
      <c r="D1958" t="str">
        <f>_xlfn.XLOOKUP(C1958,'Carrier Name Rename'!A:A,'Carrier Name Rename'!B:B)</f>
        <v>Continental Air Lines Inc.</v>
      </c>
      <c r="E1958" t="s">
        <v>23</v>
      </c>
      <c r="F1958" t="s">
        <v>24</v>
      </c>
      <c r="G1958">
        <v>398</v>
      </c>
      <c r="H1958">
        <v>139</v>
      </c>
      <c r="I1958">
        <v>54.78</v>
      </c>
      <c r="J1958">
        <v>6.37</v>
      </c>
      <c r="K1958">
        <v>50</v>
      </c>
      <c r="L1958">
        <v>0.72</v>
      </c>
      <c r="M1958">
        <v>27.13</v>
      </c>
      <c r="N1958">
        <v>8</v>
      </c>
      <c r="O1958">
        <v>1</v>
      </c>
      <c r="P1958">
        <v>6485</v>
      </c>
      <c r="Q1958">
        <v>2076</v>
      </c>
      <c r="R1958">
        <v>618</v>
      </c>
      <c r="S1958">
        <v>1739</v>
      </c>
      <c r="T1958">
        <v>33</v>
      </c>
      <c r="U1958">
        <v>2019</v>
      </c>
      <c r="V1958" s="1">
        <f t="shared" si="90"/>
        <v>0.34920000000000001</v>
      </c>
      <c r="W1958" s="1">
        <f t="shared" si="91"/>
        <v>2.01E-2</v>
      </c>
      <c r="X1958" s="1">
        <f t="shared" si="92"/>
        <v>2.5000000000000001E-3</v>
      </c>
    </row>
    <row r="1959" spans="1:24" x14ac:dyDescent="0.25">
      <c r="A1959">
        <v>2010</v>
      </c>
      <c r="B1959">
        <v>12</v>
      </c>
      <c r="C1959" t="s">
        <v>37</v>
      </c>
      <c r="D1959" t="str">
        <f>_xlfn.XLOOKUP(C1959,'Carrier Name Rename'!A:A,'Carrier Name Rename'!B:B)</f>
        <v>Delta Air Lines Inc.</v>
      </c>
      <c r="E1959" t="s">
        <v>23</v>
      </c>
      <c r="F1959" t="s">
        <v>24</v>
      </c>
      <c r="G1959">
        <v>731</v>
      </c>
      <c r="H1959">
        <v>293</v>
      </c>
      <c r="I1959">
        <v>90.63</v>
      </c>
      <c r="J1959">
        <v>8.25</v>
      </c>
      <c r="K1959">
        <v>146.09</v>
      </c>
      <c r="L1959">
        <v>0</v>
      </c>
      <c r="M1959">
        <v>48.03</v>
      </c>
      <c r="N1959">
        <v>14</v>
      </c>
      <c r="O1959">
        <v>0</v>
      </c>
      <c r="P1959">
        <v>13481</v>
      </c>
      <c r="Q1959">
        <v>5025</v>
      </c>
      <c r="R1959">
        <v>699</v>
      </c>
      <c r="S1959">
        <v>5124</v>
      </c>
      <c r="T1959">
        <v>0</v>
      </c>
      <c r="U1959">
        <v>2633</v>
      </c>
      <c r="V1959" s="1">
        <f t="shared" si="90"/>
        <v>0.40079999999999999</v>
      </c>
      <c r="W1959" s="1">
        <f t="shared" si="91"/>
        <v>1.9199999999999998E-2</v>
      </c>
      <c r="X1959" s="1">
        <f t="shared" si="92"/>
        <v>0</v>
      </c>
    </row>
    <row r="1960" spans="1:24" x14ac:dyDescent="0.25">
      <c r="A1960">
        <v>2010</v>
      </c>
      <c r="B1960">
        <v>12</v>
      </c>
      <c r="C1960" t="s">
        <v>39</v>
      </c>
      <c r="D1960" t="str">
        <f>_xlfn.XLOOKUP(C1960,'Carrier Name Rename'!A:A,'Carrier Name Rename'!B:B)</f>
        <v>Frontier Airlines Inc.</v>
      </c>
      <c r="E1960" t="s">
        <v>23</v>
      </c>
      <c r="F1960" t="s">
        <v>24</v>
      </c>
      <c r="G1960">
        <v>132</v>
      </c>
      <c r="H1960">
        <v>35</v>
      </c>
      <c r="I1960">
        <v>18.600000000000001</v>
      </c>
      <c r="J1960">
        <v>0.21</v>
      </c>
      <c r="K1960">
        <v>10.43</v>
      </c>
      <c r="L1960">
        <v>0</v>
      </c>
      <c r="M1960">
        <v>5.76</v>
      </c>
      <c r="N1960">
        <v>0</v>
      </c>
      <c r="O1960">
        <v>0</v>
      </c>
      <c r="P1960">
        <v>1151</v>
      </c>
      <c r="Q1960">
        <v>656</v>
      </c>
      <c r="R1960">
        <v>8</v>
      </c>
      <c r="S1960">
        <v>281</v>
      </c>
      <c r="T1960">
        <v>0</v>
      </c>
      <c r="U1960">
        <v>206</v>
      </c>
      <c r="V1960" s="1">
        <f t="shared" si="90"/>
        <v>0.26519999999999999</v>
      </c>
      <c r="W1960" s="1">
        <f t="shared" si="91"/>
        <v>0</v>
      </c>
      <c r="X1960" s="1">
        <f t="shared" si="92"/>
        <v>0</v>
      </c>
    </row>
    <row r="1961" spans="1:24" x14ac:dyDescent="0.25">
      <c r="A1961">
        <v>2010</v>
      </c>
      <c r="B1961">
        <v>12</v>
      </c>
      <c r="C1961" t="s">
        <v>63</v>
      </c>
      <c r="D1961" t="str">
        <f>_xlfn.XLOOKUP(C1961,'Carrier Name Rename'!A:A,'Carrier Name Rename'!B:B)</f>
        <v>AirTran Airways Corporation</v>
      </c>
      <c r="E1961" t="s">
        <v>23</v>
      </c>
      <c r="F1961" t="s">
        <v>24</v>
      </c>
      <c r="G1961">
        <v>46</v>
      </c>
      <c r="H1961">
        <v>23</v>
      </c>
      <c r="I1961">
        <v>2.5299999999999998</v>
      </c>
      <c r="J1961">
        <v>0</v>
      </c>
      <c r="K1961">
        <v>10.89</v>
      </c>
      <c r="L1961">
        <v>0</v>
      </c>
      <c r="M1961">
        <v>9.58</v>
      </c>
      <c r="N1961">
        <v>0</v>
      </c>
      <c r="O1961">
        <v>0</v>
      </c>
      <c r="P1961">
        <v>996</v>
      </c>
      <c r="Q1961">
        <v>91</v>
      </c>
      <c r="R1961">
        <v>0</v>
      </c>
      <c r="S1961">
        <v>456</v>
      </c>
      <c r="T1961">
        <v>0</v>
      </c>
      <c r="U1961">
        <v>449</v>
      </c>
      <c r="V1961" s="1">
        <f t="shared" si="90"/>
        <v>0.5</v>
      </c>
      <c r="W1961" s="1">
        <f t="shared" si="91"/>
        <v>0</v>
      </c>
      <c r="X1961" s="1">
        <f t="shared" si="92"/>
        <v>0</v>
      </c>
    </row>
    <row r="1962" spans="1:24" x14ac:dyDescent="0.25">
      <c r="A1962">
        <v>2010</v>
      </c>
      <c r="B1962">
        <v>12</v>
      </c>
      <c r="C1962" t="s">
        <v>21</v>
      </c>
      <c r="D1962" t="str">
        <f>_xlfn.XLOOKUP(C1962,'Carrier Name Rename'!A:A,'Carrier Name Rename'!B:B)</f>
        <v>Hawaiian Airlines Inc.</v>
      </c>
      <c r="E1962" t="s">
        <v>23</v>
      </c>
      <c r="F1962" t="s">
        <v>24</v>
      </c>
      <c r="G1962">
        <v>75</v>
      </c>
      <c r="H1962">
        <v>15</v>
      </c>
      <c r="I1962">
        <v>12.36</v>
      </c>
      <c r="J1962">
        <v>0</v>
      </c>
      <c r="K1962">
        <v>0</v>
      </c>
      <c r="L1962">
        <v>0</v>
      </c>
      <c r="M1962">
        <v>2.64</v>
      </c>
      <c r="N1962">
        <v>0</v>
      </c>
      <c r="O1962">
        <v>0</v>
      </c>
      <c r="P1962">
        <v>783</v>
      </c>
      <c r="Q1962">
        <v>528</v>
      </c>
      <c r="R1962">
        <v>0</v>
      </c>
      <c r="S1962">
        <v>0</v>
      </c>
      <c r="T1962">
        <v>0</v>
      </c>
      <c r="U1962">
        <v>255</v>
      </c>
      <c r="V1962" s="1">
        <f t="shared" si="90"/>
        <v>0.2</v>
      </c>
      <c r="W1962" s="1">
        <f t="shared" si="91"/>
        <v>0</v>
      </c>
      <c r="X1962" s="1">
        <f t="shared" si="92"/>
        <v>0</v>
      </c>
    </row>
    <row r="1963" spans="1:24" x14ac:dyDescent="0.25">
      <c r="A1963">
        <v>2010</v>
      </c>
      <c r="B1963">
        <v>12</v>
      </c>
      <c r="C1963" t="s">
        <v>27</v>
      </c>
      <c r="D1963" t="str">
        <f>_xlfn.XLOOKUP(C1963,'Carrier Name Rename'!A:A,'Carrier Name Rename'!B:B)</f>
        <v>SkyWest Airlines Inc.</v>
      </c>
      <c r="E1963" t="s">
        <v>23</v>
      </c>
      <c r="F1963" t="s">
        <v>24</v>
      </c>
      <c r="G1963">
        <v>588</v>
      </c>
      <c r="H1963">
        <v>146</v>
      </c>
      <c r="I1963">
        <v>45.93</v>
      </c>
      <c r="J1963">
        <v>4.83</v>
      </c>
      <c r="K1963">
        <v>28.11</v>
      </c>
      <c r="L1963">
        <v>0</v>
      </c>
      <c r="M1963">
        <v>67.13</v>
      </c>
      <c r="N1963">
        <v>9</v>
      </c>
      <c r="O1963">
        <v>1</v>
      </c>
      <c r="P1963">
        <v>6702</v>
      </c>
      <c r="Q1963">
        <v>2235</v>
      </c>
      <c r="R1963">
        <v>233</v>
      </c>
      <c r="S1963">
        <v>805</v>
      </c>
      <c r="T1963">
        <v>0</v>
      </c>
      <c r="U1963">
        <v>3429</v>
      </c>
      <c r="V1963" s="1">
        <f t="shared" si="90"/>
        <v>0.24829999999999999</v>
      </c>
      <c r="W1963" s="1">
        <f t="shared" si="91"/>
        <v>1.5299999999999999E-2</v>
      </c>
      <c r="X1963" s="1">
        <f t="shared" si="92"/>
        <v>1.6999999999999999E-3</v>
      </c>
    </row>
    <row r="1964" spans="1:24" x14ac:dyDescent="0.25">
      <c r="A1964">
        <v>2010</v>
      </c>
      <c r="B1964">
        <v>12</v>
      </c>
      <c r="C1964" t="s">
        <v>41</v>
      </c>
      <c r="D1964" t="str">
        <f>_xlfn.XLOOKUP(C1964,'Carrier Name Rename'!A:A,'Carrier Name Rename'!B:B)</f>
        <v>United Air Lines Inc.</v>
      </c>
      <c r="E1964" t="s">
        <v>23</v>
      </c>
      <c r="F1964" t="s">
        <v>24</v>
      </c>
      <c r="G1964">
        <v>537</v>
      </c>
      <c r="H1964">
        <v>70</v>
      </c>
      <c r="I1964">
        <v>22.07</v>
      </c>
      <c r="J1964">
        <v>0.96</v>
      </c>
      <c r="K1964">
        <v>10.58</v>
      </c>
      <c r="L1964">
        <v>0</v>
      </c>
      <c r="M1964">
        <v>36.39</v>
      </c>
      <c r="N1964">
        <v>2</v>
      </c>
      <c r="O1964">
        <v>0</v>
      </c>
      <c r="P1964">
        <v>3377</v>
      </c>
      <c r="Q1964">
        <v>951</v>
      </c>
      <c r="R1964">
        <v>153</v>
      </c>
      <c r="S1964">
        <v>314</v>
      </c>
      <c r="T1964">
        <v>0</v>
      </c>
      <c r="U1964">
        <v>1959</v>
      </c>
      <c r="V1964" s="1">
        <f t="shared" si="90"/>
        <v>0.13039999999999999</v>
      </c>
      <c r="W1964" s="1">
        <f t="shared" si="91"/>
        <v>3.7000000000000002E-3</v>
      </c>
      <c r="X1964" s="1">
        <f t="shared" si="92"/>
        <v>0</v>
      </c>
    </row>
    <row r="1965" spans="1:24" x14ac:dyDescent="0.25">
      <c r="A1965">
        <v>2010</v>
      </c>
      <c r="B1965">
        <v>12</v>
      </c>
      <c r="C1965" t="s">
        <v>61</v>
      </c>
      <c r="D1965" t="str">
        <f>_xlfn.XLOOKUP(C1965,'Carrier Name Rename'!A:A,'Carrier Name Rename'!B:B)</f>
        <v>US Airways Inc.</v>
      </c>
      <c r="E1965" t="s">
        <v>23</v>
      </c>
      <c r="F1965" t="s">
        <v>24</v>
      </c>
      <c r="G1965">
        <v>293</v>
      </c>
      <c r="H1965">
        <v>58</v>
      </c>
      <c r="I1965">
        <v>17.34</v>
      </c>
      <c r="J1965">
        <v>0.8</v>
      </c>
      <c r="K1965">
        <v>25.94</v>
      </c>
      <c r="L1965">
        <v>0.28999999999999998</v>
      </c>
      <c r="M1965">
        <v>13.63</v>
      </c>
      <c r="N1965">
        <v>7</v>
      </c>
      <c r="O1965">
        <v>0</v>
      </c>
      <c r="P1965">
        <v>2963</v>
      </c>
      <c r="Q1965">
        <v>1109</v>
      </c>
      <c r="R1965">
        <v>63</v>
      </c>
      <c r="S1965">
        <v>863</v>
      </c>
      <c r="T1965">
        <v>7</v>
      </c>
      <c r="U1965">
        <v>921</v>
      </c>
      <c r="V1965" s="1">
        <f t="shared" si="90"/>
        <v>0.19800000000000001</v>
      </c>
      <c r="W1965" s="1">
        <f t="shared" si="91"/>
        <v>2.3900000000000001E-2</v>
      </c>
      <c r="X1965" s="1">
        <f t="shared" si="92"/>
        <v>0</v>
      </c>
    </row>
    <row r="1966" spans="1:24" x14ac:dyDescent="0.25">
      <c r="A1966">
        <v>2010</v>
      </c>
      <c r="B1966">
        <v>12</v>
      </c>
      <c r="C1966" t="s">
        <v>43</v>
      </c>
      <c r="D1966" t="str">
        <f>_xlfn.XLOOKUP(C1966,'Carrier Name Rename'!A:A,'Carrier Name Rename'!B:B)</f>
        <v>Southwest Airlines Co.</v>
      </c>
      <c r="E1966" t="s">
        <v>23</v>
      </c>
      <c r="F1966" t="s">
        <v>24</v>
      </c>
      <c r="G1966">
        <v>1167</v>
      </c>
      <c r="H1966">
        <v>358</v>
      </c>
      <c r="I1966">
        <v>129.34</v>
      </c>
      <c r="J1966">
        <v>1.78</v>
      </c>
      <c r="K1966">
        <v>37.840000000000003</v>
      </c>
      <c r="L1966">
        <v>1.59</v>
      </c>
      <c r="M1966">
        <v>187.45</v>
      </c>
      <c r="N1966">
        <v>5</v>
      </c>
      <c r="O1966">
        <v>1</v>
      </c>
      <c r="P1966">
        <v>18165</v>
      </c>
      <c r="Q1966">
        <v>6163</v>
      </c>
      <c r="R1966">
        <v>94</v>
      </c>
      <c r="S1966">
        <v>1336</v>
      </c>
      <c r="T1966">
        <v>31</v>
      </c>
      <c r="U1966">
        <v>10541</v>
      </c>
      <c r="V1966" s="1">
        <f t="shared" si="90"/>
        <v>0.30680000000000002</v>
      </c>
      <c r="W1966" s="1">
        <f t="shared" si="91"/>
        <v>4.3E-3</v>
      </c>
      <c r="X1966" s="1">
        <f t="shared" si="92"/>
        <v>8.9999999999999998E-4</v>
      </c>
    </row>
    <row r="1967" spans="1:24" x14ac:dyDescent="0.25">
      <c r="A1967">
        <v>2010</v>
      </c>
      <c r="B1967">
        <v>11</v>
      </c>
      <c r="C1967" t="s">
        <v>31</v>
      </c>
      <c r="D1967" t="str">
        <f>_xlfn.XLOOKUP(C1967,'Carrier Name Rename'!A:A,'Carrier Name Rename'!B:B)</f>
        <v>American Airlines Inc.</v>
      </c>
      <c r="E1967" t="s">
        <v>23</v>
      </c>
      <c r="F1967" t="s">
        <v>24</v>
      </c>
      <c r="G1967">
        <v>368</v>
      </c>
      <c r="H1967">
        <v>87</v>
      </c>
      <c r="I1967">
        <v>22.35</v>
      </c>
      <c r="J1967">
        <v>4.63</v>
      </c>
      <c r="K1967">
        <v>49.9</v>
      </c>
      <c r="L1967">
        <v>0</v>
      </c>
      <c r="M1967">
        <v>10.119999999999999</v>
      </c>
      <c r="N1967">
        <v>0</v>
      </c>
      <c r="O1967">
        <v>3</v>
      </c>
      <c r="P1967">
        <v>3240</v>
      </c>
      <c r="Q1967">
        <v>1006</v>
      </c>
      <c r="R1967">
        <v>150</v>
      </c>
      <c r="S1967">
        <v>1659</v>
      </c>
      <c r="T1967">
        <v>0</v>
      </c>
      <c r="U1967">
        <v>425</v>
      </c>
      <c r="V1967" s="1">
        <f t="shared" si="90"/>
        <v>0.2364</v>
      </c>
      <c r="W1967" s="1">
        <f t="shared" si="91"/>
        <v>0</v>
      </c>
      <c r="X1967" s="1">
        <f t="shared" si="92"/>
        <v>8.2000000000000007E-3</v>
      </c>
    </row>
    <row r="1968" spans="1:24" x14ac:dyDescent="0.25">
      <c r="A1968">
        <v>2010</v>
      </c>
      <c r="B1968">
        <v>11</v>
      </c>
      <c r="C1968" t="s">
        <v>33</v>
      </c>
      <c r="D1968" t="str">
        <f>_xlfn.XLOOKUP(C1968,'Carrier Name Rename'!A:A,'Carrier Name Rename'!B:B)</f>
        <v>Alaska Airlines Inc.</v>
      </c>
      <c r="E1968" t="s">
        <v>23</v>
      </c>
      <c r="F1968" t="s">
        <v>24</v>
      </c>
      <c r="G1968">
        <v>3467</v>
      </c>
      <c r="H1968">
        <v>524</v>
      </c>
      <c r="I1968">
        <v>99.99</v>
      </c>
      <c r="J1968">
        <v>16.239999999999998</v>
      </c>
      <c r="K1968">
        <v>243.93</v>
      </c>
      <c r="L1968">
        <v>1.5</v>
      </c>
      <c r="M1968">
        <v>162.34</v>
      </c>
      <c r="N1968">
        <v>28</v>
      </c>
      <c r="O1968">
        <v>5</v>
      </c>
      <c r="P1968">
        <v>26330</v>
      </c>
      <c r="Q1968">
        <v>6553</v>
      </c>
      <c r="R1968">
        <v>1026</v>
      </c>
      <c r="S1968">
        <v>8761</v>
      </c>
      <c r="T1968">
        <v>40</v>
      </c>
      <c r="U1968">
        <v>9950</v>
      </c>
      <c r="V1968" s="1">
        <f t="shared" si="90"/>
        <v>0.15110000000000001</v>
      </c>
      <c r="W1968" s="1">
        <f t="shared" si="91"/>
        <v>8.0999999999999996E-3</v>
      </c>
      <c r="X1968" s="1">
        <f t="shared" si="92"/>
        <v>1.4E-3</v>
      </c>
    </row>
    <row r="1969" spans="1:24" x14ac:dyDescent="0.25">
      <c r="A1969">
        <v>2010</v>
      </c>
      <c r="B1969">
        <v>11</v>
      </c>
      <c r="C1969" t="s">
        <v>35</v>
      </c>
      <c r="D1969" t="str">
        <f>_xlfn.XLOOKUP(C1969,'Carrier Name Rename'!A:A,'Carrier Name Rename'!B:B)</f>
        <v>JetBlue Airways</v>
      </c>
      <c r="E1969" t="s">
        <v>23</v>
      </c>
      <c r="F1969" t="s">
        <v>24</v>
      </c>
      <c r="G1969">
        <v>139</v>
      </c>
      <c r="H1969">
        <v>30</v>
      </c>
      <c r="I1969">
        <v>6.97</v>
      </c>
      <c r="J1969">
        <v>1</v>
      </c>
      <c r="K1969">
        <v>11.68</v>
      </c>
      <c r="L1969">
        <v>0.35</v>
      </c>
      <c r="M1969">
        <v>10</v>
      </c>
      <c r="N1969">
        <v>1</v>
      </c>
      <c r="O1969">
        <v>0</v>
      </c>
      <c r="P1969">
        <v>1426</v>
      </c>
      <c r="Q1969">
        <v>393</v>
      </c>
      <c r="R1969">
        <v>43</v>
      </c>
      <c r="S1969">
        <v>598</v>
      </c>
      <c r="T1969">
        <v>6</v>
      </c>
      <c r="U1969">
        <v>386</v>
      </c>
      <c r="V1969" s="1">
        <f t="shared" si="90"/>
        <v>0.21579999999999999</v>
      </c>
      <c r="W1969" s="1">
        <f t="shared" si="91"/>
        <v>7.1999999999999998E-3</v>
      </c>
      <c r="X1969" s="1">
        <f t="shared" si="92"/>
        <v>0</v>
      </c>
    </row>
    <row r="1970" spans="1:24" x14ac:dyDescent="0.25">
      <c r="A1970">
        <v>2010</v>
      </c>
      <c r="B1970">
        <v>11</v>
      </c>
      <c r="C1970" t="s">
        <v>65</v>
      </c>
      <c r="D1970" t="str">
        <f>_xlfn.XLOOKUP(C1970,'Carrier Name Rename'!A:A,'Carrier Name Rename'!B:B)</f>
        <v>Continental Air Lines Inc.</v>
      </c>
      <c r="E1970" t="s">
        <v>23</v>
      </c>
      <c r="F1970" t="s">
        <v>24</v>
      </c>
      <c r="G1970">
        <v>338</v>
      </c>
      <c r="H1970">
        <v>74</v>
      </c>
      <c r="I1970">
        <v>37.14</v>
      </c>
      <c r="J1970">
        <v>0</v>
      </c>
      <c r="K1970">
        <v>26.48</v>
      </c>
      <c r="L1970">
        <v>1</v>
      </c>
      <c r="M1970">
        <v>9.3800000000000008</v>
      </c>
      <c r="N1970">
        <v>0</v>
      </c>
      <c r="O1970">
        <v>0</v>
      </c>
      <c r="P1970">
        <v>3472</v>
      </c>
      <c r="Q1970">
        <v>1724</v>
      </c>
      <c r="R1970">
        <v>0</v>
      </c>
      <c r="S1970">
        <v>762</v>
      </c>
      <c r="T1970">
        <v>19</v>
      </c>
      <c r="U1970">
        <v>967</v>
      </c>
      <c r="V1970" s="1">
        <f t="shared" si="90"/>
        <v>0.21890000000000001</v>
      </c>
      <c r="W1970" s="1">
        <f t="shared" si="91"/>
        <v>0</v>
      </c>
      <c r="X1970" s="1">
        <f t="shared" si="92"/>
        <v>0</v>
      </c>
    </row>
    <row r="1971" spans="1:24" x14ac:dyDescent="0.25">
      <c r="A1971">
        <v>2010</v>
      </c>
      <c r="B1971">
        <v>11</v>
      </c>
      <c r="C1971" t="s">
        <v>37</v>
      </c>
      <c r="D1971" t="str">
        <f>_xlfn.XLOOKUP(C1971,'Carrier Name Rename'!A:A,'Carrier Name Rename'!B:B)</f>
        <v>Delta Air Lines Inc.</v>
      </c>
      <c r="E1971" t="s">
        <v>23</v>
      </c>
      <c r="F1971" t="s">
        <v>24</v>
      </c>
      <c r="G1971">
        <v>709</v>
      </c>
      <c r="H1971">
        <v>180</v>
      </c>
      <c r="I1971">
        <v>54.32</v>
      </c>
      <c r="J1971">
        <v>5.57</v>
      </c>
      <c r="K1971">
        <v>96.17</v>
      </c>
      <c r="L1971">
        <v>0</v>
      </c>
      <c r="M1971">
        <v>23.94</v>
      </c>
      <c r="N1971">
        <v>1</v>
      </c>
      <c r="O1971">
        <v>2</v>
      </c>
      <c r="P1971">
        <v>7176</v>
      </c>
      <c r="Q1971">
        <v>2302</v>
      </c>
      <c r="R1971">
        <v>289</v>
      </c>
      <c r="S1971">
        <v>3452</v>
      </c>
      <c r="T1971">
        <v>0</v>
      </c>
      <c r="U1971">
        <v>1133</v>
      </c>
      <c r="V1971" s="1">
        <f t="shared" si="90"/>
        <v>0.25390000000000001</v>
      </c>
      <c r="W1971" s="1">
        <f t="shared" si="91"/>
        <v>1.4E-3</v>
      </c>
      <c r="X1971" s="1">
        <f t="shared" si="92"/>
        <v>2.8E-3</v>
      </c>
    </row>
    <row r="1972" spans="1:24" x14ac:dyDescent="0.25">
      <c r="A1972">
        <v>2010</v>
      </c>
      <c r="B1972">
        <v>11</v>
      </c>
      <c r="C1972" t="s">
        <v>39</v>
      </c>
      <c r="D1972" t="str">
        <f>_xlfn.XLOOKUP(C1972,'Carrier Name Rename'!A:A,'Carrier Name Rename'!B:B)</f>
        <v>Frontier Airlines Inc.</v>
      </c>
      <c r="E1972" t="s">
        <v>23</v>
      </c>
      <c r="F1972" t="s">
        <v>24</v>
      </c>
      <c r="G1972">
        <v>126</v>
      </c>
      <c r="H1972">
        <v>27</v>
      </c>
      <c r="I1972">
        <v>5.16</v>
      </c>
      <c r="J1972">
        <v>0</v>
      </c>
      <c r="K1972">
        <v>12.85</v>
      </c>
      <c r="L1972">
        <v>0</v>
      </c>
      <c r="M1972">
        <v>8.99</v>
      </c>
      <c r="N1972">
        <v>0</v>
      </c>
      <c r="O1972">
        <v>0</v>
      </c>
      <c r="P1972">
        <v>1161</v>
      </c>
      <c r="Q1972">
        <v>170</v>
      </c>
      <c r="R1972">
        <v>0</v>
      </c>
      <c r="S1972">
        <v>625</v>
      </c>
      <c r="T1972">
        <v>0</v>
      </c>
      <c r="U1972">
        <v>366</v>
      </c>
      <c r="V1972" s="1">
        <f t="shared" si="90"/>
        <v>0.21429999999999999</v>
      </c>
      <c r="W1972" s="1">
        <f t="shared" si="91"/>
        <v>0</v>
      </c>
      <c r="X1972" s="1">
        <f t="shared" si="92"/>
        <v>0</v>
      </c>
    </row>
    <row r="1973" spans="1:24" x14ac:dyDescent="0.25">
      <c r="A1973">
        <v>2010</v>
      </c>
      <c r="B1973">
        <v>11</v>
      </c>
      <c r="C1973" t="s">
        <v>63</v>
      </c>
      <c r="D1973" t="str">
        <f>_xlfn.XLOOKUP(C1973,'Carrier Name Rename'!A:A,'Carrier Name Rename'!B:B)</f>
        <v>AirTran Airways Corporation</v>
      </c>
      <c r="E1973" t="s">
        <v>23</v>
      </c>
      <c r="F1973" t="s">
        <v>24</v>
      </c>
      <c r="G1973">
        <v>30</v>
      </c>
      <c r="H1973">
        <v>15</v>
      </c>
      <c r="I1973">
        <v>3.43</v>
      </c>
      <c r="J1973">
        <v>0</v>
      </c>
      <c r="K1973">
        <v>5.98</v>
      </c>
      <c r="L1973">
        <v>0</v>
      </c>
      <c r="M1973">
        <v>5.58</v>
      </c>
      <c r="N1973">
        <v>0</v>
      </c>
      <c r="O1973">
        <v>0</v>
      </c>
      <c r="P1973">
        <v>868</v>
      </c>
      <c r="Q1973">
        <v>138</v>
      </c>
      <c r="R1973">
        <v>0</v>
      </c>
      <c r="S1973">
        <v>201</v>
      </c>
      <c r="T1973">
        <v>0</v>
      </c>
      <c r="U1973">
        <v>529</v>
      </c>
      <c r="V1973" s="1">
        <f t="shared" si="90"/>
        <v>0.5</v>
      </c>
      <c r="W1973" s="1">
        <f t="shared" si="91"/>
        <v>0</v>
      </c>
      <c r="X1973" s="1">
        <f t="shared" si="92"/>
        <v>0</v>
      </c>
    </row>
    <row r="1974" spans="1:24" x14ac:dyDescent="0.25">
      <c r="A1974">
        <v>2010</v>
      </c>
      <c r="B1974">
        <v>11</v>
      </c>
      <c r="C1974" t="s">
        <v>21</v>
      </c>
      <c r="D1974" t="str">
        <f>_xlfn.XLOOKUP(C1974,'Carrier Name Rename'!A:A,'Carrier Name Rename'!B:B)</f>
        <v>Hawaiian Airlines Inc.</v>
      </c>
      <c r="E1974" t="s">
        <v>23</v>
      </c>
      <c r="F1974" t="s">
        <v>24</v>
      </c>
      <c r="G1974">
        <v>72</v>
      </c>
      <c r="H1974">
        <v>20</v>
      </c>
      <c r="I1974">
        <v>18.61</v>
      </c>
      <c r="J1974">
        <v>0</v>
      </c>
      <c r="K1974">
        <v>0</v>
      </c>
      <c r="L1974">
        <v>0</v>
      </c>
      <c r="M1974">
        <v>1.39</v>
      </c>
      <c r="N1974">
        <v>0</v>
      </c>
      <c r="O1974">
        <v>0</v>
      </c>
      <c r="P1974">
        <v>855</v>
      </c>
      <c r="Q1974">
        <v>790</v>
      </c>
      <c r="R1974">
        <v>0</v>
      </c>
      <c r="S1974">
        <v>0</v>
      </c>
      <c r="T1974">
        <v>0</v>
      </c>
      <c r="U1974">
        <v>65</v>
      </c>
      <c r="V1974" s="1">
        <f t="shared" si="90"/>
        <v>0.27779999999999999</v>
      </c>
      <c r="W1974" s="1">
        <f t="shared" si="91"/>
        <v>0</v>
      </c>
      <c r="X1974" s="1">
        <f t="shared" si="92"/>
        <v>0</v>
      </c>
    </row>
    <row r="1975" spans="1:24" x14ac:dyDescent="0.25">
      <c r="A1975">
        <v>2010</v>
      </c>
      <c r="B1975">
        <v>11</v>
      </c>
      <c r="C1975" t="s">
        <v>27</v>
      </c>
      <c r="D1975" t="str">
        <f>_xlfn.XLOOKUP(C1975,'Carrier Name Rename'!A:A,'Carrier Name Rename'!B:B)</f>
        <v>SkyWest Airlines Inc.</v>
      </c>
      <c r="E1975" t="s">
        <v>23</v>
      </c>
      <c r="F1975" t="s">
        <v>24</v>
      </c>
      <c r="G1975">
        <v>594</v>
      </c>
      <c r="H1975">
        <v>157</v>
      </c>
      <c r="I1975">
        <v>42.36</v>
      </c>
      <c r="J1975">
        <v>7.42</v>
      </c>
      <c r="K1975">
        <v>48.74</v>
      </c>
      <c r="L1975">
        <v>0</v>
      </c>
      <c r="M1975">
        <v>58.48</v>
      </c>
      <c r="N1975">
        <v>12</v>
      </c>
      <c r="O1975">
        <v>2</v>
      </c>
      <c r="P1975">
        <v>6998</v>
      </c>
      <c r="Q1975">
        <v>1929</v>
      </c>
      <c r="R1975">
        <v>285</v>
      </c>
      <c r="S1975">
        <v>1466</v>
      </c>
      <c r="T1975">
        <v>0</v>
      </c>
      <c r="U1975">
        <v>3318</v>
      </c>
      <c r="V1975" s="1">
        <f t="shared" si="90"/>
        <v>0.26429999999999998</v>
      </c>
      <c r="W1975" s="1">
        <f t="shared" si="91"/>
        <v>2.0199999999999999E-2</v>
      </c>
      <c r="X1975" s="1">
        <f t="shared" si="92"/>
        <v>3.3999999999999998E-3</v>
      </c>
    </row>
    <row r="1976" spans="1:24" x14ac:dyDescent="0.25">
      <c r="A1976">
        <v>2010</v>
      </c>
      <c r="B1976">
        <v>11</v>
      </c>
      <c r="C1976" t="s">
        <v>41</v>
      </c>
      <c r="D1976" t="str">
        <f>_xlfn.XLOOKUP(C1976,'Carrier Name Rename'!A:A,'Carrier Name Rename'!B:B)</f>
        <v>United Air Lines Inc.</v>
      </c>
      <c r="E1976" t="s">
        <v>23</v>
      </c>
      <c r="F1976" t="s">
        <v>24</v>
      </c>
      <c r="G1976">
        <v>492</v>
      </c>
      <c r="H1976">
        <v>46</v>
      </c>
      <c r="I1976">
        <v>13.3</v>
      </c>
      <c r="J1976">
        <v>0.5</v>
      </c>
      <c r="K1976">
        <v>15.14</v>
      </c>
      <c r="L1976">
        <v>0</v>
      </c>
      <c r="M1976">
        <v>17.059999999999999</v>
      </c>
      <c r="N1976">
        <v>0</v>
      </c>
      <c r="O1976">
        <v>1</v>
      </c>
      <c r="P1976">
        <v>2115</v>
      </c>
      <c r="Q1976">
        <v>394</v>
      </c>
      <c r="R1976">
        <v>9</v>
      </c>
      <c r="S1976">
        <v>833</v>
      </c>
      <c r="T1976">
        <v>0</v>
      </c>
      <c r="U1976">
        <v>879</v>
      </c>
      <c r="V1976" s="1">
        <f t="shared" si="90"/>
        <v>9.35E-2</v>
      </c>
      <c r="W1976" s="1">
        <f t="shared" si="91"/>
        <v>0</v>
      </c>
      <c r="X1976" s="1">
        <f t="shared" si="92"/>
        <v>2E-3</v>
      </c>
    </row>
    <row r="1977" spans="1:24" x14ac:dyDescent="0.25">
      <c r="A1977">
        <v>2010</v>
      </c>
      <c r="B1977">
        <v>11</v>
      </c>
      <c r="C1977" t="s">
        <v>61</v>
      </c>
      <c r="D1977" t="str">
        <f>_xlfn.XLOOKUP(C1977,'Carrier Name Rename'!A:A,'Carrier Name Rename'!B:B)</f>
        <v>US Airways Inc.</v>
      </c>
      <c r="E1977" t="s">
        <v>23</v>
      </c>
      <c r="F1977" t="s">
        <v>24</v>
      </c>
      <c r="G1977">
        <v>267</v>
      </c>
      <c r="H1977">
        <v>50</v>
      </c>
      <c r="I1977">
        <v>10.62</v>
      </c>
      <c r="J1977">
        <v>0</v>
      </c>
      <c r="K1977">
        <v>29.47</v>
      </c>
      <c r="L1977">
        <v>0</v>
      </c>
      <c r="M1977">
        <v>9.91</v>
      </c>
      <c r="N1977">
        <v>0</v>
      </c>
      <c r="O1977">
        <v>0</v>
      </c>
      <c r="P1977">
        <v>2066</v>
      </c>
      <c r="Q1977">
        <v>528</v>
      </c>
      <c r="R1977">
        <v>0</v>
      </c>
      <c r="S1977">
        <v>1208</v>
      </c>
      <c r="T1977">
        <v>0</v>
      </c>
      <c r="U1977">
        <v>330</v>
      </c>
      <c r="V1977" s="1">
        <f t="shared" si="90"/>
        <v>0.18729999999999999</v>
      </c>
      <c r="W1977" s="1">
        <f t="shared" si="91"/>
        <v>0</v>
      </c>
      <c r="X1977" s="1">
        <f t="shared" si="92"/>
        <v>0</v>
      </c>
    </row>
    <row r="1978" spans="1:24" x14ac:dyDescent="0.25">
      <c r="A1978">
        <v>2010</v>
      </c>
      <c r="B1978">
        <v>11</v>
      </c>
      <c r="C1978" t="s">
        <v>43</v>
      </c>
      <c r="D1978" t="str">
        <f>_xlfn.XLOOKUP(C1978,'Carrier Name Rename'!A:A,'Carrier Name Rename'!B:B)</f>
        <v>Southwest Airlines Co.</v>
      </c>
      <c r="E1978" t="s">
        <v>23</v>
      </c>
      <c r="F1978" t="s">
        <v>24</v>
      </c>
      <c r="G1978">
        <v>1131</v>
      </c>
      <c r="H1978">
        <v>230</v>
      </c>
      <c r="I1978">
        <v>78.709999999999994</v>
      </c>
      <c r="J1978">
        <v>6.58</v>
      </c>
      <c r="K1978">
        <v>34.479999999999997</v>
      </c>
      <c r="L1978">
        <v>1.26</v>
      </c>
      <c r="M1978">
        <v>108.98</v>
      </c>
      <c r="N1978">
        <v>0</v>
      </c>
      <c r="O1978">
        <v>0</v>
      </c>
      <c r="P1978">
        <v>10721</v>
      </c>
      <c r="Q1978">
        <v>3290</v>
      </c>
      <c r="R1978">
        <v>1013</v>
      </c>
      <c r="S1978">
        <v>1407</v>
      </c>
      <c r="T1978">
        <v>20</v>
      </c>
      <c r="U1978">
        <v>4991</v>
      </c>
      <c r="V1978" s="1">
        <f t="shared" si="90"/>
        <v>0.2034</v>
      </c>
      <c r="W1978" s="1">
        <f t="shared" si="91"/>
        <v>0</v>
      </c>
      <c r="X1978" s="1">
        <f t="shared" si="92"/>
        <v>0</v>
      </c>
    </row>
    <row r="1979" spans="1:24" x14ac:dyDescent="0.25">
      <c r="A1979">
        <v>2010</v>
      </c>
      <c r="B1979">
        <v>10</v>
      </c>
      <c r="C1979" t="s">
        <v>31</v>
      </c>
      <c r="D1979" t="str">
        <f>_xlfn.XLOOKUP(C1979,'Carrier Name Rename'!A:A,'Carrier Name Rename'!B:B)</f>
        <v>American Airlines Inc.</v>
      </c>
      <c r="E1979" t="s">
        <v>23</v>
      </c>
      <c r="F1979" t="s">
        <v>24</v>
      </c>
      <c r="G1979">
        <v>398</v>
      </c>
      <c r="H1979">
        <v>57</v>
      </c>
      <c r="I1979">
        <v>23.01</v>
      </c>
      <c r="J1979">
        <v>2.25</v>
      </c>
      <c r="K1979">
        <v>26</v>
      </c>
      <c r="L1979">
        <v>0</v>
      </c>
      <c r="M1979">
        <v>5.74</v>
      </c>
      <c r="N1979">
        <v>3</v>
      </c>
      <c r="O1979">
        <v>1</v>
      </c>
      <c r="P1979">
        <v>2732</v>
      </c>
      <c r="Q1979">
        <v>1150</v>
      </c>
      <c r="R1979">
        <v>283</v>
      </c>
      <c r="S1979">
        <v>846</v>
      </c>
      <c r="T1979">
        <v>0</v>
      </c>
      <c r="U1979">
        <v>453</v>
      </c>
      <c r="V1979" s="1">
        <f t="shared" si="90"/>
        <v>0.14319999999999999</v>
      </c>
      <c r="W1979" s="1">
        <f t="shared" si="91"/>
        <v>7.4999999999999997E-3</v>
      </c>
      <c r="X1979" s="1">
        <f t="shared" si="92"/>
        <v>2.5000000000000001E-3</v>
      </c>
    </row>
    <row r="1980" spans="1:24" x14ac:dyDescent="0.25">
      <c r="A1980">
        <v>2010</v>
      </c>
      <c r="B1980">
        <v>10</v>
      </c>
      <c r="C1980" t="s">
        <v>33</v>
      </c>
      <c r="D1980" t="str">
        <f>_xlfn.XLOOKUP(C1980,'Carrier Name Rename'!A:A,'Carrier Name Rename'!B:B)</f>
        <v>Alaska Airlines Inc.</v>
      </c>
      <c r="E1980" t="s">
        <v>23</v>
      </c>
      <c r="F1980" t="s">
        <v>24</v>
      </c>
      <c r="G1980">
        <v>3725</v>
      </c>
      <c r="H1980">
        <v>428</v>
      </c>
      <c r="I1980">
        <v>91.48</v>
      </c>
      <c r="J1980">
        <v>6.93</v>
      </c>
      <c r="K1980">
        <v>212.41</v>
      </c>
      <c r="L1980">
        <v>4.97</v>
      </c>
      <c r="M1980">
        <v>112.21</v>
      </c>
      <c r="N1980">
        <v>15</v>
      </c>
      <c r="O1980">
        <v>4</v>
      </c>
      <c r="P1980">
        <v>18965</v>
      </c>
      <c r="Q1980">
        <v>5594</v>
      </c>
      <c r="R1980">
        <v>595</v>
      </c>
      <c r="S1980">
        <v>5407</v>
      </c>
      <c r="T1980">
        <v>142</v>
      </c>
      <c r="U1980">
        <v>7227</v>
      </c>
      <c r="V1980" s="1">
        <f t="shared" si="90"/>
        <v>0.1149</v>
      </c>
      <c r="W1980" s="1">
        <f t="shared" si="91"/>
        <v>4.0000000000000001E-3</v>
      </c>
      <c r="X1980" s="1">
        <f t="shared" si="92"/>
        <v>1.1000000000000001E-3</v>
      </c>
    </row>
    <row r="1981" spans="1:24" x14ac:dyDescent="0.25">
      <c r="A1981">
        <v>2010</v>
      </c>
      <c r="B1981">
        <v>10</v>
      </c>
      <c r="C1981" t="s">
        <v>35</v>
      </c>
      <c r="D1981" t="str">
        <f>_xlfn.XLOOKUP(C1981,'Carrier Name Rename'!A:A,'Carrier Name Rename'!B:B)</f>
        <v>JetBlue Airways</v>
      </c>
      <c r="E1981" t="s">
        <v>23</v>
      </c>
      <c r="F1981" t="s">
        <v>24</v>
      </c>
      <c r="G1981">
        <v>175</v>
      </c>
      <c r="H1981">
        <v>33</v>
      </c>
      <c r="I1981">
        <v>10.29</v>
      </c>
      <c r="J1981">
        <v>0</v>
      </c>
      <c r="K1981">
        <v>16.559999999999999</v>
      </c>
      <c r="L1981">
        <v>0</v>
      </c>
      <c r="M1981">
        <v>6.15</v>
      </c>
      <c r="N1981">
        <v>0</v>
      </c>
      <c r="O1981">
        <v>0</v>
      </c>
      <c r="P1981">
        <v>1169</v>
      </c>
      <c r="Q1981">
        <v>448</v>
      </c>
      <c r="R1981">
        <v>0</v>
      </c>
      <c r="S1981">
        <v>405</v>
      </c>
      <c r="T1981">
        <v>0</v>
      </c>
      <c r="U1981">
        <v>316</v>
      </c>
      <c r="V1981" s="1">
        <f t="shared" si="90"/>
        <v>0.18859999999999999</v>
      </c>
      <c r="W1981" s="1">
        <f t="shared" si="91"/>
        <v>0</v>
      </c>
      <c r="X1981" s="1">
        <f t="shared" si="92"/>
        <v>0</v>
      </c>
    </row>
    <row r="1982" spans="1:24" x14ac:dyDescent="0.25">
      <c r="A1982">
        <v>2010</v>
      </c>
      <c r="B1982">
        <v>10</v>
      </c>
      <c r="C1982" t="s">
        <v>65</v>
      </c>
      <c r="D1982" t="str">
        <f>_xlfn.XLOOKUP(C1982,'Carrier Name Rename'!A:A,'Carrier Name Rename'!B:B)</f>
        <v>Continental Air Lines Inc.</v>
      </c>
      <c r="E1982" t="s">
        <v>23</v>
      </c>
      <c r="F1982" t="s">
        <v>24</v>
      </c>
      <c r="G1982">
        <v>346</v>
      </c>
      <c r="H1982">
        <v>53</v>
      </c>
      <c r="I1982">
        <v>18.52</v>
      </c>
      <c r="J1982">
        <v>0.48</v>
      </c>
      <c r="K1982">
        <v>31.16</v>
      </c>
      <c r="L1982">
        <v>0</v>
      </c>
      <c r="M1982">
        <v>2.84</v>
      </c>
      <c r="N1982">
        <v>0</v>
      </c>
      <c r="O1982">
        <v>0</v>
      </c>
      <c r="P1982">
        <v>1862</v>
      </c>
      <c r="Q1982">
        <v>683</v>
      </c>
      <c r="R1982">
        <v>14</v>
      </c>
      <c r="S1982">
        <v>1072</v>
      </c>
      <c r="T1982">
        <v>0</v>
      </c>
      <c r="U1982">
        <v>93</v>
      </c>
      <c r="V1982" s="1">
        <f t="shared" si="90"/>
        <v>0.1532</v>
      </c>
      <c r="W1982" s="1">
        <f t="shared" si="91"/>
        <v>0</v>
      </c>
      <c r="X1982" s="1">
        <f t="shared" si="92"/>
        <v>0</v>
      </c>
    </row>
    <row r="1983" spans="1:24" x14ac:dyDescent="0.25">
      <c r="A1983">
        <v>2010</v>
      </c>
      <c r="B1983">
        <v>10</v>
      </c>
      <c r="C1983" t="s">
        <v>37</v>
      </c>
      <c r="D1983" t="str">
        <f>_xlfn.XLOOKUP(C1983,'Carrier Name Rename'!A:A,'Carrier Name Rename'!B:B)</f>
        <v>Delta Air Lines Inc.</v>
      </c>
      <c r="E1983" t="s">
        <v>23</v>
      </c>
      <c r="F1983" t="s">
        <v>24</v>
      </c>
      <c r="G1983">
        <v>821</v>
      </c>
      <c r="H1983">
        <v>128</v>
      </c>
      <c r="I1983">
        <v>57.12</v>
      </c>
      <c r="J1983">
        <v>2.62</v>
      </c>
      <c r="K1983">
        <v>40.18</v>
      </c>
      <c r="L1983">
        <v>0</v>
      </c>
      <c r="M1983">
        <v>28.09</v>
      </c>
      <c r="N1983">
        <v>1</v>
      </c>
      <c r="O1983">
        <v>2</v>
      </c>
      <c r="P1983">
        <v>5829</v>
      </c>
      <c r="Q1983">
        <v>2977</v>
      </c>
      <c r="R1983">
        <v>182</v>
      </c>
      <c r="S1983">
        <v>1170</v>
      </c>
      <c r="T1983">
        <v>0</v>
      </c>
      <c r="U1983">
        <v>1500</v>
      </c>
      <c r="V1983" s="1">
        <f t="shared" si="90"/>
        <v>0.15590000000000001</v>
      </c>
      <c r="W1983" s="1">
        <f t="shared" si="91"/>
        <v>1.1999999999999999E-3</v>
      </c>
      <c r="X1983" s="1">
        <f t="shared" si="92"/>
        <v>2.3999999999999998E-3</v>
      </c>
    </row>
    <row r="1984" spans="1:24" x14ac:dyDescent="0.25">
      <c r="A1984">
        <v>2010</v>
      </c>
      <c r="B1984">
        <v>10</v>
      </c>
      <c r="C1984" t="s">
        <v>39</v>
      </c>
      <c r="D1984" t="str">
        <f>_xlfn.XLOOKUP(C1984,'Carrier Name Rename'!A:A,'Carrier Name Rename'!B:B)</f>
        <v>Frontier Airlines Inc.</v>
      </c>
      <c r="E1984" t="s">
        <v>23</v>
      </c>
      <c r="F1984" t="s">
        <v>24</v>
      </c>
      <c r="G1984">
        <v>145</v>
      </c>
      <c r="H1984">
        <v>9</v>
      </c>
      <c r="I1984">
        <v>1.4</v>
      </c>
      <c r="J1984">
        <v>0</v>
      </c>
      <c r="K1984">
        <v>1.05</v>
      </c>
      <c r="L1984">
        <v>0</v>
      </c>
      <c r="M1984">
        <v>6.55</v>
      </c>
      <c r="N1984">
        <v>0</v>
      </c>
      <c r="O1984">
        <v>1</v>
      </c>
      <c r="P1984">
        <v>321</v>
      </c>
      <c r="Q1984">
        <v>36</v>
      </c>
      <c r="R1984">
        <v>0</v>
      </c>
      <c r="S1984">
        <v>21</v>
      </c>
      <c r="T1984">
        <v>0</v>
      </c>
      <c r="U1984">
        <v>264</v>
      </c>
      <c r="V1984" s="1">
        <f t="shared" si="90"/>
        <v>6.2100000000000002E-2</v>
      </c>
      <c r="W1984" s="1">
        <f t="shared" si="91"/>
        <v>0</v>
      </c>
      <c r="X1984" s="1">
        <f t="shared" si="92"/>
        <v>6.8999999999999999E-3</v>
      </c>
    </row>
    <row r="1985" spans="1:24" x14ac:dyDescent="0.25">
      <c r="A1985">
        <v>2010</v>
      </c>
      <c r="B1985">
        <v>10</v>
      </c>
      <c r="C1985" t="s">
        <v>63</v>
      </c>
      <c r="D1985" t="str">
        <f>_xlfn.XLOOKUP(C1985,'Carrier Name Rename'!A:A,'Carrier Name Rename'!B:B)</f>
        <v>AirTran Airways Corporation</v>
      </c>
      <c r="E1985" t="s">
        <v>23</v>
      </c>
      <c r="F1985" t="s">
        <v>24</v>
      </c>
      <c r="G1985">
        <v>74</v>
      </c>
      <c r="H1985">
        <v>5</v>
      </c>
      <c r="I1985">
        <v>1.59</v>
      </c>
      <c r="J1985">
        <v>0</v>
      </c>
      <c r="K1985">
        <v>2.25</v>
      </c>
      <c r="L1985">
        <v>0</v>
      </c>
      <c r="M1985">
        <v>1.1599999999999999</v>
      </c>
      <c r="N1985">
        <v>0</v>
      </c>
      <c r="O1985">
        <v>0</v>
      </c>
      <c r="P1985">
        <v>330</v>
      </c>
      <c r="Q1985">
        <v>29</v>
      </c>
      <c r="R1985">
        <v>0</v>
      </c>
      <c r="S1985">
        <v>47</v>
      </c>
      <c r="T1985">
        <v>0</v>
      </c>
      <c r="U1985">
        <v>254</v>
      </c>
      <c r="V1985" s="1">
        <f t="shared" si="90"/>
        <v>6.7599999999999993E-2</v>
      </c>
      <c r="W1985" s="1">
        <f t="shared" si="91"/>
        <v>0</v>
      </c>
      <c r="X1985" s="1">
        <f t="shared" si="92"/>
        <v>0</v>
      </c>
    </row>
    <row r="1986" spans="1:24" x14ac:dyDescent="0.25">
      <c r="A1986">
        <v>2010</v>
      </c>
      <c r="B1986">
        <v>10</v>
      </c>
      <c r="C1986" t="s">
        <v>21</v>
      </c>
      <c r="D1986" t="str">
        <f>_xlfn.XLOOKUP(C1986,'Carrier Name Rename'!A:A,'Carrier Name Rename'!B:B)</f>
        <v>Hawaiian Airlines Inc.</v>
      </c>
      <c r="E1986" t="s">
        <v>23</v>
      </c>
      <c r="F1986" t="s">
        <v>24</v>
      </c>
      <c r="G1986">
        <v>76</v>
      </c>
      <c r="H1986">
        <v>19</v>
      </c>
      <c r="I1986">
        <v>15.44</v>
      </c>
      <c r="J1986">
        <v>0</v>
      </c>
      <c r="K1986">
        <v>0</v>
      </c>
      <c r="L1986">
        <v>0</v>
      </c>
      <c r="M1986">
        <v>3.56</v>
      </c>
      <c r="N1986">
        <v>0</v>
      </c>
      <c r="O1986">
        <v>0</v>
      </c>
      <c r="P1986">
        <v>708</v>
      </c>
      <c r="Q1986">
        <v>541</v>
      </c>
      <c r="R1986">
        <v>0</v>
      </c>
      <c r="S1986">
        <v>0</v>
      </c>
      <c r="T1986">
        <v>0</v>
      </c>
      <c r="U1986">
        <v>167</v>
      </c>
      <c r="V1986" s="1">
        <f t="shared" si="90"/>
        <v>0.25</v>
      </c>
      <c r="W1986" s="1">
        <f t="shared" si="91"/>
        <v>0</v>
      </c>
      <c r="X1986" s="1">
        <f t="shared" si="92"/>
        <v>0</v>
      </c>
    </row>
    <row r="1987" spans="1:24" x14ac:dyDescent="0.25">
      <c r="A1987">
        <v>2010</v>
      </c>
      <c r="B1987">
        <v>10</v>
      </c>
      <c r="C1987" t="s">
        <v>27</v>
      </c>
      <c r="D1987" t="str">
        <f>_xlfn.XLOOKUP(C1987,'Carrier Name Rename'!A:A,'Carrier Name Rename'!B:B)</f>
        <v>SkyWest Airlines Inc.</v>
      </c>
      <c r="E1987" t="s">
        <v>23</v>
      </c>
      <c r="F1987" t="s">
        <v>24</v>
      </c>
      <c r="G1987">
        <v>604</v>
      </c>
      <c r="H1987">
        <v>70</v>
      </c>
      <c r="I1987">
        <v>23.59</v>
      </c>
      <c r="J1987">
        <v>3.39</v>
      </c>
      <c r="K1987">
        <v>10.130000000000001</v>
      </c>
      <c r="L1987">
        <v>0</v>
      </c>
      <c r="M1987">
        <v>32.9</v>
      </c>
      <c r="N1987">
        <v>11</v>
      </c>
      <c r="O1987">
        <v>0</v>
      </c>
      <c r="P1987">
        <v>3814</v>
      </c>
      <c r="Q1987">
        <v>1450</v>
      </c>
      <c r="R1987">
        <v>200</v>
      </c>
      <c r="S1987">
        <v>391</v>
      </c>
      <c r="T1987">
        <v>0</v>
      </c>
      <c r="U1987">
        <v>1773</v>
      </c>
      <c r="V1987" s="1">
        <f t="shared" ref="V1987:V2050" si="93">ROUND(H1987/G1987,4)</f>
        <v>0.1159</v>
      </c>
      <c r="W1987" s="1">
        <f t="shared" ref="W1987:W2050" si="94">ROUND(N1987/G1987,4)</f>
        <v>1.8200000000000001E-2</v>
      </c>
      <c r="X1987" s="1">
        <f t="shared" ref="X1987:X2050" si="95">ROUND(O1987/G1987,4)</f>
        <v>0</v>
      </c>
    </row>
    <row r="1988" spans="1:24" x14ac:dyDescent="0.25">
      <c r="A1988">
        <v>2010</v>
      </c>
      <c r="B1988">
        <v>10</v>
      </c>
      <c r="C1988" t="s">
        <v>41</v>
      </c>
      <c r="D1988" t="str">
        <f>_xlfn.XLOOKUP(C1988,'Carrier Name Rename'!A:A,'Carrier Name Rename'!B:B)</f>
        <v>United Air Lines Inc.</v>
      </c>
      <c r="E1988" t="s">
        <v>23</v>
      </c>
      <c r="F1988" t="s">
        <v>24</v>
      </c>
      <c r="G1988">
        <v>577</v>
      </c>
      <c r="H1988">
        <v>37</v>
      </c>
      <c r="I1988">
        <v>14.46</v>
      </c>
      <c r="J1988">
        <v>0</v>
      </c>
      <c r="K1988">
        <v>4.62</v>
      </c>
      <c r="L1988">
        <v>0</v>
      </c>
      <c r="M1988">
        <v>17.91</v>
      </c>
      <c r="N1988">
        <v>0</v>
      </c>
      <c r="O1988">
        <v>1</v>
      </c>
      <c r="P1988">
        <v>2423</v>
      </c>
      <c r="Q1988">
        <v>1186</v>
      </c>
      <c r="R1988">
        <v>0</v>
      </c>
      <c r="S1988">
        <v>163</v>
      </c>
      <c r="T1988">
        <v>0</v>
      </c>
      <c r="U1988">
        <v>1074</v>
      </c>
      <c r="V1988" s="1">
        <f t="shared" si="93"/>
        <v>6.4100000000000004E-2</v>
      </c>
      <c r="W1988" s="1">
        <f t="shared" si="94"/>
        <v>0</v>
      </c>
      <c r="X1988" s="1">
        <f t="shared" si="95"/>
        <v>1.6999999999999999E-3</v>
      </c>
    </row>
    <row r="1989" spans="1:24" x14ac:dyDescent="0.25">
      <c r="A1989">
        <v>2010</v>
      </c>
      <c r="B1989">
        <v>10</v>
      </c>
      <c r="C1989" t="s">
        <v>61</v>
      </c>
      <c r="D1989" t="str">
        <f>_xlfn.XLOOKUP(C1989,'Carrier Name Rename'!A:A,'Carrier Name Rename'!B:B)</f>
        <v>US Airways Inc.</v>
      </c>
      <c r="E1989" t="s">
        <v>23</v>
      </c>
      <c r="F1989" t="s">
        <v>24</v>
      </c>
      <c r="G1989">
        <v>273</v>
      </c>
      <c r="H1989">
        <v>47</v>
      </c>
      <c r="I1989">
        <v>9.26</v>
      </c>
      <c r="J1989">
        <v>0.19</v>
      </c>
      <c r="K1989">
        <v>30.56</v>
      </c>
      <c r="L1989">
        <v>7.0000000000000007E-2</v>
      </c>
      <c r="M1989">
        <v>6.92</v>
      </c>
      <c r="N1989">
        <v>0</v>
      </c>
      <c r="O1989">
        <v>0</v>
      </c>
      <c r="P1989">
        <v>1858</v>
      </c>
      <c r="Q1989">
        <v>461</v>
      </c>
      <c r="R1989">
        <v>7</v>
      </c>
      <c r="S1989">
        <v>945</v>
      </c>
      <c r="T1989">
        <v>2</v>
      </c>
      <c r="U1989">
        <v>443</v>
      </c>
      <c r="V1989" s="1">
        <f t="shared" si="93"/>
        <v>0.17219999999999999</v>
      </c>
      <c r="W1989" s="1">
        <f t="shared" si="94"/>
        <v>0</v>
      </c>
      <c r="X1989" s="1">
        <f t="shared" si="95"/>
        <v>0</v>
      </c>
    </row>
    <row r="1990" spans="1:24" x14ac:dyDescent="0.25">
      <c r="A1990">
        <v>2010</v>
      </c>
      <c r="B1990">
        <v>10</v>
      </c>
      <c r="C1990" t="s">
        <v>43</v>
      </c>
      <c r="D1990" t="str">
        <f>_xlfn.XLOOKUP(C1990,'Carrier Name Rename'!A:A,'Carrier Name Rename'!B:B)</f>
        <v>Southwest Airlines Co.</v>
      </c>
      <c r="E1990" t="s">
        <v>23</v>
      </c>
      <c r="F1990" t="s">
        <v>24</v>
      </c>
      <c r="G1990">
        <v>1187</v>
      </c>
      <c r="H1990">
        <v>201</v>
      </c>
      <c r="I1990">
        <v>62.86</v>
      </c>
      <c r="J1990">
        <v>0.65</v>
      </c>
      <c r="K1990">
        <v>19.78</v>
      </c>
      <c r="L1990">
        <v>2.13</v>
      </c>
      <c r="M1990">
        <v>115.58</v>
      </c>
      <c r="N1990">
        <v>1</v>
      </c>
      <c r="O1990">
        <v>2</v>
      </c>
      <c r="P1990">
        <v>8836</v>
      </c>
      <c r="Q1990">
        <v>2655</v>
      </c>
      <c r="R1990">
        <v>26</v>
      </c>
      <c r="S1990">
        <v>634</v>
      </c>
      <c r="T1990">
        <v>48</v>
      </c>
      <c r="U1990">
        <v>5473</v>
      </c>
      <c r="V1990" s="1">
        <f t="shared" si="93"/>
        <v>0.16930000000000001</v>
      </c>
      <c r="W1990" s="1">
        <f t="shared" si="94"/>
        <v>8.0000000000000004E-4</v>
      </c>
      <c r="X1990" s="1">
        <f t="shared" si="95"/>
        <v>1.6999999999999999E-3</v>
      </c>
    </row>
    <row r="1991" spans="1:24" x14ac:dyDescent="0.25">
      <c r="A1991">
        <v>2010</v>
      </c>
      <c r="B1991">
        <v>9</v>
      </c>
      <c r="C1991" t="s">
        <v>31</v>
      </c>
      <c r="D1991" t="str">
        <f>_xlfn.XLOOKUP(C1991,'Carrier Name Rename'!A:A,'Carrier Name Rename'!B:B)</f>
        <v>American Airlines Inc.</v>
      </c>
      <c r="E1991" t="s">
        <v>23</v>
      </c>
      <c r="F1991" t="s">
        <v>24</v>
      </c>
      <c r="G1991">
        <v>386</v>
      </c>
      <c r="H1991">
        <v>70</v>
      </c>
      <c r="I1991">
        <v>37.79</v>
      </c>
      <c r="J1991">
        <v>3.56</v>
      </c>
      <c r="K1991">
        <v>18.329999999999998</v>
      </c>
      <c r="L1991">
        <v>0.62</v>
      </c>
      <c r="M1991">
        <v>9.6999999999999993</v>
      </c>
      <c r="N1991">
        <v>1</v>
      </c>
      <c r="O1991">
        <v>1</v>
      </c>
      <c r="P1991">
        <v>4165</v>
      </c>
      <c r="Q1991">
        <v>2349</v>
      </c>
      <c r="R1991">
        <v>252</v>
      </c>
      <c r="S1991">
        <v>806</v>
      </c>
      <c r="T1991">
        <v>16</v>
      </c>
      <c r="U1991">
        <v>742</v>
      </c>
      <c r="V1991" s="1">
        <f t="shared" si="93"/>
        <v>0.18129999999999999</v>
      </c>
      <c r="W1991" s="1">
        <f t="shared" si="94"/>
        <v>2.5999999999999999E-3</v>
      </c>
      <c r="X1991" s="1">
        <f t="shared" si="95"/>
        <v>2.5999999999999999E-3</v>
      </c>
    </row>
    <row r="1992" spans="1:24" x14ac:dyDescent="0.25">
      <c r="A1992">
        <v>2010</v>
      </c>
      <c r="B1992">
        <v>9</v>
      </c>
      <c r="C1992" t="s">
        <v>33</v>
      </c>
      <c r="D1992" t="str">
        <f>_xlfn.XLOOKUP(C1992,'Carrier Name Rename'!A:A,'Carrier Name Rename'!B:B)</f>
        <v>Alaska Airlines Inc.</v>
      </c>
      <c r="E1992" t="s">
        <v>23</v>
      </c>
      <c r="F1992" t="s">
        <v>24</v>
      </c>
      <c r="G1992">
        <v>3719</v>
      </c>
      <c r="H1992">
        <v>312</v>
      </c>
      <c r="I1992">
        <v>81.87</v>
      </c>
      <c r="J1992">
        <v>7.1</v>
      </c>
      <c r="K1992">
        <v>125.31</v>
      </c>
      <c r="L1992">
        <v>0</v>
      </c>
      <c r="M1992">
        <v>97.72</v>
      </c>
      <c r="N1992">
        <v>10</v>
      </c>
      <c r="O1992">
        <v>2</v>
      </c>
      <c r="P1992">
        <v>14731</v>
      </c>
      <c r="Q1992">
        <v>4864</v>
      </c>
      <c r="R1992">
        <v>249</v>
      </c>
      <c r="S1992">
        <v>3204</v>
      </c>
      <c r="T1992">
        <v>0</v>
      </c>
      <c r="U1992">
        <v>6414</v>
      </c>
      <c r="V1992" s="1">
        <f t="shared" si="93"/>
        <v>8.3900000000000002E-2</v>
      </c>
      <c r="W1992" s="1">
        <f t="shared" si="94"/>
        <v>2.7000000000000001E-3</v>
      </c>
      <c r="X1992" s="1">
        <f t="shared" si="95"/>
        <v>5.0000000000000001E-4</v>
      </c>
    </row>
    <row r="1993" spans="1:24" x14ac:dyDescent="0.25">
      <c r="A1993">
        <v>2010</v>
      </c>
      <c r="B1993">
        <v>9</v>
      </c>
      <c r="C1993" t="s">
        <v>35</v>
      </c>
      <c r="D1993" t="str">
        <f>_xlfn.XLOOKUP(C1993,'Carrier Name Rename'!A:A,'Carrier Name Rename'!B:B)</f>
        <v>JetBlue Airways</v>
      </c>
      <c r="E1993" t="s">
        <v>23</v>
      </c>
      <c r="F1993" t="s">
        <v>24</v>
      </c>
      <c r="G1993">
        <v>187</v>
      </c>
      <c r="H1993">
        <v>42</v>
      </c>
      <c r="I1993">
        <v>19.649999999999999</v>
      </c>
      <c r="J1993">
        <v>0.22</v>
      </c>
      <c r="K1993">
        <v>14.86</v>
      </c>
      <c r="L1993">
        <v>0</v>
      </c>
      <c r="M1993">
        <v>7.27</v>
      </c>
      <c r="N1993">
        <v>0</v>
      </c>
      <c r="O1993">
        <v>0</v>
      </c>
      <c r="P1993">
        <v>2250</v>
      </c>
      <c r="Q1993">
        <v>1250</v>
      </c>
      <c r="R1993">
        <v>42</v>
      </c>
      <c r="S1993">
        <v>582</v>
      </c>
      <c r="T1993">
        <v>0</v>
      </c>
      <c r="U1993">
        <v>376</v>
      </c>
      <c r="V1993" s="1">
        <f t="shared" si="93"/>
        <v>0.22459999999999999</v>
      </c>
      <c r="W1993" s="1">
        <f t="shared" si="94"/>
        <v>0</v>
      </c>
      <c r="X1993" s="1">
        <f t="shared" si="95"/>
        <v>0</v>
      </c>
    </row>
    <row r="1994" spans="1:24" x14ac:dyDescent="0.25">
      <c r="A1994">
        <v>2010</v>
      </c>
      <c r="B1994">
        <v>9</v>
      </c>
      <c r="C1994" t="s">
        <v>65</v>
      </c>
      <c r="D1994" t="str">
        <f>_xlfn.XLOOKUP(C1994,'Carrier Name Rename'!A:A,'Carrier Name Rename'!B:B)</f>
        <v>Continental Air Lines Inc.</v>
      </c>
      <c r="E1994" t="s">
        <v>23</v>
      </c>
      <c r="F1994" t="s">
        <v>24</v>
      </c>
      <c r="G1994">
        <v>383</v>
      </c>
      <c r="H1994">
        <v>76</v>
      </c>
      <c r="I1994">
        <v>20.27</v>
      </c>
      <c r="J1994">
        <v>3.94</v>
      </c>
      <c r="K1994">
        <v>46</v>
      </c>
      <c r="L1994">
        <v>0.28999999999999998</v>
      </c>
      <c r="M1994">
        <v>5.5</v>
      </c>
      <c r="N1994">
        <v>0</v>
      </c>
      <c r="O1994">
        <v>1</v>
      </c>
      <c r="P1994">
        <v>3158</v>
      </c>
      <c r="Q1994">
        <v>1266</v>
      </c>
      <c r="R1994">
        <v>181</v>
      </c>
      <c r="S1994">
        <v>1343</v>
      </c>
      <c r="T1994">
        <v>7</v>
      </c>
      <c r="U1994">
        <v>361</v>
      </c>
      <c r="V1994" s="1">
        <f t="shared" si="93"/>
        <v>0.19839999999999999</v>
      </c>
      <c r="W1994" s="1">
        <f t="shared" si="94"/>
        <v>0</v>
      </c>
      <c r="X1994" s="1">
        <f t="shared" si="95"/>
        <v>2.5999999999999999E-3</v>
      </c>
    </row>
    <row r="1995" spans="1:24" x14ac:dyDescent="0.25">
      <c r="A1995">
        <v>2010</v>
      </c>
      <c r="B1995">
        <v>9</v>
      </c>
      <c r="C1995" t="s">
        <v>37</v>
      </c>
      <c r="D1995" t="str">
        <f>_xlfn.XLOOKUP(C1995,'Carrier Name Rename'!A:A,'Carrier Name Rename'!B:B)</f>
        <v>Delta Air Lines Inc.</v>
      </c>
      <c r="E1995" t="s">
        <v>23</v>
      </c>
      <c r="F1995" t="s">
        <v>24</v>
      </c>
      <c r="G1995">
        <v>854</v>
      </c>
      <c r="H1995">
        <v>254</v>
      </c>
      <c r="I1995">
        <v>70.319999999999993</v>
      </c>
      <c r="J1995">
        <v>2.34</v>
      </c>
      <c r="K1995">
        <v>138.19999999999999</v>
      </c>
      <c r="L1995">
        <v>0</v>
      </c>
      <c r="M1995">
        <v>43.14</v>
      </c>
      <c r="N1995">
        <v>1</v>
      </c>
      <c r="O1995">
        <v>0</v>
      </c>
      <c r="P1995">
        <v>9779</v>
      </c>
      <c r="Q1995">
        <v>3270</v>
      </c>
      <c r="R1995">
        <v>120</v>
      </c>
      <c r="S1995">
        <v>3993</v>
      </c>
      <c r="T1995">
        <v>0</v>
      </c>
      <c r="U1995">
        <v>2396</v>
      </c>
      <c r="V1995" s="1">
        <f t="shared" si="93"/>
        <v>0.2974</v>
      </c>
      <c r="W1995" s="1">
        <f t="shared" si="94"/>
        <v>1.1999999999999999E-3</v>
      </c>
      <c r="X1995" s="1">
        <f t="shared" si="95"/>
        <v>0</v>
      </c>
    </row>
    <row r="1996" spans="1:24" x14ac:dyDescent="0.25">
      <c r="A1996">
        <v>2010</v>
      </c>
      <c r="B1996">
        <v>9</v>
      </c>
      <c r="C1996" t="s">
        <v>39</v>
      </c>
      <c r="D1996" t="str">
        <f>_xlfn.XLOOKUP(C1996,'Carrier Name Rename'!A:A,'Carrier Name Rename'!B:B)</f>
        <v>Frontier Airlines Inc.</v>
      </c>
      <c r="E1996" t="s">
        <v>23</v>
      </c>
      <c r="F1996" t="s">
        <v>24</v>
      </c>
      <c r="G1996">
        <v>125</v>
      </c>
      <c r="H1996">
        <v>19</v>
      </c>
      <c r="I1996">
        <v>6.84</v>
      </c>
      <c r="J1996">
        <v>0</v>
      </c>
      <c r="K1996">
        <v>7.62</v>
      </c>
      <c r="L1996">
        <v>0</v>
      </c>
      <c r="M1996">
        <v>4.54</v>
      </c>
      <c r="N1996">
        <v>0</v>
      </c>
      <c r="O1996">
        <v>0</v>
      </c>
      <c r="P1996">
        <v>494</v>
      </c>
      <c r="Q1996">
        <v>202</v>
      </c>
      <c r="R1996">
        <v>0</v>
      </c>
      <c r="S1996">
        <v>153</v>
      </c>
      <c r="T1996">
        <v>0</v>
      </c>
      <c r="U1996">
        <v>139</v>
      </c>
      <c r="V1996" s="1">
        <f t="shared" si="93"/>
        <v>0.152</v>
      </c>
      <c r="W1996" s="1">
        <f t="shared" si="94"/>
        <v>0</v>
      </c>
      <c r="X1996" s="1">
        <f t="shared" si="95"/>
        <v>0</v>
      </c>
    </row>
    <row r="1997" spans="1:24" x14ac:dyDescent="0.25">
      <c r="A1997">
        <v>2010</v>
      </c>
      <c r="B1997">
        <v>9</v>
      </c>
      <c r="C1997" t="s">
        <v>63</v>
      </c>
      <c r="D1997" t="str">
        <f>_xlfn.XLOOKUP(C1997,'Carrier Name Rename'!A:A,'Carrier Name Rename'!B:B)</f>
        <v>AirTran Airways Corporation</v>
      </c>
      <c r="E1997" t="s">
        <v>23</v>
      </c>
      <c r="F1997" t="s">
        <v>24</v>
      </c>
      <c r="G1997">
        <v>110</v>
      </c>
      <c r="H1997">
        <v>16</v>
      </c>
      <c r="I1997">
        <v>3.55</v>
      </c>
      <c r="J1997">
        <v>0</v>
      </c>
      <c r="K1997">
        <v>11.06</v>
      </c>
      <c r="L1997">
        <v>0</v>
      </c>
      <c r="M1997">
        <v>1.38</v>
      </c>
      <c r="N1997">
        <v>0</v>
      </c>
      <c r="O1997">
        <v>0</v>
      </c>
      <c r="P1997">
        <v>498</v>
      </c>
      <c r="Q1997">
        <v>175</v>
      </c>
      <c r="R1997">
        <v>0</v>
      </c>
      <c r="S1997">
        <v>251</v>
      </c>
      <c r="T1997">
        <v>0</v>
      </c>
      <c r="U1997">
        <v>72</v>
      </c>
      <c r="V1997" s="1">
        <f t="shared" si="93"/>
        <v>0.14549999999999999</v>
      </c>
      <c r="W1997" s="1">
        <f t="shared" si="94"/>
        <v>0</v>
      </c>
      <c r="X1997" s="1">
        <f t="shared" si="95"/>
        <v>0</v>
      </c>
    </row>
    <row r="1998" spans="1:24" x14ac:dyDescent="0.25">
      <c r="A1998">
        <v>2010</v>
      </c>
      <c r="B1998">
        <v>9</v>
      </c>
      <c r="C1998" t="s">
        <v>21</v>
      </c>
      <c r="D1998" t="str">
        <f>_xlfn.XLOOKUP(C1998,'Carrier Name Rename'!A:A,'Carrier Name Rename'!B:B)</f>
        <v>Hawaiian Airlines Inc.</v>
      </c>
      <c r="E1998" t="s">
        <v>23</v>
      </c>
      <c r="F1998" t="s">
        <v>24</v>
      </c>
      <c r="G1998">
        <v>72</v>
      </c>
      <c r="H1998">
        <v>8</v>
      </c>
      <c r="I1998">
        <v>5.89</v>
      </c>
      <c r="J1998">
        <v>0</v>
      </c>
      <c r="K1998">
        <v>0</v>
      </c>
      <c r="L1998">
        <v>0</v>
      </c>
      <c r="M1998">
        <v>2.11</v>
      </c>
      <c r="N1998">
        <v>0</v>
      </c>
      <c r="O1998">
        <v>0</v>
      </c>
      <c r="P1998">
        <v>697</v>
      </c>
      <c r="Q1998">
        <v>630</v>
      </c>
      <c r="R1998">
        <v>0</v>
      </c>
      <c r="S1998">
        <v>0</v>
      </c>
      <c r="T1998">
        <v>0</v>
      </c>
      <c r="U1998">
        <v>67</v>
      </c>
      <c r="V1998" s="1">
        <f t="shared" si="93"/>
        <v>0.1111</v>
      </c>
      <c r="W1998" s="1">
        <f t="shared" si="94"/>
        <v>0</v>
      </c>
      <c r="X1998" s="1">
        <f t="shared" si="95"/>
        <v>0</v>
      </c>
    </row>
    <row r="1999" spans="1:24" x14ac:dyDescent="0.25">
      <c r="A1999">
        <v>2010</v>
      </c>
      <c r="B1999">
        <v>9</v>
      </c>
      <c r="C1999" t="s">
        <v>27</v>
      </c>
      <c r="D1999" t="str">
        <f>_xlfn.XLOOKUP(C1999,'Carrier Name Rename'!A:A,'Carrier Name Rename'!B:B)</f>
        <v>SkyWest Airlines Inc.</v>
      </c>
      <c r="E1999" t="s">
        <v>23</v>
      </c>
      <c r="F1999" t="s">
        <v>24</v>
      </c>
      <c r="G1999">
        <v>619</v>
      </c>
      <c r="H1999">
        <v>51</v>
      </c>
      <c r="I1999">
        <v>19.05</v>
      </c>
      <c r="J1999">
        <v>2.54</v>
      </c>
      <c r="K1999">
        <v>9.83</v>
      </c>
      <c r="L1999">
        <v>0</v>
      </c>
      <c r="M1999">
        <v>19.57</v>
      </c>
      <c r="N1999">
        <v>3</v>
      </c>
      <c r="O1999">
        <v>0</v>
      </c>
      <c r="P1999">
        <v>2359</v>
      </c>
      <c r="Q1999">
        <v>1055</v>
      </c>
      <c r="R1999">
        <v>61</v>
      </c>
      <c r="S1999">
        <v>283</v>
      </c>
      <c r="T1999">
        <v>0</v>
      </c>
      <c r="U1999">
        <v>960</v>
      </c>
      <c r="V1999" s="1">
        <f t="shared" si="93"/>
        <v>8.2400000000000001E-2</v>
      </c>
      <c r="W1999" s="1">
        <f t="shared" si="94"/>
        <v>4.7999999999999996E-3</v>
      </c>
      <c r="X1999" s="1">
        <f t="shared" si="95"/>
        <v>0</v>
      </c>
    </row>
    <row r="2000" spans="1:24" x14ac:dyDescent="0.25">
      <c r="A2000">
        <v>2010</v>
      </c>
      <c r="B2000">
        <v>9</v>
      </c>
      <c r="C2000" t="s">
        <v>41</v>
      </c>
      <c r="D2000" t="str">
        <f>_xlfn.XLOOKUP(C2000,'Carrier Name Rename'!A:A,'Carrier Name Rename'!B:B)</f>
        <v>United Air Lines Inc.</v>
      </c>
      <c r="E2000" t="s">
        <v>23</v>
      </c>
      <c r="F2000" t="s">
        <v>24</v>
      </c>
      <c r="G2000">
        <v>555</v>
      </c>
      <c r="H2000">
        <v>50</v>
      </c>
      <c r="I2000">
        <v>14.72</v>
      </c>
      <c r="J2000">
        <v>1.49</v>
      </c>
      <c r="K2000">
        <v>11.8</v>
      </c>
      <c r="L2000">
        <v>0</v>
      </c>
      <c r="M2000">
        <v>21.99</v>
      </c>
      <c r="N2000">
        <v>0</v>
      </c>
      <c r="O2000">
        <v>2</v>
      </c>
      <c r="P2000">
        <v>2653</v>
      </c>
      <c r="Q2000">
        <v>838</v>
      </c>
      <c r="R2000">
        <v>150</v>
      </c>
      <c r="S2000">
        <v>370</v>
      </c>
      <c r="T2000">
        <v>0</v>
      </c>
      <c r="U2000">
        <v>1295</v>
      </c>
      <c r="V2000" s="1">
        <f t="shared" si="93"/>
        <v>9.01E-2</v>
      </c>
      <c r="W2000" s="1">
        <f t="shared" si="94"/>
        <v>0</v>
      </c>
      <c r="X2000" s="1">
        <f t="shared" si="95"/>
        <v>3.5999999999999999E-3</v>
      </c>
    </row>
    <row r="2001" spans="1:24" x14ac:dyDescent="0.25">
      <c r="A2001">
        <v>2010</v>
      </c>
      <c r="B2001">
        <v>9</v>
      </c>
      <c r="C2001" t="s">
        <v>61</v>
      </c>
      <c r="D2001" t="str">
        <f>_xlfn.XLOOKUP(C2001,'Carrier Name Rename'!A:A,'Carrier Name Rename'!B:B)</f>
        <v>US Airways Inc.</v>
      </c>
      <c r="E2001" t="s">
        <v>23</v>
      </c>
      <c r="F2001" t="s">
        <v>24</v>
      </c>
      <c r="G2001">
        <v>331</v>
      </c>
      <c r="H2001">
        <v>60</v>
      </c>
      <c r="I2001">
        <v>21.67</v>
      </c>
      <c r="J2001">
        <v>0.36</v>
      </c>
      <c r="K2001">
        <v>27.55</v>
      </c>
      <c r="L2001">
        <v>0</v>
      </c>
      <c r="M2001">
        <v>10.42</v>
      </c>
      <c r="N2001">
        <v>1</v>
      </c>
      <c r="O2001">
        <v>0</v>
      </c>
      <c r="P2001">
        <v>2680</v>
      </c>
      <c r="Q2001">
        <v>1227</v>
      </c>
      <c r="R2001">
        <v>25</v>
      </c>
      <c r="S2001">
        <v>936</v>
      </c>
      <c r="T2001">
        <v>0</v>
      </c>
      <c r="U2001">
        <v>492</v>
      </c>
      <c r="V2001" s="1">
        <f t="shared" si="93"/>
        <v>0.18129999999999999</v>
      </c>
      <c r="W2001" s="1">
        <f t="shared" si="94"/>
        <v>3.0000000000000001E-3</v>
      </c>
      <c r="X2001" s="1">
        <f t="shared" si="95"/>
        <v>0</v>
      </c>
    </row>
    <row r="2002" spans="1:24" x14ac:dyDescent="0.25">
      <c r="A2002">
        <v>2010</v>
      </c>
      <c r="B2002">
        <v>9</v>
      </c>
      <c r="C2002" t="s">
        <v>43</v>
      </c>
      <c r="D2002" t="str">
        <f>_xlfn.XLOOKUP(C2002,'Carrier Name Rename'!A:A,'Carrier Name Rename'!B:B)</f>
        <v>Southwest Airlines Co.</v>
      </c>
      <c r="E2002" t="s">
        <v>23</v>
      </c>
      <c r="F2002" t="s">
        <v>24</v>
      </c>
      <c r="G2002">
        <v>1155</v>
      </c>
      <c r="H2002">
        <v>174</v>
      </c>
      <c r="I2002">
        <v>53.65</v>
      </c>
      <c r="J2002">
        <v>1</v>
      </c>
      <c r="K2002">
        <v>44.67</v>
      </c>
      <c r="L2002">
        <v>0</v>
      </c>
      <c r="M2002">
        <v>74.680000000000007</v>
      </c>
      <c r="N2002">
        <v>1</v>
      </c>
      <c r="O2002">
        <v>0</v>
      </c>
      <c r="P2002">
        <v>6219</v>
      </c>
      <c r="Q2002">
        <v>2036</v>
      </c>
      <c r="R2002">
        <v>17</v>
      </c>
      <c r="S2002">
        <v>1237</v>
      </c>
      <c r="T2002">
        <v>0</v>
      </c>
      <c r="U2002">
        <v>2929</v>
      </c>
      <c r="V2002" s="1">
        <f t="shared" si="93"/>
        <v>0.15060000000000001</v>
      </c>
      <c r="W2002" s="1">
        <f t="shared" si="94"/>
        <v>8.9999999999999998E-4</v>
      </c>
      <c r="X2002" s="1">
        <f t="shared" si="95"/>
        <v>0</v>
      </c>
    </row>
    <row r="2003" spans="1:24" x14ac:dyDescent="0.25">
      <c r="A2003">
        <v>2010</v>
      </c>
      <c r="B2003">
        <v>8</v>
      </c>
      <c r="C2003" t="s">
        <v>31</v>
      </c>
      <c r="D2003" t="str">
        <f>_xlfn.XLOOKUP(C2003,'Carrier Name Rename'!A:A,'Carrier Name Rename'!B:B)</f>
        <v>American Airlines Inc.</v>
      </c>
      <c r="E2003" t="s">
        <v>23</v>
      </c>
      <c r="F2003" t="s">
        <v>24</v>
      </c>
      <c r="G2003">
        <v>471</v>
      </c>
      <c r="H2003">
        <v>97</v>
      </c>
      <c r="I2003">
        <v>45.2</v>
      </c>
      <c r="J2003">
        <v>5.33</v>
      </c>
      <c r="K2003">
        <v>24.19</v>
      </c>
      <c r="L2003">
        <v>0</v>
      </c>
      <c r="M2003">
        <v>22.28</v>
      </c>
      <c r="N2003">
        <v>0</v>
      </c>
      <c r="O2003">
        <v>1</v>
      </c>
      <c r="P2003">
        <v>5467</v>
      </c>
      <c r="Q2003">
        <v>3038</v>
      </c>
      <c r="R2003">
        <v>480</v>
      </c>
      <c r="S2003">
        <v>706</v>
      </c>
      <c r="T2003">
        <v>0</v>
      </c>
      <c r="U2003">
        <v>1243</v>
      </c>
      <c r="V2003" s="1">
        <f t="shared" si="93"/>
        <v>0.2059</v>
      </c>
      <c r="W2003" s="1">
        <f t="shared" si="94"/>
        <v>0</v>
      </c>
      <c r="X2003" s="1">
        <f t="shared" si="95"/>
        <v>2.0999999999999999E-3</v>
      </c>
    </row>
    <row r="2004" spans="1:24" x14ac:dyDescent="0.25">
      <c r="A2004">
        <v>2010</v>
      </c>
      <c r="B2004">
        <v>8</v>
      </c>
      <c r="C2004" t="s">
        <v>33</v>
      </c>
      <c r="D2004" t="str">
        <f>_xlfn.XLOOKUP(C2004,'Carrier Name Rename'!A:A,'Carrier Name Rename'!B:B)</f>
        <v>Alaska Airlines Inc.</v>
      </c>
      <c r="E2004" t="s">
        <v>23</v>
      </c>
      <c r="F2004" t="s">
        <v>24</v>
      </c>
      <c r="G2004">
        <v>4075</v>
      </c>
      <c r="H2004">
        <v>350</v>
      </c>
      <c r="I2004">
        <v>94.21</v>
      </c>
      <c r="J2004">
        <v>3.34</v>
      </c>
      <c r="K2004">
        <v>95.25</v>
      </c>
      <c r="L2004">
        <v>7.18</v>
      </c>
      <c r="M2004">
        <v>150.02000000000001</v>
      </c>
      <c r="N2004">
        <v>11</v>
      </c>
      <c r="O2004">
        <v>2</v>
      </c>
      <c r="P2004">
        <v>17394</v>
      </c>
      <c r="Q2004">
        <v>6721</v>
      </c>
      <c r="R2004">
        <v>337</v>
      </c>
      <c r="S2004">
        <v>2660</v>
      </c>
      <c r="T2004">
        <v>142</v>
      </c>
      <c r="U2004">
        <v>7534</v>
      </c>
      <c r="V2004" s="1">
        <f t="shared" si="93"/>
        <v>8.5900000000000004E-2</v>
      </c>
      <c r="W2004" s="1">
        <f t="shared" si="94"/>
        <v>2.7000000000000001E-3</v>
      </c>
      <c r="X2004" s="1">
        <f t="shared" si="95"/>
        <v>5.0000000000000001E-4</v>
      </c>
    </row>
    <row r="2005" spans="1:24" x14ac:dyDescent="0.25">
      <c r="A2005">
        <v>2010</v>
      </c>
      <c r="B2005">
        <v>8</v>
      </c>
      <c r="C2005" t="s">
        <v>35</v>
      </c>
      <c r="D2005" t="str">
        <f>_xlfn.XLOOKUP(C2005,'Carrier Name Rename'!A:A,'Carrier Name Rename'!B:B)</f>
        <v>JetBlue Airways</v>
      </c>
      <c r="E2005" t="s">
        <v>23</v>
      </c>
      <c r="F2005" t="s">
        <v>24</v>
      </c>
      <c r="G2005">
        <v>217</v>
      </c>
      <c r="H2005">
        <v>53</v>
      </c>
      <c r="I2005">
        <v>25.03</v>
      </c>
      <c r="J2005">
        <v>0</v>
      </c>
      <c r="K2005">
        <v>18.989999999999998</v>
      </c>
      <c r="L2005">
        <v>0</v>
      </c>
      <c r="M2005">
        <v>8.98</v>
      </c>
      <c r="N2005">
        <v>0</v>
      </c>
      <c r="O2005">
        <v>0</v>
      </c>
      <c r="P2005">
        <v>2391</v>
      </c>
      <c r="Q2005">
        <v>1230</v>
      </c>
      <c r="R2005">
        <v>0</v>
      </c>
      <c r="S2005">
        <v>577</v>
      </c>
      <c r="T2005">
        <v>0</v>
      </c>
      <c r="U2005">
        <v>584</v>
      </c>
      <c r="V2005" s="1">
        <f t="shared" si="93"/>
        <v>0.2442</v>
      </c>
      <c r="W2005" s="1">
        <f t="shared" si="94"/>
        <v>0</v>
      </c>
      <c r="X2005" s="1">
        <f t="shared" si="95"/>
        <v>0</v>
      </c>
    </row>
    <row r="2006" spans="1:24" x14ac:dyDescent="0.25">
      <c r="A2006">
        <v>2010</v>
      </c>
      <c r="B2006">
        <v>8</v>
      </c>
      <c r="C2006" t="s">
        <v>65</v>
      </c>
      <c r="D2006" t="str">
        <f>_xlfn.XLOOKUP(C2006,'Carrier Name Rename'!A:A,'Carrier Name Rename'!B:B)</f>
        <v>Continental Air Lines Inc.</v>
      </c>
      <c r="E2006" t="s">
        <v>23</v>
      </c>
      <c r="F2006" t="s">
        <v>24</v>
      </c>
      <c r="G2006">
        <v>466</v>
      </c>
      <c r="H2006">
        <v>54</v>
      </c>
      <c r="I2006">
        <v>23.49</v>
      </c>
      <c r="J2006">
        <v>3.64</v>
      </c>
      <c r="K2006">
        <v>12.01</v>
      </c>
      <c r="L2006">
        <v>0</v>
      </c>
      <c r="M2006">
        <v>14.86</v>
      </c>
      <c r="N2006">
        <v>0</v>
      </c>
      <c r="O2006">
        <v>0</v>
      </c>
      <c r="P2006">
        <v>3006</v>
      </c>
      <c r="Q2006">
        <v>1075</v>
      </c>
      <c r="R2006">
        <v>351</v>
      </c>
      <c r="S2006">
        <v>441</v>
      </c>
      <c r="T2006">
        <v>0</v>
      </c>
      <c r="U2006">
        <v>1139</v>
      </c>
      <c r="V2006" s="1">
        <f t="shared" si="93"/>
        <v>0.1159</v>
      </c>
      <c r="W2006" s="1">
        <f t="shared" si="94"/>
        <v>0</v>
      </c>
      <c r="X2006" s="1">
        <f t="shared" si="95"/>
        <v>0</v>
      </c>
    </row>
    <row r="2007" spans="1:24" x14ac:dyDescent="0.25">
      <c r="A2007">
        <v>2010</v>
      </c>
      <c r="B2007">
        <v>8</v>
      </c>
      <c r="C2007" t="s">
        <v>37</v>
      </c>
      <c r="D2007" t="str">
        <f>_xlfn.XLOOKUP(C2007,'Carrier Name Rename'!A:A,'Carrier Name Rename'!B:B)</f>
        <v>Delta Air Lines Inc.</v>
      </c>
      <c r="E2007" t="s">
        <v>23</v>
      </c>
      <c r="F2007" t="s">
        <v>24</v>
      </c>
      <c r="G2007">
        <v>943</v>
      </c>
      <c r="H2007">
        <v>162</v>
      </c>
      <c r="I2007">
        <v>88.85</v>
      </c>
      <c r="J2007">
        <v>4.21</v>
      </c>
      <c r="K2007">
        <v>34.24</v>
      </c>
      <c r="L2007">
        <v>0</v>
      </c>
      <c r="M2007">
        <v>34.69</v>
      </c>
      <c r="N2007">
        <v>3</v>
      </c>
      <c r="O2007">
        <v>0</v>
      </c>
      <c r="P2007">
        <v>7897</v>
      </c>
      <c r="Q2007">
        <v>4564</v>
      </c>
      <c r="R2007">
        <v>264</v>
      </c>
      <c r="S2007">
        <v>967</v>
      </c>
      <c r="T2007">
        <v>0</v>
      </c>
      <c r="U2007">
        <v>2102</v>
      </c>
      <c r="V2007" s="1">
        <f t="shared" si="93"/>
        <v>0.17180000000000001</v>
      </c>
      <c r="W2007" s="1">
        <f t="shared" si="94"/>
        <v>3.2000000000000002E-3</v>
      </c>
      <c r="X2007" s="1">
        <f t="shared" si="95"/>
        <v>0</v>
      </c>
    </row>
    <row r="2008" spans="1:24" x14ac:dyDescent="0.25">
      <c r="A2008">
        <v>2010</v>
      </c>
      <c r="B2008">
        <v>8</v>
      </c>
      <c r="C2008" t="s">
        <v>39</v>
      </c>
      <c r="D2008" t="str">
        <f>_xlfn.XLOOKUP(C2008,'Carrier Name Rename'!A:A,'Carrier Name Rename'!B:B)</f>
        <v>Frontier Airlines Inc.</v>
      </c>
      <c r="E2008" t="s">
        <v>23</v>
      </c>
      <c r="F2008" t="s">
        <v>24</v>
      </c>
      <c r="G2008">
        <v>156</v>
      </c>
      <c r="H2008">
        <v>25</v>
      </c>
      <c r="I2008">
        <v>7.97</v>
      </c>
      <c r="J2008">
        <v>0.28000000000000003</v>
      </c>
      <c r="K2008">
        <v>5.07</v>
      </c>
      <c r="L2008">
        <v>0</v>
      </c>
      <c r="M2008">
        <v>11.68</v>
      </c>
      <c r="N2008">
        <v>0</v>
      </c>
      <c r="O2008">
        <v>0</v>
      </c>
      <c r="P2008">
        <v>1265</v>
      </c>
      <c r="Q2008">
        <v>343</v>
      </c>
      <c r="R2008">
        <v>18</v>
      </c>
      <c r="S2008">
        <v>163</v>
      </c>
      <c r="T2008">
        <v>0</v>
      </c>
      <c r="U2008">
        <v>741</v>
      </c>
      <c r="V2008" s="1">
        <f t="shared" si="93"/>
        <v>0.1603</v>
      </c>
      <c r="W2008" s="1">
        <f t="shared" si="94"/>
        <v>0</v>
      </c>
      <c r="X2008" s="1">
        <f t="shared" si="95"/>
        <v>0</v>
      </c>
    </row>
    <row r="2009" spans="1:24" x14ac:dyDescent="0.25">
      <c r="A2009">
        <v>2010</v>
      </c>
      <c r="B2009">
        <v>8</v>
      </c>
      <c r="C2009" t="s">
        <v>63</v>
      </c>
      <c r="D2009" t="str">
        <f>_xlfn.XLOOKUP(C2009,'Carrier Name Rename'!A:A,'Carrier Name Rename'!B:B)</f>
        <v>AirTran Airways Corporation</v>
      </c>
      <c r="E2009" t="s">
        <v>23</v>
      </c>
      <c r="F2009" t="s">
        <v>24</v>
      </c>
      <c r="G2009">
        <v>212</v>
      </c>
      <c r="H2009">
        <v>37</v>
      </c>
      <c r="I2009">
        <v>19.79</v>
      </c>
      <c r="J2009">
        <v>1</v>
      </c>
      <c r="K2009">
        <v>5.53</v>
      </c>
      <c r="L2009">
        <v>0</v>
      </c>
      <c r="M2009">
        <v>10.68</v>
      </c>
      <c r="N2009">
        <v>0</v>
      </c>
      <c r="O2009">
        <v>0</v>
      </c>
      <c r="P2009">
        <v>1875</v>
      </c>
      <c r="Q2009">
        <v>763</v>
      </c>
      <c r="R2009">
        <v>94</v>
      </c>
      <c r="S2009">
        <v>191</v>
      </c>
      <c r="T2009">
        <v>0</v>
      </c>
      <c r="U2009">
        <v>827</v>
      </c>
      <c r="V2009" s="1">
        <f t="shared" si="93"/>
        <v>0.17449999999999999</v>
      </c>
      <c r="W2009" s="1">
        <f t="shared" si="94"/>
        <v>0</v>
      </c>
      <c r="X2009" s="1">
        <f t="shared" si="95"/>
        <v>0</v>
      </c>
    </row>
    <row r="2010" spans="1:24" x14ac:dyDescent="0.25">
      <c r="A2010">
        <v>2010</v>
      </c>
      <c r="B2010">
        <v>8</v>
      </c>
      <c r="C2010" t="s">
        <v>21</v>
      </c>
      <c r="D2010" t="str">
        <f>_xlfn.XLOOKUP(C2010,'Carrier Name Rename'!A:A,'Carrier Name Rename'!B:B)</f>
        <v>Hawaiian Airlines Inc.</v>
      </c>
      <c r="E2010" t="s">
        <v>23</v>
      </c>
      <c r="F2010" t="s">
        <v>24</v>
      </c>
      <c r="G2010">
        <v>75</v>
      </c>
      <c r="H2010">
        <v>18</v>
      </c>
      <c r="I2010">
        <v>17.100000000000001</v>
      </c>
      <c r="J2010">
        <v>0</v>
      </c>
      <c r="K2010">
        <v>0</v>
      </c>
      <c r="L2010">
        <v>0</v>
      </c>
      <c r="M2010">
        <v>0.9</v>
      </c>
      <c r="N2010">
        <v>0</v>
      </c>
      <c r="O2010">
        <v>2</v>
      </c>
      <c r="P2010">
        <v>459</v>
      </c>
      <c r="Q2010">
        <v>404</v>
      </c>
      <c r="R2010">
        <v>0</v>
      </c>
      <c r="S2010">
        <v>0</v>
      </c>
      <c r="T2010">
        <v>0</v>
      </c>
      <c r="U2010">
        <v>55</v>
      </c>
      <c r="V2010" s="1">
        <f t="shared" si="93"/>
        <v>0.24</v>
      </c>
      <c r="W2010" s="1">
        <f t="shared" si="94"/>
        <v>0</v>
      </c>
      <c r="X2010" s="1">
        <f t="shared" si="95"/>
        <v>2.6700000000000002E-2</v>
      </c>
    </row>
    <row r="2011" spans="1:24" x14ac:dyDescent="0.25">
      <c r="A2011">
        <v>2010</v>
      </c>
      <c r="B2011">
        <v>8</v>
      </c>
      <c r="C2011" t="s">
        <v>27</v>
      </c>
      <c r="D2011" t="str">
        <f>_xlfn.XLOOKUP(C2011,'Carrier Name Rename'!A:A,'Carrier Name Rename'!B:B)</f>
        <v>SkyWest Airlines Inc.</v>
      </c>
      <c r="E2011" t="s">
        <v>23</v>
      </c>
      <c r="F2011" t="s">
        <v>24</v>
      </c>
      <c r="G2011">
        <v>692</v>
      </c>
      <c r="H2011">
        <v>107</v>
      </c>
      <c r="I2011">
        <v>26.28</v>
      </c>
      <c r="J2011">
        <v>10.73</v>
      </c>
      <c r="K2011">
        <v>26.55</v>
      </c>
      <c r="L2011">
        <v>0</v>
      </c>
      <c r="M2011">
        <v>43.44</v>
      </c>
      <c r="N2011">
        <v>8</v>
      </c>
      <c r="O2011">
        <v>0</v>
      </c>
      <c r="P2011">
        <v>4822</v>
      </c>
      <c r="Q2011">
        <v>1213</v>
      </c>
      <c r="R2011">
        <v>778</v>
      </c>
      <c r="S2011">
        <v>798</v>
      </c>
      <c r="T2011">
        <v>0</v>
      </c>
      <c r="U2011">
        <v>2033</v>
      </c>
      <c r="V2011" s="1">
        <f t="shared" si="93"/>
        <v>0.15459999999999999</v>
      </c>
      <c r="W2011" s="1">
        <f t="shared" si="94"/>
        <v>1.1599999999999999E-2</v>
      </c>
      <c r="X2011" s="1">
        <f t="shared" si="95"/>
        <v>0</v>
      </c>
    </row>
    <row r="2012" spans="1:24" x14ac:dyDescent="0.25">
      <c r="A2012">
        <v>2010</v>
      </c>
      <c r="B2012">
        <v>8</v>
      </c>
      <c r="C2012" t="s">
        <v>41</v>
      </c>
      <c r="D2012" t="str">
        <f>_xlfn.XLOOKUP(C2012,'Carrier Name Rename'!A:A,'Carrier Name Rename'!B:B)</f>
        <v>United Air Lines Inc.</v>
      </c>
      <c r="E2012" t="s">
        <v>23</v>
      </c>
      <c r="F2012" t="s">
        <v>24</v>
      </c>
      <c r="G2012">
        <v>597</v>
      </c>
      <c r="H2012">
        <v>86</v>
      </c>
      <c r="I2012">
        <v>27.73</v>
      </c>
      <c r="J2012">
        <v>1.31</v>
      </c>
      <c r="K2012">
        <v>8.39</v>
      </c>
      <c r="L2012">
        <v>0</v>
      </c>
      <c r="M2012">
        <v>48.58</v>
      </c>
      <c r="N2012">
        <v>3</v>
      </c>
      <c r="O2012">
        <v>1</v>
      </c>
      <c r="P2012">
        <v>4583</v>
      </c>
      <c r="Q2012">
        <v>1431</v>
      </c>
      <c r="R2012">
        <v>92</v>
      </c>
      <c r="S2012">
        <v>332</v>
      </c>
      <c r="T2012">
        <v>0</v>
      </c>
      <c r="U2012">
        <v>2728</v>
      </c>
      <c r="V2012" s="1">
        <f t="shared" si="93"/>
        <v>0.14410000000000001</v>
      </c>
      <c r="W2012" s="1">
        <f t="shared" si="94"/>
        <v>5.0000000000000001E-3</v>
      </c>
      <c r="X2012" s="1">
        <f t="shared" si="95"/>
        <v>1.6999999999999999E-3</v>
      </c>
    </row>
    <row r="2013" spans="1:24" x14ac:dyDescent="0.25">
      <c r="A2013">
        <v>2010</v>
      </c>
      <c r="B2013">
        <v>8</v>
      </c>
      <c r="C2013" t="s">
        <v>61</v>
      </c>
      <c r="D2013" t="str">
        <f>_xlfn.XLOOKUP(C2013,'Carrier Name Rename'!A:A,'Carrier Name Rename'!B:B)</f>
        <v>US Airways Inc.</v>
      </c>
      <c r="E2013" t="s">
        <v>23</v>
      </c>
      <c r="F2013" t="s">
        <v>24</v>
      </c>
      <c r="G2013">
        <v>338</v>
      </c>
      <c r="H2013">
        <v>47</v>
      </c>
      <c r="I2013">
        <v>11.23</v>
      </c>
      <c r="J2013">
        <v>0.92</v>
      </c>
      <c r="K2013">
        <v>20.36</v>
      </c>
      <c r="L2013">
        <v>1.83</v>
      </c>
      <c r="M2013">
        <v>12.65</v>
      </c>
      <c r="N2013">
        <v>1</v>
      </c>
      <c r="O2013">
        <v>1</v>
      </c>
      <c r="P2013">
        <v>2691</v>
      </c>
      <c r="Q2013">
        <v>958</v>
      </c>
      <c r="R2013">
        <v>57</v>
      </c>
      <c r="S2013">
        <v>754</v>
      </c>
      <c r="T2013">
        <v>53</v>
      </c>
      <c r="U2013">
        <v>869</v>
      </c>
      <c r="V2013" s="1">
        <f t="shared" si="93"/>
        <v>0.1391</v>
      </c>
      <c r="W2013" s="1">
        <f t="shared" si="94"/>
        <v>3.0000000000000001E-3</v>
      </c>
      <c r="X2013" s="1">
        <f t="shared" si="95"/>
        <v>3.0000000000000001E-3</v>
      </c>
    </row>
    <row r="2014" spans="1:24" x14ac:dyDescent="0.25">
      <c r="A2014">
        <v>2010</v>
      </c>
      <c r="B2014">
        <v>8</v>
      </c>
      <c r="C2014" t="s">
        <v>43</v>
      </c>
      <c r="D2014" t="str">
        <f>_xlfn.XLOOKUP(C2014,'Carrier Name Rename'!A:A,'Carrier Name Rename'!B:B)</f>
        <v>Southwest Airlines Co.</v>
      </c>
      <c r="E2014" t="s">
        <v>23</v>
      </c>
      <c r="F2014" t="s">
        <v>24</v>
      </c>
      <c r="G2014">
        <v>1231</v>
      </c>
      <c r="H2014">
        <v>219</v>
      </c>
      <c r="I2014">
        <v>83.62</v>
      </c>
      <c r="J2014">
        <v>2.93</v>
      </c>
      <c r="K2014">
        <v>28.73</v>
      </c>
      <c r="L2014">
        <v>0.5</v>
      </c>
      <c r="M2014">
        <v>103.22</v>
      </c>
      <c r="N2014">
        <v>1</v>
      </c>
      <c r="O2014">
        <v>1</v>
      </c>
      <c r="P2014">
        <v>9005</v>
      </c>
      <c r="Q2014">
        <v>3352</v>
      </c>
      <c r="R2014">
        <v>214</v>
      </c>
      <c r="S2014">
        <v>865</v>
      </c>
      <c r="T2014">
        <v>12</v>
      </c>
      <c r="U2014">
        <v>4562</v>
      </c>
      <c r="V2014" s="1">
        <f t="shared" si="93"/>
        <v>0.1779</v>
      </c>
      <c r="W2014" s="1">
        <f t="shared" si="94"/>
        <v>8.0000000000000004E-4</v>
      </c>
      <c r="X2014" s="1">
        <f t="shared" si="95"/>
        <v>8.0000000000000004E-4</v>
      </c>
    </row>
    <row r="2015" spans="1:24" x14ac:dyDescent="0.25">
      <c r="A2015">
        <v>2010</v>
      </c>
      <c r="B2015">
        <v>7</v>
      </c>
      <c r="C2015" t="s">
        <v>31</v>
      </c>
      <c r="D2015" t="str">
        <f>_xlfn.XLOOKUP(C2015,'Carrier Name Rename'!A:A,'Carrier Name Rename'!B:B)</f>
        <v>American Airlines Inc.</v>
      </c>
      <c r="E2015" t="s">
        <v>23</v>
      </c>
      <c r="F2015" t="s">
        <v>24</v>
      </c>
      <c r="G2015">
        <v>495</v>
      </c>
      <c r="H2015">
        <v>125</v>
      </c>
      <c r="I2015">
        <v>53.01</v>
      </c>
      <c r="J2015">
        <v>7.04</v>
      </c>
      <c r="K2015">
        <v>38.57</v>
      </c>
      <c r="L2015">
        <v>0.05</v>
      </c>
      <c r="M2015">
        <v>26.33</v>
      </c>
      <c r="N2015">
        <v>2</v>
      </c>
      <c r="O2015">
        <v>0</v>
      </c>
      <c r="P2015">
        <v>7018</v>
      </c>
      <c r="Q2015">
        <v>3232</v>
      </c>
      <c r="R2015">
        <v>405</v>
      </c>
      <c r="S2015">
        <v>1604</v>
      </c>
      <c r="T2015">
        <v>4</v>
      </c>
      <c r="U2015">
        <v>1773</v>
      </c>
      <c r="V2015" s="1">
        <f t="shared" si="93"/>
        <v>0.2525</v>
      </c>
      <c r="W2015" s="1">
        <f t="shared" si="94"/>
        <v>4.0000000000000001E-3</v>
      </c>
      <c r="X2015" s="1">
        <f t="shared" si="95"/>
        <v>0</v>
      </c>
    </row>
    <row r="2016" spans="1:24" x14ac:dyDescent="0.25">
      <c r="A2016">
        <v>2010</v>
      </c>
      <c r="B2016">
        <v>7</v>
      </c>
      <c r="C2016" t="s">
        <v>33</v>
      </c>
      <c r="D2016" t="str">
        <f>_xlfn.XLOOKUP(C2016,'Carrier Name Rename'!A:A,'Carrier Name Rename'!B:B)</f>
        <v>Alaska Airlines Inc.</v>
      </c>
      <c r="E2016" t="s">
        <v>23</v>
      </c>
      <c r="F2016" t="s">
        <v>24</v>
      </c>
      <c r="G2016">
        <v>4104</v>
      </c>
      <c r="H2016">
        <v>376</v>
      </c>
      <c r="I2016">
        <v>125.29</v>
      </c>
      <c r="J2016">
        <v>4.5</v>
      </c>
      <c r="K2016">
        <v>83.22</v>
      </c>
      <c r="L2016">
        <v>1</v>
      </c>
      <c r="M2016">
        <v>161.99</v>
      </c>
      <c r="N2016">
        <v>10</v>
      </c>
      <c r="O2016">
        <v>3</v>
      </c>
      <c r="P2016">
        <v>19527</v>
      </c>
      <c r="Q2016">
        <v>7284</v>
      </c>
      <c r="R2016">
        <v>259</v>
      </c>
      <c r="S2016">
        <v>2502</v>
      </c>
      <c r="T2016">
        <v>15</v>
      </c>
      <c r="U2016">
        <v>9467</v>
      </c>
      <c r="V2016" s="1">
        <f t="shared" si="93"/>
        <v>9.1600000000000001E-2</v>
      </c>
      <c r="W2016" s="1">
        <f t="shared" si="94"/>
        <v>2.3999999999999998E-3</v>
      </c>
      <c r="X2016" s="1">
        <f t="shared" si="95"/>
        <v>6.9999999999999999E-4</v>
      </c>
    </row>
    <row r="2017" spans="1:24" x14ac:dyDescent="0.25">
      <c r="A2017">
        <v>2010</v>
      </c>
      <c r="B2017">
        <v>7</v>
      </c>
      <c r="C2017" t="s">
        <v>35</v>
      </c>
      <c r="D2017" t="str">
        <f>_xlfn.XLOOKUP(C2017,'Carrier Name Rename'!A:A,'Carrier Name Rename'!B:B)</f>
        <v>JetBlue Airways</v>
      </c>
      <c r="E2017" t="s">
        <v>23</v>
      </c>
      <c r="F2017" t="s">
        <v>24</v>
      </c>
      <c r="G2017">
        <v>217</v>
      </c>
      <c r="H2017">
        <v>67</v>
      </c>
      <c r="I2017">
        <v>32.28</v>
      </c>
      <c r="J2017">
        <v>0.21</v>
      </c>
      <c r="K2017">
        <v>21.29</v>
      </c>
      <c r="L2017">
        <v>0</v>
      </c>
      <c r="M2017">
        <v>13.22</v>
      </c>
      <c r="N2017">
        <v>0</v>
      </c>
      <c r="O2017">
        <v>0</v>
      </c>
      <c r="P2017">
        <v>3483</v>
      </c>
      <c r="Q2017">
        <v>1765</v>
      </c>
      <c r="R2017">
        <v>27</v>
      </c>
      <c r="S2017">
        <v>811</v>
      </c>
      <c r="T2017">
        <v>0</v>
      </c>
      <c r="U2017">
        <v>880</v>
      </c>
      <c r="V2017" s="1">
        <f t="shared" si="93"/>
        <v>0.30880000000000002</v>
      </c>
      <c r="W2017" s="1">
        <f t="shared" si="94"/>
        <v>0</v>
      </c>
      <c r="X2017" s="1">
        <f t="shared" si="95"/>
        <v>0</v>
      </c>
    </row>
    <row r="2018" spans="1:24" x14ac:dyDescent="0.25">
      <c r="A2018">
        <v>2010</v>
      </c>
      <c r="B2018">
        <v>7</v>
      </c>
      <c r="C2018" t="s">
        <v>65</v>
      </c>
      <c r="D2018" t="str">
        <f>_xlfn.XLOOKUP(C2018,'Carrier Name Rename'!A:A,'Carrier Name Rename'!B:B)</f>
        <v>Continental Air Lines Inc.</v>
      </c>
      <c r="E2018" t="s">
        <v>23</v>
      </c>
      <c r="F2018" t="s">
        <v>24</v>
      </c>
      <c r="G2018">
        <v>480</v>
      </c>
      <c r="H2018">
        <v>112</v>
      </c>
      <c r="I2018">
        <v>49.56</v>
      </c>
      <c r="J2018">
        <v>5.4</v>
      </c>
      <c r="K2018">
        <v>34.880000000000003</v>
      </c>
      <c r="L2018">
        <v>0.19</v>
      </c>
      <c r="M2018">
        <v>21.97</v>
      </c>
      <c r="N2018">
        <v>0</v>
      </c>
      <c r="O2018">
        <v>0</v>
      </c>
      <c r="P2018">
        <v>5697</v>
      </c>
      <c r="Q2018">
        <v>2330</v>
      </c>
      <c r="R2018">
        <v>309</v>
      </c>
      <c r="S2018">
        <v>1596</v>
      </c>
      <c r="T2018">
        <v>3</v>
      </c>
      <c r="U2018">
        <v>1459</v>
      </c>
      <c r="V2018" s="1">
        <f t="shared" si="93"/>
        <v>0.23330000000000001</v>
      </c>
      <c r="W2018" s="1">
        <f t="shared" si="94"/>
        <v>0</v>
      </c>
      <c r="X2018" s="1">
        <f t="shared" si="95"/>
        <v>0</v>
      </c>
    </row>
    <row r="2019" spans="1:24" x14ac:dyDescent="0.25">
      <c r="A2019">
        <v>2010</v>
      </c>
      <c r="B2019">
        <v>7</v>
      </c>
      <c r="C2019" t="s">
        <v>37</v>
      </c>
      <c r="D2019" t="str">
        <f>_xlfn.XLOOKUP(C2019,'Carrier Name Rename'!A:A,'Carrier Name Rename'!B:B)</f>
        <v>Delta Air Lines Inc.</v>
      </c>
      <c r="E2019" t="s">
        <v>23</v>
      </c>
      <c r="F2019" t="s">
        <v>24</v>
      </c>
      <c r="G2019">
        <v>1004</v>
      </c>
      <c r="H2019">
        <v>260</v>
      </c>
      <c r="I2019">
        <v>122.55</v>
      </c>
      <c r="J2019">
        <v>12.18</v>
      </c>
      <c r="K2019">
        <v>52.57</v>
      </c>
      <c r="L2019">
        <v>0.68</v>
      </c>
      <c r="M2019">
        <v>72.03</v>
      </c>
      <c r="N2019">
        <v>9</v>
      </c>
      <c r="O2019">
        <v>3</v>
      </c>
      <c r="P2019">
        <v>13662</v>
      </c>
      <c r="Q2019">
        <v>6468</v>
      </c>
      <c r="R2019">
        <v>698</v>
      </c>
      <c r="S2019">
        <v>1728</v>
      </c>
      <c r="T2019">
        <v>25</v>
      </c>
      <c r="U2019">
        <v>4743</v>
      </c>
      <c r="V2019" s="1">
        <f t="shared" si="93"/>
        <v>0.25900000000000001</v>
      </c>
      <c r="W2019" s="1">
        <f t="shared" si="94"/>
        <v>8.9999999999999993E-3</v>
      </c>
      <c r="X2019" s="1">
        <f t="shared" si="95"/>
        <v>3.0000000000000001E-3</v>
      </c>
    </row>
    <row r="2020" spans="1:24" x14ac:dyDescent="0.25">
      <c r="A2020">
        <v>2010</v>
      </c>
      <c r="B2020">
        <v>7</v>
      </c>
      <c r="C2020" t="s">
        <v>39</v>
      </c>
      <c r="D2020" t="str">
        <f>_xlfn.XLOOKUP(C2020,'Carrier Name Rename'!A:A,'Carrier Name Rename'!B:B)</f>
        <v>Frontier Airlines Inc.</v>
      </c>
      <c r="E2020" t="s">
        <v>23</v>
      </c>
      <c r="F2020" t="s">
        <v>24</v>
      </c>
      <c r="G2020">
        <v>156</v>
      </c>
      <c r="H2020">
        <v>41</v>
      </c>
      <c r="I2020">
        <v>16.8</v>
      </c>
      <c r="J2020">
        <v>1.44</v>
      </c>
      <c r="K2020">
        <v>6.34</v>
      </c>
      <c r="L2020">
        <v>0</v>
      </c>
      <c r="M2020">
        <v>16.43</v>
      </c>
      <c r="N2020">
        <v>0</v>
      </c>
      <c r="O2020">
        <v>0</v>
      </c>
      <c r="P2020">
        <v>2764</v>
      </c>
      <c r="Q2020">
        <v>951</v>
      </c>
      <c r="R2020">
        <v>139</v>
      </c>
      <c r="S2020">
        <v>285</v>
      </c>
      <c r="T2020">
        <v>0</v>
      </c>
      <c r="U2020">
        <v>1389</v>
      </c>
      <c r="V2020" s="1">
        <f t="shared" si="93"/>
        <v>0.26279999999999998</v>
      </c>
      <c r="W2020" s="1">
        <f t="shared" si="94"/>
        <v>0</v>
      </c>
      <c r="X2020" s="1">
        <f t="shared" si="95"/>
        <v>0</v>
      </c>
    </row>
    <row r="2021" spans="1:24" x14ac:dyDescent="0.25">
      <c r="A2021">
        <v>2010</v>
      </c>
      <c r="B2021">
        <v>7</v>
      </c>
      <c r="C2021" t="s">
        <v>63</v>
      </c>
      <c r="D2021" t="str">
        <f>_xlfn.XLOOKUP(C2021,'Carrier Name Rename'!A:A,'Carrier Name Rename'!B:B)</f>
        <v>AirTran Airways Corporation</v>
      </c>
      <c r="E2021" t="s">
        <v>23</v>
      </c>
      <c r="F2021" t="s">
        <v>24</v>
      </c>
      <c r="G2021">
        <v>213</v>
      </c>
      <c r="H2021">
        <v>44</v>
      </c>
      <c r="I2021">
        <v>21.26</v>
      </c>
      <c r="J2021">
        <v>0</v>
      </c>
      <c r="K2021">
        <v>11.34</v>
      </c>
      <c r="L2021">
        <v>0</v>
      </c>
      <c r="M2021">
        <v>11.4</v>
      </c>
      <c r="N2021">
        <v>3</v>
      </c>
      <c r="O2021">
        <v>0</v>
      </c>
      <c r="P2021">
        <v>2167</v>
      </c>
      <c r="Q2021">
        <v>842</v>
      </c>
      <c r="R2021">
        <v>0</v>
      </c>
      <c r="S2021">
        <v>425</v>
      </c>
      <c r="T2021">
        <v>0</v>
      </c>
      <c r="U2021">
        <v>900</v>
      </c>
      <c r="V2021" s="1">
        <f t="shared" si="93"/>
        <v>0.20660000000000001</v>
      </c>
      <c r="W2021" s="1">
        <f t="shared" si="94"/>
        <v>1.41E-2</v>
      </c>
      <c r="X2021" s="1">
        <f t="shared" si="95"/>
        <v>0</v>
      </c>
    </row>
    <row r="2022" spans="1:24" x14ac:dyDescent="0.25">
      <c r="A2022">
        <v>2010</v>
      </c>
      <c r="B2022">
        <v>7</v>
      </c>
      <c r="C2022" t="s">
        <v>21</v>
      </c>
      <c r="D2022" t="str">
        <f>_xlfn.XLOOKUP(C2022,'Carrier Name Rename'!A:A,'Carrier Name Rename'!B:B)</f>
        <v>Hawaiian Airlines Inc.</v>
      </c>
      <c r="E2022" t="s">
        <v>23</v>
      </c>
      <c r="F2022" t="s">
        <v>24</v>
      </c>
      <c r="G2022">
        <v>76</v>
      </c>
      <c r="H2022">
        <v>17</v>
      </c>
      <c r="I2022">
        <v>16.21</v>
      </c>
      <c r="J2022">
        <v>0</v>
      </c>
      <c r="K2022">
        <v>0</v>
      </c>
      <c r="L2022">
        <v>0</v>
      </c>
      <c r="M2022">
        <v>0.79</v>
      </c>
      <c r="N2022">
        <v>1</v>
      </c>
      <c r="O2022">
        <v>0</v>
      </c>
      <c r="P2022">
        <v>1046</v>
      </c>
      <c r="Q2022">
        <v>1028</v>
      </c>
      <c r="R2022">
        <v>0</v>
      </c>
      <c r="S2022">
        <v>0</v>
      </c>
      <c r="T2022">
        <v>0</v>
      </c>
      <c r="U2022">
        <v>18</v>
      </c>
      <c r="V2022" s="1">
        <f t="shared" si="93"/>
        <v>0.22370000000000001</v>
      </c>
      <c r="W2022" s="1">
        <f t="shared" si="94"/>
        <v>1.32E-2</v>
      </c>
      <c r="X2022" s="1">
        <f t="shared" si="95"/>
        <v>0</v>
      </c>
    </row>
    <row r="2023" spans="1:24" x14ac:dyDescent="0.25">
      <c r="A2023">
        <v>2010</v>
      </c>
      <c r="B2023">
        <v>7</v>
      </c>
      <c r="C2023" t="s">
        <v>27</v>
      </c>
      <c r="D2023" t="str">
        <f>_xlfn.XLOOKUP(C2023,'Carrier Name Rename'!A:A,'Carrier Name Rename'!B:B)</f>
        <v>SkyWest Airlines Inc.</v>
      </c>
      <c r="E2023" t="s">
        <v>23</v>
      </c>
      <c r="F2023" t="s">
        <v>24</v>
      </c>
      <c r="G2023">
        <v>706</v>
      </c>
      <c r="H2023">
        <v>57</v>
      </c>
      <c r="I2023">
        <v>20.170000000000002</v>
      </c>
      <c r="J2023">
        <v>3.11</v>
      </c>
      <c r="K2023">
        <v>8.2899999999999991</v>
      </c>
      <c r="L2023">
        <v>0.57999999999999996</v>
      </c>
      <c r="M2023">
        <v>24.85</v>
      </c>
      <c r="N2023">
        <v>7</v>
      </c>
      <c r="O2023">
        <v>1</v>
      </c>
      <c r="P2023">
        <v>2727</v>
      </c>
      <c r="Q2023">
        <v>1047</v>
      </c>
      <c r="R2023">
        <v>192</v>
      </c>
      <c r="S2023">
        <v>272</v>
      </c>
      <c r="T2023">
        <v>33</v>
      </c>
      <c r="U2023">
        <v>1183</v>
      </c>
      <c r="V2023" s="1">
        <f t="shared" si="93"/>
        <v>8.0699999999999994E-2</v>
      </c>
      <c r="W2023" s="1">
        <f t="shared" si="94"/>
        <v>9.9000000000000008E-3</v>
      </c>
      <c r="X2023" s="1">
        <f t="shared" si="95"/>
        <v>1.4E-3</v>
      </c>
    </row>
    <row r="2024" spans="1:24" x14ac:dyDescent="0.25">
      <c r="A2024">
        <v>2010</v>
      </c>
      <c r="B2024">
        <v>7</v>
      </c>
      <c r="C2024" t="s">
        <v>41</v>
      </c>
      <c r="D2024" t="str">
        <f>_xlfn.XLOOKUP(C2024,'Carrier Name Rename'!A:A,'Carrier Name Rename'!B:B)</f>
        <v>United Air Lines Inc.</v>
      </c>
      <c r="E2024" t="s">
        <v>23</v>
      </c>
      <c r="F2024" t="s">
        <v>24</v>
      </c>
      <c r="G2024">
        <v>597</v>
      </c>
      <c r="H2024">
        <v>99</v>
      </c>
      <c r="I2024">
        <v>27.18</v>
      </c>
      <c r="J2024">
        <v>5.09</v>
      </c>
      <c r="K2024">
        <v>21.62</v>
      </c>
      <c r="L2024">
        <v>0</v>
      </c>
      <c r="M2024">
        <v>45.11</v>
      </c>
      <c r="N2024">
        <v>2</v>
      </c>
      <c r="O2024">
        <v>1</v>
      </c>
      <c r="P2024">
        <v>6878</v>
      </c>
      <c r="Q2024">
        <v>1794</v>
      </c>
      <c r="R2024">
        <v>494</v>
      </c>
      <c r="S2024">
        <v>1161</v>
      </c>
      <c r="T2024">
        <v>0</v>
      </c>
      <c r="U2024">
        <v>3429</v>
      </c>
      <c r="V2024" s="1">
        <f t="shared" si="93"/>
        <v>0.1658</v>
      </c>
      <c r="W2024" s="1">
        <f t="shared" si="94"/>
        <v>3.3999999999999998E-3</v>
      </c>
      <c r="X2024" s="1">
        <f t="shared" si="95"/>
        <v>1.6999999999999999E-3</v>
      </c>
    </row>
    <row r="2025" spans="1:24" x14ac:dyDescent="0.25">
      <c r="A2025">
        <v>2010</v>
      </c>
      <c r="B2025">
        <v>7</v>
      </c>
      <c r="C2025" t="s">
        <v>61</v>
      </c>
      <c r="D2025" t="str">
        <f>_xlfn.XLOOKUP(C2025,'Carrier Name Rename'!A:A,'Carrier Name Rename'!B:B)</f>
        <v>US Airways Inc.</v>
      </c>
      <c r="E2025" t="s">
        <v>23</v>
      </c>
      <c r="F2025" t="s">
        <v>24</v>
      </c>
      <c r="G2025">
        <v>357</v>
      </c>
      <c r="H2025">
        <v>66</v>
      </c>
      <c r="I2025">
        <v>22.03</v>
      </c>
      <c r="J2025">
        <v>2.46</v>
      </c>
      <c r="K2025">
        <v>25.25</v>
      </c>
      <c r="L2025">
        <v>1.62</v>
      </c>
      <c r="M2025">
        <v>14.64</v>
      </c>
      <c r="N2025">
        <v>0</v>
      </c>
      <c r="O2025">
        <v>2</v>
      </c>
      <c r="P2025">
        <v>3981</v>
      </c>
      <c r="Q2025">
        <v>1390</v>
      </c>
      <c r="R2025">
        <v>299</v>
      </c>
      <c r="S2025">
        <v>1241</v>
      </c>
      <c r="T2025">
        <v>32</v>
      </c>
      <c r="U2025">
        <v>1019</v>
      </c>
      <c r="V2025" s="1">
        <f t="shared" si="93"/>
        <v>0.18490000000000001</v>
      </c>
      <c r="W2025" s="1">
        <f t="shared" si="94"/>
        <v>0</v>
      </c>
      <c r="X2025" s="1">
        <f t="shared" si="95"/>
        <v>5.5999999999999999E-3</v>
      </c>
    </row>
    <row r="2026" spans="1:24" x14ac:dyDescent="0.25">
      <c r="A2026">
        <v>2010</v>
      </c>
      <c r="B2026">
        <v>7</v>
      </c>
      <c r="C2026" t="s">
        <v>43</v>
      </c>
      <c r="D2026" t="str">
        <f>_xlfn.XLOOKUP(C2026,'Carrier Name Rename'!A:A,'Carrier Name Rename'!B:B)</f>
        <v>Southwest Airlines Co.</v>
      </c>
      <c r="E2026" t="s">
        <v>23</v>
      </c>
      <c r="F2026" t="s">
        <v>24</v>
      </c>
      <c r="G2026">
        <v>1268</v>
      </c>
      <c r="H2026">
        <v>229</v>
      </c>
      <c r="I2026">
        <v>94.33</v>
      </c>
      <c r="J2026">
        <v>2.56</v>
      </c>
      <c r="K2026">
        <v>15.21</v>
      </c>
      <c r="L2026">
        <v>1.53</v>
      </c>
      <c r="M2026">
        <v>115.37</v>
      </c>
      <c r="N2026">
        <v>0</v>
      </c>
      <c r="O2026">
        <v>0</v>
      </c>
      <c r="P2026">
        <v>10976</v>
      </c>
      <c r="Q2026">
        <v>4078</v>
      </c>
      <c r="R2026">
        <v>243</v>
      </c>
      <c r="S2026">
        <v>465</v>
      </c>
      <c r="T2026">
        <v>31</v>
      </c>
      <c r="U2026">
        <v>6159</v>
      </c>
      <c r="V2026" s="1">
        <f t="shared" si="93"/>
        <v>0.18060000000000001</v>
      </c>
      <c r="W2026" s="1">
        <f t="shared" si="94"/>
        <v>0</v>
      </c>
      <c r="X2026" s="1">
        <f t="shared" si="95"/>
        <v>0</v>
      </c>
    </row>
    <row r="2027" spans="1:24" x14ac:dyDescent="0.25">
      <c r="A2027">
        <v>2010</v>
      </c>
      <c r="B2027">
        <v>6</v>
      </c>
      <c r="C2027" t="s">
        <v>31</v>
      </c>
      <c r="D2027" t="str">
        <f>_xlfn.XLOOKUP(C2027,'Carrier Name Rename'!A:A,'Carrier Name Rename'!B:B)</f>
        <v>American Airlines Inc.</v>
      </c>
      <c r="E2027" t="s">
        <v>23</v>
      </c>
      <c r="F2027" t="s">
        <v>24</v>
      </c>
      <c r="G2027">
        <v>470</v>
      </c>
      <c r="H2027">
        <v>127</v>
      </c>
      <c r="I2027">
        <v>38.979999999999997</v>
      </c>
      <c r="J2027">
        <v>7.38</v>
      </c>
      <c r="K2027">
        <v>50.87</v>
      </c>
      <c r="L2027">
        <v>0</v>
      </c>
      <c r="M2027">
        <v>29.77</v>
      </c>
      <c r="N2027">
        <v>6</v>
      </c>
      <c r="O2027">
        <v>0</v>
      </c>
      <c r="P2027">
        <v>6988</v>
      </c>
      <c r="Q2027">
        <v>2476</v>
      </c>
      <c r="R2027">
        <v>663</v>
      </c>
      <c r="S2027">
        <v>2336</v>
      </c>
      <c r="T2027">
        <v>0</v>
      </c>
      <c r="U2027">
        <v>1513</v>
      </c>
      <c r="V2027" s="1">
        <f t="shared" si="93"/>
        <v>0.2702</v>
      </c>
      <c r="W2027" s="1">
        <f t="shared" si="94"/>
        <v>1.2800000000000001E-2</v>
      </c>
      <c r="X2027" s="1">
        <f t="shared" si="95"/>
        <v>0</v>
      </c>
    </row>
    <row r="2028" spans="1:24" x14ac:dyDescent="0.25">
      <c r="A2028">
        <v>2010</v>
      </c>
      <c r="B2028">
        <v>6</v>
      </c>
      <c r="C2028" t="s">
        <v>33</v>
      </c>
      <c r="D2028" t="str">
        <f>_xlfn.XLOOKUP(C2028,'Carrier Name Rename'!A:A,'Carrier Name Rename'!B:B)</f>
        <v>Alaska Airlines Inc.</v>
      </c>
      <c r="E2028" t="s">
        <v>23</v>
      </c>
      <c r="F2028" t="s">
        <v>24</v>
      </c>
      <c r="G2028">
        <v>3911</v>
      </c>
      <c r="H2028">
        <v>428</v>
      </c>
      <c r="I2028">
        <v>124.55</v>
      </c>
      <c r="J2028">
        <v>7.72</v>
      </c>
      <c r="K2028">
        <v>160.19</v>
      </c>
      <c r="L2028">
        <v>1</v>
      </c>
      <c r="M2028">
        <v>134.54</v>
      </c>
      <c r="N2028">
        <v>11</v>
      </c>
      <c r="O2028">
        <v>4</v>
      </c>
      <c r="P2028">
        <v>20250</v>
      </c>
      <c r="Q2028">
        <v>7128</v>
      </c>
      <c r="R2028">
        <v>715</v>
      </c>
      <c r="S2028">
        <v>4432</v>
      </c>
      <c r="T2028">
        <v>20</v>
      </c>
      <c r="U2028">
        <v>7955</v>
      </c>
      <c r="V2028" s="1">
        <f t="shared" si="93"/>
        <v>0.1094</v>
      </c>
      <c r="W2028" s="1">
        <f t="shared" si="94"/>
        <v>2.8E-3</v>
      </c>
      <c r="X2028" s="1">
        <f t="shared" si="95"/>
        <v>1E-3</v>
      </c>
    </row>
    <row r="2029" spans="1:24" x14ac:dyDescent="0.25">
      <c r="A2029">
        <v>2010</v>
      </c>
      <c r="B2029">
        <v>6</v>
      </c>
      <c r="C2029" t="s">
        <v>35</v>
      </c>
      <c r="D2029" t="str">
        <f>_xlfn.XLOOKUP(C2029,'Carrier Name Rename'!A:A,'Carrier Name Rename'!B:B)</f>
        <v>JetBlue Airways</v>
      </c>
      <c r="E2029" t="s">
        <v>23</v>
      </c>
      <c r="F2029" t="s">
        <v>24</v>
      </c>
      <c r="G2029">
        <v>162</v>
      </c>
      <c r="H2029">
        <v>35</v>
      </c>
      <c r="I2029">
        <v>13.77</v>
      </c>
      <c r="J2029">
        <v>0</v>
      </c>
      <c r="K2029">
        <v>18.87</v>
      </c>
      <c r="L2029">
        <v>0</v>
      </c>
      <c r="M2029">
        <v>2.36</v>
      </c>
      <c r="N2029">
        <v>0</v>
      </c>
      <c r="O2029">
        <v>0</v>
      </c>
      <c r="P2029">
        <v>1562</v>
      </c>
      <c r="Q2029">
        <v>790</v>
      </c>
      <c r="R2029">
        <v>0</v>
      </c>
      <c r="S2029">
        <v>620</v>
      </c>
      <c r="T2029">
        <v>0</v>
      </c>
      <c r="U2029">
        <v>152</v>
      </c>
      <c r="V2029" s="1">
        <f t="shared" si="93"/>
        <v>0.216</v>
      </c>
      <c r="W2029" s="1">
        <f t="shared" si="94"/>
        <v>0</v>
      </c>
      <c r="X2029" s="1">
        <f t="shared" si="95"/>
        <v>0</v>
      </c>
    </row>
    <row r="2030" spans="1:24" x14ac:dyDescent="0.25">
      <c r="A2030">
        <v>2010</v>
      </c>
      <c r="B2030">
        <v>6</v>
      </c>
      <c r="C2030" t="s">
        <v>65</v>
      </c>
      <c r="D2030" t="str">
        <f>_xlfn.XLOOKUP(C2030,'Carrier Name Rename'!A:A,'Carrier Name Rename'!B:B)</f>
        <v>Continental Air Lines Inc.</v>
      </c>
      <c r="E2030" t="s">
        <v>23</v>
      </c>
      <c r="F2030" t="s">
        <v>24</v>
      </c>
      <c r="G2030">
        <v>437</v>
      </c>
      <c r="H2030">
        <v>90</v>
      </c>
      <c r="I2030">
        <v>38.25</v>
      </c>
      <c r="J2030">
        <v>6.03</v>
      </c>
      <c r="K2030">
        <v>32.14</v>
      </c>
      <c r="L2030">
        <v>0.77</v>
      </c>
      <c r="M2030">
        <v>12.81</v>
      </c>
      <c r="N2030">
        <v>0</v>
      </c>
      <c r="O2030">
        <v>1</v>
      </c>
      <c r="P2030">
        <v>4105</v>
      </c>
      <c r="Q2030">
        <v>1509</v>
      </c>
      <c r="R2030">
        <v>272</v>
      </c>
      <c r="S2030">
        <v>1051</v>
      </c>
      <c r="T2030">
        <v>17</v>
      </c>
      <c r="U2030">
        <v>1256</v>
      </c>
      <c r="V2030" s="1">
        <f t="shared" si="93"/>
        <v>0.2059</v>
      </c>
      <c r="W2030" s="1">
        <f t="shared" si="94"/>
        <v>0</v>
      </c>
      <c r="X2030" s="1">
        <f t="shared" si="95"/>
        <v>2.3E-3</v>
      </c>
    </row>
    <row r="2031" spans="1:24" x14ac:dyDescent="0.25">
      <c r="A2031">
        <v>2010</v>
      </c>
      <c r="B2031">
        <v>6</v>
      </c>
      <c r="C2031" t="s">
        <v>37</v>
      </c>
      <c r="D2031" t="str">
        <f>_xlfn.XLOOKUP(C2031,'Carrier Name Rename'!A:A,'Carrier Name Rename'!B:B)</f>
        <v>Delta Air Lines Inc.</v>
      </c>
      <c r="E2031" t="s">
        <v>23</v>
      </c>
      <c r="F2031" t="s">
        <v>24</v>
      </c>
      <c r="G2031">
        <v>896</v>
      </c>
      <c r="H2031">
        <v>238</v>
      </c>
      <c r="I2031">
        <v>102.17</v>
      </c>
      <c r="J2031">
        <v>10.45</v>
      </c>
      <c r="K2031">
        <v>68.900000000000006</v>
      </c>
      <c r="L2031">
        <v>0</v>
      </c>
      <c r="M2031">
        <v>56.48</v>
      </c>
      <c r="N2031">
        <v>9</v>
      </c>
      <c r="O2031">
        <v>0</v>
      </c>
      <c r="P2031">
        <v>13141</v>
      </c>
      <c r="Q2031">
        <v>4939</v>
      </c>
      <c r="R2031">
        <v>745</v>
      </c>
      <c r="S2031">
        <v>2486</v>
      </c>
      <c r="T2031">
        <v>0</v>
      </c>
      <c r="U2031">
        <v>4971</v>
      </c>
      <c r="V2031" s="1">
        <f t="shared" si="93"/>
        <v>0.2656</v>
      </c>
      <c r="W2031" s="1">
        <f t="shared" si="94"/>
        <v>0.01</v>
      </c>
      <c r="X2031" s="1">
        <f t="shared" si="95"/>
        <v>0</v>
      </c>
    </row>
    <row r="2032" spans="1:24" x14ac:dyDescent="0.25">
      <c r="A2032">
        <v>2010</v>
      </c>
      <c r="B2032">
        <v>6</v>
      </c>
      <c r="C2032" t="s">
        <v>39</v>
      </c>
      <c r="D2032" t="str">
        <f>_xlfn.XLOOKUP(C2032,'Carrier Name Rename'!A:A,'Carrier Name Rename'!B:B)</f>
        <v>Frontier Airlines Inc.</v>
      </c>
      <c r="E2032" t="s">
        <v>23</v>
      </c>
      <c r="F2032" t="s">
        <v>24</v>
      </c>
      <c r="G2032">
        <v>137</v>
      </c>
      <c r="H2032">
        <v>35</v>
      </c>
      <c r="I2032">
        <v>15.72</v>
      </c>
      <c r="J2032">
        <v>1.1499999999999999</v>
      </c>
      <c r="K2032">
        <v>7.25</v>
      </c>
      <c r="L2032">
        <v>0</v>
      </c>
      <c r="M2032">
        <v>10.88</v>
      </c>
      <c r="N2032">
        <v>0</v>
      </c>
      <c r="O2032">
        <v>0</v>
      </c>
      <c r="P2032">
        <v>1712</v>
      </c>
      <c r="Q2032">
        <v>512</v>
      </c>
      <c r="R2032">
        <v>71</v>
      </c>
      <c r="S2032">
        <v>214</v>
      </c>
      <c r="T2032">
        <v>0</v>
      </c>
      <c r="U2032">
        <v>915</v>
      </c>
      <c r="V2032" s="1">
        <f t="shared" si="93"/>
        <v>0.2555</v>
      </c>
      <c r="W2032" s="1">
        <f t="shared" si="94"/>
        <v>0</v>
      </c>
      <c r="X2032" s="1">
        <f t="shared" si="95"/>
        <v>0</v>
      </c>
    </row>
    <row r="2033" spans="1:24" x14ac:dyDescent="0.25">
      <c r="A2033">
        <v>2010</v>
      </c>
      <c r="B2033">
        <v>6</v>
      </c>
      <c r="C2033" t="s">
        <v>63</v>
      </c>
      <c r="D2033" t="str">
        <f>_xlfn.XLOOKUP(C2033,'Carrier Name Rename'!A:A,'Carrier Name Rename'!B:B)</f>
        <v>AirTran Airways Corporation</v>
      </c>
      <c r="E2033" t="s">
        <v>23</v>
      </c>
      <c r="F2033" t="s">
        <v>24</v>
      </c>
      <c r="G2033">
        <v>205</v>
      </c>
      <c r="H2033">
        <v>63</v>
      </c>
      <c r="I2033">
        <v>16.87</v>
      </c>
      <c r="J2033">
        <v>2.87</v>
      </c>
      <c r="K2033">
        <v>28.7</v>
      </c>
      <c r="L2033">
        <v>0</v>
      </c>
      <c r="M2033">
        <v>14.56</v>
      </c>
      <c r="N2033">
        <v>0</v>
      </c>
      <c r="O2033">
        <v>2</v>
      </c>
      <c r="P2033">
        <v>2070</v>
      </c>
      <c r="Q2033">
        <v>546</v>
      </c>
      <c r="R2033">
        <v>159</v>
      </c>
      <c r="S2033">
        <v>744</v>
      </c>
      <c r="T2033">
        <v>0</v>
      </c>
      <c r="U2033">
        <v>621</v>
      </c>
      <c r="V2033" s="1">
        <f t="shared" si="93"/>
        <v>0.30730000000000002</v>
      </c>
      <c r="W2033" s="1">
        <f t="shared" si="94"/>
        <v>0</v>
      </c>
      <c r="X2033" s="1">
        <f t="shared" si="95"/>
        <v>9.7999999999999997E-3</v>
      </c>
    </row>
    <row r="2034" spans="1:24" x14ac:dyDescent="0.25">
      <c r="A2034">
        <v>2010</v>
      </c>
      <c r="B2034">
        <v>6</v>
      </c>
      <c r="C2034" t="s">
        <v>21</v>
      </c>
      <c r="D2034" t="str">
        <f>_xlfn.XLOOKUP(C2034,'Carrier Name Rename'!A:A,'Carrier Name Rename'!B:B)</f>
        <v>Hawaiian Airlines Inc.</v>
      </c>
      <c r="E2034" t="s">
        <v>23</v>
      </c>
      <c r="F2034" t="s">
        <v>24</v>
      </c>
      <c r="G2034">
        <v>72</v>
      </c>
      <c r="H2034">
        <v>9</v>
      </c>
      <c r="I2034">
        <v>7.83</v>
      </c>
      <c r="J2034">
        <v>0</v>
      </c>
      <c r="K2034">
        <v>0</v>
      </c>
      <c r="L2034">
        <v>0</v>
      </c>
      <c r="M2034">
        <v>1.17</v>
      </c>
      <c r="N2034">
        <v>0</v>
      </c>
      <c r="O2034">
        <v>0</v>
      </c>
      <c r="P2034">
        <v>691</v>
      </c>
      <c r="Q2034">
        <v>657</v>
      </c>
      <c r="R2034">
        <v>0</v>
      </c>
      <c r="S2034">
        <v>0</v>
      </c>
      <c r="T2034">
        <v>0</v>
      </c>
      <c r="U2034">
        <v>34</v>
      </c>
      <c r="V2034" s="1">
        <f t="shared" si="93"/>
        <v>0.125</v>
      </c>
      <c r="W2034" s="1">
        <f t="shared" si="94"/>
        <v>0</v>
      </c>
      <c r="X2034" s="1">
        <f t="shared" si="95"/>
        <v>0</v>
      </c>
    </row>
    <row r="2035" spans="1:24" x14ac:dyDescent="0.25">
      <c r="A2035">
        <v>2010</v>
      </c>
      <c r="B2035">
        <v>6</v>
      </c>
      <c r="C2035" t="s">
        <v>27</v>
      </c>
      <c r="D2035" t="str">
        <f>_xlfn.XLOOKUP(C2035,'Carrier Name Rename'!A:A,'Carrier Name Rename'!B:B)</f>
        <v>SkyWest Airlines Inc.</v>
      </c>
      <c r="E2035" t="s">
        <v>23</v>
      </c>
      <c r="F2035" t="s">
        <v>24</v>
      </c>
      <c r="G2035">
        <v>700</v>
      </c>
      <c r="H2035">
        <v>59</v>
      </c>
      <c r="I2035">
        <v>18.34</v>
      </c>
      <c r="J2035">
        <v>1</v>
      </c>
      <c r="K2035">
        <v>13.66</v>
      </c>
      <c r="L2035">
        <v>0</v>
      </c>
      <c r="M2035">
        <v>26</v>
      </c>
      <c r="N2035">
        <v>0</v>
      </c>
      <c r="O2035">
        <v>0</v>
      </c>
      <c r="P2035">
        <v>2646</v>
      </c>
      <c r="Q2035">
        <v>755</v>
      </c>
      <c r="R2035">
        <v>164</v>
      </c>
      <c r="S2035">
        <v>380</v>
      </c>
      <c r="T2035">
        <v>0</v>
      </c>
      <c r="U2035">
        <v>1347</v>
      </c>
      <c r="V2035" s="1">
        <f t="shared" si="93"/>
        <v>8.43E-2</v>
      </c>
      <c r="W2035" s="1">
        <f t="shared" si="94"/>
        <v>0</v>
      </c>
      <c r="X2035" s="1">
        <f t="shared" si="95"/>
        <v>0</v>
      </c>
    </row>
    <row r="2036" spans="1:24" x14ac:dyDescent="0.25">
      <c r="A2036">
        <v>2010</v>
      </c>
      <c r="B2036">
        <v>6</v>
      </c>
      <c r="C2036" t="s">
        <v>41</v>
      </c>
      <c r="D2036" t="str">
        <f>_xlfn.XLOOKUP(C2036,'Carrier Name Rename'!A:A,'Carrier Name Rename'!B:B)</f>
        <v>United Air Lines Inc.</v>
      </c>
      <c r="E2036" t="s">
        <v>23</v>
      </c>
      <c r="F2036" t="s">
        <v>24</v>
      </c>
      <c r="G2036">
        <v>579</v>
      </c>
      <c r="H2036">
        <v>122</v>
      </c>
      <c r="I2036">
        <v>31.99</v>
      </c>
      <c r="J2036">
        <v>6.08</v>
      </c>
      <c r="K2036">
        <v>36.549999999999997</v>
      </c>
      <c r="L2036">
        <v>0</v>
      </c>
      <c r="M2036">
        <v>47.39</v>
      </c>
      <c r="N2036">
        <v>4</v>
      </c>
      <c r="O2036">
        <v>0</v>
      </c>
      <c r="P2036">
        <v>7178</v>
      </c>
      <c r="Q2036">
        <v>1466</v>
      </c>
      <c r="R2036">
        <v>474</v>
      </c>
      <c r="S2036">
        <v>1534</v>
      </c>
      <c r="T2036">
        <v>0</v>
      </c>
      <c r="U2036">
        <v>3704</v>
      </c>
      <c r="V2036" s="1">
        <f t="shared" si="93"/>
        <v>0.2107</v>
      </c>
      <c r="W2036" s="1">
        <f t="shared" si="94"/>
        <v>6.8999999999999999E-3</v>
      </c>
      <c r="X2036" s="1">
        <f t="shared" si="95"/>
        <v>0</v>
      </c>
    </row>
    <row r="2037" spans="1:24" x14ac:dyDescent="0.25">
      <c r="A2037">
        <v>2010</v>
      </c>
      <c r="B2037">
        <v>6</v>
      </c>
      <c r="C2037" t="s">
        <v>61</v>
      </c>
      <c r="D2037" t="str">
        <f>_xlfn.XLOOKUP(C2037,'Carrier Name Rename'!A:A,'Carrier Name Rename'!B:B)</f>
        <v>US Airways Inc.</v>
      </c>
      <c r="E2037" t="s">
        <v>23</v>
      </c>
      <c r="F2037" t="s">
        <v>24</v>
      </c>
      <c r="G2037">
        <v>327</v>
      </c>
      <c r="H2037">
        <v>53</v>
      </c>
      <c r="I2037">
        <v>14.05</v>
      </c>
      <c r="J2037">
        <v>1.36</v>
      </c>
      <c r="K2037">
        <v>26.34</v>
      </c>
      <c r="L2037">
        <v>0.06</v>
      </c>
      <c r="M2037">
        <v>11.19</v>
      </c>
      <c r="N2037">
        <v>0</v>
      </c>
      <c r="O2037">
        <v>0</v>
      </c>
      <c r="P2037">
        <v>2302</v>
      </c>
      <c r="Q2037">
        <v>675</v>
      </c>
      <c r="R2037">
        <v>95</v>
      </c>
      <c r="S2037">
        <v>755</v>
      </c>
      <c r="T2037">
        <v>1</v>
      </c>
      <c r="U2037">
        <v>776</v>
      </c>
      <c r="V2037" s="1">
        <f t="shared" si="93"/>
        <v>0.16209999999999999</v>
      </c>
      <c r="W2037" s="1">
        <f t="shared" si="94"/>
        <v>0</v>
      </c>
      <c r="X2037" s="1">
        <f t="shared" si="95"/>
        <v>0</v>
      </c>
    </row>
    <row r="2038" spans="1:24" x14ac:dyDescent="0.25">
      <c r="A2038">
        <v>2010</v>
      </c>
      <c r="B2038">
        <v>6</v>
      </c>
      <c r="C2038" t="s">
        <v>43</v>
      </c>
      <c r="D2038" t="str">
        <f>_xlfn.XLOOKUP(C2038,'Carrier Name Rename'!A:A,'Carrier Name Rename'!B:B)</f>
        <v>Southwest Airlines Co.</v>
      </c>
      <c r="E2038" t="s">
        <v>23</v>
      </c>
      <c r="F2038" t="s">
        <v>24</v>
      </c>
      <c r="G2038">
        <v>1236</v>
      </c>
      <c r="H2038">
        <v>241</v>
      </c>
      <c r="I2038">
        <v>80.45</v>
      </c>
      <c r="J2038">
        <v>2.68</v>
      </c>
      <c r="K2038">
        <v>50.02</v>
      </c>
      <c r="L2038">
        <v>1.1200000000000001</v>
      </c>
      <c r="M2038">
        <v>106.74</v>
      </c>
      <c r="N2038">
        <v>1</v>
      </c>
      <c r="O2038">
        <v>0</v>
      </c>
      <c r="P2038">
        <v>10427</v>
      </c>
      <c r="Q2038">
        <v>3542</v>
      </c>
      <c r="R2038">
        <v>234</v>
      </c>
      <c r="S2038">
        <v>1529</v>
      </c>
      <c r="T2038">
        <v>22</v>
      </c>
      <c r="U2038">
        <v>5100</v>
      </c>
      <c r="V2038" s="1">
        <f t="shared" si="93"/>
        <v>0.19500000000000001</v>
      </c>
      <c r="W2038" s="1">
        <f t="shared" si="94"/>
        <v>8.0000000000000004E-4</v>
      </c>
      <c r="X2038" s="1">
        <f t="shared" si="95"/>
        <v>0</v>
      </c>
    </row>
    <row r="2039" spans="1:24" x14ac:dyDescent="0.25">
      <c r="A2039">
        <v>2010</v>
      </c>
      <c r="B2039">
        <v>5</v>
      </c>
      <c r="C2039" t="s">
        <v>31</v>
      </c>
      <c r="D2039" t="str">
        <f>_xlfn.XLOOKUP(C2039,'Carrier Name Rename'!A:A,'Carrier Name Rename'!B:B)</f>
        <v>American Airlines Inc.</v>
      </c>
      <c r="E2039" t="s">
        <v>23</v>
      </c>
      <c r="F2039" t="s">
        <v>24</v>
      </c>
      <c r="G2039">
        <v>460</v>
      </c>
      <c r="H2039">
        <v>97</v>
      </c>
      <c r="I2039">
        <v>34.380000000000003</v>
      </c>
      <c r="J2039">
        <v>9.43</v>
      </c>
      <c r="K2039">
        <v>24.39</v>
      </c>
      <c r="L2039">
        <v>0</v>
      </c>
      <c r="M2039">
        <v>28.8</v>
      </c>
      <c r="N2039">
        <v>4</v>
      </c>
      <c r="O2039">
        <v>0</v>
      </c>
      <c r="P2039">
        <v>6230</v>
      </c>
      <c r="Q2039">
        <v>2212</v>
      </c>
      <c r="R2039">
        <v>639</v>
      </c>
      <c r="S2039">
        <v>1210</v>
      </c>
      <c r="T2039">
        <v>0</v>
      </c>
      <c r="U2039">
        <v>2169</v>
      </c>
      <c r="V2039" s="1">
        <f t="shared" si="93"/>
        <v>0.2109</v>
      </c>
      <c r="W2039" s="1">
        <f t="shared" si="94"/>
        <v>8.6999999999999994E-3</v>
      </c>
      <c r="X2039" s="1">
        <f t="shared" si="95"/>
        <v>0</v>
      </c>
    </row>
    <row r="2040" spans="1:24" x14ac:dyDescent="0.25">
      <c r="A2040">
        <v>2010</v>
      </c>
      <c r="B2040">
        <v>5</v>
      </c>
      <c r="C2040" t="s">
        <v>33</v>
      </c>
      <c r="D2040" t="str">
        <f>_xlfn.XLOOKUP(C2040,'Carrier Name Rename'!A:A,'Carrier Name Rename'!B:B)</f>
        <v>Alaska Airlines Inc.</v>
      </c>
      <c r="E2040" t="s">
        <v>23</v>
      </c>
      <c r="F2040" t="s">
        <v>24</v>
      </c>
      <c r="G2040">
        <v>3703</v>
      </c>
      <c r="H2040">
        <v>267</v>
      </c>
      <c r="I2040">
        <v>84.36</v>
      </c>
      <c r="J2040">
        <v>4.87</v>
      </c>
      <c r="K2040">
        <v>100.07</v>
      </c>
      <c r="L2040">
        <v>1.33</v>
      </c>
      <c r="M2040">
        <v>76.37</v>
      </c>
      <c r="N2040">
        <v>9</v>
      </c>
      <c r="O2040">
        <v>3</v>
      </c>
      <c r="P2040">
        <v>13078</v>
      </c>
      <c r="Q2040">
        <v>5990</v>
      </c>
      <c r="R2040">
        <v>182</v>
      </c>
      <c r="S2040">
        <v>2516</v>
      </c>
      <c r="T2040">
        <v>38</v>
      </c>
      <c r="U2040">
        <v>4352</v>
      </c>
      <c r="V2040" s="1">
        <f t="shared" si="93"/>
        <v>7.2099999999999997E-2</v>
      </c>
      <c r="W2040" s="1">
        <f t="shared" si="94"/>
        <v>2.3999999999999998E-3</v>
      </c>
      <c r="X2040" s="1">
        <f t="shared" si="95"/>
        <v>8.0000000000000004E-4</v>
      </c>
    </row>
    <row r="2041" spans="1:24" x14ac:dyDescent="0.25">
      <c r="A2041">
        <v>2010</v>
      </c>
      <c r="B2041">
        <v>5</v>
      </c>
      <c r="C2041" t="s">
        <v>35</v>
      </c>
      <c r="D2041" t="str">
        <f>_xlfn.XLOOKUP(C2041,'Carrier Name Rename'!A:A,'Carrier Name Rename'!B:B)</f>
        <v>JetBlue Airways</v>
      </c>
      <c r="E2041" t="s">
        <v>23</v>
      </c>
      <c r="F2041" t="s">
        <v>24</v>
      </c>
      <c r="G2041">
        <v>146</v>
      </c>
      <c r="H2041">
        <v>18</v>
      </c>
      <c r="I2041">
        <v>6.94</v>
      </c>
      <c r="J2041">
        <v>0</v>
      </c>
      <c r="K2041">
        <v>8.42</v>
      </c>
      <c r="L2041">
        <v>0</v>
      </c>
      <c r="M2041">
        <v>2.64</v>
      </c>
      <c r="N2041">
        <v>1</v>
      </c>
      <c r="O2041">
        <v>0</v>
      </c>
      <c r="P2041">
        <v>963</v>
      </c>
      <c r="Q2041">
        <v>354</v>
      </c>
      <c r="R2041">
        <v>0</v>
      </c>
      <c r="S2041">
        <v>293</v>
      </c>
      <c r="T2041">
        <v>0</v>
      </c>
      <c r="U2041">
        <v>316</v>
      </c>
      <c r="V2041" s="1">
        <f t="shared" si="93"/>
        <v>0.12330000000000001</v>
      </c>
      <c r="W2041" s="1">
        <f t="shared" si="94"/>
        <v>6.7999999999999996E-3</v>
      </c>
      <c r="X2041" s="1">
        <f t="shared" si="95"/>
        <v>0</v>
      </c>
    </row>
    <row r="2042" spans="1:24" x14ac:dyDescent="0.25">
      <c r="A2042">
        <v>2010</v>
      </c>
      <c r="B2042">
        <v>5</v>
      </c>
      <c r="C2042" t="s">
        <v>65</v>
      </c>
      <c r="D2042" t="str">
        <f>_xlfn.XLOOKUP(C2042,'Carrier Name Rename'!A:A,'Carrier Name Rename'!B:B)</f>
        <v>Continental Air Lines Inc.</v>
      </c>
      <c r="E2042" t="s">
        <v>23</v>
      </c>
      <c r="F2042" t="s">
        <v>24</v>
      </c>
      <c r="G2042">
        <v>373</v>
      </c>
      <c r="H2042">
        <v>63</v>
      </c>
      <c r="I2042">
        <v>21.28</v>
      </c>
      <c r="J2042">
        <v>5.01</v>
      </c>
      <c r="K2042">
        <v>22.18</v>
      </c>
      <c r="L2042">
        <v>0</v>
      </c>
      <c r="M2042">
        <v>14.53</v>
      </c>
      <c r="N2042">
        <v>0</v>
      </c>
      <c r="O2042">
        <v>0</v>
      </c>
      <c r="P2042">
        <v>4042</v>
      </c>
      <c r="Q2042">
        <v>1608</v>
      </c>
      <c r="R2042">
        <v>220</v>
      </c>
      <c r="S2042">
        <v>698</v>
      </c>
      <c r="T2042">
        <v>0</v>
      </c>
      <c r="U2042">
        <v>1516</v>
      </c>
      <c r="V2042" s="1">
        <f t="shared" si="93"/>
        <v>0.16889999999999999</v>
      </c>
      <c r="W2042" s="1">
        <f t="shared" si="94"/>
        <v>0</v>
      </c>
      <c r="X2042" s="1">
        <f t="shared" si="95"/>
        <v>0</v>
      </c>
    </row>
    <row r="2043" spans="1:24" x14ac:dyDescent="0.25">
      <c r="A2043">
        <v>2010</v>
      </c>
      <c r="B2043">
        <v>5</v>
      </c>
      <c r="C2043" t="s">
        <v>37</v>
      </c>
      <c r="D2043" t="str">
        <f>_xlfn.XLOOKUP(C2043,'Carrier Name Rename'!A:A,'Carrier Name Rename'!B:B)</f>
        <v>Delta Air Lines Inc.</v>
      </c>
      <c r="E2043" t="s">
        <v>23</v>
      </c>
      <c r="F2043" t="s">
        <v>24</v>
      </c>
      <c r="G2043">
        <v>692</v>
      </c>
      <c r="H2043">
        <v>113</v>
      </c>
      <c r="I2043">
        <v>53.53</v>
      </c>
      <c r="J2043">
        <v>8.68</v>
      </c>
      <c r="K2043">
        <v>33.65</v>
      </c>
      <c r="L2043">
        <v>0</v>
      </c>
      <c r="M2043">
        <v>17.14</v>
      </c>
      <c r="N2043">
        <v>4</v>
      </c>
      <c r="O2043">
        <v>1</v>
      </c>
      <c r="P2043">
        <v>5866</v>
      </c>
      <c r="Q2043">
        <v>2855</v>
      </c>
      <c r="R2043">
        <v>750</v>
      </c>
      <c r="S2043">
        <v>1225</v>
      </c>
      <c r="T2043">
        <v>0</v>
      </c>
      <c r="U2043">
        <v>1036</v>
      </c>
      <c r="V2043" s="1">
        <f t="shared" si="93"/>
        <v>0.1633</v>
      </c>
      <c r="W2043" s="1">
        <f t="shared" si="94"/>
        <v>5.7999999999999996E-3</v>
      </c>
      <c r="X2043" s="1">
        <f t="shared" si="95"/>
        <v>1.4E-3</v>
      </c>
    </row>
    <row r="2044" spans="1:24" x14ac:dyDescent="0.25">
      <c r="A2044">
        <v>2010</v>
      </c>
      <c r="B2044">
        <v>5</v>
      </c>
      <c r="C2044" t="s">
        <v>39</v>
      </c>
      <c r="D2044" t="str">
        <f>_xlfn.XLOOKUP(C2044,'Carrier Name Rename'!A:A,'Carrier Name Rename'!B:B)</f>
        <v>Frontier Airlines Inc.</v>
      </c>
      <c r="E2044" t="s">
        <v>23</v>
      </c>
      <c r="F2044" t="s">
        <v>24</v>
      </c>
      <c r="G2044">
        <v>124</v>
      </c>
      <c r="H2044">
        <v>23</v>
      </c>
      <c r="I2044">
        <v>11.1</v>
      </c>
      <c r="J2044">
        <v>0.1</v>
      </c>
      <c r="K2044">
        <v>3.64</v>
      </c>
      <c r="L2044">
        <v>0</v>
      </c>
      <c r="M2044">
        <v>8.17</v>
      </c>
      <c r="N2044">
        <v>0</v>
      </c>
      <c r="O2044">
        <v>0</v>
      </c>
      <c r="P2044">
        <v>1280</v>
      </c>
      <c r="Q2044">
        <v>322</v>
      </c>
      <c r="R2044">
        <v>15</v>
      </c>
      <c r="S2044">
        <v>155</v>
      </c>
      <c r="T2044">
        <v>0</v>
      </c>
      <c r="U2044">
        <v>788</v>
      </c>
      <c r="V2044" s="1">
        <f t="shared" si="93"/>
        <v>0.1855</v>
      </c>
      <c r="W2044" s="1">
        <f t="shared" si="94"/>
        <v>0</v>
      </c>
      <c r="X2044" s="1">
        <f t="shared" si="95"/>
        <v>0</v>
      </c>
    </row>
    <row r="2045" spans="1:24" x14ac:dyDescent="0.25">
      <c r="A2045">
        <v>2010</v>
      </c>
      <c r="B2045">
        <v>5</v>
      </c>
      <c r="C2045" t="s">
        <v>63</v>
      </c>
      <c r="D2045" t="str">
        <f>_xlfn.XLOOKUP(C2045,'Carrier Name Rename'!A:A,'Carrier Name Rename'!B:B)</f>
        <v>AirTran Airways Corporation</v>
      </c>
      <c r="E2045" t="s">
        <v>23</v>
      </c>
      <c r="F2045" t="s">
        <v>24</v>
      </c>
      <c r="G2045">
        <v>106</v>
      </c>
      <c r="H2045">
        <v>10</v>
      </c>
      <c r="I2045">
        <v>5.32</v>
      </c>
      <c r="J2045">
        <v>1</v>
      </c>
      <c r="K2045">
        <v>0.72</v>
      </c>
      <c r="L2045">
        <v>0</v>
      </c>
      <c r="M2045">
        <v>2.96</v>
      </c>
      <c r="N2045">
        <v>0</v>
      </c>
      <c r="O2045">
        <v>1</v>
      </c>
      <c r="P2045">
        <v>526</v>
      </c>
      <c r="Q2045">
        <v>331</v>
      </c>
      <c r="R2045">
        <v>76</v>
      </c>
      <c r="S2045">
        <v>14</v>
      </c>
      <c r="T2045">
        <v>0</v>
      </c>
      <c r="U2045">
        <v>105</v>
      </c>
      <c r="V2045" s="1">
        <f t="shared" si="93"/>
        <v>9.4299999999999995E-2</v>
      </c>
      <c r="W2045" s="1">
        <f t="shared" si="94"/>
        <v>0</v>
      </c>
      <c r="X2045" s="1">
        <f t="shared" si="95"/>
        <v>9.4000000000000004E-3</v>
      </c>
    </row>
    <row r="2046" spans="1:24" x14ac:dyDescent="0.25">
      <c r="A2046">
        <v>2010</v>
      </c>
      <c r="B2046">
        <v>5</v>
      </c>
      <c r="C2046" t="s">
        <v>21</v>
      </c>
      <c r="D2046" t="str">
        <f>_xlfn.XLOOKUP(C2046,'Carrier Name Rename'!A:A,'Carrier Name Rename'!B:B)</f>
        <v>Hawaiian Airlines Inc.</v>
      </c>
      <c r="E2046" t="s">
        <v>23</v>
      </c>
      <c r="F2046" t="s">
        <v>24</v>
      </c>
      <c r="G2046">
        <v>76</v>
      </c>
      <c r="H2046">
        <v>12</v>
      </c>
      <c r="I2046">
        <v>10.69</v>
      </c>
      <c r="J2046">
        <v>0</v>
      </c>
      <c r="K2046">
        <v>0</v>
      </c>
      <c r="L2046">
        <v>0</v>
      </c>
      <c r="M2046">
        <v>1.31</v>
      </c>
      <c r="N2046">
        <v>0</v>
      </c>
      <c r="O2046">
        <v>0</v>
      </c>
      <c r="P2046">
        <v>667</v>
      </c>
      <c r="Q2046">
        <v>400</v>
      </c>
      <c r="R2046">
        <v>0</v>
      </c>
      <c r="S2046">
        <v>0</v>
      </c>
      <c r="T2046">
        <v>0</v>
      </c>
      <c r="U2046">
        <v>267</v>
      </c>
      <c r="V2046" s="1">
        <f t="shared" si="93"/>
        <v>0.15790000000000001</v>
      </c>
      <c r="W2046" s="1">
        <f t="shared" si="94"/>
        <v>0</v>
      </c>
      <c r="X2046" s="1">
        <f t="shared" si="95"/>
        <v>0</v>
      </c>
    </row>
    <row r="2047" spans="1:24" x14ac:dyDescent="0.25">
      <c r="A2047">
        <v>2010</v>
      </c>
      <c r="B2047">
        <v>5</v>
      </c>
      <c r="C2047" t="s">
        <v>27</v>
      </c>
      <c r="D2047" t="str">
        <f>_xlfn.XLOOKUP(C2047,'Carrier Name Rename'!A:A,'Carrier Name Rename'!B:B)</f>
        <v>SkyWest Airlines Inc.</v>
      </c>
      <c r="E2047" t="s">
        <v>23</v>
      </c>
      <c r="F2047" t="s">
        <v>24</v>
      </c>
      <c r="G2047">
        <v>671</v>
      </c>
      <c r="H2047">
        <v>43</v>
      </c>
      <c r="I2047">
        <v>18.11</v>
      </c>
      <c r="J2047">
        <v>0.28999999999999998</v>
      </c>
      <c r="K2047">
        <v>7.91</v>
      </c>
      <c r="L2047">
        <v>0</v>
      </c>
      <c r="M2047">
        <v>16.68</v>
      </c>
      <c r="N2047">
        <v>3</v>
      </c>
      <c r="O2047">
        <v>0</v>
      </c>
      <c r="P2047">
        <v>2022</v>
      </c>
      <c r="Q2047">
        <v>923</v>
      </c>
      <c r="R2047">
        <v>5</v>
      </c>
      <c r="S2047">
        <v>183</v>
      </c>
      <c r="T2047">
        <v>0</v>
      </c>
      <c r="U2047">
        <v>911</v>
      </c>
      <c r="V2047" s="1">
        <f t="shared" si="93"/>
        <v>6.4100000000000004E-2</v>
      </c>
      <c r="W2047" s="1">
        <f t="shared" si="94"/>
        <v>4.4999999999999997E-3</v>
      </c>
      <c r="X2047" s="1">
        <f t="shared" si="95"/>
        <v>0</v>
      </c>
    </row>
    <row r="2048" spans="1:24" x14ac:dyDescent="0.25">
      <c r="A2048">
        <v>2010</v>
      </c>
      <c r="B2048">
        <v>5</v>
      </c>
      <c r="C2048" t="s">
        <v>41</v>
      </c>
      <c r="D2048" t="str">
        <f>_xlfn.XLOOKUP(C2048,'Carrier Name Rename'!A:A,'Carrier Name Rename'!B:B)</f>
        <v>United Air Lines Inc.</v>
      </c>
      <c r="E2048" t="s">
        <v>23</v>
      </c>
      <c r="F2048" t="s">
        <v>24</v>
      </c>
      <c r="G2048">
        <v>582</v>
      </c>
      <c r="H2048">
        <v>55</v>
      </c>
      <c r="I2048">
        <v>15.39</v>
      </c>
      <c r="J2048">
        <v>1.96</v>
      </c>
      <c r="K2048">
        <v>4.97</v>
      </c>
      <c r="L2048">
        <v>0</v>
      </c>
      <c r="M2048">
        <v>32.68</v>
      </c>
      <c r="N2048">
        <v>2</v>
      </c>
      <c r="O2048">
        <v>2</v>
      </c>
      <c r="P2048">
        <v>3999</v>
      </c>
      <c r="Q2048">
        <v>987</v>
      </c>
      <c r="R2048">
        <v>225</v>
      </c>
      <c r="S2048">
        <v>169</v>
      </c>
      <c r="T2048">
        <v>0</v>
      </c>
      <c r="U2048">
        <v>2618</v>
      </c>
      <c r="V2048" s="1">
        <f t="shared" si="93"/>
        <v>9.4500000000000001E-2</v>
      </c>
      <c r="W2048" s="1">
        <f t="shared" si="94"/>
        <v>3.3999999999999998E-3</v>
      </c>
      <c r="X2048" s="1">
        <f t="shared" si="95"/>
        <v>3.3999999999999998E-3</v>
      </c>
    </row>
    <row r="2049" spans="1:24" x14ac:dyDescent="0.25">
      <c r="A2049">
        <v>2010</v>
      </c>
      <c r="B2049">
        <v>5</v>
      </c>
      <c r="C2049" t="s">
        <v>61</v>
      </c>
      <c r="D2049" t="str">
        <f>_xlfn.XLOOKUP(C2049,'Carrier Name Rename'!A:A,'Carrier Name Rename'!B:B)</f>
        <v>US Airways Inc.</v>
      </c>
      <c r="E2049" t="s">
        <v>23</v>
      </c>
      <c r="F2049" t="s">
        <v>24</v>
      </c>
      <c r="G2049">
        <v>278</v>
      </c>
      <c r="H2049">
        <v>36</v>
      </c>
      <c r="I2049">
        <v>10.51</v>
      </c>
      <c r="J2049">
        <v>2.33</v>
      </c>
      <c r="K2049">
        <v>15.57</v>
      </c>
      <c r="L2049">
        <v>1.1000000000000001</v>
      </c>
      <c r="M2049">
        <v>6.49</v>
      </c>
      <c r="N2049">
        <v>0</v>
      </c>
      <c r="O2049">
        <v>2</v>
      </c>
      <c r="P2049">
        <v>1395</v>
      </c>
      <c r="Q2049">
        <v>528</v>
      </c>
      <c r="R2049">
        <v>55</v>
      </c>
      <c r="S2049">
        <v>506</v>
      </c>
      <c r="T2049">
        <v>22</v>
      </c>
      <c r="U2049">
        <v>284</v>
      </c>
      <c r="V2049" s="1">
        <f t="shared" si="93"/>
        <v>0.1295</v>
      </c>
      <c r="W2049" s="1">
        <f t="shared" si="94"/>
        <v>0</v>
      </c>
      <c r="X2049" s="1">
        <f t="shared" si="95"/>
        <v>7.1999999999999998E-3</v>
      </c>
    </row>
    <row r="2050" spans="1:24" x14ac:dyDescent="0.25">
      <c r="A2050">
        <v>2010</v>
      </c>
      <c r="B2050">
        <v>5</v>
      </c>
      <c r="C2050" t="s">
        <v>43</v>
      </c>
      <c r="D2050" t="str">
        <f>_xlfn.XLOOKUP(C2050,'Carrier Name Rename'!A:A,'Carrier Name Rename'!B:B)</f>
        <v>Southwest Airlines Co.</v>
      </c>
      <c r="E2050" t="s">
        <v>23</v>
      </c>
      <c r="F2050" t="s">
        <v>24</v>
      </c>
      <c r="G2050">
        <v>1189</v>
      </c>
      <c r="H2050">
        <v>163</v>
      </c>
      <c r="I2050">
        <v>56.67</v>
      </c>
      <c r="J2050">
        <v>1.95</v>
      </c>
      <c r="K2050">
        <v>14.3</v>
      </c>
      <c r="L2050">
        <v>0</v>
      </c>
      <c r="M2050">
        <v>90.08</v>
      </c>
      <c r="N2050">
        <v>0</v>
      </c>
      <c r="O2050">
        <v>0</v>
      </c>
      <c r="P2050">
        <v>8233</v>
      </c>
      <c r="Q2050">
        <v>2210</v>
      </c>
      <c r="R2050">
        <v>208</v>
      </c>
      <c r="S2050">
        <v>464</v>
      </c>
      <c r="T2050">
        <v>0</v>
      </c>
      <c r="U2050">
        <v>5351</v>
      </c>
      <c r="V2050" s="1">
        <f t="shared" si="93"/>
        <v>0.1371</v>
      </c>
      <c r="W2050" s="1">
        <f t="shared" si="94"/>
        <v>0</v>
      </c>
      <c r="X2050" s="1">
        <f t="shared" si="95"/>
        <v>0</v>
      </c>
    </row>
    <row r="2051" spans="1:24" x14ac:dyDescent="0.25">
      <c r="A2051">
        <v>2010</v>
      </c>
      <c r="B2051">
        <v>4</v>
      </c>
      <c r="C2051" t="s">
        <v>31</v>
      </c>
      <c r="D2051" t="str">
        <f>_xlfn.XLOOKUP(C2051,'Carrier Name Rename'!A:A,'Carrier Name Rename'!B:B)</f>
        <v>American Airlines Inc.</v>
      </c>
      <c r="E2051" t="s">
        <v>23</v>
      </c>
      <c r="F2051" t="s">
        <v>24</v>
      </c>
      <c r="G2051">
        <v>434</v>
      </c>
      <c r="H2051">
        <v>70</v>
      </c>
      <c r="I2051">
        <v>31.97</v>
      </c>
      <c r="J2051">
        <v>4.2699999999999996</v>
      </c>
      <c r="K2051">
        <v>9.9</v>
      </c>
      <c r="L2051">
        <v>0</v>
      </c>
      <c r="M2051">
        <v>23.86</v>
      </c>
      <c r="N2051">
        <v>0</v>
      </c>
      <c r="O2051">
        <v>1</v>
      </c>
      <c r="P2051">
        <v>3325</v>
      </c>
      <c r="Q2051">
        <v>1295</v>
      </c>
      <c r="R2051">
        <v>195</v>
      </c>
      <c r="S2051">
        <v>390</v>
      </c>
      <c r="T2051">
        <v>0</v>
      </c>
      <c r="U2051">
        <v>1445</v>
      </c>
      <c r="V2051" s="1">
        <f t="shared" ref="V2051:V2114" si="96">ROUND(H2051/G2051,4)</f>
        <v>0.1613</v>
      </c>
      <c r="W2051" s="1">
        <f t="shared" ref="W2051:W2114" si="97">ROUND(N2051/G2051,4)</f>
        <v>0</v>
      </c>
      <c r="X2051" s="1">
        <f t="shared" ref="X2051:X2114" si="98">ROUND(O2051/G2051,4)</f>
        <v>2.3E-3</v>
      </c>
    </row>
    <row r="2052" spans="1:24" x14ac:dyDescent="0.25">
      <c r="A2052">
        <v>2010</v>
      </c>
      <c r="B2052">
        <v>4</v>
      </c>
      <c r="C2052" t="s">
        <v>33</v>
      </c>
      <c r="D2052" t="str">
        <f>_xlfn.XLOOKUP(C2052,'Carrier Name Rename'!A:A,'Carrier Name Rename'!B:B)</f>
        <v>Alaska Airlines Inc.</v>
      </c>
      <c r="E2052" t="s">
        <v>23</v>
      </c>
      <c r="F2052" t="s">
        <v>24</v>
      </c>
      <c r="G2052">
        <v>3359</v>
      </c>
      <c r="H2052">
        <v>263</v>
      </c>
      <c r="I2052">
        <v>62.28</v>
      </c>
      <c r="J2052">
        <v>6.46</v>
      </c>
      <c r="K2052">
        <v>120.07</v>
      </c>
      <c r="L2052">
        <v>0</v>
      </c>
      <c r="M2052">
        <v>74.19</v>
      </c>
      <c r="N2052">
        <v>7</v>
      </c>
      <c r="O2052">
        <v>2</v>
      </c>
      <c r="P2052">
        <v>12664</v>
      </c>
      <c r="Q2052">
        <v>4121</v>
      </c>
      <c r="R2052">
        <v>366</v>
      </c>
      <c r="S2052">
        <v>2895</v>
      </c>
      <c r="T2052">
        <v>0</v>
      </c>
      <c r="U2052">
        <v>5282</v>
      </c>
      <c r="V2052" s="1">
        <f t="shared" si="96"/>
        <v>7.8299999999999995E-2</v>
      </c>
      <c r="W2052" s="1">
        <f t="shared" si="97"/>
        <v>2.0999999999999999E-3</v>
      </c>
      <c r="X2052" s="1">
        <f t="shared" si="98"/>
        <v>5.9999999999999995E-4</v>
      </c>
    </row>
    <row r="2053" spans="1:24" x14ac:dyDescent="0.25">
      <c r="A2053">
        <v>2010</v>
      </c>
      <c r="B2053">
        <v>4</v>
      </c>
      <c r="C2053" t="s">
        <v>35</v>
      </c>
      <c r="D2053" t="str">
        <f>_xlfn.XLOOKUP(C2053,'Carrier Name Rename'!A:A,'Carrier Name Rename'!B:B)</f>
        <v>JetBlue Airways</v>
      </c>
      <c r="E2053" t="s">
        <v>23</v>
      </c>
      <c r="F2053" t="s">
        <v>24</v>
      </c>
      <c r="G2053">
        <v>120</v>
      </c>
      <c r="H2053">
        <v>13</v>
      </c>
      <c r="I2053">
        <v>5.47</v>
      </c>
      <c r="J2053">
        <v>0</v>
      </c>
      <c r="K2053">
        <v>3.84</v>
      </c>
      <c r="L2053">
        <v>0</v>
      </c>
      <c r="M2053">
        <v>3.68</v>
      </c>
      <c r="N2053">
        <v>0</v>
      </c>
      <c r="O2053">
        <v>0</v>
      </c>
      <c r="P2053">
        <v>550</v>
      </c>
      <c r="Q2053">
        <v>203</v>
      </c>
      <c r="R2053">
        <v>0</v>
      </c>
      <c r="S2053">
        <v>96</v>
      </c>
      <c r="T2053">
        <v>0</v>
      </c>
      <c r="U2053">
        <v>251</v>
      </c>
      <c r="V2053" s="1">
        <f t="shared" si="96"/>
        <v>0.10829999999999999</v>
      </c>
      <c r="W2053" s="1">
        <f t="shared" si="97"/>
        <v>0</v>
      </c>
      <c r="X2053" s="1">
        <f t="shared" si="98"/>
        <v>0</v>
      </c>
    </row>
    <row r="2054" spans="1:24" x14ac:dyDescent="0.25">
      <c r="A2054">
        <v>2010</v>
      </c>
      <c r="B2054">
        <v>4</v>
      </c>
      <c r="C2054" t="s">
        <v>65</v>
      </c>
      <c r="D2054" t="str">
        <f>_xlfn.XLOOKUP(C2054,'Carrier Name Rename'!A:A,'Carrier Name Rename'!B:B)</f>
        <v>Continental Air Lines Inc.</v>
      </c>
      <c r="E2054" t="s">
        <v>23</v>
      </c>
      <c r="F2054" t="s">
        <v>24</v>
      </c>
      <c r="G2054">
        <v>314</v>
      </c>
      <c r="H2054">
        <v>60</v>
      </c>
      <c r="I2054">
        <v>25.91</v>
      </c>
      <c r="J2054">
        <v>1.26</v>
      </c>
      <c r="K2054">
        <v>23.85</v>
      </c>
      <c r="L2054">
        <v>1.34</v>
      </c>
      <c r="M2054">
        <v>7.66</v>
      </c>
      <c r="N2054">
        <v>0</v>
      </c>
      <c r="O2054">
        <v>0</v>
      </c>
      <c r="P2054">
        <v>2223</v>
      </c>
      <c r="Q2054">
        <v>1022</v>
      </c>
      <c r="R2054">
        <v>36</v>
      </c>
      <c r="S2054">
        <v>744</v>
      </c>
      <c r="T2054">
        <v>28</v>
      </c>
      <c r="U2054">
        <v>393</v>
      </c>
      <c r="V2054" s="1">
        <f t="shared" si="96"/>
        <v>0.19109999999999999</v>
      </c>
      <c r="W2054" s="1">
        <f t="shared" si="97"/>
        <v>0</v>
      </c>
      <c r="X2054" s="1">
        <f t="shared" si="98"/>
        <v>0</v>
      </c>
    </row>
    <row r="2055" spans="1:24" x14ac:dyDescent="0.25">
      <c r="A2055">
        <v>2010</v>
      </c>
      <c r="B2055">
        <v>4</v>
      </c>
      <c r="C2055" t="s">
        <v>37</v>
      </c>
      <c r="D2055" t="str">
        <f>_xlfn.XLOOKUP(C2055,'Carrier Name Rename'!A:A,'Carrier Name Rename'!B:B)</f>
        <v>Delta Air Lines Inc.</v>
      </c>
      <c r="E2055" t="s">
        <v>23</v>
      </c>
      <c r="F2055" t="s">
        <v>24</v>
      </c>
      <c r="G2055">
        <v>662</v>
      </c>
      <c r="H2055">
        <v>82</v>
      </c>
      <c r="I2055">
        <v>39.450000000000003</v>
      </c>
      <c r="J2055">
        <v>2.2999999999999998</v>
      </c>
      <c r="K2055">
        <v>19.579999999999998</v>
      </c>
      <c r="L2055">
        <v>0</v>
      </c>
      <c r="M2055">
        <v>20.67</v>
      </c>
      <c r="N2055">
        <v>2</v>
      </c>
      <c r="O2055">
        <v>0</v>
      </c>
      <c r="P2055">
        <v>4488</v>
      </c>
      <c r="Q2055">
        <v>2229</v>
      </c>
      <c r="R2055">
        <v>263</v>
      </c>
      <c r="S2055">
        <v>664</v>
      </c>
      <c r="T2055">
        <v>0</v>
      </c>
      <c r="U2055">
        <v>1332</v>
      </c>
      <c r="V2055" s="1">
        <f t="shared" si="96"/>
        <v>0.1239</v>
      </c>
      <c r="W2055" s="1">
        <f t="shared" si="97"/>
        <v>3.0000000000000001E-3</v>
      </c>
      <c r="X2055" s="1">
        <f t="shared" si="98"/>
        <v>0</v>
      </c>
    </row>
    <row r="2056" spans="1:24" x14ac:dyDescent="0.25">
      <c r="A2056">
        <v>2010</v>
      </c>
      <c r="B2056">
        <v>4</v>
      </c>
      <c r="C2056" t="s">
        <v>39</v>
      </c>
      <c r="D2056" t="str">
        <f>_xlfn.XLOOKUP(C2056,'Carrier Name Rename'!A:A,'Carrier Name Rename'!B:B)</f>
        <v>Frontier Airlines Inc.</v>
      </c>
      <c r="E2056" t="s">
        <v>23</v>
      </c>
      <c r="F2056" t="s">
        <v>24</v>
      </c>
      <c r="G2056">
        <v>99</v>
      </c>
      <c r="H2056">
        <v>17</v>
      </c>
      <c r="I2056">
        <v>5.41</v>
      </c>
      <c r="J2056">
        <v>0</v>
      </c>
      <c r="K2056">
        <v>2.1800000000000002</v>
      </c>
      <c r="L2056">
        <v>0</v>
      </c>
      <c r="M2056">
        <v>9.41</v>
      </c>
      <c r="N2056">
        <v>0</v>
      </c>
      <c r="O2056">
        <v>0</v>
      </c>
      <c r="P2056">
        <v>786</v>
      </c>
      <c r="Q2056">
        <v>186</v>
      </c>
      <c r="R2056">
        <v>0</v>
      </c>
      <c r="S2056">
        <v>232</v>
      </c>
      <c r="T2056">
        <v>0</v>
      </c>
      <c r="U2056">
        <v>368</v>
      </c>
      <c r="V2056" s="1">
        <f t="shared" si="96"/>
        <v>0.17169999999999999</v>
      </c>
      <c r="W2056" s="1">
        <f t="shared" si="97"/>
        <v>0</v>
      </c>
      <c r="X2056" s="1">
        <f t="shared" si="98"/>
        <v>0</v>
      </c>
    </row>
    <row r="2057" spans="1:24" x14ac:dyDescent="0.25">
      <c r="A2057">
        <v>2010</v>
      </c>
      <c r="B2057">
        <v>4</v>
      </c>
      <c r="C2057" t="s">
        <v>63</v>
      </c>
      <c r="D2057" t="str">
        <f>_xlfn.XLOOKUP(C2057,'Carrier Name Rename'!A:A,'Carrier Name Rename'!B:B)</f>
        <v>AirTran Airways Corporation</v>
      </c>
      <c r="E2057" t="s">
        <v>23</v>
      </c>
      <c r="F2057" t="s">
        <v>24</v>
      </c>
      <c r="G2057">
        <v>30</v>
      </c>
      <c r="H2057">
        <v>9</v>
      </c>
      <c r="I2057">
        <v>5.37</v>
      </c>
      <c r="J2057">
        <v>0</v>
      </c>
      <c r="K2057">
        <v>1.1299999999999999</v>
      </c>
      <c r="L2057">
        <v>0</v>
      </c>
      <c r="M2057">
        <v>2.5</v>
      </c>
      <c r="N2057">
        <v>0</v>
      </c>
      <c r="O2057">
        <v>0</v>
      </c>
      <c r="P2057">
        <v>342</v>
      </c>
      <c r="Q2057">
        <v>204</v>
      </c>
      <c r="R2057">
        <v>0</v>
      </c>
      <c r="S2057">
        <v>30</v>
      </c>
      <c r="T2057">
        <v>0</v>
      </c>
      <c r="U2057">
        <v>108</v>
      </c>
      <c r="V2057" s="1">
        <f t="shared" si="96"/>
        <v>0.3</v>
      </c>
      <c r="W2057" s="1">
        <f t="shared" si="97"/>
        <v>0</v>
      </c>
      <c r="X2057" s="1">
        <f t="shared" si="98"/>
        <v>0</v>
      </c>
    </row>
    <row r="2058" spans="1:24" x14ac:dyDescent="0.25">
      <c r="A2058">
        <v>2010</v>
      </c>
      <c r="B2058">
        <v>4</v>
      </c>
      <c r="C2058" t="s">
        <v>21</v>
      </c>
      <c r="D2058" t="str">
        <f>_xlfn.XLOOKUP(C2058,'Carrier Name Rename'!A:A,'Carrier Name Rename'!B:B)</f>
        <v>Hawaiian Airlines Inc.</v>
      </c>
      <c r="E2058" t="s">
        <v>23</v>
      </c>
      <c r="F2058" t="s">
        <v>24</v>
      </c>
      <c r="G2058">
        <v>73</v>
      </c>
      <c r="H2058">
        <v>9</v>
      </c>
      <c r="I2058">
        <v>8.52</v>
      </c>
      <c r="J2058">
        <v>0</v>
      </c>
      <c r="K2058">
        <v>0</v>
      </c>
      <c r="L2058">
        <v>0</v>
      </c>
      <c r="M2058">
        <v>0.48</v>
      </c>
      <c r="N2058">
        <v>0</v>
      </c>
      <c r="O2058">
        <v>1</v>
      </c>
      <c r="P2058">
        <v>786</v>
      </c>
      <c r="Q2058">
        <v>776</v>
      </c>
      <c r="R2058">
        <v>0</v>
      </c>
      <c r="S2058">
        <v>0</v>
      </c>
      <c r="T2058">
        <v>0</v>
      </c>
      <c r="U2058">
        <v>10</v>
      </c>
      <c r="V2058" s="1">
        <f t="shared" si="96"/>
        <v>0.12330000000000001</v>
      </c>
      <c r="W2058" s="1">
        <f t="shared" si="97"/>
        <v>0</v>
      </c>
      <c r="X2058" s="1">
        <f t="shared" si="98"/>
        <v>1.37E-2</v>
      </c>
    </row>
    <row r="2059" spans="1:24" x14ac:dyDescent="0.25">
      <c r="A2059">
        <v>2010</v>
      </c>
      <c r="B2059">
        <v>4</v>
      </c>
      <c r="C2059" t="s">
        <v>27</v>
      </c>
      <c r="D2059" t="str">
        <f>_xlfn.XLOOKUP(C2059,'Carrier Name Rename'!A:A,'Carrier Name Rename'!B:B)</f>
        <v>SkyWest Airlines Inc.</v>
      </c>
      <c r="E2059" t="s">
        <v>23</v>
      </c>
      <c r="F2059" t="s">
        <v>24</v>
      </c>
      <c r="G2059">
        <v>662</v>
      </c>
      <c r="H2059">
        <v>50</v>
      </c>
      <c r="I2059">
        <v>19.989999999999998</v>
      </c>
      <c r="J2059">
        <v>0.33</v>
      </c>
      <c r="K2059">
        <v>15.6</v>
      </c>
      <c r="L2059">
        <v>0</v>
      </c>
      <c r="M2059">
        <v>14.09</v>
      </c>
      <c r="N2059">
        <v>2</v>
      </c>
      <c r="O2059">
        <v>1</v>
      </c>
      <c r="P2059">
        <v>1900</v>
      </c>
      <c r="Q2059">
        <v>725</v>
      </c>
      <c r="R2059">
        <v>14</v>
      </c>
      <c r="S2059">
        <v>454</v>
      </c>
      <c r="T2059">
        <v>0</v>
      </c>
      <c r="U2059">
        <v>707</v>
      </c>
      <c r="V2059" s="1">
        <f t="shared" si="96"/>
        <v>7.5499999999999998E-2</v>
      </c>
      <c r="W2059" s="1">
        <f t="shared" si="97"/>
        <v>3.0000000000000001E-3</v>
      </c>
      <c r="X2059" s="1">
        <f t="shared" si="98"/>
        <v>1.5E-3</v>
      </c>
    </row>
    <row r="2060" spans="1:24" x14ac:dyDescent="0.25">
      <c r="A2060">
        <v>2010</v>
      </c>
      <c r="B2060">
        <v>4</v>
      </c>
      <c r="C2060" t="s">
        <v>41</v>
      </c>
      <c r="D2060" t="str">
        <f>_xlfn.XLOOKUP(C2060,'Carrier Name Rename'!A:A,'Carrier Name Rename'!B:B)</f>
        <v>United Air Lines Inc.</v>
      </c>
      <c r="E2060" t="s">
        <v>23</v>
      </c>
      <c r="F2060" t="s">
        <v>24</v>
      </c>
      <c r="G2060">
        <v>564</v>
      </c>
      <c r="H2060">
        <v>48</v>
      </c>
      <c r="I2060">
        <v>13.95</v>
      </c>
      <c r="J2060">
        <v>3.59</v>
      </c>
      <c r="K2060">
        <v>4.17</v>
      </c>
      <c r="L2060">
        <v>0</v>
      </c>
      <c r="M2060">
        <v>26.29</v>
      </c>
      <c r="N2060">
        <v>1</v>
      </c>
      <c r="O2060">
        <v>2</v>
      </c>
      <c r="P2060">
        <v>2766</v>
      </c>
      <c r="Q2060">
        <v>962</v>
      </c>
      <c r="R2060">
        <v>138</v>
      </c>
      <c r="S2060">
        <v>126</v>
      </c>
      <c r="T2060">
        <v>0</v>
      </c>
      <c r="U2060">
        <v>1540</v>
      </c>
      <c r="V2060" s="1">
        <f t="shared" si="96"/>
        <v>8.5099999999999995E-2</v>
      </c>
      <c r="W2060" s="1">
        <f t="shared" si="97"/>
        <v>1.8E-3</v>
      </c>
      <c r="X2060" s="1">
        <f t="shared" si="98"/>
        <v>3.5000000000000001E-3</v>
      </c>
    </row>
    <row r="2061" spans="1:24" x14ac:dyDescent="0.25">
      <c r="A2061">
        <v>2010</v>
      </c>
      <c r="B2061">
        <v>4</v>
      </c>
      <c r="C2061" t="s">
        <v>61</v>
      </c>
      <c r="D2061" t="str">
        <f>_xlfn.XLOOKUP(C2061,'Carrier Name Rename'!A:A,'Carrier Name Rename'!B:B)</f>
        <v>US Airways Inc.</v>
      </c>
      <c r="E2061" t="s">
        <v>23</v>
      </c>
      <c r="F2061" t="s">
        <v>24</v>
      </c>
      <c r="G2061">
        <v>240</v>
      </c>
      <c r="H2061">
        <v>21</v>
      </c>
      <c r="I2061">
        <v>9.1300000000000008</v>
      </c>
      <c r="J2061">
        <v>0</v>
      </c>
      <c r="K2061">
        <v>8.7899999999999991</v>
      </c>
      <c r="L2061">
        <v>1</v>
      </c>
      <c r="M2061">
        <v>2.08</v>
      </c>
      <c r="N2061">
        <v>2</v>
      </c>
      <c r="O2061">
        <v>0</v>
      </c>
      <c r="P2061">
        <v>751</v>
      </c>
      <c r="Q2061">
        <v>350</v>
      </c>
      <c r="R2061">
        <v>0</v>
      </c>
      <c r="S2061">
        <v>227</v>
      </c>
      <c r="T2061">
        <v>28</v>
      </c>
      <c r="U2061">
        <v>146</v>
      </c>
      <c r="V2061" s="1">
        <f t="shared" si="96"/>
        <v>8.7499999999999994E-2</v>
      </c>
      <c r="W2061" s="1">
        <f t="shared" si="97"/>
        <v>8.3000000000000001E-3</v>
      </c>
      <c r="X2061" s="1">
        <f t="shared" si="98"/>
        <v>0</v>
      </c>
    </row>
    <row r="2062" spans="1:24" x14ac:dyDescent="0.25">
      <c r="A2062">
        <v>2010</v>
      </c>
      <c r="B2062">
        <v>4</v>
      </c>
      <c r="C2062" t="s">
        <v>43</v>
      </c>
      <c r="D2062" t="str">
        <f>_xlfn.XLOOKUP(C2062,'Carrier Name Rename'!A:A,'Carrier Name Rename'!B:B)</f>
        <v>Southwest Airlines Co.</v>
      </c>
      <c r="E2062" t="s">
        <v>23</v>
      </c>
      <c r="F2062" t="s">
        <v>24</v>
      </c>
      <c r="G2062">
        <v>968</v>
      </c>
      <c r="H2062">
        <v>119</v>
      </c>
      <c r="I2062">
        <v>42.63</v>
      </c>
      <c r="J2062">
        <v>0</v>
      </c>
      <c r="K2062">
        <v>9.0500000000000007</v>
      </c>
      <c r="L2062">
        <v>0.14000000000000001</v>
      </c>
      <c r="M2062">
        <v>67.180000000000007</v>
      </c>
      <c r="N2062">
        <v>2</v>
      </c>
      <c r="O2062">
        <v>0</v>
      </c>
      <c r="P2062">
        <v>4184</v>
      </c>
      <c r="Q2062">
        <v>1488</v>
      </c>
      <c r="R2062">
        <v>0</v>
      </c>
      <c r="S2062">
        <v>207</v>
      </c>
      <c r="T2062">
        <v>4</v>
      </c>
      <c r="U2062">
        <v>2485</v>
      </c>
      <c r="V2062" s="1">
        <f t="shared" si="96"/>
        <v>0.1229</v>
      </c>
      <c r="W2062" s="1">
        <f t="shared" si="97"/>
        <v>2.0999999999999999E-3</v>
      </c>
      <c r="X2062" s="1">
        <f t="shared" si="98"/>
        <v>0</v>
      </c>
    </row>
    <row r="2063" spans="1:24" x14ac:dyDescent="0.25">
      <c r="A2063">
        <v>2010</v>
      </c>
      <c r="B2063">
        <v>3</v>
      </c>
      <c r="C2063" t="s">
        <v>31</v>
      </c>
      <c r="D2063" t="str">
        <f>_xlfn.XLOOKUP(C2063,'Carrier Name Rename'!A:A,'Carrier Name Rename'!B:B)</f>
        <v>American Airlines Inc.</v>
      </c>
      <c r="E2063" t="s">
        <v>23</v>
      </c>
      <c r="F2063" t="s">
        <v>24</v>
      </c>
      <c r="G2063">
        <v>391</v>
      </c>
      <c r="H2063">
        <v>66</v>
      </c>
      <c r="I2063">
        <v>28.06</v>
      </c>
      <c r="J2063">
        <v>11.22</v>
      </c>
      <c r="K2063">
        <v>7.05</v>
      </c>
      <c r="L2063">
        <v>0</v>
      </c>
      <c r="M2063">
        <v>19.68</v>
      </c>
      <c r="N2063">
        <v>3</v>
      </c>
      <c r="O2063">
        <v>4</v>
      </c>
      <c r="P2063">
        <v>4098</v>
      </c>
      <c r="Q2063">
        <v>1365</v>
      </c>
      <c r="R2063">
        <v>719</v>
      </c>
      <c r="S2063">
        <v>625</v>
      </c>
      <c r="T2063">
        <v>0</v>
      </c>
      <c r="U2063">
        <v>1389</v>
      </c>
      <c r="V2063" s="1">
        <f t="shared" si="96"/>
        <v>0.16880000000000001</v>
      </c>
      <c r="W2063" s="1">
        <f t="shared" si="97"/>
        <v>7.7000000000000002E-3</v>
      </c>
      <c r="X2063" s="1">
        <f t="shared" si="98"/>
        <v>1.0200000000000001E-2</v>
      </c>
    </row>
    <row r="2064" spans="1:24" x14ac:dyDescent="0.25">
      <c r="A2064">
        <v>2010</v>
      </c>
      <c r="B2064">
        <v>3</v>
      </c>
      <c r="C2064" t="s">
        <v>33</v>
      </c>
      <c r="D2064" t="str">
        <f>_xlfn.XLOOKUP(C2064,'Carrier Name Rename'!A:A,'Carrier Name Rename'!B:B)</f>
        <v>Alaska Airlines Inc.</v>
      </c>
      <c r="E2064" t="s">
        <v>23</v>
      </c>
      <c r="F2064" t="s">
        <v>24</v>
      </c>
      <c r="G2064">
        <v>3444</v>
      </c>
      <c r="H2064">
        <v>363</v>
      </c>
      <c r="I2064">
        <v>79.83</v>
      </c>
      <c r="J2064">
        <v>4.3600000000000003</v>
      </c>
      <c r="K2064">
        <v>135.27000000000001</v>
      </c>
      <c r="L2064">
        <v>2.08</v>
      </c>
      <c r="M2064">
        <v>141.46</v>
      </c>
      <c r="N2064">
        <v>10</v>
      </c>
      <c r="O2064">
        <v>0</v>
      </c>
      <c r="P2064">
        <v>16951</v>
      </c>
      <c r="Q2064">
        <v>5210</v>
      </c>
      <c r="R2064">
        <v>226</v>
      </c>
      <c r="S2064">
        <v>3581</v>
      </c>
      <c r="T2064">
        <v>84</v>
      </c>
      <c r="U2064">
        <v>7850</v>
      </c>
      <c r="V2064" s="1">
        <f t="shared" si="96"/>
        <v>0.10539999999999999</v>
      </c>
      <c r="W2064" s="1">
        <f t="shared" si="97"/>
        <v>2.8999999999999998E-3</v>
      </c>
      <c r="X2064" s="1">
        <f t="shared" si="98"/>
        <v>0</v>
      </c>
    </row>
    <row r="2065" spans="1:24" x14ac:dyDescent="0.25">
      <c r="A2065">
        <v>2010</v>
      </c>
      <c r="B2065">
        <v>3</v>
      </c>
      <c r="C2065" t="s">
        <v>35</v>
      </c>
      <c r="D2065" t="str">
        <f>_xlfn.XLOOKUP(C2065,'Carrier Name Rename'!A:A,'Carrier Name Rename'!B:B)</f>
        <v>JetBlue Airways</v>
      </c>
      <c r="E2065" t="s">
        <v>23</v>
      </c>
      <c r="F2065" t="s">
        <v>24</v>
      </c>
      <c r="G2065">
        <v>124</v>
      </c>
      <c r="H2065">
        <v>33</v>
      </c>
      <c r="I2065">
        <v>14.49</v>
      </c>
      <c r="J2065">
        <v>0</v>
      </c>
      <c r="K2065">
        <v>9.2899999999999991</v>
      </c>
      <c r="L2065">
        <v>0</v>
      </c>
      <c r="M2065">
        <v>9.23</v>
      </c>
      <c r="N2065">
        <v>0</v>
      </c>
      <c r="O2065">
        <v>0</v>
      </c>
      <c r="P2065">
        <v>1910</v>
      </c>
      <c r="Q2065">
        <v>1123</v>
      </c>
      <c r="R2065">
        <v>0</v>
      </c>
      <c r="S2065">
        <v>295</v>
      </c>
      <c r="T2065">
        <v>0</v>
      </c>
      <c r="U2065">
        <v>492</v>
      </c>
      <c r="V2065" s="1">
        <f t="shared" si="96"/>
        <v>0.2661</v>
      </c>
      <c r="W2065" s="1">
        <f t="shared" si="97"/>
        <v>0</v>
      </c>
      <c r="X2065" s="1">
        <f t="shared" si="98"/>
        <v>0</v>
      </c>
    </row>
    <row r="2066" spans="1:24" x14ac:dyDescent="0.25">
      <c r="A2066">
        <v>2010</v>
      </c>
      <c r="B2066">
        <v>3</v>
      </c>
      <c r="C2066" t="s">
        <v>65</v>
      </c>
      <c r="D2066" t="str">
        <f>_xlfn.XLOOKUP(C2066,'Carrier Name Rename'!A:A,'Carrier Name Rename'!B:B)</f>
        <v>Continental Air Lines Inc.</v>
      </c>
      <c r="E2066" t="s">
        <v>23</v>
      </c>
      <c r="F2066" t="s">
        <v>24</v>
      </c>
      <c r="G2066">
        <v>337</v>
      </c>
      <c r="H2066">
        <v>69</v>
      </c>
      <c r="I2066">
        <v>31.74</v>
      </c>
      <c r="J2066">
        <v>2.0699999999999998</v>
      </c>
      <c r="K2066">
        <v>16.88</v>
      </c>
      <c r="L2066">
        <v>1.74</v>
      </c>
      <c r="M2066">
        <v>16.559999999999999</v>
      </c>
      <c r="N2066">
        <v>0</v>
      </c>
      <c r="O2066">
        <v>0</v>
      </c>
      <c r="P2066">
        <v>3008</v>
      </c>
      <c r="Q2066">
        <v>1161</v>
      </c>
      <c r="R2066">
        <v>80</v>
      </c>
      <c r="S2066">
        <v>497</v>
      </c>
      <c r="T2066">
        <v>46</v>
      </c>
      <c r="U2066">
        <v>1224</v>
      </c>
      <c r="V2066" s="1">
        <f t="shared" si="96"/>
        <v>0.20469999999999999</v>
      </c>
      <c r="W2066" s="1">
        <f t="shared" si="97"/>
        <v>0</v>
      </c>
      <c r="X2066" s="1">
        <f t="shared" si="98"/>
        <v>0</v>
      </c>
    </row>
    <row r="2067" spans="1:24" x14ac:dyDescent="0.25">
      <c r="A2067">
        <v>2010</v>
      </c>
      <c r="B2067">
        <v>3</v>
      </c>
      <c r="C2067" t="s">
        <v>37</v>
      </c>
      <c r="D2067" t="str">
        <f>_xlfn.XLOOKUP(C2067,'Carrier Name Rename'!A:A,'Carrier Name Rename'!B:B)</f>
        <v>Delta Air Lines Inc.</v>
      </c>
      <c r="E2067" t="s">
        <v>23</v>
      </c>
      <c r="F2067" t="s">
        <v>24</v>
      </c>
      <c r="G2067">
        <v>651</v>
      </c>
      <c r="H2067">
        <v>43</v>
      </c>
      <c r="I2067">
        <v>22.18</v>
      </c>
      <c r="J2067">
        <v>2.1</v>
      </c>
      <c r="K2067">
        <v>8.32</v>
      </c>
      <c r="L2067">
        <v>0</v>
      </c>
      <c r="M2067">
        <v>10.39</v>
      </c>
      <c r="N2067">
        <v>3</v>
      </c>
      <c r="O2067">
        <v>1</v>
      </c>
      <c r="P2067">
        <v>2409</v>
      </c>
      <c r="Q2067">
        <v>1281</v>
      </c>
      <c r="R2067">
        <v>145</v>
      </c>
      <c r="S2067">
        <v>336</v>
      </c>
      <c r="T2067">
        <v>0</v>
      </c>
      <c r="U2067">
        <v>647</v>
      </c>
      <c r="V2067" s="1">
        <f t="shared" si="96"/>
        <v>6.6100000000000006E-2</v>
      </c>
      <c r="W2067" s="1">
        <f t="shared" si="97"/>
        <v>4.5999999999999999E-3</v>
      </c>
      <c r="X2067" s="1">
        <f t="shared" si="98"/>
        <v>1.5E-3</v>
      </c>
    </row>
    <row r="2068" spans="1:24" x14ac:dyDescent="0.25">
      <c r="A2068">
        <v>2010</v>
      </c>
      <c r="B2068">
        <v>3</v>
      </c>
      <c r="C2068" t="s">
        <v>39</v>
      </c>
      <c r="D2068" t="str">
        <f>_xlfn.XLOOKUP(C2068,'Carrier Name Rename'!A:A,'Carrier Name Rename'!B:B)</f>
        <v>Frontier Airlines Inc.</v>
      </c>
      <c r="E2068" t="s">
        <v>23</v>
      </c>
      <c r="F2068" t="s">
        <v>24</v>
      </c>
      <c r="G2068">
        <v>89</v>
      </c>
      <c r="H2068">
        <v>12</v>
      </c>
      <c r="I2068">
        <v>3.97</v>
      </c>
      <c r="J2068">
        <v>0.67</v>
      </c>
      <c r="K2068">
        <v>2.48</v>
      </c>
      <c r="L2068">
        <v>0</v>
      </c>
      <c r="M2068">
        <v>4.88</v>
      </c>
      <c r="N2068">
        <v>2</v>
      </c>
      <c r="O2068">
        <v>0</v>
      </c>
      <c r="P2068">
        <v>533</v>
      </c>
      <c r="Q2068">
        <v>166</v>
      </c>
      <c r="R2068">
        <v>47</v>
      </c>
      <c r="S2068">
        <v>102</v>
      </c>
      <c r="T2068">
        <v>0</v>
      </c>
      <c r="U2068">
        <v>218</v>
      </c>
      <c r="V2068" s="1">
        <f t="shared" si="96"/>
        <v>0.1348</v>
      </c>
      <c r="W2068" s="1">
        <f t="shared" si="97"/>
        <v>2.2499999999999999E-2</v>
      </c>
      <c r="X2068" s="1">
        <f t="shared" si="98"/>
        <v>0</v>
      </c>
    </row>
    <row r="2069" spans="1:24" x14ac:dyDescent="0.25">
      <c r="A2069">
        <v>2010</v>
      </c>
      <c r="B2069">
        <v>3</v>
      </c>
      <c r="C2069" t="s">
        <v>63</v>
      </c>
      <c r="D2069" t="str">
        <f>_xlfn.XLOOKUP(C2069,'Carrier Name Rename'!A:A,'Carrier Name Rename'!B:B)</f>
        <v>AirTran Airways Corporation</v>
      </c>
      <c r="E2069" t="s">
        <v>23</v>
      </c>
      <c r="F2069" t="s">
        <v>24</v>
      </c>
      <c r="G2069">
        <v>31</v>
      </c>
      <c r="H2069">
        <v>10</v>
      </c>
      <c r="I2069">
        <v>2.52</v>
      </c>
      <c r="J2069">
        <v>0</v>
      </c>
      <c r="K2069">
        <v>0.64</v>
      </c>
      <c r="L2069">
        <v>0</v>
      </c>
      <c r="M2069">
        <v>6.84</v>
      </c>
      <c r="N2069">
        <v>0</v>
      </c>
      <c r="O2069">
        <v>0</v>
      </c>
      <c r="P2069">
        <v>412</v>
      </c>
      <c r="Q2069">
        <v>147</v>
      </c>
      <c r="R2069">
        <v>0</v>
      </c>
      <c r="S2069">
        <v>16</v>
      </c>
      <c r="T2069">
        <v>0</v>
      </c>
      <c r="U2069">
        <v>249</v>
      </c>
      <c r="V2069" s="1">
        <f t="shared" si="96"/>
        <v>0.3226</v>
      </c>
      <c r="W2069" s="1">
        <f t="shared" si="97"/>
        <v>0</v>
      </c>
      <c r="X2069" s="1">
        <f t="shared" si="98"/>
        <v>0</v>
      </c>
    </row>
    <row r="2070" spans="1:24" x14ac:dyDescent="0.25">
      <c r="A2070">
        <v>2010</v>
      </c>
      <c r="B2070">
        <v>3</v>
      </c>
      <c r="C2070" t="s">
        <v>21</v>
      </c>
      <c r="D2070" t="str">
        <f>_xlfn.XLOOKUP(C2070,'Carrier Name Rename'!A:A,'Carrier Name Rename'!B:B)</f>
        <v>Hawaiian Airlines Inc.</v>
      </c>
      <c r="E2070" t="s">
        <v>23</v>
      </c>
      <c r="F2070" t="s">
        <v>24</v>
      </c>
      <c r="G2070">
        <v>75</v>
      </c>
      <c r="H2070">
        <v>25</v>
      </c>
      <c r="I2070">
        <v>19.75</v>
      </c>
      <c r="J2070">
        <v>0</v>
      </c>
      <c r="K2070">
        <v>0</v>
      </c>
      <c r="L2070">
        <v>0</v>
      </c>
      <c r="M2070">
        <v>5.25</v>
      </c>
      <c r="N2070">
        <v>0</v>
      </c>
      <c r="O2070">
        <v>0</v>
      </c>
      <c r="P2070">
        <v>1069</v>
      </c>
      <c r="Q2070">
        <v>906</v>
      </c>
      <c r="R2070">
        <v>0</v>
      </c>
      <c r="S2070">
        <v>0</v>
      </c>
      <c r="T2070">
        <v>0</v>
      </c>
      <c r="U2070">
        <v>163</v>
      </c>
      <c r="V2070" s="1">
        <f t="shared" si="96"/>
        <v>0.33329999999999999</v>
      </c>
      <c r="W2070" s="1">
        <f t="shared" si="97"/>
        <v>0</v>
      </c>
      <c r="X2070" s="1">
        <f t="shared" si="98"/>
        <v>0</v>
      </c>
    </row>
    <row r="2071" spans="1:24" x14ac:dyDescent="0.25">
      <c r="A2071">
        <v>2010</v>
      </c>
      <c r="B2071">
        <v>3</v>
      </c>
      <c r="C2071" t="s">
        <v>27</v>
      </c>
      <c r="D2071" t="str">
        <f>_xlfn.XLOOKUP(C2071,'Carrier Name Rename'!A:A,'Carrier Name Rename'!B:B)</f>
        <v>SkyWest Airlines Inc.</v>
      </c>
      <c r="E2071" t="s">
        <v>23</v>
      </c>
      <c r="F2071" t="s">
        <v>24</v>
      </c>
      <c r="G2071">
        <v>720</v>
      </c>
      <c r="H2071">
        <v>64</v>
      </c>
      <c r="I2071">
        <v>27.27</v>
      </c>
      <c r="J2071">
        <v>0</v>
      </c>
      <c r="K2071">
        <v>19.48</v>
      </c>
      <c r="L2071">
        <v>0</v>
      </c>
      <c r="M2071">
        <v>17.260000000000002</v>
      </c>
      <c r="N2071">
        <v>2</v>
      </c>
      <c r="O2071">
        <v>0</v>
      </c>
      <c r="P2071">
        <v>2716</v>
      </c>
      <c r="Q2071">
        <v>1502</v>
      </c>
      <c r="R2071">
        <v>0</v>
      </c>
      <c r="S2071">
        <v>495</v>
      </c>
      <c r="T2071">
        <v>0</v>
      </c>
      <c r="U2071">
        <v>719</v>
      </c>
      <c r="V2071" s="1">
        <f t="shared" si="96"/>
        <v>8.8900000000000007E-2</v>
      </c>
      <c r="W2071" s="1">
        <f t="shared" si="97"/>
        <v>2.8E-3</v>
      </c>
      <c r="X2071" s="1">
        <f t="shared" si="98"/>
        <v>0</v>
      </c>
    </row>
    <row r="2072" spans="1:24" x14ac:dyDescent="0.25">
      <c r="A2072">
        <v>2010</v>
      </c>
      <c r="B2072">
        <v>3</v>
      </c>
      <c r="C2072" t="s">
        <v>41</v>
      </c>
      <c r="D2072" t="str">
        <f>_xlfn.XLOOKUP(C2072,'Carrier Name Rename'!A:A,'Carrier Name Rename'!B:B)</f>
        <v>United Air Lines Inc.</v>
      </c>
      <c r="E2072" t="s">
        <v>23</v>
      </c>
      <c r="F2072" t="s">
        <v>24</v>
      </c>
      <c r="G2072">
        <v>585</v>
      </c>
      <c r="H2072">
        <v>66</v>
      </c>
      <c r="I2072">
        <v>23.98</v>
      </c>
      <c r="J2072">
        <v>2.9</v>
      </c>
      <c r="K2072">
        <v>5.55</v>
      </c>
      <c r="L2072">
        <v>0</v>
      </c>
      <c r="M2072">
        <v>33.57</v>
      </c>
      <c r="N2072">
        <v>4</v>
      </c>
      <c r="O2072">
        <v>1</v>
      </c>
      <c r="P2072">
        <v>3754</v>
      </c>
      <c r="Q2072">
        <v>1234</v>
      </c>
      <c r="R2072">
        <v>269</v>
      </c>
      <c r="S2072">
        <v>208</v>
      </c>
      <c r="T2072">
        <v>0</v>
      </c>
      <c r="U2072">
        <v>2043</v>
      </c>
      <c r="V2072" s="1">
        <f t="shared" si="96"/>
        <v>0.1128</v>
      </c>
      <c r="W2072" s="1">
        <f t="shared" si="97"/>
        <v>6.7999999999999996E-3</v>
      </c>
      <c r="X2072" s="1">
        <f t="shared" si="98"/>
        <v>1.6999999999999999E-3</v>
      </c>
    </row>
    <row r="2073" spans="1:24" x14ac:dyDescent="0.25">
      <c r="A2073">
        <v>2010</v>
      </c>
      <c r="B2073">
        <v>3</v>
      </c>
      <c r="C2073" t="s">
        <v>61</v>
      </c>
      <c r="D2073" t="str">
        <f>_xlfn.XLOOKUP(C2073,'Carrier Name Rename'!A:A,'Carrier Name Rename'!B:B)</f>
        <v>US Airways Inc.</v>
      </c>
      <c r="E2073" t="s">
        <v>23</v>
      </c>
      <c r="F2073" t="s">
        <v>24</v>
      </c>
      <c r="G2073">
        <v>248</v>
      </c>
      <c r="H2073">
        <v>18</v>
      </c>
      <c r="I2073">
        <v>11.26</v>
      </c>
      <c r="J2073">
        <v>0</v>
      </c>
      <c r="K2073">
        <v>2.68</v>
      </c>
      <c r="L2073">
        <v>0</v>
      </c>
      <c r="M2073">
        <v>4.0599999999999996</v>
      </c>
      <c r="N2073">
        <v>1</v>
      </c>
      <c r="O2073">
        <v>0</v>
      </c>
      <c r="P2073">
        <v>1147</v>
      </c>
      <c r="Q2073">
        <v>850</v>
      </c>
      <c r="R2073">
        <v>0</v>
      </c>
      <c r="S2073">
        <v>81</v>
      </c>
      <c r="T2073">
        <v>0</v>
      </c>
      <c r="U2073">
        <v>216</v>
      </c>
      <c r="V2073" s="1">
        <f t="shared" si="96"/>
        <v>7.2599999999999998E-2</v>
      </c>
      <c r="W2073" s="1">
        <f t="shared" si="97"/>
        <v>4.0000000000000001E-3</v>
      </c>
      <c r="X2073" s="1">
        <f t="shared" si="98"/>
        <v>0</v>
      </c>
    </row>
    <row r="2074" spans="1:24" x14ac:dyDescent="0.25">
      <c r="A2074">
        <v>2010</v>
      </c>
      <c r="B2074">
        <v>3</v>
      </c>
      <c r="C2074" t="s">
        <v>43</v>
      </c>
      <c r="D2074" t="str">
        <f>_xlfn.XLOOKUP(C2074,'Carrier Name Rename'!A:A,'Carrier Name Rename'!B:B)</f>
        <v>Southwest Airlines Co.</v>
      </c>
      <c r="E2074" t="s">
        <v>23</v>
      </c>
      <c r="F2074" t="s">
        <v>24</v>
      </c>
      <c r="G2074">
        <v>976</v>
      </c>
      <c r="H2074">
        <v>142</v>
      </c>
      <c r="I2074">
        <v>51.04</v>
      </c>
      <c r="J2074">
        <v>1.1100000000000001</v>
      </c>
      <c r="K2074">
        <v>5.78</v>
      </c>
      <c r="L2074">
        <v>0.21</v>
      </c>
      <c r="M2074">
        <v>83.86</v>
      </c>
      <c r="N2074">
        <v>1</v>
      </c>
      <c r="O2074">
        <v>1</v>
      </c>
      <c r="P2074">
        <v>6291</v>
      </c>
      <c r="Q2074">
        <v>2019</v>
      </c>
      <c r="R2074">
        <v>87</v>
      </c>
      <c r="S2074">
        <v>214</v>
      </c>
      <c r="T2074">
        <v>7</v>
      </c>
      <c r="U2074">
        <v>3964</v>
      </c>
      <c r="V2074" s="1">
        <f t="shared" si="96"/>
        <v>0.14549999999999999</v>
      </c>
      <c r="W2074" s="1">
        <f t="shared" si="97"/>
        <v>1E-3</v>
      </c>
      <c r="X2074" s="1">
        <f t="shared" si="98"/>
        <v>1E-3</v>
      </c>
    </row>
    <row r="2075" spans="1:24" x14ac:dyDescent="0.25">
      <c r="A2075">
        <v>2010</v>
      </c>
      <c r="B2075">
        <v>2</v>
      </c>
      <c r="C2075" t="s">
        <v>31</v>
      </c>
      <c r="D2075" t="str">
        <f>_xlfn.XLOOKUP(C2075,'Carrier Name Rename'!A:A,'Carrier Name Rename'!B:B)</f>
        <v>American Airlines Inc.</v>
      </c>
      <c r="E2075" t="s">
        <v>23</v>
      </c>
      <c r="F2075" t="s">
        <v>24</v>
      </c>
      <c r="G2075">
        <v>352</v>
      </c>
      <c r="H2075">
        <v>61</v>
      </c>
      <c r="I2075">
        <v>25.94</v>
      </c>
      <c r="J2075">
        <v>7.77</v>
      </c>
      <c r="K2075">
        <v>13.89</v>
      </c>
      <c r="L2075">
        <v>0</v>
      </c>
      <c r="M2075">
        <v>13.41</v>
      </c>
      <c r="N2075">
        <v>8</v>
      </c>
      <c r="O2075">
        <v>1</v>
      </c>
      <c r="P2075">
        <v>3746</v>
      </c>
      <c r="Q2075">
        <v>1203</v>
      </c>
      <c r="R2075">
        <v>610</v>
      </c>
      <c r="S2075">
        <v>1062</v>
      </c>
      <c r="T2075">
        <v>0</v>
      </c>
      <c r="U2075">
        <v>871</v>
      </c>
      <c r="V2075" s="1">
        <f t="shared" si="96"/>
        <v>0.17330000000000001</v>
      </c>
      <c r="W2075" s="1">
        <f t="shared" si="97"/>
        <v>2.2700000000000001E-2</v>
      </c>
      <c r="X2075" s="1">
        <f t="shared" si="98"/>
        <v>2.8E-3</v>
      </c>
    </row>
    <row r="2076" spans="1:24" x14ac:dyDescent="0.25">
      <c r="A2076">
        <v>2010</v>
      </c>
      <c r="B2076">
        <v>2</v>
      </c>
      <c r="C2076" t="s">
        <v>33</v>
      </c>
      <c r="D2076" t="str">
        <f>_xlfn.XLOOKUP(C2076,'Carrier Name Rename'!A:A,'Carrier Name Rename'!B:B)</f>
        <v>Alaska Airlines Inc.</v>
      </c>
      <c r="E2076" t="s">
        <v>23</v>
      </c>
      <c r="F2076" t="s">
        <v>24</v>
      </c>
      <c r="G2076">
        <v>3013</v>
      </c>
      <c r="H2076">
        <v>328</v>
      </c>
      <c r="I2076">
        <v>79.16</v>
      </c>
      <c r="J2076">
        <v>4.7</v>
      </c>
      <c r="K2076">
        <v>114.25</v>
      </c>
      <c r="L2076">
        <v>2.91</v>
      </c>
      <c r="M2076">
        <v>126.98</v>
      </c>
      <c r="N2076">
        <v>21</v>
      </c>
      <c r="O2076">
        <v>1</v>
      </c>
      <c r="P2076">
        <v>17448</v>
      </c>
      <c r="Q2076">
        <v>5394</v>
      </c>
      <c r="R2076">
        <v>812</v>
      </c>
      <c r="S2076">
        <v>3210</v>
      </c>
      <c r="T2076">
        <v>82</v>
      </c>
      <c r="U2076">
        <v>7950</v>
      </c>
      <c r="V2076" s="1">
        <f t="shared" si="96"/>
        <v>0.1089</v>
      </c>
      <c r="W2076" s="1">
        <f t="shared" si="97"/>
        <v>7.0000000000000001E-3</v>
      </c>
      <c r="X2076" s="1">
        <f t="shared" si="98"/>
        <v>2.9999999999999997E-4</v>
      </c>
    </row>
    <row r="2077" spans="1:24" x14ac:dyDescent="0.25">
      <c r="A2077">
        <v>2010</v>
      </c>
      <c r="B2077">
        <v>2</v>
      </c>
      <c r="C2077" t="s">
        <v>35</v>
      </c>
      <c r="D2077" t="str">
        <f>_xlfn.XLOOKUP(C2077,'Carrier Name Rename'!A:A,'Carrier Name Rename'!B:B)</f>
        <v>JetBlue Airways</v>
      </c>
      <c r="E2077" t="s">
        <v>23</v>
      </c>
      <c r="F2077" t="s">
        <v>24</v>
      </c>
      <c r="G2077">
        <v>108</v>
      </c>
      <c r="H2077">
        <v>24</v>
      </c>
      <c r="I2077">
        <v>9.0399999999999991</v>
      </c>
      <c r="J2077">
        <v>1</v>
      </c>
      <c r="K2077">
        <v>2.61</v>
      </c>
      <c r="L2077">
        <v>0.5</v>
      </c>
      <c r="M2077">
        <v>10.85</v>
      </c>
      <c r="N2077">
        <v>2</v>
      </c>
      <c r="O2077">
        <v>0</v>
      </c>
      <c r="P2077">
        <v>1055</v>
      </c>
      <c r="Q2077">
        <v>450</v>
      </c>
      <c r="R2077">
        <v>104</v>
      </c>
      <c r="S2077">
        <v>55</v>
      </c>
      <c r="T2077">
        <v>11</v>
      </c>
      <c r="U2077">
        <v>435</v>
      </c>
      <c r="V2077" s="1">
        <f t="shared" si="96"/>
        <v>0.22220000000000001</v>
      </c>
      <c r="W2077" s="1">
        <f t="shared" si="97"/>
        <v>1.8499999999999999E-2</v>
      </c>
      <c r="X2077" s="1">
        <f t="shared" si="98"/>
        <v>0</v>
      </c>
    </row>
    <row r="2078" spans="1:24" x14ac:dyDescent="0.25">
      <c r="A2078">
        <v>2010</v>
      </c>
      <c r="B2078">
        <v>2</v>
      </c>
      <c r="C2078" t="s">
        <v>65</v>
      </c>
      <c r="D2078" t="str">
        <f>_xlfn.XLOOKUP(C2078,'Carrier Name Rename'!A:A,'Carrier Name Rename'!B:B)</f>
        <v>Continental Air Lines Inc.</v>
      </c>
      <c r="E2078" t="s">
        <v>23</v>
      </c>
      <c r="F2078" t="s">
        <v>24</v>
      </c>
      <c r="G2078">
        <v>273</v>
      </c>
      <c r="H2078">
        <v>40</v>
      </c>
      <c r="I2078">
        <v>15.88</v>
      </c>
      <c r="J2078">
        <v>5.09</v>
      </c>
      <c r="K2078">
        <v>13.64</v>
      </c>
      <c r="L2078">
        <v>1.39</v>
      </c>
      <c r="M2078">
        <v>4.01</v>
      </c>
      <c r="N2078">
        <v>7</v>
      </c>
      <c r="O2078">
        <v>1</v>
      </c>
      <c r="P2078">
        <v>1855</v>
      </c>
      <c r="Q2078">
        <v>849</v>
      </c>
      <c r="R2078">
        <v>403</v>
      </c>
      <c r="S2078">
        <v>353</v>
      </c>
      <c r="T2078">
        <v>39</v>
      </c>
      <c r="U2078">
        <v>211</v>
      </c>
      <c r="V2078" s="1">
        <f t="shared" si="96"/>
        <v>0.14649999999999999</v>
      </c>
      <c r="W2078" s="1">
        <f t="shared" si="97"/>
        <v>2.5600000000000001E-2</v>
      </c>
      <c r="X2078" s="1">
        <f t="shared" si="98"/>
        <v>3.7000000000000002E-3</v>
      </c>
    </row>
    <row r="2079" spans="1:24" x14ac:dyDescent="0.25">
      <c r="A2079">
        <v>2010</v>
      </c>
      <c r="B2079">
        <v>2</v>
      </c>
      <c r="C2079" t="s">
        <v>37</v>
      </c>
      <c r="D2079" t="str">
        <f>_xlfn.XLOOKUP(C2079,'Carrier Name Rename'!A:A,'Carrier Name Rename'!B:B)</f>
        <v>Delta Air Lines Inc.</v>
      </c>
      <c r="E2079" t="s">
        <v>23</v>
      </c>
      <c r="F2079" t="s">
        <v>24</v>
      </c>
      <c r="G2079">
        <v>596</v>
      </c>
      <c r="H2079">
        <v>69</v>
      </c>
      <c r="I2079">
        <v>30.33</v>
      </c>
      <c r="J2079">
        <v>5.82</v>
      </c>
      <c r="K2079">
        <v>16.05</v>
      </c>
      <c r="L2079">
        <v>1.58</v>
      </c>
      <c r="M2079">
        <v>15.21</v>
      </c>
      <c r="N2079">
        <v>9</v>
      </c>
      <c r="O2079">
        <v>0</v>
      </c>
      <c r="P2079">
        <v>3493</v>
      </c>
      <c r="Q2079">
        <v>1525</v>
      </c>
      <c r="R2079">
        <v>447</v>
      </c>
      <c r="S2079">
        <v>615</v>
      </c>
      <c r="T2079">
        <v>35</v>
      </c>
      <c r="U2079">
        <v>871</v>
      </c>
      <c r="V2079" s="1">
        <f t="shared" si="96"/>
        <v>0.1158</v>
      </c>
      <c r="W2079" s="1">
        <f t="shared" si="97"/>
        <v>1.5100000000000001E-2</v>
      </c>
      <c r="X2079" s="1">
        <f t="shared" si="98"/>
        <v>0</v>
      </c>
    </row>
    <row r="2080" spans="1:24" x14ac:dyDescent="0.25">
      <c r="A2080">
        <v>2010</v>
      </c>
      <c r="B2080">
        <v>2</v>
      </c>
      <c r="C2080" t="s">
        <v>39</v>
      </c>
      <c r="D2080" t="str">
        <f>_xlfn.XLOOKUP(C2080,'Carrier Name Rename'!A:A,'Carrier Name Rename'!B:B)</f>
        <v>Frontier Airlines Inc.</v>
      </c>
      <c r="E2080" t="s">
        <v>23</v>
      </c>
      <c r="F2080" t="s">
        <v>24</v>
      </c>
      <c r="G2080">
        <v>80</v>
      </c>
      <c r="H2080">
        <v>18</v>
      </c>
      <c r="I2080">
        <v>6.85</v>
      </c>
      <c r="J2080">
        <v>0</v>
      </c>
      <c r="K2080">
        <v>2.89</v>
      </c>
      <c r="L2080">
        <v>0</v>
      </c>
      <c r="M2080">
        <v>8.26</v>
      </c>
      <c r="N2080">
        <v>0</v>
      </c>
      <c r="O2080">
        <v>0</v>
      </c>
      <c r="P2080">
        <v>504</v>
      </c>
      <c r="Q2080">
        <v>189</v>
      </c>
      <c r="R2080">
        <v>0</v>
      </c>
      <c r="S2080">
        <v>79</v>
      </c>
      <c r="T2080">
        <v>0</v>
      </c>
      <c r="U2080">
        <v>236</v>
      </c>
      <c r="V2080" s="1">
        <f t="shared" si="96"/>
        <v>0.22500000000000001</v>
      </c>
      <c r="W2080" s="1">
        <f t="shared" si="97"/>
        <v>0</v>
      </c>
      <c r="X2080" s="1">
        <f t="shared" si="98"/>
        <v>0</v>
      </c>
    </row>
    <row r="2081" spans="1:24" x14ac:dyDescent="0.25">
      <c r="A2081">
        <v>2010</v>
      </c>
      <c r="B2081">
        <v>2</v>
      </c>
      <c r="C2081" t="s">
        <v>63</v>
      </c>
      <c r="D2081" t="str">
        <f>_xlfn.XLOOKUP(C2081,'Carrier Name Rename'!A:A,'Carrier Name Rename'!B:B)</f>
        <v>AirTran Airways Corporation</v>
      </c>
      <c r="E2081" t="s">
        <v>23</v>
      </c>
      <c r="F2081" t="s">
        <v>24</v>
      </c>
      <c r="G2081">
        <v>28</v>
      </c>
      <c r="H2081">
        <v>3</v>
      </c>
      <c r="I2081">
        <v>0</v>
      </c>
      <c r="J2081">
        <v>0</v>
      </c>
      <c r="K2081">
        <v>0</v>
      </c>
      <c r="L2081">
        <v>0</v>
      </c>
      <c r="M2081">
        <v>3</v>
      </c>
      <c r="N2081">
        <v>0</v>
      </c>
      <c r="O2081">
        <v>0</v>
      </c>
      <c r="P2081">
        <v>183</v>
      </c>
      <c r="Q2081">
        <v>0</v>
      </c>
      <c r="R2081">
        <v>0</v>
      </c>
      <c r="S2081">
        <v>0</v>
      </c>
      <c r="T2081">
        <v>0</v>
      </c>
      <c r="U2081">
        <v>183</v>
      </c>
      <c r="V2081" s="1">
        <f t="shared" si="96"/>
        <v>0.1071</v>
      </c>
      <c r="W2081" s="1">
        <f t="shared" si="97"/>
        <v>0</v>
      </c>
      <c r="X2081" s="1">
        <f t="shared" si="98"/>
        <v>0</v>
      </c>
    </row>
    <row r="2082" spans="1:24" x14ac:dyDescent="0.25">
      <c r="A2082">
        <v>2010</v>
      </c>
      <c r="B2082">
        <v>2</v>
      </c>
      <c r="C2082" t="s">
        <v>21</v>
      </c>
      <c r="D2082" t="str">
        <f>_xlfn.XLOOKUP(C2082,'Carrier Name Rename'!A:A,'Carrier Name Rename'!B:B)</f>
        <v>Hawaiian Airlines Inc.</v>
      </c>
      <c r="E2082" t="s">
        <v>23</v>
      </c>
      <c r="F2082" t="s">
        <v>24</v>
      </c>
      <c r="G2082">
        <v>68</v>
      </c>
      <c r="H2082">
        <v>9</v>
      </c>
      <c r="I2082">
        <v>6.69</v>
      </c>
      <c r="J2082">
        <v>0</v>
      </c>
      <c r="K2082">
        <v>0</v>
      </c>
      <c r="L2082">
        <v>0</v>
      </c>
      <c r="M2082">
        <v>2.31</v>
      </c>
      <c r="N2082">
        <v>0</v>
      </c>
      <c r="O2082">
        <v>1</v>
      </c>
      <c r="P2082">
        <v>339</v>
      </c>
      <c r="Q2082">
        <v>223</v>
      </c>
      <c r="R2082">
        <v>0</v>
      </c>
      <c r="S2082">
        <v>0</v>
      </c>
      <c r="T2082">
        <v>0</v>
      </c>
      <c r="U2082">
        <v>116</v>
      </c>
      <c r="V2082" s="1">
        <f t="shared" si="96"/>
        <v>0.13239999999999999</v>
      </c>
      <c r="W2082" s="1">
        <f t="shared" si="97"/>
        <v>0</v>
      </c>
      <c r="X2082" s="1">
        <f t="shared" si="98"/>
        <v>1.47E-2</v>
      </c>
    </row>
    <row r="2083" spans="1:24" x14ac:dyDescent="0.25">
      <c r="A2083">
        <v>2010</v>
      </c>
      <c r="B2083">
        <v>2</v>
      </c>
      <c r="C2083" t="s">
        <v>27</v>
      </c>
      <c r="D2083" t="str">
        <f>_xlfn.XLOOKUP(C2083,'Carrier Name Rename'!A:A,'Carrier Name Rename'!B:B)</f>
        <v>SkyWest Airlines Inc.</v>
      </c>
      <c r="E2083" t="s">
        <v>23</v>
      </c>
      <c r="F2083" t="s">
        <v>24</v>
      </c>
      <c r="G2083">
        <v>650</v>
      </c>
      <c r="H2083">
        <v>88</v>
      </c>
      <c r="I2083">
        <v>23.39</v>
      </c>
      <c r="J2083">
        <v>1.78</v>
      </c>
      <c r="K2083">
        <v>21.51</v>
      </c>
      <c r="L2083">
        <v>0</v>
      </c>
      <c r="M2083">
        <v>41.32</v>
      </c>
      <c r="N2083">
        <v>6</v>
      </c>
      <c r="O2083">
        <v>2</v>
      </c>
      <c r="P2083">
        <v>3779</v>
      </c>
      <c r="Q2083">
        <v>1244</v>
      </c>
      <c r="R2083">
        <v>130</v>
      </c>
      <c r="S2083">
        <v>504</v>
      </c>
      <c r="T2083">
        <v>0</v>
      </c>
      <c r="U2083">
        <v>1901</v>
      </c>
      <c r="V2083" s="1">
        <f t="shared" si="96"/>
        <v>0.13539999999999999</v>
      </c>
      <c r="W2083" s="1">
        <f t="shared" si="97"/>
        <v>9.1999999999999998E-3</v>
      </c>
      <c r="X2083" s="1">
        <f t="shared" si="98"/>
        <v>3.0999999999999999E-3</v>
      </c>
    </row>
    <row r="2084" spans="1:24" x14ac:dyDescent="0.25">
      <c r="A2084">
        <v>2010</v>
      </c>
      <c r="B2084">
        <v>2</v>
      </c>
      <c r="C2084" t="s">
        <v>41</v>
      </c>
      <c r="D2084" t="str">
        <f>_xlfn.XLOOKUP(C2084,'Carrier Name Rename'!A:A,'Carrier Name Rename'!B:B)</f>
        <v>United Air Lines Inc.</v>
      </c>
      <c r="E2084" t="s">
        <v>23</v>
      </c>
      <c r="F2084" t="s">
        <v>24</v>
      </c>
      <c r="G2084">
        <v>512</v>
      </c>
      <c r="H2084">
        <v>51</v>
      </c>
      <c r="I2084">
        <v>18.2</v>
      </c>
      <c r="J2084">
        <v>0.79</v>
      </c>
      <c r="K2084">
        <v>2.0499999999999998</v>
      </c>
      <c r="L2084">
        <v>0</v>
      </c>
      <c r="M2084">
        <v>29.96</v>
      </c>
      <c r="N2084">
        <v>15</v>
      </c>
      <c r="O2084">
        <v>0</v>
      </c>
      <c r="P2084">
        <v>2698</v>
      </c>
      <c r="Q2084">
        <v>790</v>
      </c>
      <c r="R2084">
        <v>35</v>
      </c>
      <c r="S2084">
        <v>90</v>
      </c>
      <c r="T2084">
        <v>0</v>
      </c>
      <c r="U2084">
        <v>1783</v>
      </c>
      <c r="V2084" s="1">
        <f t="shared" si="96"/>
        <v>9.9599999999999994E-2</v>
      </c>
      <c r="W2084" s="1">
        <f t="shared" si="97"/>
        <v>2.93E-2</v>
      </c>
      <c r="X2084" s="1">
        <f t="shared" si="98"/>
        <v>0</v>
      </c>
    </row>
    <row r="2085" spans="1:24" x14ac:dyDescent="0.25">
      <c r="A2085">
        <v>2010</v>
      </c>
      <c r="B2085">
        <v>2</v>
      </c>
      <c r="C2085" t="s">
        <v>61</v>
      </c>
      <c r="D2085" t="str">
        <f>_xlfn.XLOOKUP(C2085,'Carrier Name Rename'!A:A,'Carrier Name Rename'!B:B)</f>
        <v>US Airways Inc.</v>
      </c>
      <c r="E2085" t="s">
        <v>23</v>
      </c>
      <c r="F2085" t="s">
        <v>24</v>
      </c>
      <c r="G2085">
        <v>195</v>
      </c>
      <c r="H2085">
        <v>18</v>
      </c>
      <c r="I2085">
        <v>7.55</v>
      </c>
      <c r="J2085">
        <v>0</v>
      </c>
      <c r="K2085">
        <v>4.93</v>
      </c>
      <c r="L2085">
        <v>0</v>
      </c>
      <c r="M2085">
        <v>5.52</v>
      </c>
      <c r="N2085">
        <v>2</v>
      </c>
      <c r="O2085">
        <v>0</v>
      </c>
      <c r="P2085">
        <v>684</v>
      </c>
      <c r="Q2085">
        <v>290</v>
      </c>
      <c r="R2085">
        <v>0</v>
      </c>
      <c r="S2085">
        <v>138</v>
      </c>
      <c r="T2085">
        <v>0</v>
      </c>
      <c r="U2085">
        <v>256</v>
      </c>
      <c r="V2085" s="1">
        <f t="shared" si="96"/>
        <v>9.2299999999999993E-2</v>
      </c>
      <c r="W2085" s="1">
        <f t="shared" si="97"/>
        <v>1.03E-2</v>
      </c>
      <c r="X2085" s="1">
        <f t="shared" si="98"/>
        <v>0</v>
      </c>
    </row>
    <row r="2086" spans="1:24" x14ac:dyDescent="0.25">
      <c r="A2086">
        <v>2010</v>
      </c>
      <c r="B2086">
        <v>2</v>
      </c>
      <c r="C2086" t="s">
        <v>43</v>
      </c>
      <c r="D2086" t="str">
        <f>_xlfn.XLOOKUP(C2086,'Carrier Name Rename'!A:A,'Carrier Name Rename'!B:B)</f>
        <v>Southwest Airlines Co.</v>
      </c>
      <c r="E2086" t="s">
        <v>23</v>
      </c>
      <c r="F2086" t="s">
        <v>24</v>
      </c>
      <c r="G2086">
        <v>828</v>
      </c>
      <c r="H2086">
        <v>86</v>
      </c>
      <c r="I2086">
        <v>27.3</v>
      </c>
      <c r="J2086">
        <v>0.96</v>
      </c>
      <c r="K2086">
        <v>4.4400000000000004</v>
      </c>
      <c r="L2086">
        <v>0</v>
      </c>
      <c r="M2086">
        <v>53.3</v>
      </c>
      <c r="N2086">
        <v>4</v>
      </c>
      <c r="O2086">
        <v>1</v>
      </c>
      <c r="P2086">
        <v>3774</v>
      </c>
      <c r="Q2086">
        <v>1022</v>
      </c>
      <c r="R2086">
        <v>28</v>
      </c>
      <c r="S2086">
        <v>96</v>
      </c>
      <c r="T2086">
        <v>0</v>
      </c>
      <c r="U2086">
        <v>2628</v>
      </c>
      <c r="V2086" s="1">
        <f t="shared" si="96"/>
        <v>0.10390000000000001</v>
      </c>
      <c r="W2086" s="1">
        <f t="shared" si="97"/>
        <v>4.7999999999999996E-3</v>
      </c>
      <c r="X2086" s="1">
        <f t="shared" si="98"/>
        <v>1.1999999999999999E-3</v>
      </c>
    </row>
    <row r="2087" spans="1:24" x14ac:dyDescent="0.25">
      <c r="A2087">
        <v>2010</v>
      </c>
      <c r="B2087">
        <v>1</v>
      </c>
      <c r="C2087" t="s">
        <v>31</v>
      </c>
      <c r="D2087" t="str">
        <f>_xlfn.XLOOKUP(C2087,'Carrier Name Rename'!A:A,'Carrier Name Rename'!B:B)</f>
        <v>American Airlines Inc.</v>
      </c>
      <c r="E2087" t="s">
        <v>23</v>
      </c>
      <c r="F2087" t="s">
        <v>24</v>
      </c>
      <c r="G2087">
        <v>388</v>
      </c>
      <c r="H2087">
        <v>48</v>
      </c>
      <c r="I2087">
        <v>25.42</v>
      </c>
      <c r="J2087">
        <v>5.42</v>
      </c>
      <c r="K2087">
        <v>7.73</v>
      </c>
      <c r="L2087">
        <v>1</v>
      </c>
      <c r="M2087">
        <v>8.42</v>
      </c>
      <c r="N2087">
        <v>2</v>
      </c>
      <c r="O2087">
        <v>1</v>
      </c>
      <c r="P2087">
        <v>2418</v>
      </c>
      <c r="Q2087">
        <v>1436</v>
      </c>
      <c r="R2087">
        <v>158</v>
      </c>
      <c r="S2087">
        <v>320</v>
      </c>
      <c r="T2087">
        <v>205</v>
      </c>
      <c r="U2087">
        <v>299</v>
      </c>
      <c r="V2087" s="1">
        <f t="shared" si="96"/>
        <v>0.1237</v>
      </c>
      <c r="W2087" s="1">
        <f t="shared" si="97"/>
        <v>5.1999999999999998E-3</v>
      </c>
      <c r="X2087" s="1">
        <f t="shared" si="98"/>
        <v>2.5999999999999999E-3</v>
      </c>
    </row>
    <row r="2088" spans="1:24" x14ac:dyDescent="0.25">
      <c r="A2088">
        <v>2010</v>
      </c>
      <c r="B2088">
        <v>1</v>
      </c>
      <c r="C2088" t="s">
        <v>33</v>
      </c>
      <c r="D2088" t="str">
        <f>_xlfn.XLOOKUP(C2088,'Carrier Name Rename'!A:A,'Carrier Name Rename'!B:B)</f>
        <v>Alaska Airlines Inc.</v>
      </c>
      <c r="E2088" t="s">
        <v>23</v>
      </c>
      <c r="F2088" t="s">
        <v>24</v>
      </c>
      <c r="G2088">
        <v>3328</v>
      </c>
      <c r="H2088">
        <v>404</v>
      </c>
      <c r="I2088">
        <v>75.31</v>
      </c>
      <c r="J2088">
        <v>9.6999999999999993</v>
      </c>
      <c r="K2088">
        <v>159.71</v>
      </c>
      <c r="L2088">
        <v>0</v>
      </c>
      <c r="M2088">
        <v>159.28</v>
      </c>
      <c r="N2088">
        <v>18</v>
      </c>
      <c r="O2088">
        <v>1</v>
      </c>
      <c r="P2088">
        <v>20655</v>
      </c>
      <c r="Q2088">
        <v>5097</v>
      </c>
      <c r="R2088">
        <v>828</v>
      </c>
      <c r="S2088">
        <v>4346</v>
      </c>
      <c r="T2088">
        <v>0</v>
      </c>
      <c r="U2088">
        <v>10384</v>
      </c>
      <c r="V2088" s="1">
        <f t="shared" si="96"/>
        <v>0.12139999999999999</v>
      </c>
      <c r="W2088" s="1">
        <f t="shared" si="97"/>
        <v>5.4000000000000003E-3</v>
      </c>
      <c r="X2088" s="1">
        <f t="shared" si="98"/>
        <v>2.9999999999999997E-4</v>
      </c>
    </row>
    <row r="2089" spans="1:24" x14ac:dyDescent="0.25">
      <c r="A2089">
        <v>2010</v>
      </c>
      <c r="B2089">
        <v>1</v>
      </c>
      <c r="C2089" t="s">
        <v>35</v>
      </c>
      <c r="D2089" t="str">
        <f>_xlfn.XLOOKUP(C2089,'Carrier Name Rename'!A:A,'Carrier Name Rename'!B:B)</f>
        <v>JetBlue Airways</v>
      </c>
      <c r="E2089" t="s">
        <v>23</v>
      </c>
      <c r="F2089" t="s">
        <v>24</v>
      </c>
      <c r="G2089">
        <v>120</v>
      </c>
      <c r="H2089">
        <v>18</v>
      </c>
      <c r="I2089">
        <v>5.1100000000000003</v>
      </c>
      <c r="J2089">
        <v>1</v>
      </c>
      <c r="K2089">
        <v>3.67</v>
      </c>
      <c r="L2089">
        <v>0</v>
      </c>
      <c r="M2089">
        <v>8.2200000000000006</v>
      </c>
      <c r="N2089">
        <v>3</v>
      </c>
      <c r="O2089">
        <v>0</v>
      </c>
      <c r="P2089">
        <v>1218</v>
      </c>
      <c r="Q2089">
        <v>182</v>
      </c>
      <c r="R2089">
        <v>191</v>
      </c>
      <c r="S2089">
        <v>232</v>
      </c>
      <c r="T2089">
        <v>0</v>
      </c>
      <c r="U2089">
        <v>613</v>
      </c>
      <c r="V2089" s="1">
        <f t="shared" si="96"/>
        <v>0.15</v>
      </c>
      <c r="W2089" s="1">
        <f t="shared" si="97"/>
        <v>2.5000000000000001E-2</v>
      </c>
      <c r="X2089" s="1">
        <f t="shared" si="98"/>
        <v>0</v>
      </c>
    </row>
    <row r="2090" spans="1:24" x14ac:dyDescent="0.25">
      <c r="A2090">
        <v>2010</v>
      </c>
      <c r="B2090">
        <v>1</v>
      </c>
      <c r="C2090" t="s">
        <v>65</v>
      </c>
      <c r="D2090" t="str">
        <f>_xlfn.XLOOKUP(C2090,'Carrier Name Rename'!A:A,'Carrier Name Rename'!B:B)</f>
        <v>Continental Air Lines Inc.</v>
      </c>
      <c r="E2090" t="s">
        <v>23</v>
      </c>
      <c r="F2090" t="s">
        <v>24</v>
      </c>
      <c r="G2090">
        <v>274</v>
      </c>
      <c r="H2090">
        <v>63</v>
      </c>
      <c r="I2090">
        <v>25.23</v>
      </c>
      <c r="J2090">
        <v>1.52</v>
      </c>
      <c r="K2090">
        <v>15.47</v>
      </c>
      <c r="L2090">
        <v>7.14</v>
      </c>
      <c r="M2090">
        <v>13.65</v>
      </c>
      <c r="N2090">
        <v>1</v>
      </c>
      <c r="O2090">
        <v>0</v>
      </c>
      <c r="P2090">
        <v>2437</v>
      </c>
      <c r="Q2090">
        <v>813</v>
      </c>
      <c r="R2090">
        <v>60</v>
      </c>
      <c r="S2090">
        <v>423</v>
      </c>
      <c r="T2090">
        <v>420</v>
      </c>
      <c r="U2090">
        <v>721</v>
      </c>
      <c r="V2090" s="1">
        <f t="shared" si="96"/>
        <v>0.22989999999999999</v>
      </c>
      <c r="W2090" s="1">
        <f t="shared" si="97"/>
        <v>3.5999999999999999E-3</v>
      </c>
      <c r="X2090" s="1">
        <f t="shared" si="98"/>
        <v>0</v>
      </c>
    </row>
    <row r="2091" spans="1:24" x14ac:dyDescent="0.25">
      <c r="A2091">
        <v>2010</v>
      </c>
      <c r="B2091">
        <v>1</v>
      </c>
      <c r="C2091" t="s">
        <v>37</v>
      </c>
      <c r="D2091" t="str">
        <f>_xlfn.XLOOKUP(C2091,'Carrier Name Rename'!A:A,'Carrier Name Rename'!B:B)</f>
        <v>Delta Air Lines Inc.</v>
      </c>
      <c r="E2091" t="s">
        <v>23</v>
      </c>
      <c r="F2091" t="s">
        <v>24</v>
      </c>
      <c r="G2091">
        <v>659</v>
      </c>
      <c r="H2091">
        <v>74</v>
      </c>
      <c r="I2091">
        <v>41.9</v>
      </c>
      <c r="J2091">
        <v>2.5</v>
      </c>
      <c r="K2091">
        <v>13.19</v>
      </c>
      <c r="L2091">
        <v>0</v>
      </c>
      <c r="M2091">
        <v>16.399999999999999</v>
      </c>
      <c r="N2091">
        <v>4</v>
      </c>
      <c r="O2091">
        <v>0</v>
      </c>
      <c r="P2091">
        <v>4068</v>
      </c>
      <c r="Q2091">
        <v>2408</v>
      </c>
      <c r="R2091">
        <v>231</v>
      </c>
      <c r="S2091">
        <v>436</v>
      </c>
      <c r="T2091">
        <v>0</v>
      </c>
      <c r="U2091">
        <v>993</v>
      </c>
      <c r="V2091" s="1">
        <f t="shared" si="96"/>
        <v>0.1123</v>
      </c>
      <c r="W2091" s="1">
        <f t="shared" si="97"/>
        <v>6.1000000000000004E-3</v>
      </c>
      <c r="X2091" s="1">
        <f t="shared" si="98"/>
        <v>0</v>
      </c>
    </row>
    <row r="2092" spans="1:24" x14ac:dyDescent="0.25">
      <c r="A2092">
        <v>2010</v>
      </c>
      <c r="B2092">
        <v>1</v>
      </c>
      <c r="C2092" t="s">
        <v>39</v>
      </c>
      <c r="D2092" t="str">
        <f>_xlfn.XLOOKUP(C2092,'Carrier Name Rename'!A:A,'Carrier Name Rename'!B:B)</f>
        <v>Frontier Airlines Inc.</v>
      </c>
      <c r="E2092" t="s">
        <v>23</v>
      </c>
      <c r="F2092" t="s">
        <v>24</v>
      </c>
      <c r="G2092">
        <v>63</v>
      </c>
      <c r="H2092">
        <v>14</v>
      </c>
      <c r="I2092">
        <v>4.42</v>
      </c>
      <c r="J2092">
        <v>0</v>
      </c>
      <c r="K2092">
        <v>2.75</v>
      </c>
      <c r="L2092">
        <v>0</v>
      </c>
      <c r="M2092">
        <v>6.83</v>
      </c>
      <c r="N2092">
        <v>0</v>
      </c>
      <c r="O2092">
        <v>0</v>
      </c>
      <c r="P2092">
        <v>656</v>
      </c>
      <c r="Q2092">
        <v>137</v>
      </c>
      <c r="R2092">
        <v>0</v>
      </c>
      <c r="S2092">
        <v>99</v>
      </c>
      <c r="T2092">
        <v>0</v>
      </c>
      <c r="U2092">
        <v>420</v>
      </c>
      <c r="V2092" s="1">
        <f t="shared" si="96"/>
        <v>0.22220000000000001</v>
      </c>
      <c r="W2092" s="1">
        <f t="shared" si="97"/>
        <v>0</v>
      </c>
      <c r="X2092" s="1">
        <f t="shared" si="98"/>
        <v>0</v>
      </c>
    </row>
    <row r="2093" spans="1:24" x14ac:dyDescent="0.25">
      <c r="A2093">
        <v>2010</v>
      </c>
      <c r="B2093">
        <v>1</v>
      </c>
      <c r="C2093" t="s">
        <v>63</v>
      </c>
      <c r="D2093" t="str">
        <f>_xlfn.XLOOKUP(C2093,'Carrier Name Rename'!A:A,'Carrier Name Rename'!B:B)</f>
        <v>AirTran Airways Corporation</v>
      </c>
      <c r="E2093" t="s">
        <v>23</v>
      </c>
      <c r="F2093" t="s">
        <v>24</v>
      </c>
      <c r="G2093">
        <v>31</v>
      </c>
      <c r="H2093">
        <v>8</v>
      </c>
      <c r="I2093">
        <v>4.13</v>
      </c>
      <c r="J2093">
        <v>0</v>
      </c>
      <c r="K2093">
        <v>0.87</v>
      </c>
      <c r="L2093">
        <v>0</v>
      </c>
      <c r="M2093">
        <v>3</v>
      </c>
      <c r="N2093">
        <v>1</v>
      </c>
      <c r="O2093">
        <v>0</v>
      </c>
      <c r="P2093">
        <v>270</v>
      </c>
      <c r="Q2093">
        <v>111</v>
      </c>
      <c r="R2093">
        <v>0</v>
      </c>
      <c r="S2093">
        <v>36</v>
      </c>
      <c r="T2093">
        <v>0</v>
      </c>
      <c r="U2093">
        <v>123</v>
      </c>
      <c r="V2093" s="1">
        <f t="shared" si="96"/>
        <v>0.2581</v>
      </c>
      <c r="W2093" s="1">
        <f t="shared" si="97"/>
        <v>3.2300000000000002E-2</v>
      </c>
      <c r="X2093" s="1">
        <f t="shared" si="98"/>
        <v>0</v>
      </c>
    </row>
    <row r="2094" spans="1:24" x14ac:dyDescent="0.25">
      <c r="A2094">
        <v>2010</v>
      </c>
      <c r="B2094">
        <v>1</v>
      </c>
      <c r="C2094" t="s">
        <v>21</v>
      </c>
      <c r="D2094" t="str">
        <f>_xlfn.XLOOKUP(C2094,'Carrier Name Rename'!A:A,'Carrier Name Rename'!B:B)</f>
        <v>Hawaiian Airlines Inc.</v>
      </c>
      <c r="E2094" t="s">
        <v>23</v>
      </c>
      <c r="F2094" t="s">
        <v>24</v>
      </c>
      <c r="G2094">
        <v>76</v>
      </c>
      <c r="H2094">
        <v>6</v>
      </c>
      <c r="I2094">
        <v>2.39</v>
      </c>
      <c r="J2094">
        <v>0</v>
      </c>
      <c r="K2094">
        <v>0</v>
      </c>
      <c r="L2094">
        <v>0</v>
      </c>
      <c r="M2094">
        <v>3.61</v>
      </c>
      <c r="N2094">
        <v>0</v>
      </c>
      <c r="O2094">
        <v>0</v>
      </c>
      <c r="P2094">
        <v>442</v>
      </c>
      <c r="Q2094">
        <v>87</v>
      </c>
      <c r="R2094">
        <v>0</v>
      </c>
      <c r="S2094">
        <v>0</v>
      </c>
      <c r="T2094">
        <v>0</v>
      </c>
      <c r="U2094">
        <v>355</v>
      </c>
      <c r="V2094" s="1">
        <f t="shared" si="96"/>
        <v>7.8899999999999998E-2</v>
      </c>
      <c r="W2094" s="1">
        <f t="shared" si="97"/>
        <v>0</v>
      </c>
      <c r="X2094" s="1">
        <f t="shared" si="98"/>
        <v>0</v>
      </c>
    </row>
    <row r="2095" spans="1:24" x14ac:dyDescent="0.25">
      <c r="A2095">
        <v>2010</v>
      </c>
      <c r="B2095">
        <v>1</v>
      </c>
      <c r="C2095" t="s">
        <v>27</v>
      </c>
      <c r="D2095" t="str">
        <f>_xlfn.XLOOKUP(C2095,'Carrier Name Rename'!A:A,'Carrier Name Rename'!B:B)</f>
        <v>SkyWest Airlines Inc.</v>
      </c>
      <c r="E2095" t="s">
        <v>23</v>
      </c>
      <c r="F2095" t="s">
        <v>24</v>
      </c>
      <c r="G2095">
        <v>706</v>
      </c>
      <c r="H2095">
        <v>102</v>
      </c>
      <c r="I2095">
        <v>23.42</v>
      </c>
      <c r="J2095">
        <v>2.65</v>
      </c>
      <c r="K2095">
        <v>35.880000000000003</v>
      </c>
      <c r="L2095">
        <v>0.28000000000000003</v>
      </c>
      <c r="M2095">
        <v>39.770000000000003</v>
      </c>
      <c r="N2095">
        <v>9</v>
      </c>
      <c r="O2095">
        <v>2</v>
      </c>
      <c r="P2095">
        <v>4181</v>
      </c>
      <c r="Q2095">
        <v>1028</v>
      </c>
      <c r="R2095">
        <v>211</v>
      </c>
      <c r="S2095">
        <v>999</v>
      </c>
      <c r="T2095">
        <v>5</v>
      </c>
      <c r="U2095">
        <v>1938</v>
      </c>
      <c r="V2095" s="1">
        <f t="shared" si="96"/>
        <v>0.14449999999999999</v>
      </c>
      <c r="W2095" s="1">
        <f t="shared" si="97"/>
        <v>1.2699999999999999E-2</v>
      </c>
      <c r="X2095" s="1">
        <f t="shared" si="98"/>
        <v>2.8E-3</v>
      </c>
    </row>
    <row r="2096" spans="1:24" x14ac:dyDescent="0.25">
      <c r="A2096">
        <v>2010</v>
      </c>
      <c r="B2096">
        <v>1</v>
      </c>
      <c r="C2096" t="s">
        <v>41</v>
      </c>
      <c r="D2096" t="str">
        <f>_xlfn.XLOOKUP(C2096,'Carrier Name Rename'!A:A,'Carrier Name Rename'!B:B)</f>
        <v>United Air Lines Inc.</v>
      </c>
      <c r="E2096" t="s">
        <v>23</v>
      </c>
      <c r="F2096" t="s">
        <v>24</v>
      </c>
      <c r="G2096">
        <v>557</v>
      </c>
      <c r="H2096">
        <v>49</v>
      </c>
      <c r="I2096">
        <v>15.9</v>
      </c>
      <c r="J2096">
        <v>0.75</v>
      </c>
      <c r="K2096">
        <v>2.38</v>
      </c>
      <c r="L2096">
        <v>0</v>
      </c>
      <c r="M2096">
        <v>29.98</v>
      </c>
      <c r="N2096">
        <v>4</v>
      </c>
      <c r="O2096">
        <v>0</v>
      </c>
      <c r="P2096">
        <v>3696</v>
      </c>
      <c r="Q2096">
        <v>1257</v>
      </c>
      <c r="R2096">
        <v>48</v>
      </c>
      <c r="S2096">
        <v>139</v>
      </c>
      <c r="T2096">
        <v>0</v>
      </c>
      <c r="U2096">
        <v>2252</v>
      </c>
      <c r="V2096" s="1">
        <f t="shared" si="96"/>
        <v>8.7999999999999995E-2</v>
      </c>
      <c r="W2096" s="1">
        <f t="shared" si="97"/>
        <v>7.1999999999999998E-3</v>
      </c>
      <c r="X2096" s="1">
        <f t="shared" si="98"/>
        <v>0</v>
      </c>
    </row>
    <row r="2097" spans="1:24" x14ac:dyDescent="0.25">
      <c r="A2097">
        <v>2010</v>
      </c>
      <c r="B2097">
        <v>1</v>
      </c>
      <c r="C2097" t="s">
        <v>61</v>
      </c>
      <c r="D2097" t="str">
        <f>_xlfn.XLOOKUP(C2097,'Carrier Name Rename'!A:A,'Carrier Name Rename'!B:B)</f>
        <v>US Airways Inc.</v>
      </c>
      <c r="E2097" t="s">
        <v>23</v>
      </c>
      <c r="F2097" t="s">
        <v>24</v>
      </c>
      <c r="G2097">
        <v>220</v>
      </c>
      <c r="H2097">
        <v>21</v>
      </c>
      <c r="I2097">
        <v>10.82</v>
      </c>
      <c r="J2097">
        <v>0.7</v>
      </c>
      <c r="K2097">
        <v>5.4</v>
      </c>
      <c r="L2097">
        <v>0.38</v>
      </c>
      <c r="M2097">
        <v>3.71</v>
      </c>
      <c r="N2097">
        <v>8</v>
      </c>
      <c r="O2097">
        <v>0</v>
      </c>
      <c r="P2097">
        <v>1147</v>
      </c>
      <c r="Q2097">
        <v>663</v>
      </c>
      <c r="R2097">
        <v>32</v>
      </c>
      <c r="S2097">
        <v>220</v>
      </c>
      <c r="T2097">
        <v>12</v>
      </c>
      <c r="U2097">
        <v>220</v>
      </c>
      <c r="V2097" s="1">
        <f t="shared" si="96"/>
        <v>9.5500000000000002E-2</v>
      </c>
      <c r="W2097" s="1">
        <f t="shared" si="97"/>
        <v>3.6400000000000002E-2</v>
      </c>
      <c r="X2097" s="1">
        <f t="shared" si="98"/>
        <v>0</v>
      </c>
    </row>
    <row r="2098" spans="1:24" x14ac:dyDescent="0.25">
      <c r="A2098">
        <v>2010</v>
      </c>
      <c r="B2098">
        <v>1</v>
      </c>
      <c r="C2098" t="s">
        <v>43</v>
      </c>
      <c r="D2098" t="str">
        <f>_xlfn.XLOOKUP(C2098,'Carrier Name Rename'!A:A,'Carrier Name Rename'!B:B)</f>
        <v>Southwest Airlines Co.</v>
      </c>
      <c r="E2098" t="s">
        <v>23</v>
      </c>
      <c r="F2098" t="s">
        <v>24</v>
      </c>
      <c r="G2098">
        <v>926</v>
      </c>
      <c r="H2098">
        <v>133</v>
      </c>
      <c r="I2098">
        <v>54.1</v>
      </c>
      <c r="J2098">
        <v>2</v>
      </c>
      <c r="K2098">
        <v>5.98</v>
      </c>
      <c r="L2098">
        <v>0.7</v>
      </c>
      <c r="M2098">
        <v>70.22</v>
      </c>
      <c r="N2098">
        <v>5</v>
      </c>
      <c r="O2098">
        <v>0</v>
      </c>
      <c r="P2098">
        <v>6161</v>
      </c>
      <c r="Q2098">
        <v>2449</v>
      </c>
      <c r="R2098">
        <v>50</v>
      </c>
      <c r="S2098">
        <v>189</v>
      </c>
      <c r="T2098">
        <v>21</v>
      </c>
      <c r="U2098">
        <v>3452</v>
      </c>
      <c r="V2098" s="1">
        <f t="shared" si="96"/>
        <v>0.14360000000000001</v>
      </c>
      <c r="W2098" s="1">
        <f t="shared" si="97"/>
        <v>5.4000000000000003E-3</v>
      </c>
      <c r="X2098" s="1">
        <f t="shared" si="98"/>
        <v>0</v>
      </c>
    </row>
    <row r="2099" spans="1:24" x14ac:dyDescent="0.25">
      <c r="A2099">
        <v>2009</v>
      </c>
      <c r="B2099">
        <v>12</v>
      </c>
      <c r="C2099" t="s">
        <v>31</v>
      </c>
      <c r="D2099" t="str">
        <f>_xlfn.XLOOKUP(C2099,'Carrier Name Rename'!A:A,'Carrier Name Rename'!B:B)</f>
        <v>American Airlines Inc.</v>
      </c>
      <c r="E2099" t="s">
        <v>23</v>
      </c>
      <c r="F2099" t="s">
        <v>24</v>
      </c>
      <c r="G2099">
        <v>390</v>
      </c>
      <c r="H2099">
        <v>76</v>
      </c>
      <c r="I2099">
        <v>27.2</v>
      </c>
      <c r="J2099">
        <v>14.1</v>
      </c>
      <c r="K2099">
        <v>12.7</v>
      </c>
      <c r="L2099">
        <v>0</v>
      </c>
      <c r="M2099">
        <v>22.01</v>
      </c>
      <c r="N2099">
        <v>1</v>
      </c>
      <c r="O2099">
        <v>1</v>
      </c>
      <c r="P2099">
        <v>4723</v>
      </c>
      <c r="Q2099">
        <v>1495</v>
      </c>
      <c r="R2099">
        <v>905</v>
      </c>
      <c r="S2099">
        <v>499</v>
      </c>
      <c r="T2099">
        <v>0</v>
      </c>
      <c r="U2099">
        <v>1824</v>
      </c>
      <c r="V2099" s="1">
        <f t="shared" si="96"/>
        <v>0.19489999999999999</v>
      </c>
      <c r="W2099" s="1">
        <f t="shared" si="97"/>
        <v>2.5999999999999999E-3</v>
      </c>
      <c r="X2099" s="1">
        <f t="shared" si="98"/>
        <v>2.5999999999999999E-3</v>
      </c>
    </row>
    <row r="2100" spans="1:24" x14ac:dyDescent="0.25">
      <c r="A2100">
        <v>2009</v>
      </c>
      <c r="B2100">
        <v>12</v>
      </c>
      <c r="C2100" t="s">
        <v>33</v>
      </c>
      <c r="D2100" t="str">
        <f>_xlfn.XLOOKUP(C2100,'Carrier Name Rename'!A:A,'Carrier Name Rename'!B:B)</f>
        <v>Alaska Airlines Inc.</v>
      </c>
      <c r="E2100" t="s">
        <v>23</v>
      </c>
      <c r="F2100" t="s">
        <v>24</v>
      </c>
      <c r="G2100">
        <v>3394</v>
      </c>
      <c r="H2100">
        <v>422</v>
      </c>
      <c r="I2100">
        <v>94.14</v>
      </c>
      <c r="J2100">
        <v>10.59</v>
      </c>
      <c r="K2100">
        <v>155.94999999999999</v>
      </c>
      <c r="L2100">
        <v>0</v>
      </c>
      <c r="M2100">
        <v>161.33000000000001</v>
      </c>
      <c r="N2100">
        <v>10</v>
      </c>
      <c r="O2100">
        <v>1</v>
      </c>
      <c r="P2100">
        <v>22981</v>
      </c>
      <c r="Q2100">
        <v>6922</v>
      </c>
      <c r="R2100">
        <v>1344</v>
      </c>
      <c r="S2100">
        <v>4674</v>
      </c>
      <c r="T2100">
        <v>0</v>
      </c>
      <c r="U2100">
        <v>10041</v>
      </c>
      <c r="V2100" s="1">
        <f t="shared" si="96"/>
        <v>0.12429999999999999</v>
      </c>
      <c r="W2100" s="1">
        <f t="shared" si="97"/>
        <v>2.8999999999999998E-3</v>
      </c>
      <c r="X2100" s="1">
        <f t="shared" si="98"/>
        <v>2.9999999999999997E-4</v>
      </c>
    </row>
    <row r="2101" spans="1:24" x14ac:dyDescent="0.25">
      <c r="A2101">
        <v>2009</v>
      </c>
      <c r="B2101">
        <v>12</v>
      </c>
      <c r="C2101" t="s">
        <v>35</v>
      </c>
      <c r="D2101" t="str">
        <f>_xlfn.XLOOKUP(C2101,'Carrier Name Rename'!A:A,'Carrier Name Rename'!B:B)</f>
        <v>JetBlue Airways</v>
      </c>
      <c r="E2101" t="s">
        <v>23</v>
      </c>
      <c r="F2101" t="s">
        <v>24</v>
      </c>
      <c r="G2101">
        <v>114</v>
      </c>
      <c r="H2101">
        <v>24</v>
      </c>
      <c r="I2101">
        <v>10.56</v>
      </c>
      <c r="J2101">
        <v>0</v>
      </c>
      <c r="K2101">
        <v>7.49</v>
      </c>
      <c r="L2101">
        <v>0</v>
      </c>
      <c r="M2101">
        <v>5.95</v>
      </c>
      <c r="N2101">
        <v>1</v>
      </c>
      <c r="O2101">
        <v>0</v>
      </c>
      <c r="P2101">
        <v>836</v>
      </c>
      <c r="Q2101">
        <v>393</v>
      </c>
      <c r="R2101">
        <v>0</v>
      </c>
      <c r="S2101">
        <v>191</v>
      </c>
      <c r="T2101">
        <v>0</v>
      </c>
      <c r="U2101">
        <v>252</v>
      </c>
      <c r="V2101" s="1">
        <f t="shared" si="96"/>
        <v>0.21049999999999999</v>
      </c>
      <c r="W2101" s="1">
        <f t="shared" si="97"/>
        <v>8.8000000000000005E-3</v>
      </c>
      <c r="X2101" s="1">
        <f t="shared" si="98"/>
        <v>0</v>
      </c>
    </row>
    <row r="2102" spans="1:24" x14ac:dyDescent="0.25">
      <c r="A2102">
        <v>2009</v>
      </c>
      <c r="B2102">
        <v>12</v>
      </c>
      <c r="C2102" t="s">
        <v>65</v>
      </c>
      <c r="D2102" t="str">
        <f>_xlfn.XLOOKUP(C2102,'Carrier Name Rename'!A:A,'Carrier Name Rename'!B:B)</f>
        <v>Continental Air Lines Inc.</v>
      </c>
      <c r="E2102" t="s">
        <v>23</v>
      </c>
      <c r="F2102" t="s">
        <v>24</v>
      </c>
      <c r="G2102">
        <v>395</v>
      </c>
      <c r="H2102">
        <v>137</v>
      </c>
      <c r="I2102">
        <v>56.15</v>
      </c>
      <c r="J2102">
        <v>8.4</v>
      </c>
      <c r="K2102">
        <v>43.79</v>
      </c>
      <c r="L2102">
        <v>2.56</v>
      </c>
      <c r="M2102">
        <v>26.09</v>
      </c>
      <c r="N2102">
        <v>4</v>
      </c>
      <c r="O2102">
        <v>0</v>
      </c>
      <c r="P2102">
        <v>7219</v>
      </c>
      <c r="Q2102">
        <v>2706</v>
      </c>
      <c r="R2102">
        <v>560</v>
      </c>
      <c r="S2102">
        <v>1589</v>
      </c>
      <c r="T2102">
        <v>63</v>
      </c>
      <c r="U2102">
        <v>2301</v>
      </c>
      <c r="V2102" s="1">
        <f t="shared" si="96"/>
        <v>0.3468</v>
      </c>
      <c r="W2102" s="1">
        <f t="shared" si="97"/>
        <v>1.01E-2</v>
      </c>
      <c r="X2102" s="1">
        <f t="shared" si="98"/>
        <v>0</v>
      </c>
    </row>
    <row r="2103" spans="1:24" x14ac:dyDescent="0.25">
      <c r="A2103">
        <v>2009</v>
      </c>
      <c r="B2103">
        <v>12</v>
      </c>
      <c r="C2103" t="s">
        <v>37</v>
      </c>
      <c r="D2103" t="str">
        <f>_xlfn.XLOOKUP(C2103,'Carrier Name Rename'!A:A,'Carrier Name Rename'!B:B)</f>
        <v>Delta Air Lines Inc.</v>
      </c>
      <c r="E2103" t="s">
        <v>23</v>
      </c>
      <c r="F2103" t="s">
        <v>24</v>
      </c>
      <c r="G2103">
        <v>405</v>
      </c>
      <c r="H2103">
        <v>55</v>
      </c>
      <c r="I2103">
        <v>18.55</v>
      </c>
      <c r="J2103">
        <v>7.96</v>
      </c>
      <c r="K2103">
        <v>15.33</v>
      </c>
      <c r="L2103">
        <v>0</v>
      </c>
      <c r="M2103">
        <v>13.16</v>
      </c>
      <c r="N2103">
        <v>5</v>
      </c>
      <c r="O2103">
        <v>1</v>
      </c>
      <c r="P2103">
        <v>2324</v>
      </c>
      <c r="Q2103">
        <v>856</v>
      </c>
      <c r="R2103">
        <v>260</v>
      </c>
      <c r="S2103">
        <v>567</v>
      </c>
      <c r="T2103">
        <v>0</v>
      </c>
      <c r="U2103">
        <v>641</v>
      </c>
      <c r="V2103" s="1">
        <f t="shared" si="96"/>
        <v>0.1358</v>
      </c>
      <c r="W2103" s="1">
        <f t="shared" si="97"/>
        <v>1.23E-2</v>
      </c>
      <c r="X2103" s="1">
        <f t="shared" si="98"/>
        <v>2.5000000000000001E-3</v>
      </c>
    </row>
    <row r="2104" spans="1:24" x14ac:dyDescent="0.25">
      <c r="A2104">
        <v>2009</v>
      </c>
      <c r="B2104">
        <v>12</v>
      </c>
      <c r="C2104" t="s">
        <v>39</v>
      </c>
      <c r="D2104" t="str">
        <f>_xlfn.XLOOKUP(C2104,'Carrier Name Rename'!A:A,'Carrier Name Rename'!B:B)</f>
        <v>Frontier Airlines Inc.</v>
      </c>
      <c r="E2104" t="s">
        <v>23</v>
      </c>
      <c r="F2104" t="s">
        <v>24</v>
      </c>
      <c r="G2104">
        <v>78</v>
      </c>
      <c r="H2104">
        <v>30</v>
      </c>
      <c r="I2104">
        <v>8.18</v>
      </c>
      <c r="J2104">
        <v>0.36</v>
      </c>
      <c r="K2104">
        <v>6.55</v>
      </c>
      <c r="L2104">
        <v>0</v>
      </c>
      <c r="M2104">
        <v>14.91</v>
      </c>
      <c r="N2104">
        <v>0</v>
      </c>
      <c r="O2104">
        <v>0</v>
      </c>
      <c r="P2104">
        <v>1332</v>
      </c>
      <c r="Q2104">
        <v>250</v>
      </c>
      <c r="R2104">
        <v>25</v>
      </c>
      <c r="S2104">
        <v>296</v>
      </c>
      <c r="T2104">
        <v>0</v>
      </c>
      <c r="U2104">
        <v>761</v>
      </c>
      <c r="V2104" s="1">
        <f t="shared" si="96"/>
        <v>0.3846</v>
      </c>
      <c r="W2104" s="1">
        <f t="shared" si="97"/>
        <v>0</v>
      </c>
      <c r="X2104" s="1">
        <f t="shared" si="98"/>
        <v>0</v>
      </c>
    </row>
    <row r="2105" spans="1:24" x14ac:dyDescent="0.25">
      <c r="A2105">
        <v>2009</v>
      </c>
      <c r="B2105">
        <v>12</v>
      </c>
      <c r="C2105" t="s">
        <v>63</v>
      </c>
      <c r="D2105" t="str">
        <f>_xlfn.XLOOKUP(C2105,'Carrier Name Rename'!A:A,'Carrier Name Rename'!B:B)</f>
        <v>AirTran Airways Corporation</v>
      </c>
      <c r="E2105" t="s">
        <v>23</v>
      </c>
      <c r="F2105" t="s">
        <v>24</v>
      </c>
      <c r="G2105">
        <v>31</v>
      </c>
      <c r="H2105">
        <v>17</v>
      </c>
      <c r="I2105">
        <v>5.33</v>
      </c>
      <c r="J2105">
        <v>0.72</v>
      </c>
      <c r="K2105">
        <v>4.8899999999999997</v>
      </c>
      <c r="L2105">
        <v>0</v>
      </c>
      <c r="M2105">
        <v>6.06</v>
      </c>
      <c r="N2105">
        <v>0</v>
      </c>
      <c r="O2105">
        <v>0</v>
      </c>
      <c r="P2105">
        <v>925</v>
      </c>
      <c r="Q2105">
        <v>172</v>
      </c>
      <c r="R2105">
        <v>63</v>
      </c>
      <c r="S2105">
        <v>283</v>
      </c>
      <c r="T2105">
        <v>0</v>
      </c>
      <c r="U2105">
        <v>407</v>
      </c>
      <c r="V2105" s="1">
        <f t="shared" si="96"/>
        <v>0.5484</v>
      </c>
      <c r="W2105" s="1">
        <f t="shared" si="97"/>
        <v>0</v>
      </c>
      <c r="X2105" s="1">
        <f t="shared" si="98"/>
        <v>0</v>
      </c>
    </row>
    <row r="2106" spans="1:24" x14ac:dyDescent="0.25">
      <c r="A2106">
        <v>2009</v>
      </c>
      <c r="B2106">
        <v>12</v>
      </c>
      <c r="C2106" t="s">
        <v>21</v>
      </c>
      <c r="D2106" t="str">
        <f>_xlfn.XLOOKUP(C2106,'Carrier Name Rename'!A:A,'Carrier Name Rename'!B:B)</f>
        <v>Hawaiian Airlines Inc.</v>
      </c>
      <c r="E2106" t="s">
        <v>23</v>
      </c>
      <c r="F2106" t="s">
        <v>24</v>
      </c>
      <c r="G2106">
        <v>74</v>
      </c>
      <c r="H2106">
        <v>12</v>
      </c>
      <c r="I2106">
        <v>8.8699999999999992</v>
      </c>
      <c r="J2106">
        <v>0</v>
      </c>
      <c r="K2106">
        <v>0</v>
      </c>
      <c r="L2106">
        <v>0</v>
      </c>
      <c r="M2106">
        <v>3.12</v>
      </c>
      <c r="N2106">
        <v>0</v>
      </c>
      <c r="O2106">
        <v>0</v>
      </c>
      <c r="P2106">
        <v>250</v>
      </c>
      <c r="Q2106">
        <v>176</v>
      </c>
      <c r="R2106">
        <v>0</v>
      </c>
      <c r="S2106">
        <v>0</v>
      </c>
      <c r="T2106">
        <v>0</v>
      </c>
      <c r="U2106">
        <v>74</v>
      </c>
      <c r="V2106" s="1">
        <f t="shared" si="96"/>
        <v>0.16220000000000001</v>
      </c>
      <c r="W2106" s="1">
        <f t="shared" si="97"/>
        <v>0</v>
      </c>
      <c r="X2106" s="1">
        <f t="shared" si="98"/>
        <v>0</v>
      </c>
    </row>
    <row r="2107" spans="1:24" x14ac:dyDescent="0.25">
      <c r="A2107">
        <v>2009</v>
      </c>
      <c r="B2107">
        <v>12</v>
      </c>
      <c r="C2107" t="s">
        <v>67</v>
      </c>
      <c r="D2107" t="str">
        <f>_xlfn.XLOOKUP(C2107,'Carrier Name Rename'!A:A,'Carrier Name Rename'!B:B)</f>
        <v>Northwest Airlines Inc.</v>
      </c>
      <c r="E2107" t="s">
        <v>23</v>
      </c>
      <c r="F2107" t="s">
        <v>24</v>
      </c>
      <c r="G2107">
        <v>371</v>
      </c>
      <c r="H2107">
        <v>90</v>
      </c>
      <c r="I2107">
        <v>47.64</v>
      </c>
      <c r="J2107">
        <v>0.43</v>
      </c>
      <c r="K2107">
        <v>29.22</v>
      </c>
      <c r="L2107">
        <v>0</v>
      </c>
      <c r="M2107">
        <v>12.72</v>
      </c>
      <c r="N2107">
        <v>0</v>
      </c>
      <c r="O2107">
        <v>0</v>
      </c>
      <c r="P2107">
        <v>3619</v>
      </c>
      <c r="Q2107">
        <v>2101</v>
      </c>
      <c r="R2107">
        <v>12</v>
      </c>
      <c r="S2107">
        <v>854</v>
      </c>
      <c r="T2107">
        <v>0</v>
      </c>
      <c r="U2107">
        <v>652</v>
      </c>
      <c r="V2107" s="1">
        <f t="shared" si="96"/>
        <v>0.24260000000000001</v>
      </c>
      <c r="W2107" s="1">
        <f t="shared" si="97"/>
        <v>0</v>
      </c>
      <c r="X2107" s="1">
        <f t="shared" si="98"/>
        <v>0</v>
      </c>
    </row>
    <row r="2108" spans="1:24" x14ac:dyDescent="0.25">
      <c r="A2108">
        <v>2009</v>
      </c>
      <c r="B2108">
        <v>12</v>
      </c>
      <c r="C2108" t="s">
        <v>27</v>
      </c>
      <c r="D2108" t="str">
        <f>_xlfn.XLOOKUP(C2108,'Carrier Name Rename'!A:A,'Carrier Name Rename'!B:B)</f>
        <v>SkyWest Airlines Inc.</v>
      </c>
      <c r="E2108" t="s">
        <v>23</v>
      </c>
      <c r="F2108" t="s">
        <v>24</v>
      </c>
      <c r="G2108">
        <v>676</v>
      </c>
      <c r="H2108">
        <v>131</v>
      </c>
      <c r="I2108">
        <v>34.47</v>
      </c>
      <c r="J2108">
        <v>2.2000000000000002</v>
      </c>
      <c r="K2108">
        <v>48.05</v>
      </c>
      <c r="L2108">
        <v>0</v>
      </c>
      <c r="M2108">
        <v>46.29</v>
      </c>
      <c r="N2108">
        <v>8</v>
      </c>
      <c r="O2108">
        <v>0</v>
      </c>
      <c r="P2108">
        <v>5497</v>
      </c>
      <c r="Q2108">
        <v>1687</v>
      </c>
      <c r="R2108">
        <v>89</v>
      </c>
      <c r="S2108">
        <v>1519</v>
      </c>
      <c r="T2108">
        <v>0</v>
      </c>
      <c r="U2108">
        <v>2202</v>
      </c>
      <c r="V2108" s="1">
        <f t="shared" si="96"/>
        <v>0.1938</v>
      </c>
      <c r="W2108" s="1">
        <f t="shared" si="97"/>
        <v>1.18E-2</v>
      </c>
      <c r="X2108" s="1">
        <f t="shared" si="98"/>
        <v>0</v>
      </c>
    </row>
    <row r="2109" spans="1:24" x14ac:dyDescent="0.25">
      <c r="A2109">
        <v>2009</v>
      </c>
      <c r="B2109">
        <v>12</v>
      </c>
      <c r="C2109" t="s">
        <v>41</v>
      </c>
      <c r="D2109" t="str">
        <f>_xlfn.XLOOKUP(C2109,'Carrier Name Rename'!A:A,'Carrier Name Rename'!B:B)</f>
        <v>United Air Lines Inc.</v>
      </c>
      <c r="E2109" t="s">
        <v>23</v>
      </c>
      <c r="F2109" t="s">
        <v>24</v>
      </c>
      <c r="G2109">
        <v>568</v>
      </c>
      <c r="H2109">
        <v>92</v>
      </c>
      <c r="I2109">
        <v>27.46</v>
      </c>
      <c r="J2109">
        <v>7.12</v>
      </c>
      <c r="K2109">
        <v>11.14</v>
      </c>
      <c r="L2109">
        <v>0</v>
      </c>
      <c r="M2109">
        <v>46.29</v>
      </c>
      <c r="N2109">
        <v>6</v>
      </c>
      <c r="O2109">
        <v>1</v>
      </c>
      <c r="P2109">
        <v>6120</v>
      </c>
      <c r="Q2109">
        <v>1678</v>
      </c>
      <c r="R2109">
        <v>398</v>
      </c>
      <c r="S2109">
        <v>441</v>
      </c>
      <c r="T2109">
        <v>0</v>
      </c>
      <c r="U2109">
        <v>3603</v>
      </c>
      <c r="V2109" s="1">
        <f t="shared" si="96"/>
        <v>0.16200000000000001</v>
      </c>
      <c r="W2109" s="1">
        <f t="shared" si="97"/>
        <v>1.06E-2</v>
      </c>
      <c r="X2109" s="1">
        <f t="shared" si="98"/>
        <v>1.8E-3</v>
      </c>
    </row>
    <row r="2110" spans="1:24" x14ac:dyDescent="0.25">
      <c r="A2110">
        <v>2009</v>
      </c>
      <c r="B2110">
        <v>12</v>
      </c>
      <c r="C2110" t="s">
        <v>61</v>
      </c>
      <c r="D2110" t="str">
        <f>_xlfn.XLOOKUP(C2110,'Carrier Name Rename'!A:A,'Carrier Name Rename'!B:B)</f>
        <v>US Airways Inc.</v>
      </c>
      <c r="E2110" t="s">
        <v>23</v>
      </c>
      <c r="F2110" t="s">
        <v>24</v>
      </c>
      <c r="G2110">
        <v>265</v>
      </c>
      <c r="H2110">
        <v>48</v>
      </c>
      <c r="I2110">
        <v>18.989999999999998</v>
      </c>
      <c r="J2110">
        <v>0.34</v>
      </c>
      <c r="K2110">
        <v>13.7</v>
      </c>
      <c r="L2110">
        <v>0.6</v>
      </c>
      <c r="M2110">
        <v>14.37</v>
      </c>
      <c r="N2110">
        <v>5</v>
      </c>
      <c r="O2110">
        <v>0</v>
      </c>
      <c r="P2110">
        <v>2890</v>
      </c>
      <c r="Q2110">
        <v>1094</v>
      </c>
      <c r="R2110">
        <v>101</v>
      </c>
      <c r="S2110">
        <v>483</v>
      </c>
      <c r="T2110">
        <v>35</v>
      </c>
      <c r="U2110">
        <v>1177</v>
      </c>
      <c r="V2110" s="1">
        <f t="shared" si="96"/>
        <v>0.18110000000000001</v>
      </c>
      <c r="W2110" s="1">
        <f t="shared" si="97"/>
        <v>1.89E-2</v>
      </c>
      <c r="X2110" s="1">
        <f t="shared" si="98"/>
        <v>0</v>
      </c>
    </row>
    <row r="2111" spans="1:24" x14ac:dyDescent="0.25">
      <c r="A2111">
        <v>2009</v>
      </c>
      <c r="B2111">
        <v>12</v>
      </c>
      <c r="C2111" t="s">
        <v>43</v>
      </c>
      <c r="D2111" t="str">
        <f>_xlfn.XLOOKUP(C2111,'Carrier Name Rename'!A:A,'Carrier Name Rename'!B:B)</f>
        <v>Southwest Airlines Co.</v>
      </c>
      <c r="E2111" t="s">
        <v>23</v>
      </c>
      <c r="F2111" t="s">
        <v>24</v>
      </c>
      <c r="G2111">
        <v>1067</v>
      </c>
      <c r="H2111">
        <v>221</v>
      </c>
      <c r="I2111">
        <v>66.959999999999994</v>
      </c>
      <c r="J2111">
        <v>1.18</v>
      </c>
      <c r="K2111">
        <v>11.74</v>
      </c>
      <c r="L2111">
        <v>1.31</v>
      </c>
      <c r="M2111">
        <v>139.81</v>
      </c>
      <c r="N2111">
        <v>5</v>
      </c>
      <c r="O2111">
        <v>0</v>
      </c>
      <c r="P2111">
        <v>10855</v>
      </c>
      <c r="Q2111">
        <v>2519</v>
      </c>
      <c r="R2111">
        <v>52</v>
      </c>
      <c r="S2111">
        <v>534</v>
      </c>
      <c r="T2111">
        <v>146</v>
      </c>
      <c r="U2111">
        <v>7604</v>
      </c>
      <c r="V2111" s="1">
        <f t="shared" si="96"/>
        <v>0.20710000000000001</v>
      </c>
      <c r="W2111" s="1">
        <f t="shared" si="97"/>
        <v>4.7000000000000002E-3</v>
      </c>
      <c r="X2111" s="1">
        <f t="shared" si="98"/>
        <v>0</v>
      </c>
    </row>
    <row r="2112" spans="1:24" x14ac:dyDescent="0.25">
      <c r="A2112">
        <v>2009</v>
      </c>
      <c r="B2112">
        <v>11</v>
      </c>
      <c r="C2112" t="s">
        <v>33</v>
      </c>
      <c r="D2112" t="str">
        <f>_xlfn.XLOOKUP(C2112,'Carrier Name Rename'!A:A,'Carrier Name Rename'!B:B)</f>
        <v>Alaska Airlines Inc.</v>
      </c>
      <c r="E2112" t="s">
        <v>23</v>
      </c>
      <c r="F2112" t="s">
        <v>24</v>
      </c>
      <c r="G2112">
        <v>3350</v>
      </c>
      <c r="H2112">
        <v>337</v>
      </c>
      <c r="I2112">
        <v>95.41</v>
      </c>
      <c r="J2112">
        <v>3.94</v>
      </c>
      <c r="K2112">
        <v>139.76</v>
      </c>
      <c r="L2112">
        <v>0.36</v>
      </c>
      <c r="M2112">
        <v>97.53</v>
      </c>
      <c r="N2112">
        <v>16</v>
      </c>
      <c r="O2112">
        <v>2</v>
      </c>
      <c r="P2112">
        <v>15802</v>
      </c>
      <c r="Q2112">
        <v>5501</v>
      </c>
      <c r="R2112">
        <v>266</v>
      </c>
      <c r="S2112">
        <v>3603</v>
      </c>
      <c r="T2112">
        <v>13</v>
      </c>
      <c r="U2112">
        <v>6419</v>
      </c>
      <c r="V2112" s="1">
        <f t="shared" si="96"/>
        <v>0.10059999999999999</v>
      </c>
      <c r="W2112" s="1">
        <f t="shared" si="97"/>
        <v>4.7999999999999996E-3</v>
      </c>
      <c r="X2112" s="1">
        <f t="shared" si="98"/>
        <v>5.9999999999999995E-4</v>
      </c>
    </row>
    <row r="2113" spans="1:24" x14ac:dyDescent="0.25">
      <c r="A2113">
        <v>2009</v>
      </c>
      <c r="B2113">
        <v>11</v>
      </c>
      <c r="C2113" t="s">
        <v>35</v>
      </c>
      <c r="D2113" t="str">
        <f>_xlfn.XLOOKUP(C2113,'Carrier Name Rename'!A:A,'Carrier Name Rename'!B:B)</f>
        <v>JetBlue Airways</v>
      </c>
      <c r="E2113" t="s">
        <v>23</v>
      </c>
      <c r="F2113" t="s">
        <v>24</v>
      </c>
      <c r="G2113">
        <v>107</v>
      </c>
      <c r="H2113">
        <v>13</v>
      </c>
      <c r="I2113">
        <v>8.76</v>
      </c>
      <c r="J2113">
        <v>0</v>
      </c>
      <c r="K2113">
        <v>1.25</v>
      </c>
      <c r="L2113">
        <v>0</v>
      </c>
      <c r="M2113">
        <v>2.99</v>
      </c>
      <c r="N2113">
        <v>0</v>
      </c>
      <c r="O2113">
        <v>0</v>
      </c>
      <c r="P2113">
        <v>560</v>
      </c>
      <c r="Q2113">
        <v>429</v>
      </c>
      <c r="R2113">
        <v>0</v>
      </c>
      <c r="S2113">
        <v>33</v>
      </c>
      <c r="T2113">
        <v>0</v>
      </c>
      <c r="U2113">
        <v>98</v>
      </c>
      <c r="V2113" s="1">
        <f t="shared" si="96"/>
        <v>0.1215</v>
      </c>
      <c r="W2113" s="1">
        <f t="shared" si="97"/>
        <v>0</v>
      </c>
      <c r="X2113" s="1">
        <f t="shared" si="98"/>
        <v>0</v>
      </c>
    </row>
    <row r="2114" spans="1:24" x14ac:dyDescent="0.25">
      <c r="A2114">
        <v>2009</v>
      </c>
      <c r="B2114">
        <v>11</v>
      </c>
      <c r="C2114" t="s">
        <v>65</v>
      </c>
      <c r="D2114" t="str">
        <f>_xlfn.XLOOKUP(C2114,'Carrier Name Rename'!A:A,'Carrier Name Rename'!B:B)</f>
        <v>Continental Air Lines Inc.</v>
      </c>
      <c r="E2114" t="s">
        <v>23</v>
      </c>
      <c r="F2114" t="s">
        <v>24</v>
      </c>
      <c r="G2114">
        <v>324</v>
      </c>
      <c r="H2114">
        <v>38</v>
      </c>
      <c r="I2114">
        <v>18.07</v>
      </c>
      <c r="J2114">
        <v>0</v>
      </c>
      <c r="K2114">
        <v>10.34</v>
      </c>
      <c r="L2114">
        <v>0</v>
      </c>
      <c r="M2114">
        <v>9.59</v>
      </c>
      <c r="N2114">
        <v>1</v>
      </c>
      <c r="O2114">
        <v>0</v>
      </c>
      <c r="P2114">
        <v>1707</v>
      </c>
      <c r="Q2114">
        <v>1065</v>
      </c>
      <c r="R2114">
        <v>0</v>
      </c>
      <c r="S2114">
        <v>279</v>
      </c>
      <c r="T2114">
        <v>0</v>
      </c>
      <c r="U2114">
        <v>363</v>
      </c>
      <c r="V2114" s="1">
        <f t="shared" si="96"/>
        <v>0.1173</v>
      </c>
      <c r="W2114" s="1">
        <f t="shared" si="97"/>
        <v>3.0999999999999999E-3</v>
      </c>
      <c r="X2114" s="1">
        <f t="shared" si="98"/>
        <v>0</v>
      </c>
    </row>
    <row r="2115" spans="1:24" x14ac:dyDescent="0.25">
      <c r="A2115">
        <v>2009</v>
      </c>
      <c r="B2115">
        <v>11</v>
      </c>
      <c r="C2115" t="s">
        <v>37</v>
      </c>
      <c r="D2115" t="str">
        <f>_xlfn.XLOOKUP(C2115,'Carrier Name Rename'!A:A,'Carrier Name Rename'!B:B)</f>
        <v>Delta Air Lines Inc.</v>
      </c>
      <c r="E2115" t="s">
        <v>23</v>
      </c>
      <c r="F2115" t="s">
        <v>24</v>
      </c>
      <c r="G2115">
        <v>394</v>
      </c>
      <c r="H2115">
        <v>19</v>
      </c>
      <c r="I2115">
        <v>7.87</v>
      </c>
      <c r="J2115">
        <v>0</v>
      </c>
      <c r="K2115">
        <v>9.08</v>
      </c>
      <c r="L2115">
        <v>0</v>
      </c>
      <c r="M2115">
        <v>2.0499999999999998</v>
      </c>
      <c r="N2115">
        <v>0</v>
      </c>
      <c r="O2115">
        <v>1</v>
      </c>
      <c r="P2115">
        <v>728</v>
      </c>
      <c r="Q2115">
        <v>337</v>
      </c>
      <c r="R2115">
        <v>0</v>
      </c>
      <c r="S2115">
        <v>296</v>
      </c>
      <c r="T2115">
        <v>0</v>
      </c>
      <c r="U2115">
        <v>95</v>
      </c>
      <c r="V2115" s="1">
        <f t="shared" ref="V2115:V2178" si="99">ROUND(H2115/G2115,4)</f>
        <v>4.82E-2</v>
      </c>
      <c r="W2115" s="1">
        <f t="shared" ref="W2115:W2178" si="100">ROUND(N2115/G2115,4)</f>
        <v>0</v>
      </c>
      <c r="X2115" s="1">
        <f t="shared" ref="X2115:X2178" si="101">ROUND(O2115/G2115,4)</f>
        <v>2.5000000000000001E-3</v>
      </c>
    </row>
    <row r="2116" spans="1:24" x14ac:dyDescent="0.25">
      <c r="A2116">
        <v>2009</v>
      </c>
      <c r="B2116">
        <v>11</v>
      </c>
      <c r="C2116" t="s">
        <v>39</v>
      </c>
      <c r="D2116" t="str">
        <f>_xlfn.XLOOKUP(C2116,'Carrier Name Rename'!A:A,'Carrier Name Rename'!B:B)</f>
        <v>Frontier Airlines Inc.</v>
      </c>
      <c r="E2116" t="s">
        <v>23</v>
      </c>
      <c r="F2116" t="s">
        <v>24</v>
      </c>
      <c r="G2116">
        <v>89</v>
      </c>
      <c r="H2116">
        <v>12</v>
      </c>
      <c r="I2116">
        <v>4.7</v>
      </c>
      <c r="J2116">
        <v>0</v>
      </c>
      <c r="K2116">
        <v>3.79</v>
      </c>
      <c r="L2116">
        <v>0</v>
      </c>
      <c r="M2116">
        <v>3.51</v>
      </c>
      <c r="N2116">
        <v>0</v>
      </c>
      <c r="O2116">
        <v>0</v>
      </c>
      <c r="P2116">
        <v>434</v>
      </c>
      <c r="Q2116">
        <v>196</v>
      </c>
      <c r="R2116">
        <v>0</v>
      </c>
      <c r="S2116">
        <v>119</v>
      </c>
      <c r="T2116">
        <v>0</v>
      </c>
      <c r="U2116">
        <v>119</v>
      </c>
      <c r="V2116" s="1">
        <f t="shared" si="99"/>
        <v>0.1348</v>
      </c>
      <c r="W2116" s="1">
        <f t="shared" si="100"/>
        <v>0</v>
      </c>
      <c r="X2116" s="1">
        <f t="shared" si="101"/>
        <v>0</v>
      </c>
    </row>
    <row r="2117" spans="1:24" x14ac:dyDescent="0.25">
      <c r="A2117">
        <v>2009</v>
      </c>
      <c r="B2117">
        <v>11</v>
      </c>
      <c r="C2117" t="s">
        <v>63</v>
      </c>
      <c r="D2117" t="str">
        <f>_xlfn.XLOOKUP(C2117,'Carrier Name Rename'!A:A,'Carrier Name Rename'!B:B)</f>
        <v>AirTran Airways Corporation</v>
      </c>
      <c r="E2117" t="s">
        <v>23</v>
      </c>
      <c r="F2117" t="s">
        <v>24</v>
      </c>
      <c r="G2117">
        <v>33</v>
      </c>
      <c r="H2117">
        <v>6</v>
      </c>
      <c r="I2117">
        <v>1.72</v>
      </c>
      <c r="J2117">
        <v>0</v>
      </c>
      <c r="K2117">
        <v>0.5</v>
      </c>
      <c r="L2117">
        <v>0</v>
      </c>
      <c r="M2117">
        <v>3.78</v>
      </c>
      <c r="N2117">
        <v>0</v>
      </c>
      <c r="O2117">
        <v>0</v>
      </c>
      <c r="P2117">
        <v>177</v>
      </c>
      <c r="Q2117">
        <v>36</v>
      </c>
      <c r="R2117">
        <v>0</v>
      </c>
      <c r="S2117">
        <v>17</v>
      </c>
      <c r="T2117">
        <v>0</v>
      </c>
      <c r="U2117">
        <v>124</v>
      </c>
      <c r="V2117" s="1">
        <f t="shared" si="99"/>
        <v>0.18179999999999999</v>
      </c>
      <c r="W2117" s="1">
        <f t="shared" si="100"/>
        <v>0</v>
      </c>
      <c r="X2117" s="1">
        <f t="shared" si="101"/>
        <v>0</v>
      </c>
    </row>
    <row r="2118" spans="1:24" x14ac:dyDescent="0.25">
      <c r="A2118">
        <v>2009</v>
      </c>
      <c r="B2118">
        <v>11</v>
      </c>
      <c r="C2118" t="s">
        <v>21</v>
      </c>
      <c r="D2118" t="str">
        <f>_xlfn.XLOOKUP(C2118,'Carrier Name Rename'!A:A,'Carrier Name Rename'!B:B)</f>
        <v>Hawaiian Airlines Inc.</v>
      </c>
      <c r="E2118" t="s">
        <v>23</v>
      </c>
      <c r="F2118" t="s">
        <v>24</v>
      </c>
      <c r="G2118">
        <v>73</v>
      </c>
      <c r="H2118">
        <v>13</v>
      </c>
      <c r="I2118">
        <v>12.78</v>
      </c>
      <c r="J2118">
        <v>0</v>
      </c>
      <c r="K2118">
        <v>0</v>
      </c>
      <c r="L2118">
        <v>0</v>
      </c>
      <c r="M2118">
        <v>0.22</v>
      </c>
      <c r="N2118">
        <v>0</v>
      </c>
      <c r="O2118">
        <v>0</v>
      </c>
      <c r="P2118">
        <v>505</v>
      </c>
      <c r="Q2118">
        <v>500</v>
      </c>
      <c r="R2118">
        <v>0</v>
      </c>
      <c r="S2118">
        <v>0</v>
      </c>
      <c r="T2118">
        <v>0</v>
      </c>
      <c r="U2118">
        <v>5</v>
      </c>
      <c r="V2118" s="1">
        <f t="shared" si="99"/>
        <v>0.17810000000000001</v>
      </c>
      <c r="W2118" s="1">
        <f t="shared" si="100"/>
        <v>0</v>
      </c>
      <c r="X2118" s="1">
        <f t="shared" si="101"/>
        <v>0</v>
      </c>
    </row>
    <row r="2119" spans="1:24" x14ac:dyDescent="0.25">
      <c r="A2119">
        <v>2009</v>
      </c>
      <c r="B2119">
        <v>11</v>
      </c>
      <c r="C2119" t="s">
        <v>67</v>
      </c>
      <c r="D2119" t="str">
        <f>_xlfn.XLOOKUP(C2119,'Carrier Name Rename'!A:A,'Carrier Name Rename'!B:B)</f>
        <v>Northwest Airlines Inc.</v>
      </c>
      <c r="E2119" t="s">
        <v>23</v>
      </c>
      <c r="F2119" t="s">
        <v>24</v>
      </c>
      <c r="G2119">
        <v>312</v>
      </c>
      <c r="H2119">
        <v>19</v>
      </c>
      <c r="I2119">
        <v>9.57</v>
      </c>
      <c r="J2119">
        <v>0</v>
      </c>
      <c r="K2119">
        <v>8.3699999999999992</v>
      </c>
      <c r="L2119">
        <v>0</v>
      </c>
      <c r="M2119">
        <v>1.06</v>
      </c>
      <c r="N2119">
        <v>0</v>
      </c>
      <c r="O2119">
        <v>1</v>
      </c>
      <c r="P2119">
        <v>815</v>
      </c>
      <c r="Q2119">
        <v>578</v>
      </c>
      <c r="R2119">
        <v>0</v>
      </c>
      <c r="S2119">
        <v>201</v>
      </c>
      <c r="T2119">
        <v>0</v>
      </c>
      <c r="U2119">
        <v>36</v>
      </c>
      <c r="V2119" s="1">
        <f t="shared" si="99"/>
        <v>6.0900000000000003E-2</v>
      </c>
      <c r="W2119" s="1">
        <f t="shared" si="100"/>
        <v>0</v>
      </c>
      <c r="X2119" s="1">
        <f t="shared" si="101"/>
        <v>3.2000000000000002E-3</v>
      </c>
    </row>
    <row r="2120" spans="1:24" x14ac:dyDescent="0.25">
      <c r="A2120">
        <v>2009</v>
      </c>
      <c r="B2120">
        <v>11</v>
      </c>
      <c r="C2120" t="s">
        <v>27</v>
      </c>
      <c r="D2120" t="str">
        <f>_xlfn.XLOOKUP(C2120,'Carrier Name Rename'!A:A,'Carrier Name Rename'!B:B)</f>
        <v>SkyWest Airlines Inc.</v>
      </c>
      <c r="E2120" t="s">
        <v>23</v>
      </c>
      <c r="F2120" t="s">
        <v>24</v>
      </c>
      <c r="G2120">
        <v>644</v>
      </c>
      <c r="H2120">
        <v>34</v>
      </c>
      <c r="I2120">
        <v>13.9</v>
      </c>
      <c r="J2120">
        <v>1.74</v>
      </c>
      <c r="K2120">
        <v>7.44</v>
      </c>
      <c r="L2120">
        <v>0</v>
      </c>
      <c r="M2120">
        <v>10.93</v>
      </c>
      <c r="N2120">
        <v>6</v>
      </c>
      <c r="O2120">
        <v>1</v>
      </c>
      <c r="P2120">
        <v>984</v>
      </c>
      <c r="Q2120">
        <v>355</v>
      </c>
      <c r="R2120">
        <v>54</v>
      </c>
      <c r="S2120">
        <v>171</v>
      </c>
      <c r="T2120">
        <v>0</v>
      </c>
      <c r="U2120">
        <v>404</v>
      </c>
      <c r="V2120" s="1">
        <f t="shared" si="99"/>
        <v>5.28E-2</v>
      </c>
      <c r="W2120" s="1">
        <f t="shared" si="100"/>
        <v>9.2999999999999992E-3</v>
      </c>
      <c r="X2120" s="1">
        <f t="shared" si="101"/>
        <v>1.6000000000000001E-3</v>
      </c>
    </row>
    <row r="2121" spans="1:24" x14ac:dyDescent="0.25">
      <c r="A2121">
        <v>2009</v>
      </c>
      <c r="B2121">
        <v>11</v>
      </c>
      <c r="C2121" t="s">
        <v>41</v>
      </c>
      <c r="D2121" t="str">
        <f>_xlfn.XLOOKUP(C2121,'Carrier Name Rename'!A:A,'Carrier Name Rename'!B:B)</f>
        <v>United Air Lines Inc.</v>
      </c>
      <c r="E2121" t="s">
        <v>23</v>
      </c>
      <c r="F2121" t="s">
        <v>24</v>
      </c>
      <c r="G2121">
        <v>524</v>
      </c>
      <c r="H2121">
        <v>31</v>
      </c>
      <c r="I2121">
        <v>12.27</v>
      </c>
      <c r="J2121">
        <v>0</v>
      </c>
      <c r="K2121">
        <v>4.08</v>
      </c>
      <c r="L2121">
        <v>0</v>
      </c>
      <c r="M2121">
        <v>14.65</v>
      </c>
      <c r="N2121">
        <v>0</v>
      </c>
      <c r="O2121">
        <v>0</v>
      </c>
      <c r="P2121">
        <v>1411</v>
      </c>
      <c r="Q2121">
        <v>483</v>
      </c>
      <c r="R2121">
        <v>0</v>
      </c>
      <c r="S2121">
        <v>111</v>
      </c>
      <c r="T2121">
        <v>0</v>
      </c>
      <c r="U2121">
        <v>817</v>
      </c>
      <c r="V2121" s="1">
        <f t="shared" si="99"/>
        <v>5.9200000000000003E-2</v>
      </c>
      <c r="W2121" s="1">
        <f t="shared" si="100"/>
        <v>0</v>
      </c>
      <c r="X2121" s="1">
        <f t="shared" si="101"/>
        <v>0</v>
      </c>
    </row>
    <row r="2122" spans="1:24" x14ac:dyDescent="0.25">
      <c r="A2122">
        <v>2009</v>
      </c>
      <c r="B2122">
        <v>11</v>
      </c>
      <c r="C2122" t="s">
        <v>61</v>
      </c>
      <c r="D2122" t="str">
        <f>_xlfn.XLOOKUP(C2122,'Carrier Name Rename'!A:A,'Carrier Name Rename'!B:B)</f>
        <v>US Airways Inc.</v>
      </c>
      <c r="E2122" t="s">
        <v>23</v>
      </c>
      <c r="F2122" t="s">
        <v>24</v>
      </c>
      <c r="G2122">
        <v>297</v>
      </c>
      <c r="H2122">
        <v>21</v>
      </c>
      <c r="I2122">
        <v>11.07</v>
      </c>
      <c r="J2122">
        <v>0</v>
      </c>
      <c r="K2122">
        <v>6.68</v>
      </c>
      <c r="L2122">
        <v>0</v>
      </c>
      <c r="M2122">
        <v>3.25</v>
      </c>
      <c r="N2122">
        <v>1</v>
      </c>
      <c r="O2122">
        <v>0</v>
      </c>
      <c r="P2122">
        <v>890</v>
      </c>
      <c r="Q2122">
        <v>526</v>
      </c>
      <c r="R2122">
        <v>0</v>
      </c>
      <c r="S2122">
        <v>189</v>
      </c>
      <c r="T2122">
        <v>0</v>
      </c>
      <c r="U2122">
        <v>175</v>
      </c>
      <c r="V2122" s="1">
        <f t="shared" si="99"/>
        <v>7.0699999999999999E-2</v>
      </c>
      <c r="W2122" s="1">
        <f t="shared" si="100"/>
        <v>3.3999999999999998E-3</v>
      </c>
      <c r="X2122" s="1">
        <f t="shared" si="101"/>
        <v>0</v>
      </c>
    </row>
    <row r="2123" spans="1:24" x14ac:dyDescent="0.25">
      <c r="A2123">
        <v>2009</v>
      </c>
      <c r="B2123">
        <v>11</v>
      </c>
      <c r="C2123" t="s">
        <v>43</v>
      </c>
      <c r="D2123" t="str">
        <f>_xlfn.XLOOKUP(C2123,'Carrier Name Rename'!A:A,'Carrier Name Rename'!B:B)</f>
        <v>Southwest Airlines Co.</v>
      </c>
      <c r="E2123" t="s">
        <v>23</v>
      </c>
      <c r="F2123" t="s">
        <v>24</v>
      </c>
      <c r="G2123">
        <v>1036</v>
      </c>
      <c r="H2123">
        <v>58</v>
      </c>
      <c r="I2123">
        <v>26.09</v>
      </c>
      <c r="J2123">
        <v>0</v>
      </c>
      <c r="K2123">
        <v>5.0999999999999996</v>
      </c>
      <c r="L2123">
        <v>0</v>
      </c>
      <c r="M2123">
        <v>26.81</v>
      </c>
      <c r="N2123">
        <v>4</v>
      </c>
      <c r="O2123">
        <v>1</v>
      </c>
      <c r="P2123">
        <v>2537</v>
      </c>
      <c r="Q2123">
        <v>1059</v>
      </c>
      <c r="R2123">
        <v>0</v>
      </c>
      <c r="S2123">
        <v>127</v>
      </c>
      <c r="T2123">
        <v>0</v>
      </c>
      <c r="U2123">
        <v>1351</v>
      </c>
      <c r="V2123" s="1">
        <f t="shared" si="99"/>
        <v>5.6000000000000001E-2</v>
      </c>
      <c r="W2123" s="1">
        <f t="shared" si="100"/>
        <v>3.8999999999999998E-3</v>
      </c>
      <c r="X2123" s="1">
        <f t="shared" si="101"/>
        <v>1E-3</v>
      </c>
    </row>
    <row r="2124" spans="1:24" x14ac:dyDescent="0.25">
      <c r="A2124">
        <v>2009</v>
      </c>
      <c r="B2124">
        <v>11</v>
      </c>
      <c r="C2124" t="s">
        <v>31</v>
      </c>
      <c r="D2124" t="str">
        <f>_xlfn.XLOOKUP(C2124,'Carrier Name Rename'!A:A,'Carrier Name Rename'!B:B)</f>
        <v>American Airlines Inc.</v>
      </c>
      <c r="E2124" t="s">
        <v>23</v>
      </c>
      <c r="F2124" t="s">
        <v>24</v>
      </c>
      <c r="G2124">
        <v>408</v>
      </c>
      <c r="H2124">
        <v>42</v>
      </c>
      <c r="I2124">
        <v>23.95</v>
      </c>
      <c r="J2124">
        <v>1.67</v>
      </c>
      <c r="K2124">
        <v>9.2899999999999991</v>
      </c>
      <c r="L2124">
        <v>0</v>
      </c>
      <c r="M2124">
        <v>7.09</v>
      </c>
      <c r="N2124">
        <v>0</v>
      </c>
      <c r="O2124">
        <v>0</v>
      </c>
      <c r="P2124">
        <v>1884</v>
      </c>
      <c r="Q2124">
        <v>1201</v>
      </c>
      <c r="R2124">
        <v>34</v>
      </c>
      <c r="S2124">
        <v>303</v>
      </c>
      <c r="T2124">
        <v>0</v>
      </c>
      <c r="U2124">
        <v>346</v>
      </c>
      <c r="V2124" s="1">
        <f t="shared" si="99"/>
        <v>0.10290000000000001</v>
      </c>
      <c r="W2124" s="1">
        <f t="shared" si="100"/>
        <v>0</v>
      </c>
      <c r="X2124" s="1">
        <f t="shared" si="101"/>
        <v>0</v>
      </c>
    </row>
    <row r="2125" spans="1:24" x14ac:dyDescent="0.25">
      <c r="A2125">
        <v>2009</v>
      </c>
      <c r="B2125">
        <v>10</v>
      </c>
      <c r="C2125" t="s">
        <v>31</v>
      </c>
      <c r="D2125" t="str">
        <f>_xlfn.XLOOKUP(C2125,'Carrier Name Rename'!A:A,'Carrier Name Rename'!B:B)</f>
        <v>American Airlines Inc.</v>
      </c>
      <c r="E2125" t="s">
        <v>23</v>
      </c>
      <c r="F2125" t="s">
        <v>24</v>
      </c>
      <c r="G2125">
        <v>455</v>
      </c>
      <c r="H2125">
        <v>108</v>
      </c>
      <c r="I2125">
        <v>47.99</v>
      </c>
      <c r="J2125">
        <v>3.97</v>
      </c>
      <c r="K2125">
        <v>32.340000000000003</v>
      </c>
      <c r="L2125">
        <v>0</v>
      </c>
      <c r="M2125">
        <v>23.7</v>
      </c>
      <c r="N2125">
        <v>2</v>
      </c>
      <c r="O2125">
        <v>1</v>
      </c>
      <c r="P2125">
        <v>5073</v>
      </c>
      <c r="Q2125">
        <v>2227</v>
      </c>
      <c r="R2125">
        <v>230</v>
      </c>
      <c r="S2125">
        <v>1097</v>
      </c>
      <c r="T2125">
        <v>0</v>
      </c>
      <c r="U2125">
        <v>1519</v>
      </c>
      <c r="V2125" s="1">
        <f t="shared" si="99"/>
        <v>0.2374</v>
      </c>
      <c r="W2125" s="1">
        <f t="shared" si="100"/>
        <v>4.4000000000000003E-3</v>
      </c>
      <c r="X2125" s="1">
        <f t="shared" si="101"/>
        <v>2.2000000000000001E-3</v>
      </c>
    </row>
    <row r="2126" spans="1:24" x14ac:dyDescent="0.25">
      <c r="A2126">
        <v>2009</v>
      </c>
      <c r="B2126">
        <v>10</v>
      </c>
      <c r="C2126" t="s">
        <v>33</v>
      </c>
      <c r="D2126" t="str">
        <f>_xlfn.XLOOKUP(C2126,'Carrier Name Rename'!A:A,'Carrier Name Rename'!B:B)</f>
        <v>Alaska Airlines Inc.</v>
      </c>
      <c r="E2126" t="s">
        <v>23</v>
      </c>
      <c r="F2126" t="s">
        <v>24</v>
      </c>
      <c r="G2126">
        <v>3748</v>
      </c>
      <c r="H2126">
        <v>553</v>
      </c>
      <c r="I2126">
        <v>89.86</v>
      </c>
      <c r="J2126">
        <v>3.37</v>
      </c>
      <c r="K2126">
        <v>302.41000000000003</v>
      </c>
      <c r="L2126">
        <v>2</v>
      </c>
      <c r="M2126">
        <v>155.35</v>
      </c>
      <c r="N2126">
        <v>8</v>
      </c>
      <c r="O2126">
        <v>3</v>
      </c>
      <c r="P2126">
        <v>24957</v>
      </c>
      <c r="Q2126">
        <v>4235</v>
      </c>
      <c r="R2126">
        <v>540</v>
      </c>
      <c r="S2126">
        <v>8800</v>
      </c>
      <c r="T2126">
        <v>114</v>
      </c>
      <c r="U2126">
        <v>11268</v>
      </c>
      <c r="V2126" s="1">
        <f t="shared" si="99"/>
        <v>0.14749999999999999</v>
      </c>
      <c r="W2126" s="1">
        <f t="shared" si="100"/>
        <v>2.0999999999999999E-3</v>
      </c>
      <c r="X2126" s="1">
        <f t="shared" si="101"/>
        <v>8.0000000000000004E-4</v>
      </c>
    </row>
    <row r="2127" spans="1:24" x14ac:dyDescent="0.25">
      <c r="A2127">
        <v>2009</v>
      </c>
      <c r="B2127">
        <v>10</v>
      </c>
      <c r="C2127" t="s">
        <v>35</v>
      </c>
      <c r="D2127" t="str">
        <f>_xlfn.XLOOKUP(C2127,'Carrier Name Rename'!A:A,'Carrier Name Rename'!B:B)</f>
        <v>JetBlue Airways</v>
      </c>
      <c r="E2127" t="s">
        <v>23</v>
      </c>
      <c r="F2127" t="s">
        <v>24</v>
      </c>
      <c r="G2127">
        <v>119</v>
      </c>
      <c r="H2127">
        <v>19</v>
      </c>
      <c r="I2127">
        <v>5</v>
      </c>
      <c r="J2127">
        <v>0</v>
      </c>
      <c r="K2127">
        <v>9.9600000000000009</v>
      </c>
      <c r="L2127">
        <v>0</v>
      </c>
      <c r="M2127">
        <v>4.03</v>
      </c>
      <c r="N2127">
        <v>0</v>
      </c>
      <c r="O2127">
        <v>0</v>
      </c>
      <c r="P2127">
        <v>757</v>
      </c>
      <c r="Q2127">
        <v>216</v>
      </c>
      <c r="R2127">
        <v>0</v>
      </c>
      <c r="S2127">
        <v>356</v>
      </c>
      <c r="T2127">
        <v>0</v>
      </c>
      <c r="U2127">
        <v>185</v>
      </c>
      <c r="V2127" s="1">
        <f t="shared" si="99"/>
        <v>0.15970000000000001</v>
      </c>
      <c r="W2127" s="1">
        <f t="shared" si="100"/>
        <v>0</v>
      </c>
      <c r="X2127" s="1">
        <f t="shared" si="101"/>
        <v>0</v>
      </c>
    </row>
    <row r="2128" spans="1:24" x14ac:dyDescent="0.25">
      <c r="A2128">
        <v>2009</v>
      </c>
      <c r="B2128">
        <v>10</v>
      </c>
      <c r="C2128" t="s">
        <v>65</v>
      </c>
      <c r="D2128" t="str">
        <f>_xlfn.XLOOKUP(C2128,'Carrier Name Rename'!A:A,'Carrier Name Rename'!B:B)</f>
        <v>Continental Air Lines Inc.</v>
      </c>
      <c r="E2128" t="s">
        <v>23</v>
      </c>
      <c r="F2128" t="s">
        <v>24</v>
      </c>
      <c r="G2128">
        <v>342</v>
      </c>
      <c r="H2128">
        <v>127</v>
      </c>
      <c r="I2128">
        <v>39.299999999999997</v>
      </c>
      <c r="J2128">
        <v>2.99</v>
      </c>
      <c r="K2128">
        <v>64.12</v>
      </c>
      <c r="L2128">
        <v>2.78</v>
      </c>
      <c r="M2128">
        <v>17.8</v>
      </c>
      <c r="N2128">
        <v>1</v>
      </c>
      <c r="O2128">
        <v>0</v>
      </c>
      <c r="P2128">
        <v>5038</v>
      </c>
      <c r="Q2128">
        <v>1630</v>
      </c>
      <c r="R2128">
        <v>248</v>
      </c>
      <c r="S2128">
        <v>2119</v>
      </c>
      <c r="T2128">
        <v>72</v>
      </c>
      <c r="U2128">
        <v>969</v>
      </c>
      <c r="V2128" s="1">
        <f t="shared" si="99"/>
        <v>0.37130000000000002</v>
      </c>
      <c r="W2128" s="1">
        <f t="shared" si="100"/>
        <v>2.8999999999999998E-3</v>
      </c>
      <c r="X2128" s="1">
        <f t="shared" si="101"/>
        <v>0</v>
      </c>
    </row>
    <row r="2129" spans="1:24" x14ac:dyDescent="0.25">
      <c r="A2129">
        <v>2009</v>
      </c>
      <c r="B2129">
        <v>10</v>
      </c>
      <c r="C2129" t="s">
        <v>37</v>
      </c>
      <c r="D2129" t="str">
        <f>_xlfn.XLOOKUP(C2129,'Carrier Name Rename'!A:A,'Carrier Name Rename'!B:B)</f>
        <v>Delta Air Lines Inc.</v>
      </c>
      <c r="E2129" t="s">
        <v>23</v>
      </c>
      <c r="F2129" t="s">
        <v>24</v>
      </c>
      <c r="G2129">
        <v>407</v>
      </c>
      <c r="H2129">
        <v>55</v>
      </c>
      <c r="I2129">
        <v>25.02</v>
      </c>
      <c r="J2129">
        <v>0</v>
      </c>
      <c r="K2129">
        <v>21.6</v>
      </c>
      <c r="L2129">
        <v>0</v>
      </c>
      <c r="M2129">
        <v>8.3800000000000008</v>
      </c>
      <c r="N2129">
        <v>0</v>
      </c>
      <c r="O2129">
        <v>2</v>
      </c>
      <c r="P2129">
        <v>2161</v>
      </c>
      <c r="Q2129">
        <v>1203</v>
      </c>
      <c r="R2129">
        <v>0</v>
      </c>
      <c r="S2129">
        <v>691</v>
      </c>
      <c r="T2129">
        <v>0</v>
      </c>
      <c r="U2129">
        <v>267</v>
      </c>
      <c r="V2129" s="1">
        <f t="shared" si="99"/>
        <v>0.1351</v>
      </c>
      <c r="W2129" s="1">
        <f t="shared" si="100"/>
        <v>0</v>
      </c>
      <c r="X2129" s="1">
        <f t="shared" si="101"/>
        <v>4.8999999999999998E-3</v>
      </c>
    </row>
    <row r="2130" spans="1:24" x14ac:dyDescent="0.25">
      <c r="A2130">
        <v>2009</v>
      </c>
      <c r="B2130">
        <v>10</v>
      </c>
      <c r="C2130" t="s">
        <v>39</v>
      </c>
      <c r="D2130" t="str">
        <f>_xlfn.XLOOKUP(C2130,'Carrier Name Rename'!A:A,'Carrier Name Rename'!B:B)</f>
        <v>Frontier Airlines Inc.</v>
      </c>
      <c r="E2130" t="s">
        <v>23</v>
      </c>
      <c r="F2130" t="s">
        <v>24</v>
      </c>
      <c r="G2130">
        <v>123</v>
      </c>
      <c r="H2130">
        <v>37</v>
      </c>
      <c r="I2130">
        <v>11.42</v>
      </c>
      <c r="J2130">
        <v>0.64</v>
      </c>
      <c r="K2130">
        <v>12.04</v>
      </c>
      <c r="L2130">
        <v>0</v>
      </c>
      <c r="M2130">
        <v>12.9</v>
      </c>
      <c r="N2130">
        <v>0</v>
      </c>
      <c r="O2130">
        <v>0</v>
      </c>
      <c r="P2130">
        <v>2232</v>
      </c>
      <c r="Q2130">
        <v>589</v>
      </c>
      <c r="R2130">
        <v>24</v>
      </c>
      <c r="S2130">
        <v>578</v>
      </c>
      <c r="T2130">
        <v>0</v>
      </c>
      <c r="U2130">
        <v>1041</v>
      </c>
      <c r="V2130" s="1">
        <f t="shared" si="99"/>
        <v>0.30080000000000001</v>
      </c>
      <c r="W2130" s="1">
        <f t="shared" si="100"/>
        <v>0</v>
      </c>
      <c r="X2130" s="1">
        <f t="shared" si="101"/>
        <v>0</v>
      </c>
    </row>
    <row r="2131" spans="1:24" x14ac:dyDescent="0.25">
      <c r="A2131">
        <v>2009</v>
      </c>
      <c r="B2131">
        <v>10</v>
      </c>
      <c r="C2131" t="s">
        <v>63</v>
      </c>
      <c r="D2131" t="str">
        <f>_xlfn.XLOOKUP(C2131,'Carrier Name Rename'!A:A,'Carrier Name Rename'!B:B)</f>
        <v>AirTran Airways Corporation</v>
      </c>
      <c r="E2131" t="s">
        <v>23</v>
      </c>
      <c r="F2131" t="s">
        <v>24</v>
      </c>
      <c r="G2131">
        <v>91</v>
      </c>
      <c r="H2131">
        <v>18</v>
      </c>
      <c r="I2131">
        <v>7.54</v>
      </c>
      <c r="J2131">
        <v>0</v>
      </c>
      <c r="K2131">
        <v>10.46</v>
      </c>
      <c r="L2131">
        <v>0</v>
      </c>
      <c r="M2131">
        <v>0</v>
      </c>
      <c r="N2131">
        <v>0</v>
      </c>
      <c r="O2131">
        <v>0</v>
      </c>
      <c r="P2131">
        <v>491</v>
      </c>
      <c r="Q2131">
        <v>225</v>
      </c>
      <c r="R2131">
        <v>0</v>
      </c>
      <c r="S2131">
        <v>266</v>
      </c>
      <c r="T2131">
        <v>0</v>
      </c>
      <c r="U2131">
        <v>0</v>
      </c>
      <c r="V2131" s="1">
        <f t="shared" si="99"/>
        <v>0.1978</v>
      </c>
      <c r="W2131" s="1">
        <f t="shared" si="100"/>
        <v>0</v>
      </c>
      <c r="X2131" s="1">
        <f t="shared" si="101"/>
        <v>0</v>
      </c>
    </row>
    <row r="2132" spans="1:24" x14ac:dyDescent="0.25">
      <c r="A2132">
        <v>2009</v>
      </c>
      <c r="B2132">
        <v>10</v>
      </c>
      <c r="C2132" t="s">
        <v>21</v>
      </c>
      <c r="D2132" t="str">
        <f>_xlfn.XLOOKUP(C2132,'Carrier Name Rename'!A:A,'Carrier Name Rename'!B:B)</f>
        <v>Hawaiian Airlines Inc.</v>
      </c>
      <c r="E2132" t="s">
        <v>23</v>
      </c>
      <c r="F2132" t="s">
        <v>24</v>
      </c>
      <c r="G2132">
        <v>76</v>
      </c>
      <c r="H2132">
        <v>18</v>
      </c>
      <c r="I2132">
        <v>15.69</v>
      </c>
      <c r="J2132">
        <v>0</v>
      </c>
      <c r="K2132">
        <v>0</v>
      </c>
      <c r="L2132">
        <v>0</v>
      </c>
      <c r="M2132">
        <v>2.31</v>
      </c>
      <c r="N2132">
        <v>0</v>
      </c>
      <c r="O2132">
        <v>0</v>
      </c>
      <c r="P2132">
        <v>631</v>
      </c>
      <c r="Q2132">
        <v>519</v>
      </c>
      <c r="R2132">
        <v>0</v>
      </c>
      <c r="S2132">
        <v>0</v>
      </c>
      <c r="T2132">
        <v>0</v>
      </c>
      <c r="U2132">
        <v>112</v>
      </c>
      <c r="V2132" s="1">
        <f t="shared" si="99"/>
        <v>0.23680000000000001</v>
      </c>
      <c r="W2132" s="1">
        <f t="shared" si="100"/>
        <v>0</v>
      </c>
      <c r="X2132" s="1">
        <f t="shared" si="101"/>
        <v>0</v>
      </c>
    </row>
    <row r="2133" spans="1:24" x14ac:dyDescent="0.25">
      <c r="A2133">
        <v>2009</v>
      </c>
      <c r="B2133">
        <v>10</v>
      </c>
      <c r="C2133" t="s">
        <v>67</v>
      </c>
      <c r="D2133" t="str">
        <f>_xlfn.XLOOKUP(C2133,'Carrier Name Rename'!A:A,'Carrier Name Rename'!B:B)</f>
        <v>Northwest Airlines Inc.</v>
      </c>
      <c r="E2133" t="s">
        <v>23</v>
      </c>
      <c r="F2133" t="s">
        <v>24</v>
      </c>
      <c r="G2133">
        <v>320</v>
      </c>
      <c r="H2133">
        <v>95</v>
      </c>
      <c r="I2133">
        <v>36.869999999999997</v>
      </c>
      <c r="J2133">
        <v>1.73</v>
      </c>
      <c r="K2133">
        <v>48.35</v>
      </c>
      <c r="L2133">
        <v>0</v>
      </c>
      <c r="M2133">
        <v>8.0500000000000007</v>
      </c>
      <c r="N2133">
        <v>0</v>
      </c>
      <c r="O2133">
        <v>2</v>
      </c>
      <c r="P2133">
        <v>3357</v>
      </c>
      <c r="Q2133">
        <v>1590</v>
      </c>
      <c r="R2133">
        <v>69</v>
      </c>
      <c r="S2133">
        <v>1329</v>
      </c>
      <c r="T2133">
        <v>0</v>
      </c>
      <c r="U2133">
        <v>369</v>
      </c>
      <c r="V2133" s="1">
        <f t="shared" si="99"/>
        <v>0.2969</v>
      </c>
      <c r="W2133" s="1">
        <f t="shared" si="100"/>
        <v>0</v>
      </c>
      <c r="X2133" s="1">
        <f t="shared" si="101"/>
        <v>6.3E-3</v>
      </c>
    </row>
    <row r="2134" spans="1:24" x14ac:dyDescent="0.25">
      <c r="A2134">
        <v>2009</v>
      </c>
      <c r="B2134">
        <v>10</v>
      </c>
      <c r="C2134" t="s">
        <v>27</v>
      </c>
      <c r="D2134" t="str">
        <f>_xlfn.XLOOKUP(C2134,'Carrier Name Rename'!A:A,'Carrier Name Rename'!B:B)</f>
        <v>SkyWest Airlines Inc.</v>
      </c>
      <c r="E2134" t="s">
        <v>23</v>
      </c>
      <c r="F2134" t="s">
        <v>24</v>
      </c>
      <c r="G2134">
        <v>663</v>
      </c>
      <c r="H2134">
        <v>107</v>
      </c>
      <c r="I2134">
        <v>26.81</v>
      </c>
      <c r="J2134">
        <v>1.52</v>
      </c>
      <c r="K2134">
        <v>48.8</v>
      </c>
      <c r="L2134">
        <v>0</v>
      </c>
      <c r="M2134">
        <v>29.86</v>
      </c>
      <c r="N2134">
        <v>6</v>
      </c>
      <c r="O2134">
        <v>3</v>
      </c>
      <c r="P2134">
        <v>4567</v>
      </c>
      <c r="Q2134">
        <v>1779</v>
      </c>
      <c r="R2134">
        <v>120</v>
      </c>
      <c r="S2134">
        <v>1346</v>
      </c>
      <c r="T2134">
        <v>0</v>
      </c>
      <c r="U2134">
        <v>1322</v>
      </c>
      <c r="V2134" s="1">
        <f t="shared" si="99"/>
        <v>0.16139999999999999</v>
      </c>
      <c r="W2134" s="1">
        <f t="shared" si="100"/>
        <v>8.9999999999999993E-3</v>
      </c>
      <c r="X2134" s="1">
        <f t="shared" si="101"/>
        <v>4.4999999999999997E-3</v>
      </c>
    </row>
    <row r="2135" spans="1:24" x14ac:dyDescent="0.25">
      <c r="A2135">
        <v>2009</v>
      </c>
      <c r="B2135">
        <v>10</v>
      </c>
      <c r="C2135" t="s">
        <v>41</v>
      </c>
      <c r="D2135" t="str">
        <f>_xlfn.XLOOKUP(C2135,'Carrier Name Rename'!A:A,'Carrier Name Rename'!B:B)</f>
        <v>United Air Lines Inc.</v>
      </c>
      <c r="E2135" t="s">
        <v>23</v>
      </c>
      <c r="F2135" t="s">
        <v>24</v>
      </c>
      <c r="G2135">
        <v>613</v>
      </c>
      <c r="H2135">
        <v>99</v>
      </c>
      <c r="I2135">
        <v>28.43</v>
      </c>
      <c r="J2135">
        <v>0.26</v>
      </c>
      <c r="K2135">
        <v>31.41</v>
      </c>
      <c r="L2135">
        <v>0</v>
      </c>
      <c r="M2135">
        <v>38.89</v>
      </c>
      <c r="N2135">
        <v>4</v>
      </c>
      <c r="O2135">
        <v>1</v>
      </c>
      <c r="P2135">
        <v>4918</v>
      </c>
      <c r="Q2135">
        <v>1920</v>
      </c>
      <c r="R2135">
        <v>19</v>
      </c>
      <c r="S2135">
        <v>991</v>
      </c>
      <c r="T2135">
        <v>0</v>
      </c>
      <c r="U2135">
        <v>1988</v>
      </c>
      <c r="V2135" s="1">
        <f t="shared" si="99"/>
        <v>0.1615</v>
      </c>
      <c r="W2135" s="1">
        <f t="shared" si="100"/>
        <v>6.4999999999999997E-3</v>
      </c>
      <c r="X2135" s="1">
        <f t="shared" si="101"/>
        <v>1.6000000000000001E-3</v>
      </c>
    </row>
    <row r="2136" spans="1:24" x14ac:dyDescent="0.25">
      <c r="A2136">
        <v>2009</v>
      </c>
      <c r="B2136">
        <v>10</v>
      </c>
      <c r="C2136" t="s">
        <v>61</v>
      </c>
      <c r="D2136" t="str">
        <f>_xlfn.XLOOKUP(C2136,'Carrier Name Rename'!A:A,'Carrier Name Rename'!B:B)</f>
        <v>US Airways Inc.</v>
      </c>
      <c r="E2136" t="s">
        <v>23</v>
      </c>
      <c r="F2136" t="s">
        <v>24</v>
      </c>
      <c r="G2136">
        <v>306</v>
      </c>
      <c r="H2136">
        <v>70</v>
      </c>
      <c r="I2136">
        <v>16.05</v>
      </c>
      <c r="J2136">
        <v>0</v>
      </c>
      <c r="K2136">
        <v>38.409999999999997</v>
      </c>
      <c r="L2136">
        <v>0</v>
      </c>
      <c r="M2136">
        <v>15.55</v>
      </c>
      <c r="N2136">
        <v>0</v>
      </c>
      <c r="O2136">
        <v>0</v>
      </c>
      <c r="P2136">
        <v>2528</v>
      </c>
      <c r="Q2136">
        <v>700</v>
      </c>
      <c r="R2136">
        <v>0</v>
      </c>
      <c r="S2136">
        <v>1012</v>
      </c>
      <c r="T2136">
        <v>0</v>
      </c>
      <c r="U2136">
        <v>816</v>
      </c>
      <c r="V2136" s="1">
        <f t="shared" si="99"/>
        <v>0.2288</v>
      </c>
      <c r="W2136" s="1">
        <f t="shared" si="100"/>
        <v>0</v>
      </c>
      <c r="X2136" s="1">
        <f t="shared" si="101"/>
        <v>0</v>
      </c>
    </row>
    <row r="2137" spans="1:24" x14ac:dyDescent="0.25">
      <c r="A2137">
        <v>2009</v>
      </c>
      <c r="B2137">
        <v>10</v>
      </c>
      <c r="C2137" t="s">
        <v>43</v>
      </c>
      <c r="D2137" t="str">
        <f>_xlfn.XLOOKUP(C2137,'Carrier Name Rename'!A:A,'Carrier Name Rename'!B:B)</f>
        <v>Southwest Airlines Co.</v>
      </c>
      <c r="E2137" t="s">
        <v>23</v>
      </c>
      <c r="F2137" t="s">
        <v>24</v>
      </c>
      <c r="G2137">
        <v>1190</v>
      </c>
      <c r="H2137">
        <v>299</v>
      </c>
      <c r="I2137">
        <v>84.57</v>
      </c>
      <c r="J2137">
        <v>0.21</v>
      </c>
      <c r="K2137">
        <v>58.21</v>
      </c>
      <c r="L2137">
        <v>1.2</v>
      </c>
      <c r="M2137">
        <v>154.81</v>
      </c>
      <c r="N2137">
        <v>1</v>
      </c>
      <c r="O2137">
        <v>2</v>
      </c>
      <c r="P2137">
        <v>10161</v>
      </c>
      <c r="Q2137">
        <v>2765</v>
      </c>
      <c r="R2137">
        <v>13</v>
      </c>
      <c r="S2137">
        <v>1701</v>
      </c>
      <c r="T2137">
        <v>32</v>
      </c>
      <c r="U2137">
        <v>5650</v>
      </c>
      <c r="V2137" s="1">
        <f t="shared" si="99"/>
        <v>0.25130000000000002</v>
      </c>
      <c r="W2137" s="1">
        <f t="shared" si="100"/>
        <v>8.0000000000000004E-4</v>
      </c>
      <c r="X2137" s="1">
        <f t="shared" si="101"/>
        <v>1.6999999999999999E-3</v>
      </c>
    </row>
    <row r="2138" spans="1:24" x14ac:dyDescent="0.25">
      <c r="A2138">
        <v>2009</v>
      </c>
      <c r="B2138">
        <v>9</v>
      </c>
      <c r="C2138" t="s">
        <v>31</v>
      </c>
      <c r="D2138" t="str">
        <f>_xlfn.XLOOKUP(C2138,'Carrier Name Rename'!A:A,'Carrier Name Rename'!B:B)</f>
        <v>American Airlines Inc.</v>
      </c>
      <c r="E2138" t="s">
        <v>23</v>
      </c>
      <c r="F2138" t="s">
        <v>24</v>
      </c>
      <c r="G2138">
        <v>442</v>
      </c>
      <c r="H2138">
        <v>32</v>
      </c>
      <c r="I2138">
        <v>17</v>
      </c>
      <c r="J2138">
        <v>4.18</v>
      </c>
      <c r="K2138">
        <v>4.87</v>
      </c>
      <c r="L2138">
        <v>0</v>
      </c>
      <c r="M2138">
        <v>5.95</v>
      </c>
      <c r="N2138">
        <v>1</v>
      </c>
      <c r="O2138">
        <v>3</v>
      </c>
      <c r="P2138">
        <v>1929</v>
      </c>
      <c r="Q2138">
        <v>1031</v>
      </c>
      <c r="R2138">
        <v>262</v>
      </c>
      <c r="S2138">
        <v>184</v>
      </c>
      <c r="T2138">
        <v>0</v>
      </c>
      <c r="U2138">
        <v>452</v>
      </c>
      <c r="V2138" s="1">
        <f t="shared" si="99"/>
        <v>7.2400000000000006E-2</v>
      </c>
      <c r="W2138" s="1">
        <f t="shared" si="100"/>
        <v>2.3E-3</v>
      </c>
      <c r="X2138" s="1">
        <f t="shared" si="101"/>
        <v>6.7999999999999996E-3</v>
      </c>
    </row>
    <row r="2139" spans="1:24" x14ac:dyDescent="0.25">
      <c r="A2139">
        <v>2009</v>
      </c>
      <c r="B2139">
        <v>9</v>
      </c>
      <c r="C2139" t="s">
        <v>33</v>
      </c>
      <c r="D2139" t="str">
        <f>_xlfn.XLOOKUP(C2139,'Carrier Name Rename'!A:A,'Carrier Name Rename'!B:B)</f>
        <v>Alaska Airlines Inc.</v>
      </c>
      <c r="E2139" t="s">
        <v>23</v>
      </c>
      <c r="F2139" t="s">
        <v>24</v>
      </c>
      <c r="G2139">
        <v>3688</v>
      </c>
      <c r="H2139">
        <v>355</v>
      </c>
      <c r="I2139">
        <v>90.24</v>
      </c>
      <c r="J2139">
        <v>3.2</v>
      </c>
      <c r="K2139">
        <v>164.84</v>
      </c>
      <c r="L2139">
        <v>1.59</v>
      </c>
      <c r="M2139">
        <v>95.14</v>
      </c>
      <c r="N2139">
        <v>3</v>
      </c>
      <c r="O2139">
        <v>4</v>
      </c>
      <c r="P2139">
        <v>14551</v>
      </c>
      <c r="Q2139">
        <v>5195</v>
      </c>
      <c r="R2139">
        <v>144</v>
      </c>
      <c r="S2139">
        <v>4181</v>
      </c>
      <c r="T2139">
        <v>33</v>
      </c>
      <c r="U2139">
        <v>4998</v>
      </c>
      <c r="V2139" s="1">
        <f t="shared" si="99"/>
        <v>9.6299999999999997E-2</v>
      </c>
      <c r="W2139" s="1">
        <f t="shared" si="100"/>
        <v>8.0000000000000004E-4</v>
      </c>
      <c r="X2139" s="1">
        <f t="shared" si="101"/>
        <v>1.1000000000000001E-3</v>
      </c>
    </row>
    <row r="2140" spans="1:24" x14ac:dyDescent="0.25">
      <c r="A2140">
        <v>2009</v>
      </c>
      <c r="B2140">
        <v>9</v>
      </c>
      <c r="C2140" t="s">
        <v>35</v>
      </c>
      <c r="D2140" t="str">
        <f>_xlfn.XLOOKUP(C2140,'Carrier Name Rename'!A:A,'Carrier Name Rename'!B:B)</f>
        <v>JetBlue Airways</v>
      </c>
      <c r="E2140" t="s">
        <v>23</v>
      </c>
      <c r="F2140" t="s">
        <v>24</v>
      </c>
      <c r="G2140">
        <v>135</v>
      </c>
      <c r="H2140">
        <v>6</v>
      </c>
      <c r="I2140">
        <v>3.51</v>
      </c>
      <c r="J2140">
        <v>0</v>
      </c>
      <c r="K2140">
        <v>1.53</v>
      </c>
      <c r="L2140">
        <v>0</v>
      </c>
      <c r="M2140">
        <v>0.95</v>
      </c>
      <c r="N2140">
        <v>0</v>
      </c>
      <c r="O2140">
        <v>0</v>
      </c>
      <c r="P2140">
        <v>349</v>
      </c>
      <c r="Q2140">
        <v>199</v>
      </c>
      <c r="R2140">
        <v>0</v>
      </c>
      <c r="S2140">
        <v>87</v>
      </c>
      <c r="T2140">
        <v>0</v>
      </c>
      <c r="U2140">
        <v>63</v>
      </c>
      <c r="V2140" s="1">
        <f t="shared" si="99"/>
        <v>4.4400000000000002E-2</v>
      </c>
      <c r="W2140" s="1">
        <f t="shared" si="100"/>
        <v>0</v>
      </c>
      <c r="X2140" s="1">
        <f t="shared" si="101"/>
        <v>0</v>
      </c>
    </row>
    <row r="2141" spans="1:24" x14ac:dyDescent="0.25">
      <c r="A2141">
        <v>2009</v>
      </c>
      <c r="B2141">
        <v>9</v>
      </c>
      <c r="C2141" t="s">
        <v>65</v>
      </c>
      <c r="D2141" t="str">
        <f>_xlfn.XLOOKUP(C2141,'Carrier Name Rename'!A:A,'Carrier Name Rename'!B:B)</f>
        <v>Continental Air Lines Inc.</v>
      </c>
      <c r="E2141" t="s">
        <v>23</v>
      </c>
      <c r="F2141" t="s">
        <v>24</v>
      </c>
      <c r="G2141">
        <v>384</v>
      </c>
      <c r="H2141">
        <v>34</v>
      </c>
      <c r="I2141">
        <v>14.32</v>
      </c>
      <c r="J2141">
        <v>0</v>
      </c>
      <c r="K2141">
        <v>12.36</v>
      </c>
      <c r="L2141">
        <v>0.35</v>
      </c>
      <c r="M2141">
        <v>6.97</v>
      </c>
      <c r="N2141">
        <v>0</v>
      </c>
      <c r="O2141">
        <v>0</v>
      </c>
      <c r="P2141">
        <v>1712</v>
      </c>
      <c r="Q2141">
        <v>758</v>
      </c>
      <c r="R2141">
        <v>0</v>
      </c>
      <c r="S2141">
        <v>312</v>
      </c>
      <c r="T2141">
        <v>6</v>
      </c>
      <c r="U2141">
        <v>636</v>
      </c>
      <c r="V2141" s="1">
        <f t="shared" si="99"/>
        <v>8.8499999999999995E-2</v>
      </c>
      <c r="W2141" s="1">
        <f t="shared" si="100"/>
        <v>0</v>
      </c>
      <c r="X2141" s="1">
        <f t="shared" si="101"/>
        <v>0</v>
      </c>
    </row>
    <row r="2142" spans="1:24" x14ac:dyDescent="0.25">
      <c r="A2142">
        <v>2009</v>
      </c>
      <c r="B2142">
        <v>9</v>
      </c>
      <c r="C2142" t="s">
        <v>37</v>
      </c>
      <c r="D2142" t="str">
        <f>_xlfn.XLOOKUP(C2142,'Carrier Name Rename'!A:A,'Carrier Name Rename'!B:B)</f>
        <v>Delta Air Lines Inc.</v>
      </c>
      <c r="E2142" t="s">
        <v>23</v>
      </c>
      <c r="F2142" t="s">
        <v>24</v>
      </c>
      <c r="G2142">
        <v>438</v>
      </c>
      <c r="H2142">
        <v>54</v>
      </c>
      <c r="I2142">
        <v>21.45</v>
      </c>
      <c r="J2142">
        <v>1.63</v>
      </c>
      <c r="K2142">
        <v>22.08</v>
      </c>
      <c r="L2142">
        <v>0</v>
      </c>
      <c r="M2142">
        <v>8.84</v>
      </c>
      <c r="N2142">
        <v>0</v>
      </c>
      <c r="O2142">
        <v>1</v>
      </c>
      <c r="P2142">
        <v>2385</v>
      </c>
      <c r="Q2142">
        <v>1170</v>
      </c>
      <c r="R2142">
        <v>109</v>
      </c>
      <c r="S2142">
        <v>702</v>
      </c>
      <c r="T2142">
        <v>0</v>
      </c>
      <c r="U2142">
        <v>404</v>
      </c>
      <c r="V2142" s="1">
        <f t="shared" si="99"/>
        <v>0.12330000000000001</v>
      </c>
      <c r="W2142" s="1">
        <f t="shared" si="100"/>
        <v>0</v>
      </c>
      <c r="X2142" s="1">
        <f t="shared" si="101"/>
        <v>2.3E-3</v>
      </c>
    </row>
    <row r="2143" spans="1:24" x14ac:dyDescent="0.25">
      <c r="A2143">
        <v>2009</v>
      </c>
      <c r="B2143">
        <v>9</v>
      </c>
      <c r="C2143" t="s">
        <v>39</v>
      </c>
      <c r="D2143" t="str">
        <f>_xlfn.XLOOKUP(C2143,'Carrier Name Rename'!A:A,'Carrier Name Rename'!B:B)</f>
        <v>Frontier Airlines Inc.</v>
      </c>
      <c r="E2143" t="s">
        <v>23</v>
      </c>
      <c r="F2143" t="s">
        <v>24</v>
      </c>
      <c r="G2143">
        <v>119</v>
      </c>
      <c r="H2143">
        <v>5</v>
      </c>
      <c r="I2143">
        <v>2.4</v>
      </c>
      <c r="J2143">
        <v>0</v>
      </c>
      <c r="K2143">
        <v>0.35</v>
      </c>
      <c r="L2143">
        <v>0</v>
      </c>
      <c r="M2143">
        <v>2.25</v>
      </c>
      <c r="N2143">
        <v>0</v>
      </c>
      <c r="O2143">
        <v>0</v>
      </c>
      <c r="P2143">
        <v>124</v>
      </c>
      <c r="Q2143">
        <v>48</v>
      </c>
      <c r="R2143">
        <v>0</v>
      </c>
      <c r="S2143">
        <v>7</v>
      </c>
      <c r="T2143">
        <v>0</v>
      </c>
      <c r="U2143">
        <v>69</v>
      </c>
      <c r="V2143" s="1">
        <f t="shared" si="99"/>
        <v>4.2000000000000003E-2</v>
      </c>
      <c r="W2143" s="1">
        <f t="shared" si="100"/>
        <v>0</v>
      </c>
      <c r="X2143" s="1">
        <f t="shared" si="101"/>
        <v>0</v>
      </c>
    </row>
    <row r="2144" spans="1:24" x14ac:dyDescent="0.25">
      <c r="A2144">
        <v>2009</v>
      </c>
      <c r="B2144">
        <v>9</v>
      </c>
      <c r="C2144" t="s">
        <v>63</v>
      </c>
      <c r="D2144" t="str">
        <f>_xlfn.XLOOKUP(C2144,'Carrier Name Rename'!A:A,'Carrier Name Rename'!B:B)</f>
        <v>AirTran Airways Corporation</v>
      </c>
      <c r="E2144" t="s">
        <v>23</v>
      </c>
      <c r="F2144" t="s">
        <v>24</v>
      </c>
      <c r="G2144">
        <v>113</v>
      </c>
      <c r="H2144">
        <v>4</v>
      </c>
      <c r="I2144">
        <v>1</v>
      </c>
      <c r="J2144">
        <v>0</v>
      </c>
      <c r="K2144">
        <v>2</v>
      </c>
      <c r="L2144">
        <v>0</v>
      </c>
      <c r="M2144">
        <v>1</v>
      </c>
      <c r="N2144">
        <v>0</v>
      </c>
      <c r="O2144">
        <v>0</v>
      </c>
      <c r="P2144">
        <v>180</v>
      </c>
      <c r="Q2144">
        <v>44</v>
      </c>
      <c r="R2144">
        <v>0</v>
      </c>
      <c r="S2144">
        <v>32</v>
      </c>
      <c r="T2144">
        <v>0</v>
      </c>
      <c r="U2144">
        <v>104</v>
      </c>
      <c r="V2144" s="1">
        <f t="shared" si="99"/>
        <v>3.5400000000000001E-2</v>
      </c>
      <c r="W2144" s="1">
        <f t="shared" si="100"/>
        <v>0</v>
      </c>
      <c r="X2144" s="1">
        <f t="shared" si="101"/>
        <v>0</v>
      </c>
    </row>
    <row r="2145" spans="1:24" x14ac:dyDescent="0.25">
      <c r="A2145">
        <v>2009</v>
      </c>
      <c r="B2145">
        <v>9</v>
      </c>
      <c r="C2145" t="s">
        <v>21</v>
      </c>
      <c r="D2145" t="str">
        <f>_xlfn.XLOOKUP(C2145,'Carrier Name Rename'!A:A,'Carrier Name Rename'!B:B)</f>
        <v>Hawaiian Airlines Inc.</v>
      </c>
      <c r="E2145" t="s">
        <v>23</v>
      </c>
      <c r="F2145" t="s">
        <v>24</v>
      </c>
      <c r="G2145">
        <v>72</v>
      </c>
      <c r="H2145">
        <v>8</v>
      </c>
      <c r="I2145">
        <v>7.38</v>
      </c>
      <c r="J2145">
        <v>0</v>
      </c>
      <c r="K2145">
        <v>0</v>
      </c>
      <c r="L2145">
        <v>0</v>
      </c>
      <c r="M2145">
        <v>0.62</v>
      </c>
      <c r="N2145">
        <v>0</v>
      </c>
      <c r="O2145">
        <v>0</v>
      </c>
      <c r="P2145">
        <v>206</v>
      </c>
      <c r="Q2145">
        <v>185</v>
      </c>
      <c r="R2145">
        <v>0</v>
      </c>
      <c r="S2145">
        <v>0</v>
      </c>
      <c r="T2145">
        <v>0</v>
      </c>
      <c r="U2145">
        <v>21</v>
      </c>
      <c r="V2145" s="1">
        <f t="shared" si="99"/>
        <v>0.1111</v>
      </c>
      <c r="W2145" s="1">
        <f t="shared" si="100"/>
        <v>0</v>
      </c>
      <c r="X2145" s="1">
        <f t="shared" si="101"/>
        <v>0</v>
      </c>
    </row>
    <row r="2146" spans="1:24" x14ac:dyDescent="0.25">
      <c r="A2146">
        <v>2009</v>
      </c>
      <c r="B2146">
        <v>9</v>
      </c>
      <c r="C2146" t="s">
        <v>67</v>
      </c>
      <c r="D2146" t="str">
        <f>_xlfn.XLOOKUP(C2146,'Carrier Name Rename'!A:A,'Carrier Name Rename'!B:B)</f>
        <v>Northwest Airlines Inc.</v>
      </c>
      <c r="E2146" t="s">
        <v>23</v>
      </c>
      <c r="F2146" t="s">
        <v>24</v>
      </c>
      <c r="G2146">
        <v>330</v>
      </c>
      <c r="H2146">
        <v>35</v>
      </c>
      <c r="I2146">
        <v>18.48</v>
      </c>
      <c r="J2146">
        <v>0</v>
      </c>
      <c r="K2146">
        <v>14.38</v>
      </c>
      <c r="L2146">
        <v>0</v>
      </c>
      <c r="M2146">
        <v>2.13</v>
      </c>
      <c r="N2146">
        <v>0</v>
      </c>
      <c r="O2146">
        <v>1</v>
      </c>
      <c r="P2146">
        <v>1479</v>
      </c>
      <c r="Q2146">
        <v>1050</v>
      </c>
      <c r="R2146">
        <v>0</v>
      </c>
      <c r="S2146">
        <v>312</v>
      </c>
      <c r="T2146">
        <v>0</v>
      </c>
      <c r="U2146">
        <v>117</v>
      </c>
      <c r="V2146" s="1">
        <f t="shared" si="99"/>
        <v>0.1061</v>
      </c>
      <c r="W2146" s="1">
        <f t="shared" si="100"/>
        <v>0</v>
      </c>
      <c r="X2146" s="1">
        <f t="shared" si="101"/>
        <v>3.0000000000000001E-3</v>
      </c>
    </row>
    <row r="2147" spans="1:24" x14ac:dyDescent="0.25">
      <c r="A2147">
        <v>2009</v>
      </c>
      <c r="B2147">
        <v>9</v>
      </c>
      <c r="C2147" t="s">
        <v>27</v>
      </c>
      <c r="D2147" t="str">
        <f>_xlfn.XLOOKUP(C2147,'Carrier Name Rename'!A:A,'Carrier Name Rename'!B:B)</f>
        <v>SkyWest Airlines Inc.</v>
      </c>
      <c r="E2147" t="s">
        <v>23</v>
      </c>
      <c r="F2147" t="s">
        <v>24</v>
      </c>
      <c r="G2147">
        <v>582</v>
      </c>
      <c r="H2147">
        <v>54</v>
      </c>
      <c r="I2147">
        <v>14.67</v>
      </c>
      <c r="J2147">
        <v>0</v>
      </c>
      <c r="K2147">
        <v>19.059999999999999</v>
      </c>
      <c r="L2147">
        <v>0</v>
      </c>
      <c r="M2147">
        <v>20.27</v>
      </c>
      <c r="N2147">
        <v>2</v>
      </c>
      <c r="O2147">
        <v>0</v>
      </c>
      <c r="P2147">
        <v>2067</v>
      </c>
      <c r="Q2147">
        <v>532</v>
      </c>
      <c r="R2147">
        <v>0</v>
      </c>
      <c r="S2147">
        <v>475</v>
      </c>
      <c r="T2147">
        <v>0</v>
      </c>
      <c r="U2147">
        <v>1060</v>
      </c>
      <c r="V2147" s="1">
        <f t="shared" si="99"/>
        <v>9.2799999999999994E-2</v>
      </c>
      <c r="W2147" s="1">
        <f t="shared" si="100"/>
        <v>3.3999999999999998E-3</v>
      </c>
      <c r="X2147" s="1">
        <f t="shared" si="101"/>
        <v>0</v>
      </c>
    </row>
    <row r="2148" spans="1:24" x14ac:dyDescent="0.25">
      <c r="A2148">
        <v>2009</v>
      </c>
      <c r="B2148">
        <v>9</v>
      </c>
      <c r="C2148" t="s">
        <v>41</v>
      </c>
      <c r="D2148" t="str">
        <f>_xlfn.XLOOKUP(C2148,'Carrier Name Rename'!A:A,'Carrier Name Rename'!B:B)</f>
        <v>United Air Lines Inc.</v>
      </c>
      <c r="E2148" t="s">
        <v>23</v>
      </c>
      <c r="F2148" t="s">
        <v>24</v>
      </c>
      <c r="G2148">
        <v>597</v>
      </c>
      <c r="H2148">
        <v>55</v>
      </c>
      <c r="I2148">
        <v>25.02</v>
      </c>
      <c r="J2148">
        <v>0.27</v>
      </c>
      <c r="K2148">
        <v>5.91</v>
      </c>
      <c r="L2148">
        <v>0</v>
      </c>
      <c r="M2148">
        <v>23.8</v>
      </c>
      <c r="N2148">
        <v>4</v>
      </c>
      <c r="O2148">
        <v>0</v>
      </c>
      <c r="P2148">
        <v>3058</v>
      </c>
      <c r="Q2148">
        <v>1463</v>
      </c>
      <c r="R2148">
        <v>15</v>
      </c>
      <c r="S2148">
        <v>167</v>
      </c>
      <c r="T2148">
        <v>0</v>
      </c>
      <c r="U2148">
        <v>1413</v>
      </c>
      <c r="V2148" s="1">
        <f t="shared" si="99"/>
        <v>9.2100000000000001E-2</v>
      </c>
      <c r="W2148" s="1">
        <f t="shared" si="100"/>
        <v>6.7000000000000002E-3</v>
      </c>
      <c r="X2148" s="1">
        <f t="shared" si="101"/>
        <v>0</v>
      </c>
    </row>
    <row r="2149" spans="1:24" x14ac:dyDescent="0.25">
      <c r="A2149">
        <v>2009</v>
      </c>
      <c r="B2149">
        <v>9</v>
      </c>
      <c r="C2149" t="s">
        <v>61</v>
      </c>
      <c r="D2149" t="str">
        <f>_xlfn.XLOOKUP(C2149,'Carrier Name Rename'!A:A,'Carrier Name Rename'!B:B)</f>
        <v>US Airways Inc.</v>
      </c>
      <c r="E2149" t="s">
        <v>23</v>
      </c>
      <c r="F2149" t="s">
        <v>24</v>
      </c>
      <c r="G2149">
        <v>355</v>
      </c>
      <c r="H2149">
        <v>46</v>
      </c>
      <c r="I2149">
        <v>19.89</v>
      </c>
      <c r="J2149">
        <v>0</v>
      </c>
      <c r="K2149">
        <v>17.21</v>
      </c>
      <c r="L2149">
        <v>0</v>
      </c>
      <c r="M2149">
        <v>8.9</v>
      </c>
      <c r="N2149">
        <v>0</v>
      </c>
      <c r="O2149">
        <v>2</v>
      </c>
      <c r="P2149">
        <v>2110</v>
      </c>
      <c r="Q2149">
        <v>1272</v>
      </c>
      <c r="R2149">
        <v>0</v>
      </c>
      <c r="S2149">
        <v>511</v>
      </c>
      <c r="T2149">
        <v>0</v>
      </c>
      <c r="U2149">
        <v>327</v>
      </c>
      <c r="V2149" s="1">
        <f t="shared" si="99"/>
        <v>0.12959999999999999</v>
      </c>
      <c r="W2149" s="1">
        <f t="shared" si="100"/>
        <v>0</v>
      </c>
      <c r="X2149" s="1">
        <f t="shared" si="101"/>
        <v>5.5999999999999999E-3</v>
      </c>
    </row>
    <row r="2150" spans="1:24" x14ac:dyDescent="0.25">
      <c r="A2150">
        <v>2009</v>
      </c>
      <c r="B2150">
        <v>9</v>
      </c>
      <c r="C2150" t="s">
        <v>43</v>
      </c>
      <c r="D2150" t="str">
        <f>_xlfn.XLOOKUP(C2150,'Carrier Name Rename'!A:A,'Carrier Name Rename'!B:B)</f>
        <v>Southwest Airlines Co.</v>
      </c>
      <c r="E2150" t="s">
        <v>23</v>
      </c>
      <c r="F2150" t="s">
        <v>24</v>
      </c>
      <c r="G2150">
        <v>1159</v>
      </c>
      <c r="H2150">
        <v>66</v>
      </c>
      <c r="I2150">
        <v>29.92</v>
      </c>
      <c r="J2150">
        <v>0.11</v>
      </c>
      <c r="K2150">
        <v>3.68</v>
      </c>
      <c r="L2150">
        <v>0.26</v>
      </c>
      <c r="M2150">
        <v>32.03</v>
      </c>
      <c r="N2150">
        <v>1</v>
      </c>
      <c r="O2150">
        <v>0</v>
      </c>
      <c r="P2150">
        <v>2412</v>
      </c>
      <c r="Q2150">
        <v>1093</v>
      </c>
      <c r="R2150">
        <v>7</v>
      </c>
      <c r="S2150">
        <v>113</v>
      </c>
      <c r="T2150">
        <v>6</v>
      </c>
      <c r="U2150">
        <v>1193</v>
      </c>
      <c r="V2150" s="1">
        <f t="shared" si="99"/>
        <v>5.6899999999999999E-2</v>
      </c>
      <c r="W2150" s="1">
        <f t="shared" si="100"/>
        <v>8.9999999999999998E-4</v>
      </c>
      <c r="X2150" s="1">
        <f t="shared" si="101"/>
        <v>0</v>
      </c>
    </row>
    <row r="2151" spans="1:24" x14ac:dyDescent="0.25">
      <c r="A2151">
        <v>2009</v>
      </c>
      <c r="B2151">
        <v>8</v>
      </c>
      <c r="C2151" t="s">
        <v>67</v>
      </c>
      <c r="D2151" t="str">
        <f>_xlfn.XLOOKUP(C2151,'Carrier Name Rename'!A:A,'Carrier Name Rename'!B:B)</f>
        <v>Northwest Airlines Inc.</v>
      </c>
      <c r="E2151" t="s">
        <v>23</v>
      </c>
      <c r="F2151" t="s">
        <v>24</v>
      </c>
      <c r="G2151">
        <v>453</v>
      </c>
      <c r="H2151">
        <v>102</v>
      </c>
      <c r="I2151">
        <v>49.57</v>
      </c>
      <c r="J2151">
        <v>0.32</v>
      </c>
      <c r="K2151">
        <v>33.21</v>
      </c>
      <c r="L2151">
        <v>1</v>
      </c>
      <c r="M2151">
        <v>17.899999999999999</v>
      </c>
      <c r="N2151">
        <v>0</v>
      </c>
      <c r="O2151">
        <v>0</v>
      </c>
      <c r="P2151">
        <v>4487</v>
      </c>
      <c r="Q2151">
        <v>2400</v>
      </c>
      <c r="R2151">
        <v>7</v>
      </c>
      <c r="S2151">
        <v>959</v>
      </c>
      <c r="T2151">
        <v>22</v>
      </c>
      <c r="U2151">
        <v>1099</v>
      </c>
      <c r="V2151" s="1">
        <f t="shared" si="99"/>
        <v>0.22520000000000001</v>
      </c>
      <c r="W2151" s="1">
        <f t="shared" si="100"/>
        <v>0</v>
      </c>
      <c r="X2151" s="1">
        <f t="shared" si="101"/>
        <v>0</v>
      </c>
    </row>
    <row r="2152" spans="1:24" x14ac:dyDescent="0.25">
      <c r="A2152">
        <v>2009</v>
      </c>
      <c r="B2152">
        <v>8</v>
      </c>
      <c r="C2152" t="s">
        <v>27</v>
      </c>
      <c r="D2152" t="str">
        <f>_xlfn.XLOOKUP(C2152,'Carrier Name Rename'!A:A,'Carrier Name Rename'!B:B)</f>
        <v>SkyWest Airlines Inc.</v>
      </c>
      <c r="E2152" t="s">
        <v>23</v>
      </c>
      <c r="F2152" t="s">
        <v>24</v>
      </c>
      <c r="G2152">
        <v>679</v>
      </c>
      <c r="H2152">
        <v>60</v>
      </c>
      <c r="I2152">
        <v>20</v>
      </c>
      <c r="J2152">
        <v>1.3</v>
      </c>
      <c r="K2152">
        <v>28.14</v>
      </c>
      <c r="L2152">
        <v>0</v>
      </c>
      <c r="M2152">
        <v>10.56</v>
      </c>
      <c r="N2152">
        <v>3</v>
      </c>
      <c r="O2152">
        <v>0</v>
      </c>
      <c r="P2152">
        <v>1689</v>
      </c>
      <c r="Q2152">
        <v>568</v>
      </c>
      <c r="R2152">
        <v>65</v>
      </c>
      <c r="S2152">
        <v>600</v>
      </c>
      <c r="T2152">
        <v>0</v>
      </c>
      <c r="U2152">
        <v>456</v>
      </c>
      <c r="V2152" s="1">
        <f t="shared" si="99"/>
        <v>8.8400000000000006E-2</v>
      </c>
      <c r="W2152" s="1">
        <f t="shared" si="100"/>
        <v>4.4000000000000003E-3</v>
      </c>
      <c r="X2152" s="1">
        <f t="shared" si="101"/>
        <v>0</v>
      </c>
    </row>
    <row r="2153" spans="1:24" x14ac:dyDescent="0.25">
      <c r="A2153">
        <v>2009</v>
      </c>
      <c r="B2153">
        <v>8</v>
      </c>
      <c r="C2153" t="s">
        <v>41</v>
      </c>
      <c r="D2153" t="str">
        <f>_xlfn.XLOOKUP(C2153,'Carrier Name Rename'!A:A,'Carrier Name Rename'!B:B)</f>
        <v>United Air Lines Inc.</v>
      </c>
      <c r="E2153" t="s">
        <v>23</v>
      </c>
      <c r="F2153" t="s">
        <v>24</v>
      </c>
      <c r="G2153">
        <v>655</v>
      </c>
      <c r="H2153">
        <v>112</v>
      </c>
      <c r="I2153">
        <v>23.19</v>
      </c>
      <c r="J2153">
        <v>4.59</v>
      </c>
      <c r="K2153">
        <v>30.38</v>
      </c>
      <c r="L2153">
        <v>0</v>
      </c>
      <c r="M2153">
        <v>53.84</v>
      </c>
      <c r="N2153">
        <v>1</v>
      </c>
      <c r="O2153">
        <v>0</v>
      </c>
      <c r="P2153">
        <v>5809</v>
      </c>
      <c r="Q2153">
        <v>1253</v>
      </c>
      <c r="R2153">
        <v>139</v>
      </c>
      <c r="S2153">
        <v>1100</v>
      </c>
      <c r="T2153">
        <v>0</v>
      </c>
      <c r="U2153">
        <v>3317</v>
      </c>
      <c r="V2153" s="1">
        <f t="shared" si="99"/>
        <v>0.17100000000000001</v>
      </c>
      <c r="W2153" s="1">
        <f t="shared" si="100"/>
        <v>1.5E-3</v>
      </c>
      <c r="X2153" s="1">
        <f t="shared" si="101"/>
        <v>0</v>
      </c>
    </row>
    <row r="2154" spans="1:24" x14ac:dyDescent="0.25">
      <c r="A2154">
        <v>2009</v>
      </c>
      <c r="B2154">
        <v>8</v>
      </c>
      <c r="C2154" t="s">
        <v>61</v>
      </c>
      <c r="D2154" t="str">
        <f>_xlfn.XLOOKUP(C2154,'Carrier Name Rename'!A:A,'Carrier Name Rename'!B:B)</f>
        <v>US Airways Inc.</v>
      </c>
      <c r="E2154" t="s">
        <v>23</v>
      </c>
      <c r="F2154" t="s">
        <v>24</v>
      </c>
      <c r="G2154">
        <v>372</v>
      </c>
      <c r="H2154">
        <v>61</v>
      </c>
      <c r="I2154">
        <v>23.77</v>
      </c>
      <c r="J2154">
        <v>1.06</v>
      </c>
      <c r="K2154">
        <v>16.52</v>
      </c>
      <c r="L2154">
        <v>0</v>
      </c>
      <c r="M2154">
        <v>19.64</v>
      </c>
      <c r="N2154">
        <v>0</v>
      </c>
      <c r="O2154">
        <v>0</v>
      </c>
      <c r="P2154">
        <v>3460</v>
      </c>
      <c r="Q2154">
        <v>1166</v>
      </c>
      <c r="R2154">
        <v>42</v>
      </c>
      <c r="S2154">
        <v>679</v>
      </c>
      <c r="T2154">
        <v>0</v>
      </c>
      <c r="U2154">
        <v>1573</v>
      </c>
      <c r="V2154" s="1">
        <f t="shared" si="99"/>
        <v>0.16400000000000001</v>
      </c>
      <c r="W2154" s="1">
        <f t="shared" si="100"/>
        <v>0</v>
      </c>
      <c r="X2154" s="1">
        <f t="shared" si="101"/>
        <v>0</v>
      </c>
    </row>
    <row r="2155" spans="1:24" x14ac:dyDescent="0.25">
      <c r="A2155">
        <v>2009</v>
      </c>
      <c r="B2155">
        <v>8</v>
      </c>
      <c r="C2155" t="s">
        <v>43</v>
      </c>
      <c r="D2155" t="str">
        <f>_xlfn.XLOOKUP(C2155,'Carrier Name Rename'!A:A,'Carrier Name Rename'!B:B)</f>
        <v>Southwest Airlines Co.</v>
      </c>
      <c r="E2155" t="s">
        <v>23</v>
      </c>
      <c r="F2155" t="s">
        <v>24</v>
      </c>
      <c r="G2155">
        <v>1230</v>
      </c>
      <c r="H2155">
        <v>165</v>
      </c>
      <c r="I2155">
        <v>63.17</v>
      </c>
      <c r="J2155">
        <v>2.82</v>
      </c>
      <c r="K2155">
        <v>12.46</v>
      </c>
      <c r="L2155">
        <v>0.25</v>
      </c>
      <c r="M2155">
        <v>86.29</v>
      </c>
      <c r="N2155">
        <v>1</v>
      </c>
      <c r="O2155">
        <v>1</v>
      </c>
      <c r="P2155">
        <v>7874</v>
      </c>
      <c r="Q2155">
        <v>2996</v>
      </c>
      <c r="R2155">
        <v>90</v>
      </c>
      <c r="S2155">
        <v>449</v>
      </c>
      <c r="T2155">
        <v>12</v>
      </c>
      <c r="U2155">
        <v>4327</v>
      </c>
      <c r="V2155" s="1">
        <f t="shared" si="99"/>
        <v>0.1341</v>
      </c>
      <c r="W2155" s="1">
        <f t="shared" si="100"/>
        <v>8.0000000000000004E-4</v>
      </c>
      <c r="X2155" s="1">
        <f t="shared" si="101"/>
        <v>8.0000000000000004E-4</v>
      </c>
    </row>
    <row r="2156" spans="1:24" x14ac:dyDescent="0.25">
      <c r="A2156">
        <v>2009</v>
      </c>
      <c r="B2156">
        <v>8</v>
      </c>
      <c r="C2156" t="s">
        <v>31</v>
      </c>
      <c r="D2156" t="str">
        <f>_xlfn.XLOOKUP(C2156,'Carrier Name Rename'!A:A,'Carrier Name Rename'!B:B)</f>
        <v>American Airlines Inc.</v>
      </c>
      <c r="E2156" t="s">
        <v>23</v>
      </c>
      <c r="F2156" t="s">
        <v>24</v>
      </c>
      <c r="G2156">
        <v>487</v>
      </c>
      <c r="H2156">
        <v>96</v>
      </c>
      <c r="I2156">
        <v>48.88</v>
      </c>
      <c r="J2156">
        <v>10.23</v>
      </c>
      <c r="K2156">
        <v>10.17</v>
      </c>
      <c r="L2156">
        <v>0</v>
      </c>
      <c r="M2156">
        <v>26.71</v>
      </c>
      <c r="N2156">
        <v>4</v>
      </c>
      <c r="O2156">
        <v>0</v>
      </c>
      <c r="P2156">
        <v>6014</v>
      </c>
      <c r="Q2156">
        <v>3094</v>
      </c>
      <c r="R2156">
        <v>504</v>
      </c>
      <c r="S2156">
        <v>472</v>
      </c>
      <c r="T2156">
        <v>0</v>
      </c>
      <c r="U2156">
        <v>1944</v>
      </c>
      <c r="V2156" s="1">
        <f t="shared" si="99"/>
        <v>0.1971</v>
      </c>
      <c r="W2156" s="1">
        <f t="shared" si="100"/>
        <v>8.2000000000000007E-3</v>
      </c>
      <c r="X2156" s="1">
        <f t="shared" si="101"/>
        <v>0</v>
      </c>
    </row>
    <row r="2157" spans="1:24" x14ac:dyDescent="0.25">
      <c r="A2157">
        <v>2009</v>
      </c>
      <c r="B2157">
        <v>8</v>
      </c>
      <c r="C2157" t="s">
        <v>33</v>
      </c>
      <c r="D2157" t="str">
        <f>_xlfn.XLOOKUP(C2157,'Carrier Name Rename'!A:A,'Carrier Name Rename'!B:B)</f>
        <v>Alaska Airlines Inc.</v>
      </c>
      <c r="E2157" t="s">
        <v>23</v>
      </c>
      <c r="F2157" t="s">
        <v>24</v>
      </c>
      <c r="G2157">
        <v>4126</v>
      </c>
      <c r="H2157">
        <v>539</v>
      </c>
      <c r="I2157">
        <v>153.82</v>
      </c>
      <c r="J2157">
        <v>8.94</v>
      </c>
      <c r="K2157">
        <v>191.56</v>
      </c>
      <c r="L2157">
        <v>5.89</v>
      </c>
      <c r="M2157">
        <v>178.8</v>
      </c>
      <c r="N2157">
        <v>7</v>
      </c>
      <c r="O2157">
        <v>1</v>
      </c>
      <c r="P2157">
        <v>22578</v>
      </c>
      <c r="Q2157">
        <v>8087</v>
      </c>
      <c r="R2157">
        <v>932</v>
      </c>
      <c r="S2157">
        <v>5149</v>
      </c>
      <c r="T2157">
        <v>178</v>
      </c>
      <c r="U2157">
        <v>8232</v>
      </c>
      <c r="V2157" s="1">
        <f t="shared" si="99"/>
        <v>0.13059999999999999</v>
      </c>
      <c r="W2157" s="1">
        <f t="shared" si="100"/>
        <v>1.6999999999999999E-3</v>
      </c>
      <c r="X2157" s="1">
        <f t="shared" si="101"/>
        <v>2.0000000000000001E-4</v>
      </c>
    </row>
    <row r="2158" spans="1:24" x14ac:dyDescent="0.25">
      <c r="A2158">
        <v>2009</v>
      </c>
      <c r="B2158">
        <v>8</v>
      </c>
      <c r="C2158" t="s">
        <v>35</v>
      </c>
      <c r="D2158" t="str">
        <f>_xlfn.XLOOKUP(C2158,'Carrier Name Rename'!A:A,'Carrier Name Rename'!B:B)</f>
        <v>JetBlue Airways</v>
      </c>
      <c r="E2158" t="s">
        <v>23</v>
      </c>
      <c r="F2158" t="s">
        <v>24</v>
      </c>
      <c r="G2158">
        <v>199</v>
      </c>
      <c r="H2158">
        <v>43</v>
      </c>
      <c r="I2158">
        <v>18.75</v>
      </c>
      <c r="J2158">
        <v>0</v>
      </c>
      <c r="K2158">
        <v>12.04</v>
      </c>
      <c r="L2158">
        <v>0.65</v>
      </c>
      <c r="M2158">
        <v>11.56</v>
      </c>
      <c r="N2158">
        <v>0</v>
      </c>
      <c r="O2158">
        <v>0</v>
      </c>
      <c r="P2158">
        <v>2016</v>
      </c>
      <c r="Q2158">
        <v>788</v>
      </c>
      <c r="R2158">
        <v>0</v>
      </c>
      <c r="S2158">
        <v>485</v>
      </c>
      <c r="T2158">
        <v>11</v>
      </c>
      <c r="U2158">
        <v>732</v>
      </c>
      <c r="V2158" s="1">
        <f t="shared" si="99"/>
        <v>0.21609999999999999</v>
      </c>
      <c r="W2158" s="1">
        <f t="shared" si="100"/>
        <v>0</v>
      </c>
      <c r="X2158" s="1">
        <f t="shared" si="101"/>
        <v>0</v>
      </c>
    </row>
    <row r="2159" spans="1:24" x14ac:dyDescent="0.25">
      <c r="A2159">
        <v>2009</v>
      </c>
      <c r="B2159">
        <v>8</v>
      </c>
      <c r="C2159" t="s">
        <v>65</v>
      </c>
      <c r="D2159" t="str">
        <f>_xlfn.XLOOKUP(C2159,'Carrier Name Rename'!A:A,'Carrier Name Rename'!B:B)</f>
        <v>Continental Air Lines Inc.</v>
      </c>
      <c r="E2159" t="s">
        <v>23</v>
      </c>
      <c r="F2159" t="s">
        <v>24</v>
      </c>
      <c r="G2159">
        <v>485</v>
      </c>
      <c r="H2159">
        <v>81</v>
      </c>
      <c r="I2159">
        <v>31.76</v>
      </c>
      <c r="J2159">
        <v>4.82</v>
      </c>
      <c r="K2159">
        <v>29.52</v>
      </c>
      <c r="L2159">
        <v>0.2</v>
      </c>
      <c r="M2159">
        <v>14.69</v>
      </c>
      <c r="N2159">
        <v>0</v>
      </c>
      <c r="O2159">
        <v>0</v>
      </c>
      <c r="P2159">
        <v>3678</v>
      </c>
      <c r="Q2159">
        <v>1092</v>
      </c>
      <c r="R2159">
        <v>172</v>
      </c>
      <c r="S2159">
        <v>1235</v>
      </c>
      <c r="T2159">
        <v>10</v>
      </c>
      <c r="U2159">
        <v>1169</v>
      </c>
      <c r="V2159" s="1">
        <f t="shared" si="99"/>
        <v>0.16700000000000001</v>
      </c>
      <c r="W2159" s="1">
        <f t="shared" si="100"/>
        <v>0</v>
      </c>
      <c r="X2159" s="1">
        <f t="shared" si="101"/>
        <v>0</v>
      </c>
    </row>
    <row r="2160" spans="1:24" x14ac:dyDescent="0.25">
      <c r="A2160">
        <v>2009</v>
      </c>
      <c r="B2160">
        <v>8</v>
      </c>
      <c r="C2160" t="s">
        <v>37</v>
      </c>
      <c r="D2160" t="str">
        <f>_xlfn.XLOOKUP(C2160,'Carrier Name Rename'!A:A,'Carrier Name Rename'!B:B)</f>
        <v>Delta Air Lines Inc.</v>
      </c>
      <c r="E2160" t="s">
        <v>23</v>
      </c>
      <c r="F2160" t="s">
        <v>24</v>
      </c>
      <c r="G2160">
        <v>562</v>
      </c>
      <c r="H2160">
        <v>80</v>
      </c>
      <c r="I2160">
        <v>30.62</v>
      </c>
      <c r="J2160">
        <v>1.89</v>
      </c>
      <c r="K2160">
        <v>26.48</v>
      </c>
      <c r="L2160">
        <v>0</v>
      </c>
      <c r="M2160">
        <v>21.01</v>
      </c>
      <c r="N2160">
        <v>1</v>
      </c>
      <c r="O2160">
        <v>0</v>
      </c>
      <c r="P2160">
        <v>4257</v>
      </c>
      <c r="Q2160">
        <v>1420</v>
      </c>
      <c r="R2160">
        <v>118</v>
      </c>
      <c r="S2160">
        <v>1191</v>
      </c>
      <c r="T2160">
        <v>0</v>
      </c>
      <c r="U2160">
        <v>1528</v>
      </c>
      <c r="V2160" s="1">
        <f t="shared" si="99"/>
        <v>0.14230000000000001</v>
      </c>
      <c r="W2160" s="1">
        <f t="shared" si="100"/>
        <v>1.8E-3</v>
      </c>
      <c r="X2160" s="1">
        <f t="shared" si="101"/>
        <v>0</v>
      </c>
    </row>
    <row r="2161" spans="1:24" x14ac:dyDescent="0.25">
      <c r="A2161">
        <v>2009</v>
      </c>
      <c r="B2161">
        <v>8</v>
      </c>
      <c r="C2161" t="s">
        <v>39</v>
      </c>
      <c r="D2161" t="str">
        <f>_xlfn.XLOOKUP(C2161,'Carrier Name Rename'!A:A,'Carrier Name Rename'!B:B)</f>
        <v>Frontier Airlines Inc.</v>
      </c>
      <c r="E2161" t="s">
        <v>23</v>
      </c>
      <c r="F2161" t="s">
        <v>24</v>
      </c>
      <c r="G2161">
        <v>124</v>
      </c>
      <c r="H2161">
        <v>20</v>
      </c>
      <c r="I2161">
        <v>6.86</v>
      </c>
      <c r="J2161">
        <v>0.37</v>
      </c>
      <c r="K2161">
        <v>1.71</v>
      </c>
      <c r="L2161">
        <v>0</v>
      </c>
      <c r="M2161">
        <v>11.06</v>
      </c>
      <c r="N2161">
        <v>0</v>
      </c>
      <c r="O2161">
        <v>0</v>
      </c>
      <c r="P2161">
        <v>844</v>
      </c>
      <c r="Q2161">
        <v>189</v>
      </c>
      <c r="R2161">
        <v>47</v>
      </c>
      <c r="S2161">
        <v>45</v>
      </c>
      <c r="T2161">
        <v>0</v>
      </c>
      <c r="U2161">
        <v>563</v>
      </c>
      <c r="V2161" s="1">
        <f t="shared" si="99"/>
        <v>0.1613</v>
      </c>
      <c r="W2161" s="1">
        <f t="shared" si="100"/>
        <v>0</v>
      </c>
      <c r="X2161" s="1">
        <f t="shared" si="101"/>
        <v>0</v>
      </c>
    </row>
    <row r="2162" spans="1:24" x14ac:dyDescent="0.25">
      <c r="A2162">
        <v>2009</v>
      </c>
      <c r="B2162">
        <v>8</v>
      </c>
      <c r="C2162" t="s">
        <v>63</v>
      </c>
      <c r="D2162" t="str">
        <f>_xlfn.XLOOKUP(C2162,'Carrier Name Rename'!A:A,'Carrier Name Rename'!B:B)</f>
        <v>AirTran Airways Corporation</v>
      </c>
      <c r="E2162" t="s">
        <v>23</v>
      </c>
      <c r="F2162" t="s">
        <v>24</v>
      </c>
      <c r="G2162">
        <v>200</v>
      </c>
      <c r="H2162">
        <v>38</v>
      </c>
      <c r="I2162">
        <v>14.8</v>
      </c>
      <c r="J2162">
        <v>1.01</v>
      </c>
      <c r="K2162">
        <v>8.69</v>
      </c>
      <c r="L2162">
        <v>0</v>
      </c>
      <c r="M2162">
        <v>13.5</v>
      </c>
      <c r="N2162">
        <v>0</v>
      </c>
      <c r="O2162">
        <v>1</v>
      </c>
      <c r="P2162">
        <v>2037</v>
      </c>
      <c r="Q2162">
        <v>748</v>
      </c>
      <c r="R2162">
        <v>50</v>
      </c>
      <c r="S2162">
        <v>317</v>
      </c>
      <c r="T2162">
        <v>0</v>
      </c>
      <c r="U2162">
        <v>922</v>
      </c>
      <c r="V2162" s="1">
        <f t="shared" si="99"/>
        <v>0.19</v>
      </c>
      <c r="W2162" s="1">
        <f t="shared" si="100"/>
        <v>0</v>
      </c>
      <c r="X2162" s="1">
        <f t="shared" si="101"/>
        <v>5.0000000000000001E-3</v>
      </c>
    </row>
    <row r="2163" spans="1:24" x14ac:dyDescent="0.25">
      <c r="A2163">
        <v>2009</v>
      </c>
      <c r="B2163">
        <v>8</v>
      </c>
      <c r="C2163" t="s">
        <v>21</v>
      </c>
      <c r="D2163" t="str">
        <f>_xlfn.XLOOKUP(C2163,'Carrier Name Rename'!A:A,'Carrier Name Rename'!B:B)</f>
        <v>Hawaiian Airlines Inc.</v>
      </c>
      <c r="E2163" t="s">
        <v>23</v>
      </c>
      <c r="F2163" t="s">
        <v>24</v>
      </c>
      <c r="G2163">
        <v>76</v>
      </c>
      <c r="H2163">
        <v>19</v>
      </c>
      <c r="I2163">
        <v>18.190000000000001</v>
      </c>
      <c r="J2163">
        <v>0</v>
      </c>
      <c r="K2163">
        <v>0</v>
      </c>
      <c r="L2163">
        <v>0</v>
      </c>
      <c r="M2163">
        <v>0.81</v>
      </c>
      <c r="N2163">
        <v>0</v>
      </c>
      <c r="O2163">
        <v>0</v>
      </c>
      <c r="P2163">
        <v>645</v>
      </c>
      <c r="Q2163">
        <v>621</v>
      </c>
      <c r="R2163">
        <v>0</v>
      </c>
      <c r="S2163">
        <v>0</v>
      </c>
      <c r="T2163">
        <v>0</v>
      </c>
      <c r="U2163">
        <v>24</v>
      </c>
      <c r="V2163" s="1">
        <f t="shared" si="99"/>
        <v>0.25</v>
      </c>
      <c r="W2163" s="1">
        <f t="shared" si="100"/>
        <v>0</v>
      </c>
      <c r="X2163" s="1">
        <f t="shared" si="101"/>
        <v>0</v>
      </c>
    </row>
    <row r="2164" spans="1:24" x14ac:dyDescent="0.25">
      <c r="A2164">
        <v>2009</v>
      </c>
      <c r="B2164">
        <v>7</v>
      </c>
      <c r="C2164" t="s">
        <v>31</v>
      </c>
      <c r="D2164" t="str">
        <f>_xlfn.XLOOKUP(C2164,'Carrier Name Rename'!A:A,'Carrier Name Rename'!B:B)</f>
        <v>American Airlines Inc.</v>
      </c>
      <c r="E2164" t="s">
        <v>23</v>
      </c>
      <c r="F2164" t="s">
        <v>24</v>
      </c>
      <c r="G2164">
        <v>492</v>
      </c>
      <c r="H2164">
        <v>127</v>
      </c>
      <c r="I2164">
        <v>57.66</v>
      </c>
      <c r="J2164">
        <v>4.97</v>
      </c>
      <c r="K2164">
        <v>37.270000000000003</v>
      </c>
      <c r="L2164">
        <v>0</v>
      </c>
      <c r="M2164">
        <v>27.1</v>
      </c>
      <c r="N2164">
        <v>0</v>
      </c>
      <c r="O2164">
        <v>0</v>
      </c>
      <c r="P2164">
        <v>6772</v>
      </c>
      <c r="Q2164">
        <v>2927</v>
      </c>
      <c r="R2164">
        <v>546</v>
      </c>
      <c r="S2164">
        <v>1300</v>
      </c>
      <c r="T2164">
        <v>0</v>
      </c>
      <c r="U2164">
        <v>1999</v>
      </c>
      <c r="V2164" s="1">
        <f t="shared" si="99"/>
        <v>0.2581</v>
      </c>
      <c r="W2164" s="1">
        <f t="shared" si="100"/>
        <v>0</v>
      </c>
      <c r="X2164" s="1">
        <f t="shared" si="101"/>
        <v>0</v>
      </c>
    </row>
    <row r="2165" spans="1:24" x14ac:dyDescent="0.25">
      <c r="A2165">
        <v>2009</v>
      </c>
      <c r="B2165">
        <v>7</v>
      </c>
      <c r="C2165" t="s">
        <v>33</v>
      </c>
      <c r="D2165" t="str">
        <f>_xlfn.XLOOKUP(C2165,'Carrier Name Rename'!A:A,'Carrier Name Rename'!B:B)</f>
        <v>Alaska Airlines Inc.</v>
      </c>
      <c r="E2165" t="s">
        <v>23</v>
      </c>
      <c r="F2165" t="s">
        <v>24</v>
      </c>
      <c r="G2165">
        <v>4158</v>
      </c>
      <c r="H2165">
        <v>517</v>
      </c>
      <c r="I2165">
        <v>158.19999999999999</v>
      </c>
      <c r="J2165">
        <v>4.16</v>
      </c>
      <c r="K2165">
        <v>176.52</v>
      </c>
      <c r="L2165">
        <v>0</v>
      </c>
      <c r="M2165">
        <v>178.12</v>
      </c>
      <c r="N2165">
        <v>9</v>
      </c>
      <c r="O2165">
        <v>4</v>
      </c>
      <c r="P2165">
        <v>25587</v>
      </c>
      <c r="Q2165">
        <v>9912</v>
      </c>
      <c r="R2165">
        <v>358</v>
      </c>
      <c r="S2165">
        <v>4996</v>
      </c>
      <c r="T2165">
        <v>0</v>
      </c>
      <c r="U2165">
        <v>10321</v>
      </c>
      <c r="V2165" s="1">
        <f t="shared" si="99"/>
        <v>0.12429999999999999</v>
      </c>
      <c r="W2165" s="1">
        <f t="shared" si="100"/>
        <v>2.2000000000000001E-3</v>
      </c>
      <c r="X2165" s="1">
        <f t="shared" si="101"/>
        <v>1E-3</v>
      </c>
    </row>
    <row r="2166" spans="1:24" x14ac:dyDescent="0.25">
      <c r="A2166">
        <v>2009</v>
      </c>
      <c r="B2166">
        <v>7</v>
      </c>
      <c r="C2166" t="s">
        <v>35</v>
      </c>
      <c r="D2166" t="str">
        <f>_xlfn.XLOOKUP(C2166,'Carrier Name Rename'!A:A,'Carrier Name Rename'!B:B)</f>
        <v>JetBlue Airways</v>
      </c>
      <c r="E2166" t="s">
        <v>23</v>
      </c>
      <c r="F2166" t="s">
        <v>24</v>
      </c>
      <c r="G2166">
        <v>200</v>
      </c>
      <c r="H2166">
        <v>35</v>
      </c>
      <c r="I2166">
        <v>14.34</v>
      </c>
      <c r="J2166">
        <v>1.1299999999999999</v>
      </c>
      <c r="K2166">
        <v>11.07</v>
      </c>
      <c r="L2166">
        <v>0.86</v>
      </c>
      <c r="M2166">
        <v>7.6</v>
      </c>
      <c r="N2166">
        <v>0</v>
      </c>
      <c r="O2166">
        <v>0</v>
      </c>
      <c r="P2166">
        <v>2015</v>
      </c>
      <c r="Q2166">
        <v>824</v>
      </c>
      <c r="R2166">
        <v>96</v>
      </c>
      <c r="S2166">
        <v>615</v>
      </c>
      <c r="T2166">
        <v>28</v>
      </c>
      <c r="U2166">
        <v>452</v>
      </c>
      <c r="V2166" s="1">
        <f t="shared" si="99"/>
        <v>0.17499999999999999</v>
      </c>
      <c r="W2166" s="1">
        <f t="shared" si="100"/>
        <v>0</v>
      </c>
      <c r="X2166" s="1">
        <f t="shared" si="101"/>
        <v>0</v>
      </c>
    </row>
    <row r="2167" spans="1:24" x14ac:dyDescent="0.25">
      <c r="A2167">
        <v>2009</v>
      </c>
      <c r="B2167">
        <v>7</v>
      </c>
      <c r="C2167" t="s">
        <v>65</v>
      </c>
      <c r="D2167" t="str">
        <f>_xlfn.XLOOKUP(C2167,'Carrier Name Rename'!A:A,'Carrier Name Rename'!B:B)</f>
        <v>Continental Air Lines Inc.</v>
      </c>
      <c r="E2167" t="s">
        <v>23</v>
      </c>
      <c r="F2167" t="s">
        <v>24</v>
      </c>
      <c r="G2167">
        <v>485</v>
      </c>
      <c r="H2167">
        <v>144</v>
      </c>
      <c r="I2167">
        <v>55.29</v>
      </c>
      <c r="J2167">
        <v>6.86</v>
      </c>
      <c r="K2167">
        <v>58.11</v>
      </c>
      <c r="L2167">
        <v>1.58</v>
      </c>
      <c r="M2167">
        <v>22.16</v>
      </c>
      <c r="N2167">
        <v>2</v>
      </c>
      <c r="O2167">
        <v>0</v>
      </c>
      <c r="P2167">
        <v>5703</v>
      </c>
      <c r="Q2167">
        <v>1968</v>
      </c>
      <c r="R2167">
        <v>265</v>
      </c>
      <c r="S2167">
        <v>1957</v>
      </c>
      <c r="T2167">
        <v>45</v>
      </c>
      <c r="U2167">
        <v>1468</v>
      </c>
      <c r="V2167" s="1">
        <f t="shared" si="99"/>
        <v>0.2969</v>
      </c>
      <c r="W2167" s="1">
        <f t="shared" si="100"/>
        <v>4.1000000000000003E-3</v>
      </c>
      <c r="X2167" s="1">
        <f t="shared" si="101"/>
        <v>0</v>
      </c>
    </row>
    <row r="2168" spans="1:24" x14ac:dyDescent="0.25">
      <c r="A2168">
        <v>2009</v>
      </c>
      <c r="B2168">
        <v>7</v>
      </c>
      <c r="C2168" t="s">
        <v>37</v>
      </c>
      <c r="D2168" t="str">
        <f>_xlfn.XLOOKUP(C2168,'Carrier Name Rename'!A:A,'Carrier Name Rename'!B:B)</f>
        <v>Delta Air Lines Inc.</v>
      </c>
      <c r="E2168" t="s">
        <v>23</v>
      </c>
      <c r="F2168" t="s">
        <v>24</v>
      </c>
      <c r="G2168">
        <v>574</v>
      </c>
      <c r="H2168">
        <v>148</v>
      </c>
      <c r="I2168">
        <v>44.83</v>
      </c>
      <c r="J2168">
        <v>3.76</v>
      </c>
      <c r="K2168">
        <v>69.75</v>
      </c>
      <c r="L2168">
        <v>0</v>
      </c>
      <c r="M2168">
        <v>29.67</v>
      </c>
      <c r="N2168">
        <v>0</v>
      </c>
      <c r="O2168">
        <v>1</v>
      </c>
      <c r="P2168">
        <v>7716</v>
      </c>
      <c r="Q2168">
        <v>2963</v>
      </c>
      <c r="R2168">
        <v>195</v>
      </c>
      <c r="S2168">
        <v>2551</v>
      </c>
      <c r="T2168">
        <v>0</v>
      </c>
      <c r="U2168">
        <v>2007</v>
      </c>
      <c r="V2168" s="1">
        <f t="shared" si="99"/>
        <v>0.25779999999999997</v>
      </c>
      <c r="W2168" s="1">
        <f t="shared" si="100"/>
        <v>0</v>
      </c>
      <c r="X2168" s="1">
        <f t="shared" si="101"/>
        <v>1.6999999999999999E-3</v>
      </c>
    </row>
    <row r="2169" spans="1:24" x14ac:dyDescent="0.25">
      <c r="A2169">
        <v>2009</v>
      </c>
      <c r="B2169">
        <v>7</v>
      </c>
      <c r="C2169" t="s">
        <v>39</v>
      </c>
      <c r="D2169" t="str">
        <f>_xlfn.XLOOKUP(C2169,'Carrier Name Rename'!A:A,'Carrier Name Rename'!B:B)</f>
        <v>Frontier Airlines Inc.</v>
      </c>
      <c r="E2169" t="s">
        <v>23</v>
      </c>
      <c r="F2169" t="s">
        <v>24</v>
      </c>
      <c r="G2169">
        <v>124</v>
      </c>
      <c r="H2169">
        <v>54</v>
      </c>
      <c r="I2169">
        <v>16.47</v>
      </c>
      <c r="J2169">
        <v>2.5</v>
      </c>
      <c r="K2169">
        <v>11.32</v>
      </c>
      <c r="L2169">
        <v>0</v>
      </c>
      <c r="M2169">
        <v>23.7</v>
      </c>
      <c r="N2169">
        <v>0</v>
      </c>
      <c r="O2169">
        <v>1</v>
      </c>
      <c r="P2169">
        <v>2041</v>
      </c>
      <c r="Q2169">
        <v>520</v>
      </c>
      <c r="R2169">
        <v>312</v>
      </c>
      <c r="S2169">
        <v>282</v>
      </c>
      <c r="T2169">
        <v>0</v>
      </c>
      <c r="U2169">
        <v>927</v>
      </c>
      <c r="V2169" s="1">
        <f t="shared" si="99"/>
        <v>0.4355</v>
      </c>
      <c r="W2169" s="1">
        <f t="shared" si="100"/>
        <v>0</v>
      </c>
      <c r="X2169" s="1">
        <f t="shared" si="101"/>
        <v>8.0999999999999996E-3</v>
      </c>
    </row>
    <row r="2170" spans="1:24" x14ac:dyDescent="0.25">
      <c r="A2170">
        <v>2009</v>
      </c>
      <c r="B2170">
        <v>7</v>
      </c>
      <c r="C2170" t="s">
        <v>63</v>
      </c>
      <c r="D2170" t="str">
        <f>_xlfn.XLOOKUP(C2170,'Carrier Name Rename'!A:A,'Carrier Name Rename'!B:B)</f>
        <v>AirTran Airways Corporation</v>
      </c>
      <c r="E2170" t="s">
        <v>23</v>
      </c>
      <c r="F2170" t="s">
        <v>24</v>
      </c>
      <c r="G2170">
        <v>198</v>
      </c>
      <c r="H2170">
        <v>69</v>
      </c>
      <c r="I2170">
        <v>20.46</v>
      </c>
      <c r="J2170">
        <v>0</v>
      </c>
      <c r="K2170">
        <v>35.36</v>
      </c>
      <c r="L2170">
        <v>0</v>
      </c>
      <c r="M2170">
        <v>13.18</v>
      </c>
      <c r="N2170">
        <v>0</v>
      </c>
      <c r="O2170">
        <v>1</v>
      </c>
      <c r="P2170">
        <v>3533</v>
      </c>
      <c r="Q2170">
        <v>1238</v>
      </c>
      <c r="R2170">
        <v>0</v>
      </c>
      <c r="S2170">
        <v>1280</v>
      </c>
      <c r="T2170">
        <v>0</v>
      </c>
      <c r="U2170">
        <v>1015</v>
      </c>
      <c r="V2170" s="1">
        <f t="shared" si="99"/>
        <v>0.34849999999999998</v>
      </c>
      <c r="W2170" s="1">
        <f t="shared" si="100"/>
        <v>0</v>
      </c>
      <c r="X2170" s="1">
        <f t="shared" si="101"/>
        <v>5.1000000000000004E-3</v>
      </c>
    </row>
    <row r="2171" spans="1:24" x14ac:dyDescent="0.25">
      <c r="A2171">
        <v>2009</v>
      </c>
      <c r="B2171">
        <v>7</v>
      </c>
      <c r="C2171" t="s">
        <v>21</v>
      </c>
      <c r="D2171" t="str">
        <f>_xlfn.XLOOKUP(C2171,'Carrier Name Rename'!A:A,'Carrier Name Rename'!B:B)</f>
        <v>Hawaiian Airlines Inc.</v>
      </c>
      <c r="E2171" t="s">
        <v>23</v>
      </c>
      <c r="F2171" t="s">
        <v>24</v>
      </c>
      <c r="G2171">
        <v>75</v>
      </c>
      <c r="H2171">
        <v>14</v>
      </c>
      <c r="I2171">
        <v>13.82</v>
      </c>
      <c r="J2171">
        <v>0</v>
      </c>
      <c r="K2171">
        <v>0</v>
      </c>
      <c r="L2171">
        <v>0</v>
      </c>
      <c r="M2171">
        <v>0.18</v>
      </c>
      <c r="N2171">
        <v>0</v>
      </c>
      <c r="O2171">
        <v>0</v>
      </c>
      <c r="P2171">
        <v>576</v>
      </c>
      <c r="Q2171">
        <v>563</v>
      </c>
      <c r="R2171">
        <v>0</v>
      </c>
      <c r="S2171">
        <v>0</v>
      </c>
      <c r="T2171">
        <v>0</v>
      </c>
      <c r="U2171">
        <v>13</v>
      </c>
      <c r="V2171" s="1">
        <f t="shared" si="99"/>
        <v>0.1867</v>
      </c>
      <c r="W2171" s="1">
        <f t="shared" si="100"/>
        <v>0</v>
      </c>
      <c r="X2171" s="1">
        <f t="shared" si="101"/>
        <v>0</v>
      </c>
    </row>
    <row r="2172" spans="1:24" x14ac:dyDescent="0.25">
      <c r="A2172">
        <v>2009</v>
      </c>
      <c r="B2172">
        <v>7</v>
      </c>
      <c r="C2172" t="s">
        <v>67</v>
      </c>
      <c r="D2172" t="str">
        <f>_xlfn.XLOOKUP(C2172,'Carrier Name Rename'!A:A,'Carrier Name Rename'!B:B)</f>
        <v>Northwest Airlines Inc.</v>
      </c>
      <c r="E2172" t="s">
        <v>23</v>
      </c>
      <c r="F2172" t="s">
        <v>24</v>
      </c>
      <c r="G2172">
        <v>523</v>
      </c>
      <c r="H2172">
        <v>189</v>
      </c>
      <c r="I2172">
        <v>75.58</v>
      </c>
      <c r="J2172">
        <v>2.39</v>
      </c>
      <c r="K2172">
        <v>86.47</v>
      </c>
      <c r="L2172">
        <v>0</v>
      </c>
      <c r="M2172">
        <v>24.56</v>
      </c>
      <c r="N2172">
        <v>1</v>
      </c>
      <c r="O2172">
        <v>2</v>
      </c>
      <c r="P2172">
        <v>8315</v>
      </c>
      <c r="Q2172">
        <v>4356</v>
      </c>
      <c r="R2172">
        <v>106</v>
      </c>
      <c r="S2172">
        <v>2371</v>
      </c>
      <c r="T2172">
        <v>0</v>
      </c>
      <c r="U2172">
        <v>1482</v>
      </c>
      <c r="V2172" s="1">
        <f t="shared" si="99"/>
        <v>0.3614</v>
      </c>
      <c r="W2172" s="1">
        <f t="shared" si="100"/>
        <v>1.9E-3</v>
      </c>
      <c r="X2172" s="1">
        <f t="shared" si="101"/>
        <v>3.8E-3</v>
      </c>
    </row>
    <row r="2173" spans="1:24" x14ac:dyDescent="0.25">
      <c r="A2173">
        <v>2009</v>
      </c>
      <c r="B2173">
        <v>7</v>
      </c>
      <c r="C2173" t="s">
        <v>27</v>
      </c>
      <c r="D2173" t="str">
        <f>_xlfn.XLOOKUP(C2173,'Carrier Name Rename'!A:A,'Carrier Name Rename'!B:B)</f>
        <v>SkyWest Airlines Inc.</v>
      </c>
      <c r="E2173" t="s">
        <v>23</v>
      </c>
      <c r="F2173" t="s">
        <v>24</v>
      </c>
      <c r="G2173">
        <v>656</v>
      </c>
      <c r="H2173">
        <v>62</v>
      </c>
      <c r="I2173">
        <v>22.55</v>
      </c>
      <c r="J2173">
        <v>0</v>
      </c>
      <c r="K2173">
        <v>19.09</v>
      </c>
      <c r="L2173">
        <v>1</v>
      </c>
      <c r="M2173">
        <v>19.36</v>
      </c>
      <c r="N2173">
        <v>3</v>
      </c>
      <c r="O2173">
        <v>0</v>
      </c>
      <c r="P2173">
        <v>2283</v>
      </c>
      <c r="Q2173">
        <v>913</v>
      </c>
      <c r="R2173">
        <v>0</v>
      </c>
      <c r="S2173">
        <v>498</v>
      </c>
      <c r="T2173">
        <v>19</v>
      </c>
      <c r="U2173">
        <v>853</v>
      </c>
      <c r="V2173" s="1">
        <f t="shared" si="99"/>
        <v>9.4500000000000001E-2</v>
      </c>
      <c r="W2173" s="1">
        <f t="shared" si="100"/>
        <v>4.5999999999999999E-3</v>
      </c>
      <c r="X2173" s="1">
        <f t="shared" si="101"/>
        <v>0</v>
      </c>
    </row>
    <row r="2174" spans="1:24" x14ac:dyDescent="0.25">
      <c r="A2174">
        <v>2009</v>
      </c>
      <c r="B2174">
        <v>7</v>
      </c>
      <c r="C2174" t="s">
        <v>41</v>
      </c>
      <c r="D2174" t="str">
        <f>_xlfn.XLOOKUP(C2174,'Carrier Name Rename'!A:A,'Carrier Name Rename'!B:B)</f>
        <v>United Air Lines Inc.</v>
      </c>
      <c r="E2174" t="s">
        <v>23</v>
      </c>
      <c r="F2174" t="s">
        <v>24</v>
      </c>
      <c r="G2174">
        <v>692</v>
      </c>
      <c r="H2174">
        <v>132</v>
      </c>
      <c r="I2174">
        <v>31.26</v>
      </c>
      <c r="J2174">
        <v>4.4400000000000004</v>
      </c>
      <c r="K2174">
        <v>21.62</v>
      </c>
      <c r="L2174">
        <v>0</v>
      </c>
      <c r="M2174">
        <v>74.680000000000007</v>
      </c>
      <c r="N2174">
        <v>5</v>
      </c>
      <c r="O2174">
        <v>2</v>
      </c>
      <c r="P2174">
        <v>7207</v>
      </c>
      <c r="Q2174">
        <v>1450</v>
      </c>
      <c r="R2174">
        <v>268</v>
      </c>
      <c r="S2174">
        <v>596</v>
      </c>
      <c r="T2174">
        <v>0</v>
      </c>
      <c r="U2174">
        <v>4893</v>
      </c>
      <c r="V2174" s="1">
        <f t="shared" si="99"/>
        <v>0.1908</v>
      </c>
      <c r="W2174" s="1">
        <f t="shared" si="100"/>
        <v>7.1999999999999998E-3</v>
      </c>
      <c r="X2174" s="1">
        <f t="shared" si="101"/>
        <v>2.8999999999999998E-3</v>
      </c>
    </row>
    <row r="2175" spans="1:24" x14ac:dyDescent="0.25">
      <c r="A2175">
        <v>2009</v>
      </c>
      <c r="B2175">
        <v>7</v>
      </c>
      <c r="C2175" t="s">
        <v>61</v>
      </c>
      <c r="D2175" t="str">
        <f>_xlfn.XLOOKUP(C2175,'Carrier Name Rename'!A:A,'Carrier Name Rename'!B:B)</f>
        <v>US Airways Inc.</v>
      </c>
      <c r="E2175" t="s">
        <v>23</v>
      </c>
      <c r="F2175" t="s">
        <v>24</v>
      </c>
      <c r="G2175">
        <v>372</v>
      </c>
      <c r="H2175">
        <v>72</v>
      </c>
      <c r="I2175">
        <v>26.45</v>
      </c>
      <c r="J2175">
        <v>2.87</v>
      </c>
      <c r="K2175">
        <v>23.12</v>
      </c>
      <c r="L2175">
        <v>0.68</v>
      </c>
      <c r="M2175">
        <v>18.89</v>
      </c>
      <c r="N2175">
        <v>2</v>
      </c>
      <c r="O2175">
        <v>0</v>
      </c>
      <c r="P2175">
        <v>3430</v>
      </c>
      <c r="Q2175">
        <v>1206</v>
      </c>
      <c r="R2175">
        <v>114</v>
      </c>
      <c r="S2175">
        <v>1109</v>
      </c>
      <c r="T2175">
        <v>25</v>
      </c>
      <c r="U2175">
        <v>976</v>
      </c>
      <c r="V2175" s="1">
        <f t="shared" si="99"/>
        <v>0.19350000000000001</v>
      </c>
      <c r="W2175" s="1">
        <f t="shared" si="100"/>
        <v>5.4000000000000003E-3</v>
      </c>
      <c r="X2175" s="1">
        <f t="shared" si="101"/>
        <v>0</v>
      </c>
    </row>
    <row r="2176" spans="1:24" x14ac:dyDescent="0.25">
      <c r="A2176">
        <v>2009</v>
      </c>
      <c r="B2176">
        <v>7</v>
      </c>
      <c r="C2176" t="s">
        <v>43</v>
      </c>
      <c r="D2176" t="str">
        <f>_xlfn.XLOOKUP(C2176,'Carrier Name Rename'!A:A,'Carrier Name Rename'!B:B)</f>
        <v>Southwest Airlines Co.</v>
      </c>
      <c r="E2176" t="s">
        <v>23</v>
      </c>
      <c r="F2176" t="s">
        <v>24</v>
      </c>
      <c r="G2176">
        <v>1268</v>
      </c>
      <c r="H2176">
        <v>235</v>
      </c>
      <c r="I2176">
        <v>85.72</v>
      </c>
      <c r="J2176">
        <v>0.89</v>
      </c>
      <c r="K2176">
        <v>23.5</v>
      </c>
      <c r="L2176">
        <v>1.1399999999999999</v>
      </c>
      <c r="M2176">
        <v>123.76</v>
      </c>
      <c r="N2176">
        <v>1</v>
      </c>
      <c r="O2176">
        <v>5</v>
      </c>
      <c r="P2176">
        <v>9664</v>
      </c>
      <c r="Q2176">
        <v>3285</v>
      </c>
      <c r="R2176">
        <v>95</v>
      </c>
      <c r="S2176">
        <v>561</v>
      </c>
      <c r="T2176">
        <v>20</v>
      </c>
      <c r="U2176">
        <v>5703</v>
      </c>
      <c r="V2176" s="1">
        <f t="shared" si="99"/>
        <v>0.18529999999999999</v>
      </c>
      <c r="W2176" s="1">
        <f t="shared" si="100"/>
        <v>8.0000000000000004E-4</v>
      </c>
      <c r="X2176" s="1">
        <f t="shared" si="101"/>
        <v>3.8999999999999998E-3</v>
      </c>
    </row>
    <row r="2177" spans="1:24" x14ac:dyDescent="0.25">
      <c r="A2177">
        <v>2009</v>
      </c>
      <c r="B2177">
        <v>6</v>
      </c>
      <c r="C2177" t="s">
        <v>31</v>
      </c>
      <c r="D2177" t="str">
        <f>_xlfn.XLOOKUP(C2177,'Carrier Name Rename'!A:A,'Carrier Name Rename'!B:B)</f>
        <v>American Airlines Inc.</v>
      </c>
      <c r="E2177" t="s">
        <v>23</v>
      </c>
      <c r="F2177" t="s">
        <v>24</v>
      </c>
      <c r="G2177">
        <v>469</v>
      </c>
      <c r="H2177">
        <v>118</v>
      </c>
      <c r="I2177">
        <v>52.49</v>
      </c>
      <c r="J2177">
        <v>8.7799999999999994</v>
      </c>
      <c r="K2177">
        <v>30.63</v>
      </c>
      <c r="L2177">
        <v>0</v>
      </c>
      <c r="M2177">
        <v>26.09</v>
      </c>
      <c r="N2177">
        <v>7</v>
      </c>
      <c r="O2177">
        <v>0</v>
      </c>
      <c r="P2177">
        <v>7255</v>
      </c>
      <c r="Q2177">
        <v>2550</v>
      </c>
      <c r="R2177">
        <v>1224</v>
      </c>
      <c r="S2177">
        <v>1622</v>
      </c>
      <c r="T2177">
        <v>0</v>
      </c>
      <c r="U2177">
        <v>1859</v>
      </c>
      <c r="V2177" s="1">
        <f t="shared" si="99"/>
        <v>0.25159999999999999</v>
      </c>
      <c r="W2177" s="1">
        <f t="shared" si="100"/>
        <v>1.49E-2</v>
      </c>
      <c r="X2177" s="1">
        <f t="shared" si="101"/>
        <v>0</v>
      </c>
    </row>
    <row r="2178" spans="1:24" x14ac:dyDescent="0.25">
      <c r="A2178">
        <v>2009</v>
      </c>
      <c r="B2178">
        <v>6</v>
      </c>
      <c r="C2178" t="s">
        <v>33</v>
      </c>
      <c r="D2178" t="str">
        <f>_xlfn.XLOOKUP(C2178,'Carrier Name Rename'!A:A,'Carrier Name Rename'!B:B)</f>
        <v>Alaska Airlines Inc.</v>
      </c>
      <c r="E2178" t="s">
        <v>23</v>
      </c>
      <c r="F2178" t="s">
        <v>24</v>
      </c>
      <c r="G2178">
        <v>3992</v>
      </c>
      <c r="H2178">
        <v>609</v>
      </c>
      <c r="I2178">
        <v>155.25</v>
      </c>
      <c r="J2178">
        <v>8.42</v>
      </c>
      <c r="K2178">
        <v>238.55</v>
      </c>
      <c r="L2178">
        <v>2.4300000000000002</v>
      </c>
      <c r="M2178">
        <v>204.35</v>
      </c>
      <c r="N2178">
        <v>14</v>
      </c>
      <c r="O2178">
        <v>3</v>
      </c>
      <c r="P2178">
        <v>25865</v>
      </c>
      <c r="Q2178">
        <v>8050</v>
      </c>
      <c r="R2178">
        <v>530</v>
      </c>
      <c r="S2178">
        <v>6666</v>
      </c>
      <c r="T2178">
        <v>101</v>
      </c>
      <c r="U2178">
        <v>10518</v>
      </c>
      <c r="V2178" s="1">
        <f t="shared" si="99"/>
        <v>0.15260000000000001</v>
      </c>
      <c r="W2178" s="1">
        <f t="shared" si="100"/>
        <v>3.5000000000000001E-3</v>
      </c>
      <c r="X2178" s="1">
        <f t="shared" si="101"/>
        <v>8.0000000000000004E-4</v>
      </c>
    </row>
    <row r="2179" spans="1:24" x14ac:dyDescent="0.25">
      <c r="A2179">
        <v>2009</v>
      </c>
      <c r="B2179">
        <v>6</v>
      </c>
      <c r="C2179" t="s">
        <v>35</v>
      </c>
      <c r="D2179" t="str">
        <f>_xlfn.XLOOKUP(C2179,'Carrier Name Rename'!A:A,'Carrier Name Rename'!B:B)</f>
        <v>JetBlue Airways</v>
      </c>
      <c r="E2179" t="s">
        <v>23</v>
      </c>
      <c r="F2179" t="s">
        <v>24</v>
      </c>
      <c r="G2179">
        <v>186</v>
      </c>
      <c r="H2179">
        <v>36</v>
      </c>
      <c r="I2179">
        <v>8.32</v>
      </c>
      <c r="J2179">
        <v>0.66</v>
      </c>
      <c r="K2179">
        <v>17.100000000000001</v>
      </c>
      <c r="L2179">
        <v>0</v>
      </c>
      <c r="M2179">
        <v>9.91</v>
      </c>
      <c r="N2179">
        <v>0</v>
      </c>
      <c r="O2179">
        <v>1</v>
      </c>
      <c r="P2179">
        <v>1486</v>
      </c>
      <c r="Q2179">
        <v>333</v>
      </c>
      <c r="R2179">
        <v>85</v>
      </c>
      <c r="S2179">
        <v>528</v>
      </c>
      <c r="T2179">
        <v>0</v>
      </c>
      <c r="U2179">
        <v>540</v>
      </c>
      <c r="V2179" s="1">
        <f t="shared" ref="V2179:V2242" si="102">ROUND(H2179/G2179,4)</f>
        <v>0.19350000000000001</v>
      </c>
      <c r="W2179" s="1">
        <f t="shared" ref="W2179:W2242" si="103">ROUND(N2179/G2179,4)</f>
        <v>0</v>
      </c>
      <c r="X2179" s="1">
        <f t="shared" ref="X2179:X2242" si="104">ROUND(O2179/G2179,4)</f>
        <v>5.4000000000000003E-3</v>
      </c>
    </row>
    <row r="2180" spans="1:24" x14ac:dyDescent="0.25">
      <c r="A2180">
        <v>2009</v>
      </c>
      <c r="B2180">
        <v>6</v>
      </c>
      <c r="C2180" t="s">
        <v>65</v>
      </c>
      <c r="D2180" t="str">
        <f>_xlfn.XLOOKUP(C2180,'Carrier Name Rename'!A:A,'Carrier Name Rename'!B:B)</f>
        <v>Continental Air Lines Inc.</v>
      </c>
      <c r="E2180" t="s">
        <v>23</v>
      </c>
      <c r="F2180" t="s">
        <v>24</v>
      </c>
      <c r="G2180">
        <v>440</v>
      </c>
      <c r="H2180">
        <v>97</v>
      </c>
      <c r="I2180">
        <v>32.81</v>
      </c>
      <c r="J2180">
        <v>2.09</v>
      </c>
      <c r="K2180">
        <v>41.38</v>
      </c>
      <c r="L2180">
        <v>0.38</v>
      </c>
      <c r="M2180">
        <v>20.350000000000001</v>
      </c>
      <c r="N2180">
        <v>0</v>
      </c>
      <c r="O2180">
        <v>0</v>
      </c>
      <c r="P2180">
        <v>4583</v>
      </c>
      <c r="Q2180">
        <v>1328</v>
      </c>
      <c r="R2180">
        <v>219</v>
      </c>
      <c r="S2180">
        <v>1505</v>
      </c>
      <c r="T2180">
        <v>6</v>
      </c>
      <c r="U2180">
        <v>1525</v>
      </c>
      <c r="V2180" s="1">
        <f t="shared" si="102"/>
        <v>0.2205</v>
      </c>
      <c r="W2180" s="1">
        <f t="shared" si="103"/>
        <v>0</v>
      </c>
      <c r="X2180" s="1">
        <f t="shared" si="104"/>
        <v>0</v>
      </c>
    </row>
    <row r="2181" spans="1:24" x14ac:dyDescent="0.25">
      <c r="A2181">
        <v>2009</v>
      </c>
      <c r="B2181">
        <v>6</v>
      </c>
      <c r="C2181" t="s">
        <v>37</v>
      </c>
      <c r="D2181" t="str">
        <f>_xlfn.XLOOKUP(C2181,'Carrier Name Rename'!A:A,'Carrier Name Rename'!B:B)</f>
        <v>Delta Air Lines Inc.</v>
      </c>
      <c r="E2181" t="s">
        <v>23</v>
      </c>
      <c r="F2181" t="s">
        <v>24</v>
      </c>
      <c r="G2181">
        <v>528</v>
      </c>
      <c r="H2181">
        <v>84</v>
      </c>
      <c r="I2181">
        <v>26.63</v>
      </c>
      <c r="J2181">
        <v>2.91</v>
      </c>
      <c r="K2181">
        <v>30.59</v>
      </c>
      <c r="L2181">
        <v>0</v>
      </c>
      <c r="M2181">
        <v>23.87</v>
      </c>
      <c r="N2181">
        <v>0</v>
      </c>
      <c r="O2181">
        <v>0</v>
      </c>
      <c r="P2181">
        <v>4373</v>
      </c>
      <c r="Q2181">
        <v>1649</v>
      </c>
      <c r="R2181">
        <v>132</v>
      </c>
      <c r="S2181">
        <v>1143</v>
      </c>
      <c r="T2181">
        <v>0</v>
      </c>
      <c r="U2181">
        <v>1449</v>
      </c>
      <c r="V2181" s="1">
        <f t="shared" si="102"/>
        <v>0.15909999999999999</v>
      </c>
      <c r="W2181" s="1">
        <f t="shared" si="103"/>
        <v>0</v>
      </c>
      <c r="X2181" s="1">
        <f t="shared" si="104"/>
        <v>0</v>
      </c>
    </row>
    <row r="2182" spans="1:24" x14ac:dyDescent="0.25">
      <c r="A2182">
        <v>2009</v>
      </c>
      <c r="B2182">
        <v>6</v>
      </c>
      <c r="C2182" t="s">
        <v>39</v>
      </c>
      <c r="D2182" t="str">
        <f>_xlfn.XLOOKUP(C2182,'Carrier Name Rename'!A:A,'Carrier Name Rename'!B:B)</f>
        <v>Frontier Airlines Inc.</v>
      </c>
      <c r="E2182" t="s">
        <v>23</v>
      </c>
      <c r="F2182" t="s">
        <v>24</v>
      </c>
      <c r="G2182">
        <v>120</v>
      </c>
      <c r="H2182">
        <v>47</v>
      </c>
      <c r="I2182">
        <v>14.48</v>
      </c>
      <c r="J2182">
        <v>0.45</v>
      </c>
      <c r="K2182">
        <v>4.9800000000000004</v>
      </c>
      <c r="L2182">
        <v>0</v>
      </c>
      <c r="M2182">
        <v>27.09</v>
      </c>
      <c r="N2182">
        <v>1</v>
      </c>
      <c r="O2182">
        <v>0</v>
      </c>
      <c r="P2182">
        <v>2531</v>
      </c>
      <c r="Q2182">
        <v>729</v>
      </c>
      <c r="R2182">
        <v>40</v>
      </c>
      <c r="S2182">
        <v>146</v>
      </c>
      <c r="T2182">
        <v>0</v>
      </c>
      <c r="U2182">
        <v>1616</v>
      </c>
      <c r="V2182" s="1">
        <f t="shared" si="102"/>
        <v>0.39169999999999999</v>
      </c>
      <c r="W2182" s="1">
        <f t="shared" si="103"/>
        <v>8.3000000000000001E-3</v>
      </c>
      <c r="X2182" s="1">
        <f t="shared" si="104"/>
        <v>0</v>
      </c>
    </row>
    <row r="2183" spans="1:24" x14ac:dyDescent="0.25">
      <c r="A2183">
        <v>2009</v>
      </c>
      <c r="B2183">
        <v>6</v>
      </c>
      <c r="C2183" t="s">
        <v>63</v>
      </c>
      <c r="D2183" t="str">
        <f>_xlfn.XLOOKUP(C2183,'Carrier Name Rename'!A:A,'Carrier Name Rename'!B:B)</f>
        <v>AirTran Airways Corporation</v>
      </c>
      <c r="E2183" t="s">
        <v>23</v>
      </c>
      <c r="F2183" t="s">
        <v>24</v>
      </c>
      <c r="G2183">
        <v>185</v>
      </c>
      <c r="H2183">
        <v>32</v>
      </c>
      <c r="I2183">
        <v>12.04</v>
      </c>
      <c r="J2183">
        <v>0</v>
      </c>
      <c r="K2183">
        <v>15.11</v>
      </c>
      <c r="L2183">
        <v>0</v>
      </c>
      <c r="M2183">
        <v>4.8499999999999996</v>
      </c>
      <c r="N2183">
        <v>0</v>
      </c>
      <c r="O2183">
        <v>0</v>
      </c>
      <c r="P2183">
        <v>1463</v>
      </c>
      <c r="Q2183">
        <v>369</v>
      </c>
      <c r="R2183">
        <v>0</v>
      </c>
      <c r="S2183">
        <v>468</v>
      </c>
      <c r="T2183">
        <v>0</v>
      </c>
      <c r="U2183">
        <v>626</v>
      </c>
      <c r="V2183" s="1">
        <f t="shared" si="102"/>
        <v>0.17299999999999999</v>
      </c>
      <c r="W2183" s="1">
        <f t="shared" si="103"/>
        <v>0</v>
      </c>
      <c r="X2183" s="1">
        <f t="shared" si="104"/>
        <v>0</v>
      </c>
    </row>
    <row r="2184" spans="1:24" x14ac:dyDescent="0.25">
      <c r="A2184">
        <v>2009</v>
      </c>
      <c r="B2184">
        <v>6</v>
      </c>
      <c r="C2184" t="s">
        <v>21</v>
      </c>
      <c r="D2184" t="str">
        <f>_xlfn.XLOOKUP(C2184,'Carrier Name Rename'!A:A,'Carrier Name Rename'!B:B)</f>
        <v>Hawaiian Airlines Inc.</v>
      </c>
      <c r="E2184" t="s">
        <v>23</v>
      </c>
      <c r="F2184" t="s">
        <v>24</v>
      </c>
      <c r="G2184">
        <v>73</v>
      </c>
      <c r="H2184">
        <v>14</v>
      </c>
      <c r="I2184">
        <v>13.85</v>
      </c>
      <c r="J2184">
        <v>0</v>
      </c>
      <c r="K2184">
        <v>0</v>
      </c>
      <c r="L2184">
        <v>0</v>
      </c>
      <c r="M2184">
        <v>0.15</v>
      </c>
      <c r="N2184">
        <v>0</v>
      </c>
      <c r="O2184">
        <v>0</v>
      </c>
      <c r="P2184">
        <v>448</v>
      </c>
      <c r="Q2184">
        <v>444</v>
      </c>
      <c r="R2184">
        <v>0</v>
      </c>
      <c r="S2184">
        <v>0</v>
      </c>
      <c r="T2184">
        <v>0</v>
      </c>
      <c r="U2184">
        <v>4</v>
      </c>
      <c r="V2184" s="1">
        <f t="shared" si="102"/>
        <v>0.1918</v>
      </c>
      <c r="W2184" s="1">
        <f t="shared" si="103"/>
        <v>0</v>
      </c>
      <c r="X2184" s="1">
        <f t="shared" si="104"/>
        <v>0</v>
      </c>
    </row>
    <row r="2185" spans="1:24" x14ac:dyDescent="0.25">
      <c r="A2185">
        <v>2009</v>
      </c>
      <c r="B2185">
        <v>6</v>
      </c>
      <c r="C2185" t="s">
        <v>67</v>
      </c>
      <c r="D2185" t="str">
        <f>_xlfn.XLOOKUP(C2185,'Carrier Name Rename'!A:A,'Carrier Name Rename'!B:B)</f>
        <v>Northwest Airlines Inc.</v>
      </c>
      <c r="E2185" t="s">
        <v>23</v>
      </c>
      <c r="F2185" t="s">
        <v>24</v>
      </c>
      <c r="G2185">
        <v>492</v>
      </c>
      <c r="H2185">
        <v>134</v>
      </c>
      <c r="I2185">
        <v>60.7</v>
      </c>
      <c r="J2185">
        <v>1.38</v>
      </c>
      <c r="K2185">
        <v>45.29</v>
      </c>
      <c r="L2185">
        <v>1</v>
      </c>
      <c r="M2185">
        <v>25.63</v>
      </c>
      <c r="N2185">
        <v>0</v>
      </c>
      <c r="O2185">
        <v>2</v>
      </c>
      <c r="P2185">
        <v>5772</v>
      </c>
      <c r="Q2185">
        <v>3094</v>
      </c>
      <c r="R2185">
        <v>72</v>
      </c>
      <c r="S2185">
        <v>1136</v>
      </c>
      <c r="T2185">
        <v>31</v>
      </c>
      <c r="U2185">
        <v>1439</v>
      </c>
      <c r="V2185" s="1">
        <f t="shared" si="102"/>
        <v>0.27239999999999998</v>
      </c>
      <c r="W2185" s="1">
        <f t="shared" si="103"/>
        <v>0</v>
      </c>
      <c r="X2185" s="1">
        <f t="shared" si="104"/>
        <v>4.1000000000000003E-3</v>
      </c>
    </row>
    <row r="2186" spans="1:24" x14ac:dyDescent="0.25">
      <c r="A2186">
        <v>2009</v>
      </c>
      <c r="B2186">
        <v>6</v>
      </c>
      <c r="C2186" t="s">
        <v>27</v>
      </c>
      <c r="D2186" t="str">
        <f>_xlfn.XLOOKUP(C2186,'Carrier Name Rename'!A:A,'Carrier Name Rename'!B:B)</f>
        <v>SkyWest Airlines Inc.</v>
      </c>
      <c r="E2186" t="s">
        <v>23</v>
      </c>
      <c r="F2186" t="s">
        <v>24</v>
      </c>
      <c r="G2186">
        <v>632</v>
      </c>
      <c r="H2186">
        <v>71</v>
      </c>
      <c r="I2186">
        <v>18.5</v>
      </c>
      <c r="J2186">
        <v>0.53</v>
      </c>
      <c r="K2186">
        <v>34.14</v>
      </c>
      <c r="L2186">
        <v>0.19</v>
      </c>
      <c r="M2186">
        <v>17.64</v>
      </c>
      <c r="N2186">
        <v>3</v>
      </c>
      <c r="O2186">
        <v>0</v>
      </c>
      <c r="P2186">
        <v>2876</v>
      </c>
      <c r="Q2186">
        <v>1162</v>
      </c>
      <c r="R2186">
        <v>18</v>
      </c>
      <c r="S2186">
        <v>884</v>
      </c>
      <c r="T2186">
        <v>7</v>
      </c>
      <c r="U2186">
        <v>805</v>
      </c>
      <c r="V2186" s="1">
        <f t="shared" si="102"/>
        <v>0.1123</v>
      </c>
      <c r="W2186" s="1">
        <f t="shared" si="103"/>
        <v>4.7000000000000002E-3</v>
      </c>
      <c r="X2186" s="1">
        <f t="shared" si="104"/>
        <v>0</v>
      </c>
    </row>
    <row r="2187" spans="1:24" x14ac:dyDescent="0.25">
      <c r="A2187">
        <v>2009</v>
      </c>
      <c r="B2187">
        <v>6</v>
      </c>
      <c r="C2187" t="s">
        <v>41</v>
      </c>
      <c r="D2187" t="str">
        <f>_xlfn.XLOOKUP(C2187,'Carrier Name Rename'!A:A,'Carrier Name Rename'!B:B)</f>
        <v>United Air Lines Inc.</v>
      </c>
      <c r="E2187" t="s">
        <v>23</v>
      </c>
      <c r="F2187" t="s">
        <v>24</v>
      </c>
      <c r="G2187">
        <v>667</v>
      </c>
      <c r="H2187">
        <v>182</v>
      </c>
      <c r="I2187">
        <v>46.76</v>
      </c>
      <c r="J2187">
        <v>7.24</v>
      </c>
      <c r="K2187">
        <v>41.84</v>
      </c>
      <c r="L2187">
        <v>0</v>
      </c>
      <c r="M2187">
        <v>86.16</v>
      </c>
      <c r="N2187">
        <v>5</v>
      </c>
      <c r="O2187">
        <v>1</v>
      </c>
      <c r="P2187">
        <v>12034</v>
      </c>
      <c r="Q2187">
        <v>2618</v>
      </c>
      <c r="R2187">
        <v>614</v>
      </c>
      <c r="S2187">
        <v>1915</v>
      </c>
      <c r="T2187">
        <v>0</v>
      </c>
      <c r="U2187">
        <v>6887</v>
      </c>
      <c r="V2187" s="1">
        <f t="shared" si="102"/>
        <v>0.27289999999999998</v>
      </c>
      <c r="W2187" s="1">
        <f t="shared" si="103"/>
        <v>7.4999999999999997E-3</v>
      </c>
      <c r="X2187" s="1">
        <f t="shared" si="104"/>
        <v>1.5E-3</v>
      </c>
    </row>
    <row r="2188" spans="1:24" x14ac:dyDescent="0.25">
      <c r="A2188">
        <v>2009</v>
      </c>
      <c r="B2188">
        <v>6</v>
      </c>
      <c r="C2188" t="s">
        <v>61</v>
      </c>
      <c r="D2188" t="str">
        <f>_xlfn.XLOOKUP(C2188,'Carrier Name Rename'!A:A,'Carrier Name Rename'!B:B)</f>
        <v>US Airways Inc.</v>
      </c>
      <c r="E2188" t="s">
        <v>23</v>
      </c>
      <c r="F2188" t="s">
        <v>24</v>
      </c>
      <c r="G2188">
        <v>359</v>
      </c>
      <c r="H2188">
        <v>69</v>
      </c>
      <c r="I2188">
        <v>19.21</v>
      </c>
      <c r="J2188">
        <v>1.18</v>
      </c>
      <c r="K2188">
        <v>25.55</v>
      </c>
      <c r="L2188">
        <v>2</v>
      </c>
      <c r="M2188">
        <v>21.07</v>
      </c>
      <c r="N2188">
        <v>2</v>
      </c>
      <c r="O2188">
        <v>1</v>
      </c>
      <c r="P2188">
        <v>4174</v>
      </c>
      <c r="Q2188">
        <v>1149</v>
      </c>
      <c r="R2188">
        <v>133</v>
      </c>
      <c r="S2188">
        <v>1293</v>
      </c>
      <c r="T2188">
        <v>49</v>
      </c>
      <c r="U2188">
        <v>1550</v>
      </c>
      <c r="V2188" s="1">
        <f t="shared" si="102"/>
        <v>0.19220000000000001</v>
      </c>
      <c r="W2188" s="1">
        <f t="shared" si="103"/>
        <v>5.5999999999999999E-3</v>
      </c>
      <c r="X2188" s="1">
        <f t="shared" si="104"/>
        <v>2.8E-3</v>
      </c>
    </row>
    <row r="2189" spans="1:24" x14ac:dyDescent="0.25">
      <c r="A2189">
        <v>2009</v>
      </c>
      <c r="B2189">
        <v>6</v>
      </c>
      <c r="C2189" t="s">
        <v>43</v>
      </c>
      <c r="D2189" t="str">
        <f>_xlfn.XLOOKUP(C2189,'Carrier Name Rename'!A:A,'Carrier Name Rename'!B:B)</f>
        <v>Southwest Airlines Co.</v>
      </c>
      <c r="E2189" t="s">
        <v>23</v>
      </c>
      <c r="F2189" t="s">
        <v>24</v>
      </c>
      <c r="G2189">
        <v>1236</v>
      </c>
      <c r="H2189">
        <v>268</v>
      </c>
      <c r="I2189">
        <v>92.09</v>
      </c>
      <c r="J2189">
        <v>3.1</v>
      </c>
      <c r="K2189">
        <v>21.38</v>
      </c>
      <c r="L2189">
        <v>0.04</v>
      </c>
      <c r="M2189">
        <v>151.38</v>
      </c>
      <c r="N2189">
        <v>0</v>
      </c>
      <c r="O2189">
        <v>0</v>
      </c>
      <c r="P2189">
        <v>12198</v>
      </c>
      <c r="Q2189">
        <v>3672</v>
      </c>
      <c r="R2189">
        <v>175</v>
      </c>
      <c r="S2189">
        <v>726</v>
      </c>
      <c r="T2189">
        <v>3</v>
      </c>
      <c r="U2189">
        <v>7622</v>
      </c>
      <c r="V2189" s="1">
        <f t="shared" si="102"/>
        <v>0.21679999999999999</v>
      </c>
      <c r="W2189" s="1">
        <f t="shared" si="103"/>
        <v>0</v>
      </c>
      <c r="X2189" s="1">
        <f t="shared" si="104"/>
        <v>0</v>
      </c>
    </row>
    <row r="2190" spans="1:24" x14ac:dyDescent="0.25">
      <c r="A2190">
        <v>2009</v>
      </c>
      <c r="B2190">
        <v>5</v>
      </c>
      <c r="C2190" t="s">
        <v>31</v>
      </c>
      <c r="D2190" t="str">
        <f>_xlfn.XLOOKUP(C2190,'Carrier Name Rename'!A:A,'Carrier Name Rename'!B:B)</f>
        <v>American Airlines Inc.</v>
      </c>
      <c r="E2190" t="s">
        <v>23</v>
      </c>
      <c r="F2190" t="s">
        <v>24</v>
      </c>
      <c r="G2190">
        <v>460</v>
      </c>
      <c r="H2190">
        <v>112</v>
      </c>
      <c r="I2190">
        <v>41.23</v>
      </c>
      <c r="J2190">
        <v>4.55</v>
      </c>
      <c r="K2190">
        <v>48.59</v>
      </c>
      <c r="L2190">
        <v>0</v>
      </c>
      <c r="M2190">
        <v>17.63</v>
      </c>
      <c r="N2190">
        <v>6</v>
      </c>
      <c r="O2190">
        <v>1</v>
      </c>
      <c r="P2190">
        <v>5747</v>
      </c>
      <c r="Q2190">
        <v>2244</v>
      </c>
      <c r="R2190">
        <v>268</v>
      </c>
      <c r="S2190">
        <v>1847</v>
      </c>
      <c r="T2190">
        <v>0</v>
      </c>
      <c r="U2190">
        <v>1388</v>
      </c>
      <c r="V2190" s="1">
        <f t="shared" si="102"/>
        <v>0.24349999999999999</v>
      </c>
      <c r="W2190" s="1">
        <f t="shared" si="103"/>
        <v>1.2999999999999999E-2</v>
      </c>
      <c r="X2190" s="1">
        <f t="shared" si="104"/>
        <v>2.2000000000000001E-3</v>
      </c>
    </row>
    <row r="2191" spans="1:24" x14ac:dyDescent="0.25">
      <c r="A2191">
        <v>2009</v>
      </c>
      <c r="B2191">
        <v>5</v>
      </c>
      <c r="C2191" t="s">
        <v>33</v>
      </c>
      <c r="D2191" t="str">
        <f>_xlfn.XLOOKUP(C2191,'Carrier Name Rename'!A:A,'Carrier Name Rename'!B:B)</f>
        <v>Alaska Airlines Inc.</v>
      </c>
      <c r="E2191" t="s">
        <v>23</v>
      </c>
      <c r="F2191" t="s">
        <v>24</v>
      </c>
      <c r="G2191">
        <v>3877</v>
      </c>
      <c r="H2191">
        <v>534</v>
      </c>
      <c r="I2191">
        <v>116.32</v>
      </c>
      <c r="J2191">
        <v>5.54</v>
      </c>
      <c r="K2191">
        <v>221.35</v>
      </c>
      <c r="L2191">
        <v>1.67</v>
      </c>
      <c r="M2191">
        <v>189.11</v>
      </c>
      <c r="N2191">
        <v>4</v>
      </c>
      <c r="O2191">
        <v>8</v>
      </c>
      <c r="P2191">
        <v>23009</v>
      </c>
      <c r="Q2191">
        <v>6815</v>
      </c>
      <c r="R2191">
        <v>249</v>
      </c>
      <c r="S2191">
        <v>5927</v>
      </c>
      <c r="T2191">
        <v>111</v>
      </c>
      <c r="U2191">
        <v>9907</v>
      </c>
      <c r="V2191" s="1">
        <f t="shared" si="102"/>
        <v>0.13769999999999999</v>
      </c>
      <c r="W2191" s="1">
        <f t="shared" si="103"/>
        <v>1E-3</v>
      </c>
      <c r="X2191" s="1">
        <f t="shared" si="104"/>
        <v>2.0999999999999999E-3</v>
      </c>
    </row>
    <row r="2192" spans="1:24" x14ac:dyDescent="0.25">
      <c r="A2192">
        <v>2009</v>
      </c>
      <c r="B2192">
        <v>5</v>
      </c>
      <c r="C2192" t="s">
        <v>35</v>
      </c>
      <c r="D2192" t="str">
        <f>_xlfn.XLOOKUP(C2192,'Carrier Name Rename'!A:A,'Carrier Name Rename'!B:B)</f>
        <v>JetBlue Airways</v>
      </c>
      <c r="E2192" t="s">
        <v>23</v>
      </c>
      <c r="F2192" t="s">
        <v>24</v>
      </c>
      <c r="G2192">
        <v>186</v>
      </c>
      <c r="H2192">
        <v>35</v>
      </c>
      <c r="I2192">
        <v>7.02</v>
      </c>
      <c r="J2192">
        <v>0</v>
      </c>
      <c r="K2192">
        <v>18.489999999999998</v>
      </c>
      <c r="L2192">
        <v>0</v>
      </c>
      <c r="M2192">
        <v>9.48</v>
      </c>
      <c r="N2192">
        <v>0</v>
      </c>
      <c r="O2192">
        <v>0</v>
      </c>
      <c r="P2192">
        <v>1609</v>
      </c>
      <c r="Q2192">
        <v>381</v>
      </c>
      <c r="R2192">
        <v>0</v>
      </c>
      <c r="S2192">
        <v>650</v>
      </c>
      <c r="T2192">
        <v>0</v>
      </c>
      <c r="U2192">
        <v>578</v>
      </c>
      <c r="V2192" s="1">
        <f t="shared" si="102"/>
        <v>0.18820000000000001</v>
      </c>
      <c r="W2192" s="1">
        <f t="shared" si="103"/>
        <v>0</v>
      </c>
      <c r="X2192" s="1">
        <f t="shared" si="104"/>
        <v>0</v>
      </c>
    </row>
    <row r="2193" spans="1:24" x14ac:dyDescent="0.25">
      <c r="A2193">
        <v>2009</v>
      </c>
      <c r="B2193">
        <v>5</v>
      </c>
      <c r="C2193" t="s">
        <v>65</v>
      </c>
      <c r="D2193" t="str">
        <f>_xlfn.XLOOKUP(C2193,'Carrier Name Rename'!A:A,'Carrier Name Rename'!B:B)</f>
        <v>Continental Air Lines Inc.</v>
      </c>
      <c r="E2193" t="s">
        <v>23</v>
      </c>
      <c r="F2193" t="s">
        <v>24</v>
      </c>
      <c r="G2193">
        <v>392</v>
      </c>
      <c r="H2193">
        <v>93</v>
      </c>
      <c r="I2193">
        <v>28.7</v>
      </c>
      <c r="J2193">
        <v>0.12</v>
      </c>
      <c r="K2193">
        <v>54.05</v>
      </c>
      <c r="L2193">
        <v>1.63</v>
      </c>
      <c r="M2193">
        <v>8.5</v>
      </c>
      <c r="N2193">
        <v>0</v>
      </c>
      <c r="O2193">
        <v>0</v>
      </c>
      <c r="P2193">
        <v>3400</v>
      </c>
      <c r="Q2193">
        <v>1121</v>
      </c>
      <c r="R2193">
        <v>7</v>
      </c>
      <c r="S2193">
        <v>1646</v>
      </c>
      <c r="T2193">
        <v>76</v>
      </c>
      <c r="U2193">
        <v>550</v>
      </c>
      <c r="V2193" s="1">
        <f t="shared" si="102"/>
        <v>0.23719999999999999</v>
      </c>
      <c r="W2193" s="1">
        <f t="shared" si="103"/>
        <v>0</v>
      </c>
      <c r="X2193" s="1">
        <f t="shared" si="104"/>
        <v>0</v>
      </c>
    </row>
    <row r="2194" spans="1:24" x14ac:dyDescent="0.25">
      <c r="A2194">
        <v>2009</v>
      </c>
      <c r="B2194">
        <v>5</v>
      </c>
      <c r="C2194" t="s">
        <v>37</v>
      </c>
      <c r="D2194" t="str">
        <f>_xlfn.XLOOKUP(C2194,'Carrier Name Rename'!A:A,'Carrier Name Rename'!B:B)</f>
        <v>Delta Air Lines Inc.</v>
      </c>
      <c r="E2194" t="s">
        <v>23</v>
      </c>
      <c r="F2194" t="s">
        <v>24</v>
      </c>
      <c r="G2194">
        <v>442</v>
      </c>
      <c r="H2194">
        <v>118</v>
      </c>
      <c r="I2194">
        <v>22.97</v>
      </c>
      <c r="J2194">
        <v>1.9</v>
      </c>
      <c r="K2194">
        <v>78.680000000000007</v>
      </c>
      <c r="L2194">
        <v>0</v>
      </c>
      <c r="M2194">
        <v>14.45</v>
      </c>
      <c r="N2194">
        <v>0</v>
      </c>
      <c r="O2194">
        <v>1</v>
      </c>
      <c r="P2194">
        <v>4603</v>
      </c>
      <c r="Q2194">
        <v>1373</v>
      </c>
      <c r="R2194">
        <v>72</v>
      </c>
      <c r="S2194">
        <v>2526</v>
      </c>
      <c r="T2194">
        <v>0</v>
      </c>
      <c r="U2194">
        <v>632</v>
      </c>
      <c r="V2194" s="1">
        <f t="shared" si="102"/>
        <v>0.26700000000000002</v>
      </c>
      <c r="W2194" s="1">
        <f t="shared" si="103"/>
        <v>0</v>
      </c>
      <c r="X2194" s="1">
        <f t="shared" si="104"/>
        <v>2.3E-3</v>
      </c>
    </row>
    <row r="2195" spans="1:24" x14ac:dyDescent="0.25">
      <c r="A2195">
        <v>2009</v>
      </c>
      <c r="B2195">
        <v>5</v>
      </c>
      <c r="C2195" t="s">
        <v>39</v>
      </c>
      <c r="D2195" t="str">
        <f>_xlfn.XLOOKUP(C2195,'Carrier Name Rename'!A:A,'Carrier Name Rename'!B:B)</f>
        <v>Frontier Airlines Inc.</v>
      </c>
      <c r="E2195" t="s">
        <v>23</v>
      </c>
      <c r="F2195" t="s">
        <v>24</v>
      </c>
      <c r="G2195">
        <v>124</v>
      </c>
      <c r="H2195">
        <v>36</v>
      </c>
      <c r="I2195">
        <v>13.04</v>
      </c>
      <c r="J2195">
        <v>1.1100000000000001</v>
      </c>
      <c r="K2195">
        <v>14.98</v>
      </c>
      <c r="L2195">
        <v>0</v>
      </c>
      <c r="M2195">
        <v>6.86</v>
      </c>
      <c r="N2195">
        <v>0</v>
      </c>
      <c r="O2195">
        <v>0</v>
      </c>
      <c r="P2195">
        <v>1203</v>
      </c>
      <c r="Q2195">
        <v>448</v>
      </c>
      <c r="R2195">
        <v>43</v>
      </c>
      <c r="S2195">
        <v>358</v>
      </c>
      <c r="T2195">
        <v>0</v>
      </c>
      <c r="U2195">
        <v>354</v>
      </c>
      <c r="V2195" s="1">
        <f t="shared" si="102"/>
        <v>0.2903</v>
      </c>
      <c r="W2195" s="1">
        <f t="shared" si="103"/>
        <v>0</v>
      </c>
      <c r="X2195" s="1">
        <f t="shared" si="104"/>
        <v>0</v>
      </c>
    </row>
    <row r="2196" spans="1:24" x14ac:dyDescent="0.25">
      <c r="A2196">
        <v>2009</v>
      </c>
      <c r="B2196">
        <v>5</v>
      </c>
      <c r="C2196" t="s">
        <v>63</v>
      </c>
      <c r="D2196" t="str">
        <f>_xlfn.XLOOKUP(C2196,'Carrier Name Rename'!A:A,'Carrier Name Rename'!B:B)</f>
        <v>AirTran Airways Corporation</v>
      </c>
      <c r="E2196" t="s">
        <v>23</v>
      </c>
      <c r="F2196" t="s">
        <v>24</v>
      </c>
      <c r="G2196">
        <v>101</v>
      </c>
      <c r="H2196">
        <v>26</v>
      </c>
      <c r="I2196">
        <v>7.21</v>
      </c>
      <c r="J2196">
        <v>0</v>
      </c>
      <c r="K2196">
        <v>16.03</v>
      </c>
      <c r="L2196">
        <v>0</v>
      </c>
      <c r="M2196">
        <v>2.75</v>
      </c>
      <c r="N2196">
        <v>0</v>
      </c>
      <c r="O2196">
        <v>0</v>
      </c>
      <c r="P2196">
        <v>829</v>
      </c>
      <c r="Q2196">
        <v>244</v>
      </c>
      <c r="R2196">
        <v>0</v>
      </c>
      <c r="S2196">
        <v>447</v>
      </c>
      <c r="T2196">
        <v>0</v>
      </c>
      <c r="U2196">
        <v>138</v>
      </c>
      <c r="V2196" s="1">
        <f t="shared" si="102"/>
        <v>0.25740000000000002</v>
      </c>
      <c r="W2196" s="1">
        <f t="shared" si="103"/>
        <v>0</v>
      </c>
      <c r="X2196" s="1">
        <f t="shared" si="104"/>
        <v>0</v>
      </c>
    </row>
    <row r="2197" spans="1:24" x14ac:dyDescent="0.25">
      <c r="A2197">
        <v>2009</v>
      </c>
      <c r="B2197">
        <v>5</v>
      </c>
      <c r="C2197" t="s">
        <v>21</v>
      </c>
      <c r="D2197" t="str">
        <f>_xlfn.XLOOKUP(C2197,'Carrier Name Rename'!A:A,'Carrier Name Rename'!B:B)</f>
        <v>Hawaiian Airlines Inc.</v>
      </c>
      <c r="E2197" t="s">
        <v>23</v>
      </c>
      <c r="F2197" t="s">
        <v>24</v>
      </c>
      <c r="G2197">
        <v>76</v>
      </c>
      <c r="H2197">
        <v>9</v>
      </c>
      <c r="I2197">
        <v>6.55</v>
      </c>
      <c r="J2197">
        <v>0</v>
      </c>
      <c r="K2197">
        <v>0</v>
      </c>
      <c r="L2197">
        <v>0</v>
      </c>
      <c r="M2197">
        <v>2.4500000000000002</v>
      </c>
      <c r="N2197">
        <v>0</v>
      </c>
      <c r="O2197">
        <v>0</v>
      </c>
      <c r="P2197">
        <v>514</v>
      </c>
      <c r="Q2197">
        <v>439</v>
      </c>
      <c r="R2197">
        <v>0</v>
      </c>
      <c r="S2197">
        <v>0</v>
      </c>
      <c r="T2197">
        <v>0</v>
      </c>
      <c r="U2197">
        <v>75</v>
      </c>
      <c r="V2197" s="1">
        <f t="shared" si="102"/>
        <v>0.11840000000000001</v>
      </c>
      <c r="W2197" s="1">
        <f t="shared" si="103"/>
        <v>0</v>
      </c>
      <c r="X2197" s="1">
        <f t="shared" si="104"/>
        <v>0</v>
      </c>
    </row>
    <row r="2198" spans="1:24" x14ac:dyDescent="0.25">
      <c r="A2198">
        <v>2009</v>
      </c>
      <c r="B2198">
        <v>5</v>
      </c>
      <c r="C2198" t="s">
        <v>67</v>
      </c>
      <c r="D2198" t="str">
        <f>_xlfn.XLOOKUP(C2198,'Carrier Name Rename'!A:A,'Carrier Name Rename'!B:B)</f>
        <v>Northwest Airlines Inc.</v>
      </c>
      <c r="E2198" t="s">
        <v>23</v>
      </c>
      <c r="F2198" t="s">
        <v>24</v>
      </c>
      <c r="G2198">
        <v>374</v>
      </c>
      <c r="H2198">
        <v>93</v>
      </c>
      <c r="I2198">
        <v>27.53</v>
      </c>
      <c r="J2198">
        <v>0.52</v>
      </c>
      <c r="K2198">
        <v>60.07</v>
      </c>
      <c r="L2198">
        <v>0</v>
      </c>
      <c r="M2198">
        <v>4.88</v>
      </c>
      <c r="N2198">
        <v>0</v>
      </c>
      <c r="O2198">
        <v>0</v>
      </c>
      <c r="P2198">
        <v>2900</v>
      </c>
      <c r="Q2198">
        <v>1249</v>
      </c>
      <c r="R2198">
        <v>13</v>
      </c>
      <c r="S2198">
        <v>1435</v>
      </c>
      <c r="T2198">
        <v>0</v>
      </c>
      <c r="U2198">
        <v>203</v>
      </c>
      <c r="V2198" s="1">
        <f t="shared" si="102"/>
        <v>0.2487</v>
      </c>
      <c r="W2198" s="1">
        <f t="shared" si="103"/>
        <v>0</v>
      </c>
      <c r="X2198" s="1">
        <f t="shared" si="104"/>
        <v>0</v>
      </c>
    </row>
    <row r="2199" spans="1:24" x14ac:dyDescent="0.25">
      <c r="A2199">
        <v>2009</v>
      </c>
      <c r="B2199">
        <v>5</v>
      </c>
      <c r="C2199" t="s">
        <v>27</v>
      </c>
      <c r="D2199" t="str">
        <f>_xlfn.XLOOKUP(C2199,'Carrier Name Rename'!A:A,'Carrier Name Rename'!B:B)</f>
        <v>SkyWest Airlines Inc.</v>
      </c>
      <c r="E2199" t="s">
        <v>23</v>
      </c>
      <c r="F2199" t="s">
        <v>24</v>
      </c>
      <c r="G2199">
        <v>487</v>
      </c>
      <c r="H2199">
        <v>42</v>
      </c>
      <c r="I2199">
        <v>5.78</v>
      </c>
      <c r="J2199">
        <v>0</v>
      </c>
      <c r="K2199">
        <v>17.38</v>
      </c>
      <c r="L2199">
        <v>0</v>
      </c>
      <c r="M2199">
        <v>18.84</v>
      </c>
      <c r="N2199">
        <v>1</v>
      </c>
      <c r="O2199">
        <v>0</v>
      </c>
      <c r="P2199">
        <v>1572</v>
      </c>
      <c r="Q2199">
        <v>177</v>
      </c>
      <c r="R2199">
        <v>0</v>
      </c>
      <c r="S2199">
        <v>415</v>
      </c>
      <c r="T2199">
        <v>0</v>
      </c>
      <c r="U2199">
        <v>980</v>
      </c>
      <c r="V2199" s="1">
        <f t="shared" si="102"/>
        <v>8.6199999999999999E-2</v>
      </c>
      <c r="W2199" s="1">
        <f t="shared" si="103"/>
        <v>2.0999999999999999E-3</v>
      </c>
      <c r="X2199" s="1">
        <f t="shared" si="104"/>
        <v>0</v>
      </c>
    </row>
    <row r="2200" spans="1:24" x14ac:dyDescent="0.25">
      <c r="A2200">
        <v>2009</v>
      </c>
      <c r="B2200">
        <v>5</v>
      </c>
      <c r="C2200" t="s">
        <v>41</v>
      </c>
      <c r="D2200" t="str">
        <f>_xlfn.XLOOKUP(C2200,'Carrier Name Rename'!A:A,'Carrier Name Rename'!B:B)</f>
        <v>United Air Lines Inc.</v>
      </c>
      <c r="E2200" t="s">
        <v>23</v>
      </c>
      <c r="F2200" t="s">
        <v>24</v>
      </c>
      <c r="G2200">
        <v>602</v>
      </c>
      <c r="H2200">
        <v>178</v>
      </c>
      <c r="I2200">
        <v>41.89</v>
      </c>
      <c r="J2200">
        <v>5.71</v>
      </c>
      <c r="K2200">
        <v>69.27</v>
      </c>
      <c r="L2200">
        <v>0.82</v>
      </c>
      <c r="M2200">
        <v>60.31</v>
      </c>
      <c r="N2200">
        <v>2</v>
      </c>
      <c r="O2200">
        <v>1</v>
      </c>
      <c r="P2200">
        <v>9035</v>
      </c>
      <c r="Q2200">
        <v>2306</v>
      </c>
      <c r="R2200">
        <v>374</v>
      </c>
      <c r="S2200">
        <v>2205</v>
      </c>
      <c r="T2200">
        <v>32</v>
      </c>
      <c r="U2200">
        <v>4118</v>
      </c>
      <c r="V2200" s="1">
        <f t="shared" si="102"/>
        <v>0.29570000000000002</v>
      </c>
      <c r="W2200" s="1">
        <f t="shared" si="103"/>
        <v>3.3E-3</v>
      </c>
      <c r="X2200" s="1">
        <f t="shared" si="104"/>
        <v>1.6999999999999999E-3</v>
      </c>
    </row>
    <row r="2201" spans="1:24" x14ac:dyDescent="0.25">
      <c r="A2201">
        <v>2009</v>
      </c>
      <c r="B2201">
        <v>5</v>
      </c>
      <c r="C2201" t="s">
        <v>61</v>
      </c>
      <c r="D2201" t="str">
        <f>_xlfn.XLOOKUP(C2201,'Carrier Name Rename'!A:A,'Carrier Name Rename'!B:B)</f>
        <v>US Airways Inc.</v>
      </c>
      <c r="E2201" t="s">
        <v>23</v>
      </c>
      <c r="F2201" t="s">
        <v>24</v>
      </c>
      <c r="G2201">
        <v>333</v>
      </c>
      <c r="H2201">
        <v>89</v>
      </c>
      <c r="I2201">
        <v>20.57</v>
      </c>
      <c r="J2201">
        <v>2.13</v>
      </c>
      <c r="K2201">
        <v>50.02</v>
      </c>
      <c r="L2201">
        <v>0.38</v>
      </c>
      <c r="M2201">
        <v>15.9</v>
      </c>
      <c r="N2201">
        <v>1</v>
      </c>
      <c r="O2201">
        <v>1</v>
      </c>
      <c r="P2201">
        <v>4129</v>
      </c>
      <c r="Q2201">
        <v>1089</v>
      </c>
      <c r="R2201">
        <v>121</v>
      </c>
      <c r="S2201">
        <v>2001</v>
      </c>
      <c r="T2201">
        <v>20</v>
      </c>
      <c r="U2201">
        <v>898</v>
      </c>
      <c r="V2201" s="1">
        <f t="shared" si="102"/>
        <v>0.26729999999999998</v>
      </c>
      <c r="W2201" s="1">
        <f t="shared" si="103"/>
        <v>3.0000000000000001E-3</v>
      </c>
      <c r="X2201" s="1">
        <f t="shared" si="104"/>
        <v>3.0000000000000001E-3</v>
      </c>
    </row>
    <row r="2202" spans="1:24" x14ac:dyDescent="0.25">
      <c r="A2202">
        <v>2009</v>
      </c>
      <c r="B2202">
        <v>5</v>
      </c>
      <c r="C2202" t="s">
        <v>43</v>
      </c>
      <c r="D2202" t="str">
        <f>_xlfn.XLOOKUP(C2202,'Carrier Name Rename'!A:A,'Carrier Name Rename'!B:B)</f>
        <v>Southwest Airlines Co.</v>
      </c>
      <c r="E2202" t="s">
        <v>23</v>
      </c>
      <c r="F2202" t="s">
        <v>24</v>
      </c>
      <c r="G2202">
        <v>1243</v>
      </c>
      <c r="H2202">
        <v>174</v>
      </c>
      <c r="I2202">
        <v>52.78</v>
      </c>
      <c r="J2202">
        <v>0.34</v>
      </c>
      <c r="K2202">
        <v>32.51</v>
      </c>
      <c r="L2202">
        <v>1.2</v>
      </c>
      <c r="M2202">
        <v>87.16</v>
      </c>
      <c r="N2202">
        <v>0</v>
      </c>
      <c r="O2202">
        <v>0</v>
      </c>
      <c r="P2202">
        <v>6761</v>
      </c>
      <c r="Q2202">
        <v>2043</v>
      </c>
      <c r="R2202">
        <v>62</v>
      </c>
      <c r="S2202">
        <v>833</v>
      </c>
      <c r="T2202">
        <v>26</v>
      </c>
      <c r="U2202">
        <v>3797</v>
      </c>
      <c r="V2202" s="1">
        <f t="shared" si="102"/>
        <v>0.14000000000000001</v>
      </c>
      <c r="W2202" s="1">
        <f t="shared" si="103"/>
        <v>0</v>
      </c>
      <c r="X2202" s="1">
        <f t="shared" si="104"/>
        <v>0</v>
      </c>
    </row>
    <row r="2203" spans="1:24" x14ac:dyDescent="0.25">
      <c r="A2203">
        <v>2009</v>
      </c>
      <c r="B2203">
        <v>4</v>
      </c>
      <c r="C2203" t="s">
        <v>31</v>
      </c>
      <c r="D2203" t="str">
        <f>_xlfn.XLOOKUP(C2203,'Carrier Name Rename'!A:A,'Carrier Name Rename'!B:B)</f>
        <v>American Airlines Inc.</v>
      </c>
      <c r="E2203" t="s">
        <v>23</v>
      </c>
      <c r="F2203" t="s">
        <v>24</v>
      </c>
      <c r="G2203">
        <v>434</v>
      </c>
      <c r="H2203">
        <v>108</v>
      </c>
      <c r="I2203">
        <v>41.29</v>
      </c>
      <c r="J2203">
        <v>9.59</v>
      </c>
      <c r="K2203">
        <v>32.94</v>
      </c>
      <c r="L2203">
        <v>0</v>
      </c>
      <c r="M2203">
        <v>24.18</v>
      </c>
      <c r="N2203">
        <v>3</v>
      </c>
      <c r="O2203">
        <v>1</v>
      </c>
      <c r="P2203">
        <v>7329</v>
      </c>
      <c r="Q2203">
        <v>2934</v>
      </c>
      <c r="R2203">
        <v>675</v>
      </c>
      <c r="S2203">
        <v>1390</v>
      </c>
      <c r="T2203">
        <v>0</v>
      </c>
      <c r="U2203">
        <v>2330</v>
      </c>
      <c r="V2203" s="1">
        <f t="shared" si="102"/>
        <v>0.24879999999999999</v>
      </c>
      <c r="W2203" s="1">
        <f t="shared" si="103"/>
        <v>6.8999999999999999E-3</v>
      </c>
      <c r="X2203" s="1">
        <f t="shared" si="104"/>
        <v>2.3E-3</v>
      </c>
    </row>
    <row r="2204" spans="1:24" x14ac:dyDescent="0.25">
      <c r="A2204">
        <v>2009</v>
      </c>
      <c r="B2204">
        <v>4</v>
      </c>
      <c r="C2204" t="s">
        <v>33</v>
      </c>
      <c r="D2204" t="str">
        <f>_xlfn.XLOOKUP(C2204,'Carrier Name Rename'!A:A,'Carrier Name Rename'!B:B)</f>
        <v>Alaska Airlines Inc.</v>
      </c>
      <c r="E2204" t="s">
        <v>23</v>
      </c>
      <c r="F2204" t="s">
        <v>24</v>
      </c>
      <c r="G2204">
        <v>3541</v>
      </c>
      <c r="H2204">
        <v>591</v>
      </c>
      <c r="I2204">
        <v>141.37</v>
      </c>
      <c r="J2204">
        <v>5.9</v>
      </c>
      <c r="K2204">
        <v>269.45</v>
      </c>
      <c r="L2204">
        <v>1</v>
      </c>
      <c r="M2204">
        <v>173.29</v>
      </c>
      <c r="N2204">
        <v>9</v>
      </c>
      <c r="O2204">
        <v>5</v>
      </c>
      <c r="P2204">
        <v>24636</v>
      </c>
      <c r="Q2204">
        <v>6915</v>
      </c>
      <c r="R2204">
        <v>408</v>
      </c>
      <c r="S2204">
        <v>7942</v>
      </c>
      <c r="T2204">
        <v>29</v>
      </c>
      <c r="U2204">
        <v>9342</v>
      </c>
      <c r="V2204" s="1">
        <f t="shared" si="102"/>
        <v>0.16689999999999999</v>
      </c>
      <c r="W2204" s="1">
        <f t="shared" si="103"/>
        <v>2.5000000000000001E-3</v>
      </c>
      <c r="X2204" s="1">
        <f t="shared" si="104"/>
        <v>1.4E-3</v>
      </c>
    </row>
    <row r="2205" spans="1:24" x14ac:dyDescent="0.25">
      <c r="A2205">
        <v>2009</v>
      </c>
      <c r="B2205">
        <v>4</v>
      </c>
      <c r="C2205" t="s">
        <v>35</v>
      </c>
      <c r="D2205" t="str">
        <f>_xlfn.XLOOKUP(C2205,'Carrier Name Rename'!A:A,'Carrier Name Rename'!B:B)</f>
        <v>JetBlue Airways</v>
      </c>
      <c r="E2205" t="s">
        <v>23</v>
      </c>
      <c r="F2205" t="s">
        <v>24</v>
      </c>
      <c r="G2205">
        <v>150</v>
      </c>
      <c r="H2205">
        <v>26</v>
      </c>
      <c r="I2205">
        <v>6.33</v>
      </c>
      <c r="J2205">
        <v>0.17</v>
      </c>
      <c r="K2205">
        <v>12.06</v>
      </c>
      <c r="L2205">
        <v>0</v>
      </c>
      <c r="M2205">
        <v>7.44</v>
      </c>
      <c r="N2205">
        <v>0</v>
      </c>
      <c r="O2205">
        <v>0</v>
      </c>
      <c r="P2205">
        <v>1312</v>
      </c>
      <c r="Q2205">
        <v>361</v>
      </c>
      <c r="R2205">
        <v>31</v>
      </c>
      <c r="S2205">
        <v>439</v>
      </c>
      <c r="T2205">
        <v>0</v>
      </c>
      <c r="U2205">
        <v>481</v>
      </c>
      <c r="V2205" s="1">
        <f t="shared" si="102"/>
        <v>0.17330000000000001</v>
      </c>
      <c r="W2205" s="1">
        <f t="shared" si="103"/>
        <v>0</v>
      </c>
      <c r="X2205" s="1">
        <f t="shared" si="104"/>
        <v>0</v>
      </c>
    </row>
    <row r="2206" spans="1:24" x14ac:dyDescent="0.25">
      <c r="A2206">
        <v>2009</v>
      </c>
      <c r="B2206">
        <v>4</v>
      </c>
      <c r="C2206" t="s">
        <v>65</v>
      </c>
      <c r="D2206" t="str">
        <f>_xlfn.XLOOKUP(C2206,'Carrier Name Rename'!A:A,'Carrier Name Rename'!B:B)</f>
        <v>Continental Air Lines Inc.</v>
      </c>
      <c r="E2206" t="s">
        <v>23</v>
      </c>
      <c r="F2206" t="s">
        <v>24</v>
      </c>
      <c r="G2206">
        <v>329</v>
      </c>
      <c r="H2206">
        <v>111</v>
      </c>
      <c r="I2206">
        <v>43.9</v>
      </c>
      <c r="J2206">
        <v>4.54</v>
      </c>
      <c r="K2206">
        <v>40.840000000000003</v>
      </c>
      <c r="L2206">
        <v>1.83</v>
      </c>
      <c r="M2206">
        <v>19.899999999999999</v>
      </c>
      <c r="N2206">
        <v>3</v>
      </c>
      <c r="O2206">
        <v>0</v>
      </c>
      <c r="P2206">
        <v>6089</v>
      </c>
      <c r="Q2206">
        <v>1901</v>
      </c>
      <c r="R2206">
        <v>735</v>
      </c>
      <c r="S2206">
        <v>1540</v>
      </c>
      <c r="T2206">
        <v>46</v>
      </c>
      <c r="U2206">
        <v>1867</v>
      </c>
      <c r="V2206" s="1">
        <f t="shared" si="102"/>
        <v>0.33739999999999998</v>
      </c>
      <c r="W2206" s="1">
        <f t="shared" si="103"/>
        <v>9.1000000000000004E-3</v>
      </c>
      <c r="X2206" s="1">
        <f t="shared" si="104"/>
        <v>0</v>
      </c>
    </row>
    <row r="2207" spans="1:24" x14ac:dyDescent="0.25">
      <c r="A2207">
        <v>2009</v>
      </c>
      <c r="B2207">
        <v>4</v>
      </c>
      <c r="C2207" t="s">
        <v>37</v>
      </c>
      <c r="D2207" t="str">
        <f>_xlfn.XLOOKUP(C2207,'Carrier Name Rename'!A:A,'Carrier Name Rename'!B:B)</f>
        <v>Delta Air Lines Inc.</v>
      </c>
      <c r="E2207" t="s">
        <v>23</v>
      </c>
      <c r="F2207" t="s">
        <v>24</v>
      </c>
      <c r="G2207">
        <v>429</v>
      </c>
      <c r="H2207">
        <v>93</v>
      </c>
      <c r="I2207">
        <v>26.78</v>
      </c>
      <c r="J2207">
        <v>2.13</v>
      </c>
      <c r="K2207">
        <v>50.81</v>
      </c>
      <c r="L2207">
        <v>0</v>
      </c>
      <c r="M2207">
        <v>13.28</v>
      </c>
      <c r="N2207">
        <v>2</v>
      </c>
      <c r="O2207">
        <v>0</v>
      </c>
      <c r="P2207">
        <v>4373</v>
      </c>
      <c r="Q2207">
        <v>1824</v>
      </c>
      <c r="R2207">
        <v>259</v>
      </c>
      <c r="S2207">
        <v>1534</v>
      </c>
      <c r="T2207">
        <v>0</v>
      </c>
      <c r="U2207">
        <v>756</v>
      </c>
      <c r="V2207" s="1">
        <f t="shared" si="102"/>
        <v>0.21679999999999999</v>
      </c>
      <c r="W2207" s="1">
        <f t="shared" si="103"/>
        <v>4.7000000000000002E-3</v>
      </c>
      <c r="X2207" s="1">
        <f t="shared" si="104"/>
        <v>0</v>
      </c>
    </row>
    <row r="2208" spans="1:24" x14ac:dyDescent="0.25">
      <c r="A2208">
        <v>2009</v>
      </c>
      <c r="B2208">
        <v>4</v>
      </c>
      <c r="C2208" t="s">
        <v>39</v>
      </c>
      <c r="D2208" t="str">
        <f>_xlfn.XLOOKUP(C2208,'Carrier Name Rename'!A:A,'Carrier Name Rename'!B:B)</f>
        <v>Frontier Airlines Inc.</v>
      </c>
      <c r="E2208" t="s">
        <v>23</v>
      </c>
      <c r="F2208" t="s">
        <v>24</v>
      </c>
      <c r="G2208">
        <v>120</v>
      </c>
      <c r="H2208">
        <v>31</v>
      </c>
      <c r="I2208">
        <v>12.13</v>
      </c>
      <c r="J2208">
        <v>0.74</v>
      </c>
      <c r="K2208">
        <v>7.86</v>
      </c>
      <c r="L2208">
        <v>0</v>
      </c>
      <c r="M2208">
        <v>10.27</v>
      </c>
      <c r="N2208">
        <v>0</v>
      </c>
      <c r="O2208">
        <v>0</v>
      </c>
      <c r="P2208">
        <v>1511</v>
      </c>
      <c r="Q2208">
        <v>377</v>
      </c>
      <c r="R2208">
        <v>77</v>
      </c>
      <c r="S2208">
        <v>422</v>
      </c>
      <c r="T2208">
        <v>0</v>
      </c>
      <c r="U2208">
        <v>635</v>
      </c>
      <c r="V2208" s="1">
        <f t="shared" si="102"/>
        <v>0.25829999999999997</v>
      </c>
      <c r="W2208" s="1">
        <f t="shared" si="103"/>
        <v>0</v>
      </c>
      <c r="X2208" s="1">
        <f t="shared" si="104"/>
        <v>0</v>
      </c>
    </row>
    <row r="2209" spans="1:24" x14ac:dyDescent="0.25">
      <c r="A2209">
        <v>2009</v>
      </c>
      <c r="B2209">
        <v>4</v>
      </c>
      <c r="C2209" t="s">
        <v>21</v>
      </c>
      <c r="D2209" t="str">
        <f>_xlfn.XLOOKUP(C2209,'Carrier Name Rename'!A:A,'Carrier Name Rename'!B:B)</f>
        <v>Hawaiian Airlines Inc.</v>
      </c>
      <c r="E2209" t="s">
        <v>23</v>
      </c>
      <c r="F2209" t="s">
        <v>24</v>
      </c>
      <c r="G2209">
        <v>72</v>
      </c>
      <c r="H2209">
        <v>21</v>
      </c>
      <c r="I2209">
        <v>17.82</v>
      </c>
      <c r="J2209">
        <v>0</v>
      </c>
      <c r="K2209">
        <v>0</v>
      </c>
      <c r="L2209">
        <v>0</v>
      </c>
      <c r="M2209">
        <v>3.18</v>
      </c>
      <c r="N2209">
        <v>0</v>
      </c>
      <c r="O2209">
        <v>0</v>
      </c>
      <c r="P2209">
        <v>717</v>
      </c>
      <c r="Q2209">
        <v>621</v>
      </c>
      <c r="R2209">
        <v>0</v>
      </c>
      <c r="S2209">
        <v>0</v>
      </c>
      <c r="T2209">
        <v>0</v>
      </c>
      <c r="U2209">
        <v>96</v>
      </c>
      <c r="V2209" s="1">
        <f t="shared" si="102"/>
        <v>0.29170000000000001</v>
      </c>
      <c r="W2209" s="1">
        <f t="shared" si="103"/>
        <v>0</v>
      </c>
      <c r="X2209" s="1">
        <f t="shared" si="104"/>
        <v>0</v>
      </c>
    </row>
    <row r="2210" spans="1:24" x14ac:dyDescent="0.25">
      <c r="A2210">
        <v>2009</v>
      </c>
      <c r="B2210">
        <v>4</v>
      </c>
      <c r="C2210" t="s">
        <v>67</v>
      </c>
      <c r="D2210" t="str">
        <f>_xlfn.XLOOKUP(C2210,'Carrier Name Rename'!A:A,'Carrier Name Rename'!B:B)</f>
        <v>Northwest Airlines Inc.</v>
      </c>
      <c r="E2210" t="s">
        <v>23</v>
      </c>
      <c r="F2210" t="s">
        <v>24</v>
      </c>
      <c r="G2210">
        <v>347</v>
      </c>
      <c r="H2210">
        <v>70</v>
      </c>
      <c r="I2210">
        <v>24.67</v>
      </c>
      <c r="J2210">
        <v>0</v>
      </c>
      <c r="K2210">
        <v>35.979999999999997</v>
      </c>
      <c r="L2210">
        <v>0</v>
      </c>
      <c r="M2210">
        <v>9.34</v>
      </c>
      <c r="N2210">
        <v>0</v>
      </c>
      <c r="O2210">
        <v>0</v>
      </c>
      <c r="P2210">
        <v>2690</v>
      </c>
      <c r="Q2210">
        <v>1217</v>
      </c>
      <c r="R2210">
        <v>0</v>
      </c>
      <c r="S2210">
        <v>910</v>
      </c>
      <c r="T2210">
        <v>0</v>
      </c>
      <c r="U2210">
        <v>563</v>
      </c>
      <c r="V2210" s="1">
        <f t="shared" si="102"/>
        <v>0.20169999999999999</v>
      </c>
      <c r="W2210" s="1">
        <f t="shared" si="103"/>
        <v>0</v>
      </c>
      <c r="X2210" s="1">
        <f t="shared" si="104"/>
        <v>0</v>
      </c>
    </row>
    <row r="2211" spans="1:24" x14ac:dyDescent="0.25">
      <c r="A2211">
        <v>2009</v>
      </c>
      <c r="B2211">
        <v>4</v>
      </c>
      <c r="C2211" t="s">
        <v>27</v>
      </c>
      <c r="D2211" t="str">
        <f>_xlfn.XLOOKUP(C2211,'Carrier Name Rename'!A:A,'Carrier Name Rename'!B:B)</f>
        <v>SkyWest Airlines Inc.</v>
      </c>
      <c r="E2211" t="s">
        <v>23</v>
      </c>
      <c r="F2211" t="s">
        <v>24</v>
      </c>
      <c r="G2211">
        <v>472</v>
      </c>
      <c r="H2211">
        <v>47</v>
      </c>
      <c r="I2211">
        <v>9.92</v>
      </c>
      <c r="J2211">
        <v>0</v>
      </c>
      <c r="K2211">
        <v>21.19</v>
      </c>
      <c r="L2211">
        <v>0</v>
      </c>
      <c r="M2211">
        <v>15.89</v>
      </c>
      <c r="N2211">
        <v>2</v>
      </c>
      <c r="O2211">
        <v>0</v>
      </c>
      <c r="P2211">
        <v>1680</v>
      </c>
      <c r="Q2211">
        <v>410</v>
      </c>
      <c r="R2211">
        <v>0</v>
      </c>
      <c r="S2211">
        <v>700</v>
      </c>
      <c r="T2211">
        <v>0</v>
      </c>
      <c r="U2211">
        <v>570</v>
      </c>
      <c r="V2211" s="1">
        <f t="shared" si="102"/>
        <v>9.9599999999999994E-2</v>
      </c>
      <c r="W2211" s="1">
        <f t="shared" si="103"/>
        <v>4.1999999999999997E-3</v>
      </c>
      <c r="X2211" s="1">
        <f t="shared" si="104"/>
        <v>0</v>
      </c>
    </row>
    <row r="2212" spans="1:24" x14ac:dyDescent="0.25">
      <c r="A2212">
        <v>2009</v>
      </c>
      <c r="B2212">
        <v>4</v>
      </c>
      <c r="C2212" t="s">
        <v>41</v>
      </c>
      <c r="D2212" t="str">
        <f>_xlfn.XLOOKUP(C2212,'Carrier Name Rename'!A:A,'Carrier Name Rename'!B:B)</f>
        <v>United Air Lines Inc.</v>
      </c>
      <c r="E2212" t="s">
        <v>23</v>
      </c>
      <c r="F2212" t="s">
        <v>24</v>
      </c>
      <c r="G2212">
        <v>588</v>
      </c>
      <c r="H2212">
        <v>123</v>
      </c>
      <c r="I2212">
        <v>31.97</v>
      </c>
      <c r="J2212">
        <v>4.1399999999999997</v>
      </c>
      <c r="K2212">
        <v>38.909999999999997</v>
      </c>
      <c r="L2212">
        <v>0</v>
      </c>
      <c r="M2212">
        <v>47.98</v>
      </c>
      <c r="N2212">
        <v>2</v>
      </c>
      <c r="O2212">
        <v>1</v>
      </c>
      <c r="P2212">
        <v>7309</v>
      </c>
      <c r="Q2212">
        <v>2450</v>
      </c>
      <c r="R2212">
        <v>365</v>
      </c>
      <c r="S2212">
        <v>1465</v>
      </c>
      <c r="T2212">
        <v>0</v>
      </c>
      <c r="U2212">
        <v>3029</v>
      </c>
      <c r="V2212" s="1">
        <f t="shared" si="102"/>
        <v>0.2092</v>
      </c>
      <c r="W2212" s="1">
        <f t="shared" si="103"/>
        <v>3.3999999999999998E-3</v>
      </c>
      <c r="X2212" s="1">
        <f t="shared" si="104"/>
        <v>1.6999999999999999E-3</v>
      </c>
    </row>
    <row r="2213" spans="1:24" x14ac:dyDescent="0.25">
      <c r="A2213">
        <v>2009</v>
      </c>
      <c r="B2213">
        <v>4</v>
      </c>
      <c r="C2213" t="s">
        <v>61</v>
      </c>
      <c r="D2213" t="str">
        <f>_xlfn.XLOOKUP(C2213,'Carrier Name Rename'!A:A,'Carrier Name Rename'!B:B)</f>
        <v>US Airways Inc.</v>
      </c>
      <c r="E2213" t="s">
        <v>23</v>
      </c>
      <c r="F2213" t="s">
        <v>24</v>
      </c>
      <c r="G2213">
        <v>291</v>
      </c>
      <c r="H2213">
        <v>76</v>
      </c>
      <c r="I2213">
        <v>20.51</v>
      </c>
      <c r="J2213">
        <v>0.1</v>
      </c>
      <c r="K2213">
        <v>40.04</v>
      </c>
      <c r="L2213">
        <v>0.09</v>
      </c>
      <c r="M2213">
        <v>15.28</v>
      </c>
      <c r="N2213">
        <v>1</v>
      </c>
      <c r="O2213">
        <v>0</v>
      </c>
      <c r="P2213">
        <v>2690</v>
      </c>
      <c r="Q2213">
        <v>828</v>
      </c>
      <c r="R2213">
        <v>4</v>
      </c>
      <c r="S2213">
        <v>1200</v>
      </c>
      <c r="T2213">
        <v>4</v>
      </c>
      <c r="U2213">
        <v>654</v>
      </c>
      <c r="V2213" s="1">
        <f t="shared" si="102"/>
        <v>0.26119999999999999</v>
      </c>
      <c r="W2213" s="1">
        <f t="shared" si="103"/>
        <v>3.3999999999999998E-3</v>
      </c>
      <c r="X2213" s="1">
        <f t="shared" si="104"/>
        <v>0</v>
      </c>
    </row>
    <row r="2214" spans="1:24" x14ac:dyDescent="0.25">
      <c r="A2214">
        <v>2009</v>
      </c>
      <c r="B2214">
        <v>4</v>
      </c>
      <c r="C2214" t="s">
        <v>43</v>
      </c>
      <c r="D2214" t="str">
        <f>_xlfn.XLOOKUP(C2214,'Carrier Name Rename'!A:A,'Carrier Name Rename'!B:B)</f>
        <v>Southwest Airlines Co.</v>
      </c>
      <c r="E2214" t="s">
        <v>23</v>
      </c>
      <c r="F2214" t="s">
        <v>24</v>
      </c>
      <c r="G2214">
        <v>1156</v>
      </c>
      <c r="H2214">
        <v>168</v>
      </c>
      <c r="I2214">
        <v>38.130000000000003</v>
      </c>
      <c r="J2214">
        <v>1.19</v>
      </c>
      <c r="K2214">
        <v>28.7</v>
      </c>
      <c r="L2214">
        <v>0.96</v>
      </c>
      <c r="M2214">
        <v>99.01</v>
      </c>
      <c r="N2214">
        <v>4</v>
      </c>
      <c r="O2214">
        <v>2</v>
      </c>
      <c r="P2214">
        <v>8032</v>
      </c>
      <c r="Q2214">
        <v>1505</v>
      </c>
      <c r="R2214">
        <v>161</v>
      </c>
      <c r="S2214">
        <v>1000</v>
      </c>
      <c r="T2214">
        <v>25</v>
      </c>
      <c r="U2214">
        <v>5341</v>
      </c>
      <c r="V2214" s="1">
        <f t="shared" si="102"/>
        <v>0.14530000000000001</v>
      </c>
      <c r="W2214" s="1">
        <f t="shared" si="103"/>
        <v>3.5000000000000001E-3</v>
      </c>
      <c r="X2214" s="1">
        <f t="shared" si="104"/>
        <v>1.6999999999999999E-3</v>
      </c>
    </row>
    <row r="2215" spans="1:24" x14ac:dyDescent="0.25">
      <c r="A2215">
        <v>2009</v>
      </c>
      <c r="B2215">
        <v>3</v>
      </c>
      <c r="C2215" t="s">
        <v>31</v>
      </c>
      <c r="D2215" t="str">
        <f>_xlfn.XLOOKUP(C2215,'Carrier Name Rename'!A:A,'Carrier Name Rename'!B:B)</f>
        <v>American Airlines Inc.</v>
      </c>
      <c r="E2215" t="s">
        <v>23</v>
      </c>
      <c r="F2215" t="s">
        <v>24</v>
      </c>
      <c r="G2215">
        <v>399</v>
      </c>
      <c r="H2215">
        <v>81</v>
      </c>
      <c r="I2215">
        <v>37.880000000000003</v>
      </c>
      <c r="J2215">
        <v>4.6399999999999997</v>
      </c>
      <c r="K2215">
        <v>21.81</v>
      </c>
      <c r="L2215">
        <v>0</v>
      </c>
      <c r="M2215">
        <v>16.66</v>
      </c>
      <c r="N2215">
        <v>2</v>
      </c>
      <c r="O2215">
        <v>1</v>
      </c>
      <c r="P2215">
        <v>4785</v>
      </c>
      <c r="Q2215">
        <v>2455</v>
      </c>
      <c r="R2215">
        <v>294</v>
      </c>
      <c r="S2215">
        <v>748</v>
      </c>
      <c r="T2215">
        <v>0</v>
      </c>
      <c r="U2215">
        <v>1288</v>
      </c>
      <c r="V2215" s="1">
        <f t="shared" si="102"/>
        <v>0.20300000000000001</v>
      </c>
      <c r="W2215" s="1">
        <f t="shared" si="103"/>
        <v>5.0000000000000001E-3</v>
      </c>
      <c r="X2215" s="1">
        <f t="shared" si="104"/>
        <v>2.5000000000000001E-3</v>
      </c>
    </row>
    <row r="2216" spans="1:24" x14ac:dyDescent="0.25">
      <c r="A2216">
        <v>2009</v>
      </c>
      <c r="B2216">
        <v>3</v>
      </c>
      <c r="C2216" t="s">
        <v>33</v>
      </c>
      <c r="D2216" t="str">
        <f>_xlfn.XLOOKUP(C2216,'Carrier Name Rename'!A:A,'Carrier Name Rename'!B:B)</f>
        <v>Alaska Airlines Inc.</v>
      </c>
      <c r="E2216" t="s">
        <v>23</v>
      </c>
      <c r="F2216" t="s">
        <v>24</v>
      </c>
      <c r="G2216">
        <v>3653</v>
      </c>
      <c r="H2216">
        <v>923</v>
      </c>
      <c r="I2216">
        <v>152.1</v>
      </c>
      <c r="J2216">
        <v>14.93</v>
      </c>
      <c r="K2216">
        <v>417.21</v>
      </c>
      <c r="L2216">
        <v>4.3899999999999997</v>
      </c>
      <c r="M2216">
        <v>334.38</v>
      </c>
      <c r="N2216">
        <v>54</v>
      </c>
      <c r="O2216">
        <v>3</v>
      </c>
      <c r="P2216">
        <v>43023</v>
      </c>
      <c r="Q2216">
        <v>10442</v>
      </c>
      <c r="R2216">
        <v>1677</v>
      </c>
      <c r="S2216">
        <v>11683</v>
      </c>
      <c r="T2216">
        <v>131</v>
      </c>
      <c r="U2216">
        <v>19090</v>
      </c>
      <c r="V2216" s="1">
        <f t="shared" si="102"/>
        <v>0.25269999999999998</v>
      </c>
      <c r="W2216" s="1">
        <f t="shared" si="103"/>
        <v>1.4800000000000001E-2</v>
      </c>
      <c r="X2216" s="1">
        <f t="shared" si="104"/>
        <v>8.0000000000000004E-4</v>
      </c>
    </row>
    <row r="2217" spans="1:24" x14ac:dyDescent="0.25">
      <c r="A2217">
        <v>2009</v>
      </c>
      <c r="B2217">
        <v>3</v>
      </c>
      <c r="C2217" t="s">
        <v>35</v>
      </c>
      <c r="D2217" t="str">
        <f>_xlfn.XLOOKUP(C2217,'Carrier Name Rename'!A:A,'Carrier Name Rename'!B:B)</f>
        <v>JetBlue Airways</v>
      </c>
      <c r="E2217" t="s">
        <v>23</v>
      </c>
      <c r="F2217" t="s">
        <v>24</v>
      </c>
      <c r="G2217">
        <v>155</v>
      </c>
      <c r="H2217">
        <v>21</v>
      </c>
      <c r="I2217">
        <v>2.79</v>
      </c>
      <c r="J2217">
        <v>0</v>
      </c>
      <c r="K2217">
        <v>12.97</v>
      </c>
      <c r="L2217">
        <v>0</v>
      </c>
      <c r="M2217">
        <v>5.23</v>
      </c>
      <c r="N2217">
        <v>1</v>
      </c>
      <c r="O2217">
        <v>0</v>
      </c>
      <c r="P2217">
        <v>905</v>
      </c>
      <c r="Q2217">
        <v>151</v>
      </c>
      <c r="R2217">
        <v>0</v>
      </c>
      <c r="S2217">
        <v>421</v>
      </c>
      <c r="T2217">
        <v>0</v>
      </c>
      <c r="U2217">
        <v>333</v>
      </c>
      <c r="V2217" s="1">
        <f t="shared" si="102"/>
        <v>0.13550000000000001</v>
      </c>
      <c r="W2217" s="1">
        <f t="shared" si="103"/>
        <v>6.4999999999999997E-3</v>
      </c>
      <c r="X2217" s="1">
        <f t="shared" si="104"/>
        <v>0</v>
      </c>
    </row>
    <row r="2218" spans="1:24" x14ac:dyDescent="0.25">
      <c r="A2218">
        <v>2009</v>
      </c>
      <c r="B2218">
        <v>3</v>
      </c>
      <c r="C2218" t="s">
        <v>65</v>
      </c>
      <c r="D2218" t="str">
        <f>_xlfn.XLOOKUP(C2218,'Carrier Name Rename'!A:A,'Carrier Name Rename'!B:B)</f>
        <v>Continental Air Lines Inc.</v>
      </c>
      <c r="E2218" t="s">
        <v>23</v>
      </c>
      <c r="F2218" t="s">
        <v>24</v>
      </c>
      <c r="G2218">
        <v>350</v>
      </c>
      <c r="H2218">
        <v>119</v>
      </c>
      <c r="I2218">
        <v>41.1</v>
      </c>
      <c r="J2218">
        <v>6.89</v>
      </c>
      <c r="K2218">
        <v>48.66</v>
      </c>
      <c r="L2218">
        <v>0.71</v>
      </c>
      <c r="M2218">
        <v>21.64</v>
      </c>
      <c r="N2218">
        <v>10</v>
      </c>
      <c r="O2218">
        <v>0</v>
      </c>
      <c r="P2218">
        <v>5651</v>
      </c>
      <c r="Q2218">
        <v>1788</v>
      </c>
      <c r="R2218">
        <v>922</v>
      </c>
      <c r="S2218">
        <v>1767</v>
      </c>
      <c r="T2218">
        <v>37</v>
      </c>
      <c r="U2218">
        <v>1137</v>
      </c>
      <c r="V2218" s="1">
        <f t="shared" si="102"/>
        <v>0.34</v>
      </c>
      <c r="W2218" s="1">
        <f t="shared" si="103"/>
        <v>2.86E-2</v>
      </c>
      <c r="X2218" s="1">
        <f t="shared" si="104"/>
        <v>0</v>
      </c>
    </row>
    <row r="2219" spans="1:24" x14ac:dyDescent="0.25">
      <c r="A2219">
        <v>2009</v>
      </c>
      <c r="B2219">
        <v>3</v>
      </c>
      <c r="C2219" t="s">
        <v>37</v>
      </c>
      <c r="D2219" t="str">
        <f>_xlfn.XLOOKUP(C2219,'Carrier Name Rename'!A:A,'Carrier Name Rename'!B:B)</f>
        <v>Delta Air Lines Inc.</v>
      </c>
      <c r="E2219" t="s">
        <v>23</v>
      </c>
      <c r="F2219" t="s">
        <v>24</v>
      </c>
      <c r="G2219">
        <v>384</v>
      </c>
      <c r="H2219">
        <v>67</v>
      </c>
      <c r="I2219">
        <v>19.09</v>
      </c>
      <c r="J2219">
        <v>4.4000000000000004</v>
      </c>
      <c r="K2219">
        <v>26.63</v>
      </c>
      <c r="L2219">
        <v>0</v>
      </c>
      <c r="M2219">
        <v>16.87</v>
      </c>
      <c r="N2219">
        <v>3</v>
      </c>
      <c r="O2219">
        <v>0</v>
      </c>
      <c r="P2219">
        <v>3719</v>
      </c>
      <c r="Q2219">
        <v>1320</v>
      </c>
      <c r="R2219">
        <v>392</v>
      </c>
      <c r="S2219">
        <v>1158</v>
      </c>
      <c r="T2219">
        <v>0</v>
      </c>
      <c r="U2219">
        <v>849</v>
      </c>
      <c r="V2219" s="1">
        <f t="shared" si="102"/>
        <v>0.17449999999999999</v>
      </c>
      <c r="W2219" s="1">
        <f t="shared" si="103"/>
        <v>7.7999999999999996E-3</v>
      </c>
      <c r="X2219" s="1">
        <f t="shared" si="104"/>
        <v>0</v>
      </c>
    </row>
    <row r="2220" spans="1:24" x14ac:dyDescent="0.25">
      <c r="A2220">
        <v>2009</v>
      </c>
      <c r="B2220">
        <v>3</v>
      </c>
      <c r="C2220" t="s">
        <v>39</v>
      </c>
      <c r="D2220" t="str">
        <f>_xlfn.XLOOKUP(C2220,'Carrier Name Rename'!A:A,'Carrier Name Rename'!B:B)</f>
        <v>Frontier Airlines Inc.</v>
      </c>
      <c r="E2220" t="s">
        <v>23</v>
      </c>
      <c r="F2220" t="s">
        <v>24</v>
      </c>
      <c r="G2220">
        <v>124</v>
      </c>
      <c r="H2220">
        <v>27</v>
      </c>
      <c r="I2220">
        <v>6.51</v>
      </c>
      <c r="J2220">
        <v>0.22</v>
      </c>
      <c r="K2220">
        <v>11.24</v>
      </c>
      <c r="L2220">
        <v>0</v>
      </c>
      <c r="M2220">
        <v>9.0299999999999994</v>
      </c>
      <c r="N2220">
        <v>1</v>
      </c>
      <c r="O2220">
        <v>0</v>
      </c>
      <c r="P2220">
        <v>1304</v>
      </c>
      <c r="Q2220">
        <v>162</v>
      </c>
      <c r="R2220">
        <v>30</v>
      </c>
      <c r="S2220">
        <v>450</v>
      </c>
      <c r="T2220">
        <v>0</v>
      </c>
      <c r="U2220">
        <v>662</v>
      </c>
      <c r="V2220" s="1">
        <f t="shared" si="102"/>
        <v>0.2177</v>
      </c>
      <c r="W2220" s="1">
        <f t="shared" si="103"/>
        <v>8.0999999999999996E-3</v>
      </c>
      <c r="X2220" s="1">
        <f t="shared" si="104"/>
        <v>0</v>
      </c>
    </row>
    <row r="2221" spans="1:24" x14ac:dyDescent="0.25">
      <c r="A2221">
        <v>2009</v>
      </c>
      <c r="B2221">
        <v>3</v>
      </c>
      <c r="C2221" t="s">
        <v>21</v>
      </c>
      <c r="D2221" t="str">
        <f>_xlfn.XLOOKUP(C2221,'Carrier Name Rename'!A:A,'Carrier Name Rename'!B:B)</f>
        <v>Hawaiian Airlines Inc.</v>
      </c>
      <c r="E2221" t="s">
        <v>23</v>
      </c>
      <c r="F2221" t="s">
        <v>24</v>
      </c>
      <c r="G2221">
        <v>75</v>
      </c>
      <c r="H2221">
        <v>30</v>
      </c>
      <c r="I2221">
        <v>29.15</v>
      </c>
      <c r="J2221">
        <v>0</v>
      </c>
      <c r="K2221">
        <v>0</v>
      </c>
      <c r="L2221">
        <v>0</v>
      </c>
      <c r="M2221">
        <v>0.85</v>
      </c>
      <c r="N2221">
        <v>0</v>
      </c>
      <c r="O2221">
        <v>0</v>
      </c>
      <c r="P2221">
        <v>869</v>
      </c>
      <c r="Q2221">
        <v>851</v>
      </c>
      <c r="R2221">
        <v>0</v>
      </c>
      <c r="S2221">
        <v>0</v>
      </c>
      <c r="T2221">
        <v>0</v>
      </c>
      <c r="U2221">
        <v>18</v>
      </c>
      <c r="V2221" s="1">
        <f t="shared" si="102"/>
        <v>0.4</v>
      </c>
      <c r="W2221" s="1">
        <f t="shared" si="103"/>
        <v>0</v>
      </c>
      <c r="X2221" s="1">
        <f t="shared" si="104"/>
        <v>0</v>
      </c>
    </row>
    <row r="2222" spans="1:24" x14ac:dyDescent="0.25">
      <c r="A2222">
        <v>2009</v>
      </c>
      <c r="B2222">
        <v>3</v>
      </c>
      <c r="C2222" t="s">
        <v>67</v>
      </c>
      <c r="D2222" t="str">
        <f>_xlfn.XLOOKUP(C2222,'Carrier Name Rename'!A:A,'Carrier Name Rename'!B:B)</f>
        <v>Northwest Airlines Inc.</v>
      </c>
      <c r="E2222" t="s">
        <v>23</v>
      </c>
      <c r="F2222" t="s">
        <v>24</v>
      </c>
      <c r="G2222">
        <v>363</v>
      </c>
      <c r="H2222">
        <v>108</v>
      </c>
      <c r="I2222">
        <v>34.159999999999997</v>
      </c>
      <c r="J2222">
        <v>0.86</v>
      </c>
      <c r="K2222">
        <v>65.459999999999994</v>
      </c>
      <c r="L2222">
        <v>0</v>
      </c>
      <c r="M2222">
        <v>7.52</v>
      </c>
      <c r="N2222">
        <v>0</v>
      </c>
      <c r="O2222">
        <v>1</v>
      </c>
      <c r="P2222">
        <v>5186</v>
      </c>
      <c r="Q2222">
        <v>2997</v>
      </c>
      <c r="R2222">
        <v>39</v>
      </c>
      <c r="S2222">
        <v>1801</v>
      </c>
      <c r="T2222">
        <v>0</v>
      </c>
      <c r="U2222">
        <v>349</v>
      </c>
      <c r="V2222" s="1">
        <f t="shared" si="102"/>
        <v>0.29749999999999999</v>
      </c>
      <c r="W2222" s="1">
        <f t="shared" si="103"/>
        <v>0</v>
      </c>
      <c r="X2222" s="1">
        <f t="shared" si="104"/>
        <v>2.8E-3</v>
      </c>
    </row>
    <row r="2223" spans="1:24" x14ac:dyDescent="0.25">
      <c r="A2223">
        <v>2009</v>
      </c>
      <c r="B2223">
        <v>3</v>
      </c>
      <c r="C2223" t="s">
        <v>27</v>
      </c>
      <c r="D2223" t="str">
        <f>_xlfn.XLOOKUP(C2223,'Carrier Name Rename'!A:A,'Carrier Name Rename'!B:B)</f>
        <v>SkyWest Airlines Inc.</v>
      </c>
      <c r="E2223" t="s">
        <v>23</v>
      </c>
      <c r="F2223" t="s">
        <v>24</v>
      </c>
      <c r="G2223">
        <v>481</v>
      </c>
      <c r="H2223">
        <v>41</v>
      </c>
      <c r="I2223">
        <v>10.96</v>
      </c>
      <c r="J2223">
        <v>0</v>
      </c>
      <c r="K2223">
        <v>18.53</v>
      </c>
      <c r="L2223">
        <v>0.46</v>
      </c>
      <c r="M2223">
        <v>11.05</v>
      </c>
      <c r="N2223">
        <v>2</v>
      </c>
      <c r="O2223">
        <v>0</v>
      </c>
      <c r="P2223">
        <v>1257</v>
      </c>
      <c r="Q2223">
        <v>416</v>
      </c>
      <c r="R2223">
        <v>0</v>
      </c>
      <c r="S2223">
        <v>431</v>
      </c>
      <c r="T2223">
        <v>12</v>
      </c>
      <c r="U2223">
        <v>398</v>
      </c>
      <c r="V2223" s="1">
        <f t="shared" si="102"/>
        <v>8.5199999999999998E-2</v>
      </c>
      <c r="W2223" s="1">
        <f t="shared" si="103"/>
        <v>4.1999999999999997E-3</v>
      </c>
      <c r="X2223" s="1">
        <f t="shared" si="104"/>
        <v>0</v>
      </c>
    </row>
    <row r="2224" spans="1:24" x14ac:dyDescent="0.25">
      <c r="A2224">
        <v>2009</v>
      </c>
      <c r="B2224">
        <v>3</v>
      </c>
      <c r="C2224" t="s">
        <v>41</v>
      </c>
      <c r="D2224" t="str">
        <f>_xlfn.XLOOKUP(C2224,'Carrier Name Rename'!A:A,'Carrier Name Rename'!B:B)</f>
        <v>United Air Lines Inc.</v>
      </c>
      <c r="E2224" t="s">
        <v>23</v>
      </c>
      <c r="F2224" t="s">
        <v>24</v>
      </c>
      <c r="G2224">
        <v>620</v>
      </c>
      <c r="H2224">
        <v>96</v>
      </c>
      <c r="I2224">
        <v>30.62</v>
      </c>
      <c r="J2224">
        <v>0.85</v>
      </c>
      <c r="K2224">
        <v>29.91</v>
      </c>
      <c r="L2224">
        <v>0</v>
      </c>
      <c r="M2224">
        <v>34.619999999999997</v>
      </c>
      <c r="N2224">
        <v>9</v>
      </c>
      <c r="O2224">
        <v>1</v>
      </c>
      <c r="P2224">
        <v>4035</v>
      </c>
      <c r="Q2224">
        <v>1553</v>
      </c>
      <c r="R2224">
        <v>67</v>
      </c>
      <c r="S2224">
        <v>821</v>
      </c>
      <c r="T2224">
        <v>0</v>
      </c>
      <c r="U2224">
        <v>1594</v>
      </c>
      <c r="V2224" s="1">
        <f t="shared" si="102"/>
        <v>0.15479999999999999</v>
      </c>
      <c r="W2224" s="1">
        <f t="shared" si="103"/>
        <v>1.4500000000000001E-2</v>
      </c>
      <c r="X2224" s="1">
        <f t="shared" si="104"/>
        <v>1.6000000000000001E-3</v>
      </c>
    </row>
    <row r="2225" spans="1:24" x14ac:dyDescent="0.25">
      <c r="A2225">
        <v>2009</v>
      </c>
      <c r="B2225">
        <v>3</v>
      </c>
      <c r="C2225" t="s">
        <v>61</v>
      </c>
      <c r="D2225" t="str">
        <f>_xlfn.XLOOKUP(C2225,'Carrier Name Rename'!A:A,'Carrier Name Rename'!B:B)</f>
        <v>US Airways Inc.</v>
      </c>
      <c r="E2225" t="s">
        <v>23</v>
      </c>
      <c r="F2225" t="s">
        <v>24</v>
      </c>
      <c r="G2225">
        <v>304</v>
      </c>
      <c r="H2225">
        <v>74</v>
      </c>
      <c r="I2225">
        <v>23.88</v>
      </c>
      <c r="J2225">
        <v>0</v>
      </c>
      <c r="K2225">
        <v>35.53</v>
      </c>
      <c r="L2225">
        <v>0.13</v>
      </c>
      <c r="M2225">
        <v>14.46</v>
      </c>
      <c r="N2225">
        <v>0</v>
      </c>
      <c r="O2225">
        <v>0</v>
      </c>
      <c r="P2225">
        <v>3193</v>
      </c>
      <c r="Q2225">
        <v>1277</v>
      </c>
      <c r="R2225">
        <v>0</v>
      </c>
      <c r="S2225">
        <v>1216</v>
      </c>
      <c r="T2225">
        <v>3</v>
      </c>
      <c r="U2225">
        <v>697</v>
      </c>
      <c r="V2225" s="1">
        <f t="shared" si="102"/>
        <v>0.24340000000000001</v>
      </c>
      <c r="W2225" s="1">
        <f t="shared" si="103"/>
        <v>0</v>
      </c>
      <c r="X2225" s="1">
        <f t="shared" si="104"/>
        <v>0</v>
      </c>
    </row>
    <row r="2226" spans="1:24" x14ac:dyDescent="0.25">
      <c r="A2226">
        <v>2009</v>
      </c>
      <c r="B2226">
        <v>3</v>
      </c>
      <c r="C2226" t="s">
        <v>43</v>
      </c>
      <c r="D2226" t="str">
        <f>_xlfn.XLOOKUP(C2226,'Carrier Name Rename'!A:A,'Carrier Name Rename'!B:B)</f>
        <v>Southwest Airlines Co.</v>
      </c>
      <c r="E2226" t="s">
        <v>23</v>
      </c>
      <c r="F2226" t="s">
        <v>24</v>
      </c>
      <c r="G2226">
        <v>1194</v>
      </c>
      <c r="H2226">
        <v>183</v>
      </c>
      <c r="I2226">
        <v>46.45</v>
      </c>
      <c r="J2226">
        <v>2.2000000000000002</v>
      </c>
      <c r="K2226">
        <v>45.36</v>
      </c>
      <c r="L2226">
        <v>0.99</v>
      </c>
      <c r="M2226">
        <v>88</v>
      </c>
      <c r="N2226">
        <v>3</v>
      </c>
      <c r="O2226">
        <v>0</v>
      </c>
      <c r="P2226">
        <v>7709</v>
      </c>
      <c r="Q2226">
        <v>1772</v>
      </c>
      <c r="R2226">
        <v>128</v>
      </c>
      <c r="S2226">
        <v>1232</v>
      </c>
      <c r="T2226">
        <v>60</v>
      </c>
      <c r="U2226">
        <v>4517</v>
      </c>
      <c r="V2226" s="1">
        <f t="shared" si="102"/>
        <v>0.15329999999999999</v>
      </c>
      <c r="W2226" s="1">
        <f t="shared" si="103"/>
        <v>2.5000000000000001E-3</v>
      </c>
      <c r="X2226" s="1">
        <f t="shared" si="104"/>
        <v>0</v>
      </c>
    </row>
    <row r="2227" spans="1:24" x14ac:dyDescent="0.25">
      <c r="A2227">
        <v>2009</v>
      </c>
      <c r="B2227">
        <v>2</v>
      </c>
      <c r="C2227" t="s">
        <v>31</v>
      </c>
      <c r="D2227" t="str">
        <f>_xlfn.XLOOKUP(C2227,'Carrier Name Rename'!A:A,'Carrier Name Rename'!B:B)</f>
        <v>American Airlines Inc.</v>
      </c>
      <c r="E2227" t="s">
        <v>23</v>
      </c>
      <c r="F2227" t="s">
        <v>24</v>
      </c>
      <c r="G2227">
        <v>360</v>
      </c>
      <c r="H2227">
        <v>62</v>
      </c>
      <c r="I2227">
        <v>33.46</v>
      </c>
      <c r="J2227">
        <v>2.37</v>
      </c>
      <c r="K2227">
        <v>11.63</v>
      </c>
      <c r="L2227">
        <v>0</v>
      </c>
      <c r="M2227">
        <v>14.55</v>
      </c>
      <c r="N2227">
        <v>4</v>
      </c>
      <c r="O2227">
        <v>2</v>
      </c>
      <c r="P2227">
        <v>3305</v>
      </c>
      <c r="Q2227">
        <v>2152</v>
      </c>
      <c r="R2227">
        <v>112</v>
      </c>
      <c r="S2227">
        <v>334</v>
      </c>
      <c r="T2227">
        <v>0</v>
      </c>
      <c r="U2227">
        <v>707</v>
      </c>
      <c r="V2227" s="1">
        <f t="shared" si="102"/>
        <v>0.17219999999999999</v>
      </c>
      <c r="W2227" s="1">
        <f t="shared" si="103"/>
        <v>1.11E-2</v>
      </c>
      <c r="X2227" s="1">
        <f t="shared" si="104"/>
        <v>5.5999999999999999E-3</v>
      </c>
    </row>
    <row r="2228" spans="1:24" x14ac:dyDescent="0.25">
      <c r="A2228">
        <v>2009</v>
      </c>
      <c r="B2228">
        <v>2</v>
      </c>
      <c r="C2228" t="s">
        <v>33</v>
      </c>
      <c r="D2228" t="str">
        <f>_xlfn.XLOOKUP(C2228,'Carrier Name Rename'!A:A,'Carrier Name Rename'!B:B)</f>
        <v>Alaska Airlines Inc.</v>
      </c>
      <c r="E2228" t="s">
        <v>23</v>
      </c>
      <c r="F2228" t="s">
        <v>24</v>
      </c>
      <c r="G2228">
        <v>3287</v>
      </c>
      <c r="H2228">
        <v>617</v>
      </c>
      <c r="I2228">
        <v>130.86000000000001</v>
      </c>
      <c r="J2228">
        <v>8.77</v>
      </c>
      <c r="K2228">
        <v>223.49</v>
      </c>
      <c r="L2228">
        <v>5.09</v>
      </c>
      <c r="M2228">
        <v>248.79</v>
      </c>
      <c r="N2228">
        <v>19</v>
      </c>
      <c r="O2228">
        <v>5</v>
      </c>
      <c r="P2228">
        <v>30029</v>
      </c>
      <c r="Q2228">
        <v>9039</v>
      </c>
      <c r="R2228">
        <v>420</v>
      </c>
      <c r="S2228">
        <v>6504</v>
      </c>
      <c r="T2228">
        <v>221</v>
      </c>
      <c r="U2228">
        <v>13845</v>
      </c>
      <c r="V2228" s="1">
        <f t="shared" si="102"/>
        <v>0.18770000000000001</v>
      </c>
      <c r="W2228" s="1">
        <f t="shared" si="103"/>
        <v>5.7999999999999996E-3</v>
      </c>
      <c r="X2228" s="1">
        <f t="shared" si="104"/>
        <v>1.5E-3</v>
      </c>
    </row>
    <row r="2229" spans="1:24" x14ac:dyDescent="0.25">
      <c r="A2229">
        <v>2009</v>
      </c>
      <c r="B2229">
        <v>2</v>
      </c>
      <c r="C2229" t="s">
        <v>35</v>
      </c>
      <c r="D2229" t="str">
        <f>_xlfn.XLOOKUP(C2229,'Carrier Name Rename'!A:A,'Carrier Name Rename'!B:B)</f>
        <v>JetBlue Airways</v>
      </c>
      <c r="E2229" t="s">
        <v>23</v>
      </c>
      <c r="F2229" t="s">
        <v>24</v>
      </c>
      <c r="G2229">
        <v>140</v>
      </c>
      <c r="H2229">
        <v>14</v>
      </c>
      <c r="I2229">
        <v>1.75</v>
      </c>
      <c r="J2229">
        <v>0</v>
      </c>
      <c r="K2229">
        <v>2.46</v>
      </c>
      <c r="L2229">
        <v>0</v>
      </c>
      <c r="M2229">
        <v>9.7899999999999991</v>
      </c>
      <c r="N2229">
        <v>0</v>
      </c>
      <c r="O2229">
        <v>0</v>
      </c>
      <c r="P2229">
        <v>500</v>
      </c>
      <c r="Q2229">
        <v>48</v>
      </c>
      <c r="R2229">
        <v>0</v>
      </c>
      <c r="S2229">
        <v>87</v>
      </c>
      <c r="T2229">
        <v>0</v>
      </c>
      <c r="U2229">
        <v>365</v>
      </c>
      <c r="V2229" s="1">
        <f t="shared" si="102"/>
        <v>0.1</v>
      </c>
      <c r="W2229" s="1">
        <f t="shared" si="103"/>
        <v>0</v>
      </c>
      <c r="X2229" s="1">
        <f t="shared" si="104"/>
        <v>0</v>
      </c>
    </row>
    <row r="2230" spans="1:24" x14ac:dyDescent="0.25">
      <c r="A2230">
        <v>2009</v>
      </c>
      <c r="B2230">
        <v>2</v>
      </c>
      <c r="C2230" t="s">
        <v>65</v>
      </c>
      <c r="D2230" t="str">
        <f>_xlfn.XLOOKUP(C2230,'Carrier Name Rename'!A:A,'Carrier Name Rename'!B:B)</f>
        <v>Continental Air Lines Inc.</v>
      </c>
      <c r="E2230" t="s">
        <v>23</v>
      </c>
      <c r="F2230" t="s">
        <v>24</v>
      </c>
      <c r="G2230">
        <v>274</v>
      </c>
      <c r="H2230">
        <v>65</v>
      </c>
      <c r="I2230">
        <v>23.1</v>
      </c>
      <c r="J2230">
        <v>1.22</v>
      </c>
      <c r="K2230">
        <v>31.39</v>
      </c>
      <c r="L2230">
        <v>0.44</v>
      </c>
      <c r="M2230">
        <v>8.84</v>
      </c>
      <c r="N2230">
        <v>4</v>
      </c>
      <c r="O2230">
        <v>0</v>
      </c>
      <c r="P2230">
        <v>2457</v>
      </c>
      <c r="Q2230">
        <v>903</v>
      </c>
      <c r="R2230">
        <v>60</v>
      </c>
      <c r="S2230">
        <v>1046</v>
      </c>
      <c r="T2230">
        <v>8</v>
      </c>
      <c r="U2230">
        <v>440</v>
      </c>
      <c r="V2230" s="1">
        <f t="shared" si="102"/>
        <v>0.23719999999999999</v>
      </c>
      <c r="W2230" s="1">
        <f t="shared" si="103"/>
        <v>1.46E-2</v>
      </c>
      <c r="X2230" s="1">
        <f t="shared" si="104"/>
        <v>0</v>
      </c>
    </row>
    <row r="2231" spans="1:24" x14ac:dyDescent="0.25">
      <c r="A2231">
        <v>2009</v>
      </c>
      <c r="B2231">
        <v>2</v>
      </c>
      <c r="C2231" t="s">
        <v>37</v>
      </c>
      <c r="D2231" t="str">
        <f>_xlfn.XLOOKUP(C2231,'Carrier Name Rename'!A:A,'Carrier Name Rename'!B:B)</f>
        <v>Delta Air Lines Inc.</v>
      </c>
      <c r="E2231" t="s">
        <v>23</v>
      </c>
      <c r="F2231" t="s">
        <v>24</v>
      </c>
      <c r="G2231">
        <v>354</v>
      </c>
      <c r="H2231">
        <v>41</v>
      </c>
      <c r="I2231">
        <v>8.94</v>
      </c>
      <c r="J2231">
        <v>0.95</v>
      </c>
      <c r="K2231">
        <v>22.62</v>
      </c>
      <c r="L2231">
        <v>0</v>
      </c>
      <c r="M2231">
        <v>8.49</v>
      </c>
      <c r="N2231">
        <v>0</v>
      </c>
      <c r="O2231">
        <v>2</v>
      </c>
      <c r="P2231">
        <v>1603</v>
      </c>
      <c r="Q2231">
        <v>255</v>
      </c>
      <c r="R2231">
        <v>310</v>
      </c>
      <c r="S2231">
        <v>690</v>
      </c>
      <c r="T2231">
        <v>0</v>
      </c>
      <c r="U2231">
        <v>348</v>
      </c>
      <c r="V2231" s="1">
        <f t="shared" si="102"/>
        <v>0.1158</v>
      </c>
      <c r="W2231" s="1">
        <f t="shared" si="103"/>
        <v>0</v>
      </c>
      <c r="X2231" s="1">
        <f t="shared" si="104"/>
        <v>5.5999999999999999E-3</v>
      </c>
    </row>
    <row r="2232" spans="1:24" x14ac:dyDescent="0.25">
      <c r="A2232">
        <v>2009</v>
      </c>
      <c r="B2232">
        <v>2</v>
      </c>
      <c r="C2232" t="s">
        <v>39</v>
      </c>
      <c r="D2232" t="str">
        <f>_xlfn.XLOOKUP(C2232,'Carrier Name Rename'!A:A,'Carrier Name Rename'!B:B)</f>
        <v>Frontier Airlines Inc.</v>
      </c>
      <c r="E2232" t="s">
        <v>23</v>
      </c>
      <c r="F2232" t="s">
        <v>24</v>
      </c>
      <c r="G2232">
        <v>108</v>
      </c>
      <c r="H2232">
        <v>16</v>
      </c>
      <c r="I2232">
        <v>7.84</v>
      </c>
      <c r="J2232">
        <v>0</v>
      </c>
      <c r="K2232">
        <v>6.76</v>
      </c>
      <c r="L2232">
        <v>0</v>
      </c>
      <c r="M2232">
        <v>1.4</v>
      </c>
      <c r="N2232">
        <v>0</v>
      </c>
      <c r="O2232">
        <v>0</v>
      </c>
      <c r="P2232">
        <v>725</v>
      </c>
      <c r="Q2232">
        <v>336</v>
      </c>
      <c r="R2232">
        <v>0</v>
      </c>
      <c r="S2232">
        <v>210</v>
      </c>
      <c r="T2232">
        <v>0</v>
      </c>
      <c r="U2232">
        <v>179</v>
      </c>
      <c r="V2232" s="1">
        <f t="shared" si="102"/>
        <v>0.14810000000000001</v>
      </c>
      <c r="W2232" s="1">
        <f t="shared" si="103"/>
        <v>0</v>
      </c>
      <c r="X2232" s="1">
        <f t="shared" si="104"/>
        <v>0</v>
      </c>
    </row>
    <row r="2233" spans="1:24" x14ac:dyDescent="0.25">
      <c r="A2233">
        <v>2009</v>
      </c>
      <c r="B2233">
        <v>2</v>
      </c>
      <c r="C2233" t="s">
        <v>21</v>
      </c>
      <c r="D2233" t="str">
        <f>_xlfn.XLOOKUP(C2233,'Carrier Name Rename'!A:A,'Carrier Name Rename'!B:B)</f>
        <v>Hawaiian Airlines Inc.</v>
      </c>
      <c r="E2233" t="s">
        <v>23</v>
      </c>
      <c r="F2233" t="s">
        <v>24</v>
      </c>
      <c r="G2233">
        <v>81</v>
      </c>
      <c r="H2233">
        <v>37</v>
      </c>
      <c r="I2233">
        <v>31.77</v>
      </c>
      <c r="J2233">
        <v>0</v>
      </c>
      <c r="K2233">
        <v>0</v>
      </c>
      <c r="L2233">
        <v>0</v>
      </c>
      <c r="M2233">
        <v>5.23</v>
      </c>
      <c r="N2233">
        <v>0</v>
      </c>
      <c r="O2233">
        <v>0</v>
      </c>
      <c r="P2233">
        <v>1994</v>
      </c>
      <c r="Q2233">
        <v>1555</v>
      </c>
      <c r="R2233">
        <v>0</v>
      </c>
      <c r="S2233">
        <v>0</v>
      </c>
      <c r="T2233">
        <v>0</v>
      </c>
      <c r="U2233">
        <v>439</v>
      </c>
      <c r="V2233" s="1">
        <f t="shared" si="102"/>
        <v>0.45679999999999998</v>
      </c>
      <c r="W2233" s="1">
        <f t="shared" si="103"/>
        <v>0</v>
      </c>
      <c r="X2233" s="1">
        <f t="shared" si="104"/>
        <v>0</v>
      </c>
    </row>
    <row r="2234" spans="1:24" x14ac:dyDescent="0.25">
      <c r="A2234">
        <v>2009</v>
      </c>
      <c r="B2234">
        <v>2</v>
      </c>
      <c r="C2234" t="s">
        <v>67</v>
      </c>
      <c r="D2234" t="str">
        <f>_xlfn.XLOOKUP(C2234,'Carrier Name Rename'!A:A,'Carrier Name Rename'!B:B)</f>
        <v>Northwest Airlines Inc.</v>
      </c>
      <c r="E2234" t="s">
        <v>23</v>
      </c>
      <c r="F2234" t="s">
        <v>24</v>
      </c>
      <c r="G2234">
        <v>321</v>
      </c>
      <c r="H2234">
        <v>78</v>
      </c>
      <c r="I2234">
        <v>24.43</v>
      </c>
      <c r="J2234">
        <v>0.7</v>
      </c>
      <c r="K2234">
        <v>48.09</v>
      </c>
      <c r="L2234">
        <v>0</v>
      </c>
      <c r="M2234">
        <v>4.78</v>
      </c>
      <c r="N2234">
        <v>1</v>
      </c>
      <c r="O2234">
        <v>1</v>
      </c>
      <c r="P2234">
        <v>3613</v>
      </c>
      <c r="Q2234">
        <v>1923</v>
      </c>
      <c r="R2234">
        <v>111</v>
      </c>
      <c r="S2234">
        <v>1313</v>
      </c>
      <c r="T2234">
        <v>0</v>
      </c>
      <c r="U2234">
        <v>266</v>
      </c>
      <c r="V2234" s="1">
        <f t="shared" si="102"/>
        <v>0.24299999999999999</v>
      </c>
      <c r="W2234" s="1">
        <f t="shared" si="103"/>
        <v>3.0999999999999999E-3</v>
      </c>
      <c r="X2234" s="1">
        <f t="shared" si="104"/>
        <v>3.0999999999999999E-3</v>
      </c>
    </row>
    <row r="2235" spans="1:24" x14ac:dyDescent="0.25">
      <c r="A2235">
        <v>2009</v>
      </c>
      <c r="B2235">
        <v>2</v>
      </c>
      <c r="C2235" t="s">
        <v>27</v>
      </c>
      <c r="D2235" t="str">
        <f>_xlfn.XLOOKUP(C2235,'Carrier Name Rename'!A:A,'Carrier Name Rename'!B:B)</f>
        <v>SkyWest Airlines Inc.</v>
      </c>
      <c r="E2235" t="s">
        <v>23</v>
      </c>
      <c r="F2235" t="s">
        <v>24</v>
      </c>
      <c r="G2235">
        <v>407</v>
      </c>
      <c r="H2235">
        <v>17</v>
      </c>
      <c r="I2235">
        <v>6.84</v>
      </c>
      <c r="J2235">
        <v>0.89</v>
      </c>
      <c r="K2235">
        <v>2.7</v>
      </c>
      <c r="L2235">
        <v>0</v>
      </c>
      <c r="M2235">
        <v>6.57</v>
      </c>
      <c r="N2235">
        <v>7</v>
      </c>
      <c r="O2235">
        <v>0</v>
      </c>
      <c r="P2235">
        <v>601</v>
      </c>
      <c r="Q2235">
        <v>246</v>
      </c>
      <c r="R2235">
        <v>32</v>
      </c>
      <c r="S2235">
        <v>70</v>
      </c>
      <c r="T2235">
        <v>0</v>
      </c>
      <c r="U2235">
        <v>253</v>
      </c>
      <c r="V2235" s="1">
        <f t="shared" si="102"/>
        <v>4.1799999999999997E-2</v>
      </c>
      <c r="W2235" s="1">
        <f t="shared" si="103"/>
        <v>1.72E-2</v>
      </c>
      <c r="X2235" s="1">
        <f t="shared" si="104"/>
        <v>0</v>
      </c>
    </row>
    <row r="2236" spans="1:24" x14ac:dyDescent="0.25">
      <c r="A2236">
        <v>2009</v>
      </c>
      <c r="B2236">
        <v>2</v>
      </c>
      <c r="C2236" t="s">
        <v>41</v>
      </c>
      <c r="D2236" t="str">
        <f>_xlfn.XLOOKUP(C2236,'Carrier Name Rename'!A:A,'Carrier Name Rename'!B:B)</f>
        <v>United Air Lines Inc.</v>
      </c>
      <c r="E2236" t="s">
        <v>23</v>
      </c>
      <c r="F2236" t="s">
        <v>24</v>
      </c>
      <c r="G2236">
        <v>540</v>
      </c>
      <c r="H2236">
        <v>73</v>
      </c>
      <c r="I2236">
        <v>30.59</v>
      </c>
      <c r="J2236">
        <v>2</v>
      </c>
      <c r="K2236">
        <v>6.86</v>
      </c>
      <c r="L2236">
        <v>0</v>
      </c>
      <c r="M2236">
        <v>33.549999999999997</v>
      </c>
      <c r="N2236">
        <v>3</v>
      </c>
      <c r="O2236">
        <v>1</v>
      </c>
      <c r="P2236">
        <v>4536</v>
      </c>
      <c r="Q2236">
        <v>1950</v>
      </c>
      <c r="R2236">
        <v>85</v>
      </c>
      <c r="S2236">
        <v>170</v>
      </c>
      <c r="T2236">
        <v>0</v>
      </c>
      <c r="U2236">
        <v>2331</v>
      </c>
      <c r="V2236" s="1">
        <f t="shared" si="102"/>
        <v>0.13519999999999999</v>
      </c>
      <c r="W2236" s="1">
        <f t="shared" si="103"/>
        <v>5.5999999999999999E-3</v>
      </c>
      <c r="X2236" s="1">
        <f t="shared" si="104"/>
        <v>1.9E-3</v>
      </c>
    </row>
    <row r="2237" spans="1:24" x14ac:dyDescent="0.25">
      <c r="A2237">
        <v>2009</v>
      </c>
      <c r="B2237">
        <v>2</v>
      </c>
      <c r="C2237" t="s">
        <v>61</v>
      </c>
      <c r="D2237" t="str">
        <f>_xlfn.XLOOKUP(C2237,'Carrier Name Rename'!A:A,'Carrier Name Rename'!B:B)</f>
        <v>US Airways Inc.</v>
      </c>
      <c r="E2237" t="s">
        <v>23</v>
      </c>
      <c r="F2237" t="s">
        <v>24</v>
      </c>
      <c r="G2237">
        <v>252</v>
      </c>
      <c r="H2237">
        <v>37</v>
      </c>
      <c r="I2237">
        <v>11.32</v>
      </c>
      <c r="J2237">
        <v>0</v>
      </c>
      <c r="K2237">
        <v>13.78</v>
      </c>
      <c r="L2237">
        <v>0</v>
      </c>
      <c r="M2237">
        <v>11.89</v>
      </c>
      <c r="N2237">
        <v>0</v>
      </c>
      <c r="O2237">
        <v>0</v>
      </c>
      <c r="P2237">
        <v>1482</v>
      </c>
      <c r="Q2237">
        <v>474</v>
      </c>
      <c r="R2237">
        <v>0</v>
      </c>
      <c r="S2237">
        <v>431</v>
      </c>
      <c r="T2237">
        <v>0</v>
      </c>
      <c r="U2237">
        <v>577</v>
      </c>
      <c r="V2237" s="1">
        <f t="shared" si="102"/>
        <v>0.14680000000000001</v>
      </c>
      <c r="W2237" s="1">
        <f t="shared" si="103"/>
        <v>0</v>
      </c>
      <c r="X2237" s="1">
        <f t="shared" si="104"/>
        <v>0</v>
      </c>
    </row>
    <row r="2238" spans="1:24" x14ac:dyDescent="0.25">
      <c r="A2238">
        <v>2009</v>
      </c>
      <c r="B2238">
        <v>2</v>
      </c>
      <c r="C2238" t="s">
        <v>43</v>
      </c>
      <c r="D2238" t="str">
        <f>_xlfn.XLOOKUP(C2238,'Carrier Name Rename'!A:A,'Carrier Name Rename'!B:B)</f>
        <v>Southwest Airlines Co.</v>
      </c>
      <c r="E2238" t="s">
        <v>23</v>
      </c>
      <c r="F2238" t="s">
        <v>24</v>
      </c>
      <c r="G2238">
        <v>1076</v>
      </c>
      <c r="H2238">
        <v>87</v>
      </c>
      <c r="I2238">
        <v>26.97</v>
      </c>
      <c r="J2238">
        <v>0.96</v>
      </c>
      <c r="K2238">
        <v>8.31</v>
      </c>
      <c r="L2238">
        <v>0.38</v>
      </c>
      <c r="M2238">
        <v>50.38</v>
      </c>
      <c r="N2238">
        <v>2</v>
      </c>
      <c r="O2238">
        <v>0</v>
      </c>
      <c r="P2238">
        <v>3582</v>
      </c>
      <c r="Q2238">
        <v>1398</v>
      </c>
      <c r="R2238">
        <v>36</v>
      </c>
      <c r="S2238">
        <v>191</v>
      </c>
      <c r="T2238">
        <v>12</v>
      </c>
      <c r="U2238">
        <v>1945</v>
      </c>
      <c r="V2238" s="1">
        <f t="shared" si="102"/>
        <v>8.09E-2</v>
      </c>
      <c r="W2238" s="1">
        <f t="shared" si="103"/>
        <v>1.9E-3</v>
      </c>
      <c r="X2238" s="1">
        <f t="shared" si="104"/>
        <v>0</v>
      </c>
    </row>
    <row r="2239" spans="1:24" x14ac:dyDescent="0.25">
      <c r="A2239">
        <v>2009</v>
      </c>
      <c r="B2239">
        <v>1</v>
      </c>
      <c r="C2239" t="s">
        <v>31</v>
      </c>
      <c r="D2239" t="str">
        <f>_xlfn.XLOOKUP(C2239,'Carrier Name Rename'!A:A,'Carrier Name Rename'!B:B)</f>
        <v>American Airlines Inc.</v>
      </c>
      <c r="E2239" t="s">
        <v>23</v>
      </c>
      <c r="F2239" t="s">
        <v>24</v>
      </c>
      <c r="G2239">
        <v>394</v>
      </c>
      <c r="H2239">
        <v>129</v>
      </c>
      <c r="I2239">
        <v>35.1</v>
      </c>
      <c r="J2239">
        <v>13.62</v>
      </c>
      <c r="K2239">
        <v>63</v>
      </c>
      <c r="L2239">
        <v>0</v>
      </c>
      <c r="M2239">
        <v>17.27</v>
      </c>
      <c r="N2239">
        <v>12</v>
      </c>
      <c r="O2239">
        <v>4</v>
      </c>
      <c r="P2239">
        <v>6345</v>
      </c>
      <c r="Q2239">
        <v>1940</v>
      </c>
      <c r="R2239">
        <v>836</v>
      </c>
      <c r="S2239">
        <v>2476</v>
      </c>
      <c r="T2239">
        <v>0</v>
      </c>
      <c r="U2239">
        <v>1093</v>
      </c>
      <c r="V2239" s="1">
        <f t="shared" si="102"/>
        <v>0.32740000000000002</v>
      </c>
      <c r="W2239" s="1">
        <f t="shared" si="103"/>
        <v>3.0499999999999999E-2</v>
      </c>
      <c r="X2239" s="1">
        <f t="shared" si="104"/>
        <v>1.0200000000000001E-2</v>
      </c>
    </row>
    <row r="2240" spans="1:24" x14ac:dyDescent="0.25">
      <c r="A2240">
        <v>2009</v>
      </c>
      <c r="B2240">
        <v>1</v>
      </c>
      <c r="C2240" t="s">
        <v>33</v>
      </c>
      <c r="D2240" t="str">
        <f>_xlfn.XLOOKUP(C2240,'Carrier Name Rename'!A:A,'Carrier Name Rename'!B:B)</f>
        <v>Alaska Airlines Inc.</v>
      </c>
      <c r="E2240" t="s">
        <v>23</v>
      </c>
      <c r="F2240" t="s">
        <v>24</v>
      </c>
      <c r="G2240">
        <v>3593</v>
      </c>
      <c r="H2240">
        <v>936</v>
      </c>
      <c r="I2240">
        <v>174.92</v>
      </c>
      <c r="J2240">
        <v>21.34</v>
      </c>
      <c r="K2240">
        <v>405.18</v>
      </c>
      <c r="L2240">
        <v>4.3</v>
      </c>
      <c r="M2240">
        <v>330.26</v>
      </c>
      <c r="N2240">
        <v>52</v>
      </c>
      <c r="O2240">
        <v>31</v>
      </c>
      <c r="P2240">
        <v>47573</v>
      </c>
      <c r="Q2240">
        <v>13128</v>
      </c>
      <c r="R2240">
        <v>1648</v>
      </c>
      <c r="S2240">
        <v>14081</v>
      </c>
      <c r="T2240">
        <v>114</v>
      </c>
      <c r="U2240">
        <v>18602</v>
      </c>
      <c r="V2240" s="1">
        <f t="shared" si="102"/>
        <v>0.26050000000000001</v>
      </c>
      <c r="W2240" s="1">
        <f t="shared" si="103"/>
        <v>1.4500000000000001E-2</v>
      </c>
      <c r="X2240" s="1">
        <f t="shared" si="104"/>
        <v>8.6E-3</v>
      </c>
    </row>
    <row r="2241" spans="1:24" x14ac:dyDescent="0.25">
      <c r="A2241">
        <v>2009</v>
      </c>
      <c r="B2241">
        <v>1</v>
      </c>
      <c r="C2241" t="s">
        <v>35</v>
      </c>
      <c r="D2241" t="str">
        <f>_xlfn.XLOOKUP(C2241,'Carrier Name Rename'!A:A,'Carrier Name Rename'!B:B)</f>
        <v>JetBlue Airways</v>
      </c>
      <c r="E2241" t="s">
        <v>23</v>
      </c>
      <c r="F2241" t="s">
        <v>24</v>
      </c>
      <c r="G2241">
        <v>155</v>
      </c>
      <c r="H2241">
        <v>29</v>
      </c>
      <c r="I2241">
        <v>8.16</v>
      </c>
      <c r="J2241">
        <v>0.97</v>
      </c>
      <c r="K2241">
        <v>15.17</v>
      </c>
      <c r="L2241">
        <v>0</v>
      </c>
      <c r="M2241">
        <v>4.6900000000000004</v>
      </c>
      <c r="N2241">
        <v>1</v>
      </c>
      <c r="O2241">
        <v>3</v>
      </c>
      <c r="P2241">
        <v>1151</v>
      </c>
      <c r="Q2241">
        <v>254</v>
      </c>
      <c r="R2241">
        <v>141</v>
      </c>
      <c r="S2241">
        <v>497</v>
      </c>
      <c r="T2241">
        <v>0</v>
      </c>
      <c r="U2241">
        <v>259</v>
      </c>
      <c r="V2241" s="1">
        <f t="shared" si="102"/>
        <v>0.18709999999999999</v>
      </c>
      <c r="W2241" s="1">
        <f t="shared" si="103"/>
        <v>6.4999999999999997E-3</v>
      </c>
      <c r="X2241" s="1">
        <f t="shared" si="104"/>
        <v>1.9400000000000001E-2</v>
      </c>
    </row>
    <row r="2242" spans="1:24" x14ac:dyDescent="0.25">
      <c r="A2242">
        <v>2009</v>
      </c>
      <c r="B2242">
        <v>1</v>
      </c>
      <c r="C2242" t="s">
        <v>65</v>
      </c>
      <c r="D2242" t="str">
        <f>_xlfn.XLOOKUP(C2242,'Carrier Name Rename'!A:A,'Carrier Name Rename'!B:B)</f>
        <v>Continental Air Lines Inc.</v>
      </c>
      <c r="E2242" t="s">
        <v>23</v>
      </c>
      <c r="F2242" t="s">
        <v>24</v>
      </c>
      <c r="G2242">
        <v>282</v>
      </c>
      <c r="H2242">
        <v>109</v>
      </c>
      <c r="I2242">
        <v>43.17</v>
      </c>
      <c r="J2242">
        <v>2.9</v>
      </c>
      <c r="K2242">
        <v>44.7</v>
      </c>
      <c r="L2242">
        <v>1.67</v>
      </c>
      <c r="M2242">
        <v>16.559999999999999</v>
      </c>
      <c r="N2242">
        <v>1</v>
      </c>
      <c r="O2242">
        <v>2</v>
      </c>
      <c r="P2242">
        <v>5636</v>
      </c>
      <c r="Q2242">
        <v>2209</v>
      </c>
      <c r="R2242">
        <v>266</v>
      </c>
      <c r="S2242">
        <v>1777</v>
      </c>
      <c r="T2242">
        <v>63</v>
      </c>
      <c r="U2242">
        <v>1321</v>
      </c>
      <c r="V2242" s="1">
        <f t="shared" si="102"/>
        <v>0.38650000000000001</v>
      </c>
      <c r="W2242" s="1">
        <f t="shared" si="103"/>
        <v>3.5000000000000001E-3</v>
      </c>
      <c r="X2242" s="1">
        <f t="shared" si="104"/>
        <v>7.1000000000000004E-3</v>
      </c>
    </row>
    <row r="2243" spans="1:24" x14ac:dyDescent="0.25">
      <c r="A2243">
        <v>2009</v>
      </c>
      <c r="B2243">
        <v>1</v>
      </c>
      <c r="C2243" t="s">
        <v>37</v>
      </c>
      <c r="D2243" t="str">
        <f>_xlfn.XLOOKUP(C2243,'Carrier Name Rename'!A:A,'Carrier Name Rename'!B:B)</f>
        <v>Delta Air Lines Inc.</v>
      </c>
      <c r="E2243" t="s">
        <v>23</v>
      </c>
      <c r="F2243" t="s">
        <v>24</v>
      </c>
      <c r="G2243">
        <v>371</v>
      </c>
      <c r="H2243">
        <v>100</v>
      </c>
      <c r="I2243">
        <v>20.86</v>
      </c>
      <c r="J2243">
        <v>4.07</v>
      </c>
      <c r="K2243">
        <v>60.27</v>
      </c>
      <c r="L2243">
        <v>0</v>
      </c>
      <c r="M2243">
        <v>14.8</v>
      </c>
      <c r="N2243">
        <v>2</v>
      </c>
      <c r="O2243">
        <v>9</v>
      </c>
      <c r="P2243">
        <v>4532</v>
      </c>
      <c r="Q2243">
        <v>1119</v>
      </c>
      <c r="R2243">
        <v>265</v>
      </c>
      <c r="S2243">
        <v>2438</v>
      </c>
      <c r="T2243">
        <v>0</v>
      </c>
      <c r="U2243">
        <v>710</v>
      </c>
      <c r="V2243" s="1">
        <f t="shared" ref="V2243:V2306" si="105">ROUND(H2243/G2243,4)</f>
        <v>0.26950000000000002</v>
      </c>
      <c r="W2243" s="1">
        <f t="shared" ref="W2243:W2306" si="106">ROUND(N2243/G2243,4)</f>
        <v>5.4000000000000003E-3</v>
      </c>
      <c r="X2243" s="1">
        <f t="shared" ref="X2243:X2306" si="107">ROUND(O2243/G2243,4)</f>
        <v>2.4299999999999999E-2</v>
      </c>
    </row>
    <row r="2244" spans="1:24" x14ac:dyDescent="0.25">
      <c r="A2244">
        <v>2009</v>
      </c>
      <c r="B2244">
        <v>1</v>
      </c>
      <c r="C2244" t="s">
        <v>39</v>
      </c>
      <c r="D2244" t="str">
        <f>_xlfn.XLOOKUP(C2244,'Carrier Name Rename'!A:A,'Carrier Name Rename'!B:B)</f>
        <v>Frontier Airlines Inc.</v>
      </c>
      <c r="E2244" t="s">
        <v>23</v>
      </c>
      <c r="F2244" t="s">
        <v>24</v>
      </c>
      <c r="G2244">
        <v>120</v>
      </c>
      <c r="H2244">
        <v>49</v>
      </c>
      <c r="I2244">
        <v>15.23</v>
      </c>
      <c r="J2244">
        <v>0.46</v>
      </c>
      <c r="K2244">
        <v>26.92</v>
      </c>
      <c r="L2244">
        <v>0</v>
      </c>
      <c r="M2244">
        <v>6.39</v>
      </c>
      <c r="N2244">
        <v>0</v>
      </c>
      <c r="O2244">
        <v>0</v>
      </c>
      <c r="P2244">
        <v>2121</v>
      </c>
      <c r="Q2244">
        <v>659</v>
      </c>
      <c r="R2244">
        <v>10</v>
      </c>
      <c r="S2244">
        <v>1113</v>
      </c>
      <c r="T2244">
        <v>0</v>
      </c>
      <c r="U2244">
        <v>339</v>
      </c>
      <c r="V2244" s="1">
        <f t="shared" si="105"/>
        <v>0.4083</v>
      </c>
      <c r="W2244" s="1">
        <f t="shared" si="106"/>
        <v>0</v>
      </c>
      <c r="X2244" s="1">
        <f t="shared" si="107"/>
        <v>0</v>
      </c>
    </row>
    <row r="2245" spans="1:24" x14ac:dyDescent="0.25">
      <c r="A2245">
        <v>2009</v>
      </c>
      <c r="B2245">
        <v>1</v>
      </c>
      <c r="C2245" t="s">
        <v>21</v>
      </c>
      <c r="D2245" t="str">
        <f>_xlfn.XLOOKUP(C2245,'Carrier Name Rename'!A:A,'Carrier Name Rename'!B:B)</f>
        <v>Hawaiian Airlines Inc.</v>
      </c>
      <c r="E2245" t="s">
        <v>23</v>
      </c>
      <c r="F2245" t="s">
        <v>24</v>
      </c>
      <c r="G2245">
        <v>92</v>
      </c>
      <c r="H2245">
        <v>36</v>
      </c>
      <c r="I2245">
        <v>32.979999999999997</v>
      </c>
      <c r="J2245">
        <v>0</v>
      </c>
      <c r="K2245">
        <v>0.99</v>
      </c>
      <c r="L2245">
        <v>0</v>
      </c>
      <c r="M2245">
        <v>2.0299999999999998</v>
      </c>
      <c r="N2245">
        <v>1</v>
      </c>
      <c r="O2245">
        <v>0</v>
      </c>
      <c r="P2245">
        <v>1390</v>
      </c>
      <c r="Q2245">
        <v>1210</v>
      </c>
      <c r="R2245">
        <v>0</v>
      </c>
      <c r="S2245">
        <v>111</v>
      </c>
      <c r="T2245">
        <v>0</v>
      </c>
      <c r="U2245">
        <v>69</v>
      </c>
      <c r="V2245" s="1">
        <f t="shared" si="105"/>
        <v>0.39129999999999998</v>
      </c>
      <c r="W2245" s="1">
        <f t="shared" si="106"/>
        <v>1.09E-2</v>
      </c>
      <c r="X2245" s="1">
        <f t="shared" si="107"/>
        <v>0</v>
      </c>
    </row>
    <row r="2246" spans="1:24" x14ac:dyDescent="0.25">
      <c r="A2246">
        <v>2009</v>
      </c>
      <c r="B2246">
        <v>1</v>
      </c>
      <c r="C2246" t="s">
        <v>67</v>
      </c>
      <c r="D2246" t="str">
        <f>_xlfn.XLOOKUP(C2246,'Carrier Name Rename'!A:A,'Carrier Name Rename'!B:B)</f>
        <v>Northwest Airlines Inc.</v>
      </c>
      <c r="E2246" t="s">
        <v>23</v>
      </c>
      <c r="F2246" t="s">
        <v>24</v>
      </c>
      <c r="G2246">
        <v>359</v>
      </c>
      <c r="H2246">
        <v>164</v>
      </c>
      <c r="I2246">
        <v>50.51</v>
      </c>
      <c r="J2246">
        <v>3.34</v>
      </c>
      <c r="K2246">
        <v>93.17</v>
      </c>
      <c r="L2246">
        <v>0</v>
      </c>
      <c r="M2246">
        <v>16.98</v>
      </c>
      <c r="N2246">
        <v>2</v>
      </c>
      <c r="O2246">
        <v>1</v>
      </c>
      <c r="P2246">
        <v>8068</v>
      </c>
      <c r="Q2246">
        <v>3026</v>
      </c>
      <c r="R2246">
        <v>342</v>
      </c>
      <c r="S2246">
        <v>3474</v>
      </c>
      <c r="T2246">
        <v>0</v>
      </c>
      <c r="U2246">
        <v>1226</v>
      </c>
      <c r="V2246" s="1">
        <f t="shared" si="105"/>
        <v>0.45679999999999998</v>
      </c>
      <c r="W2246" s="1">
        <f t="shared" si="106"/>
        <v>5.5999999999999999E-3</v>
      </c>
      <c r="X2246" s="1">
        <f t="shared" si="107"/>
        <v>2.8E-3</v>
      </c>
    </row>
    <row r="2247" spans="1:24" x14ac:dyDescent="0.25">
      <c r="A2247">
        <v>2009</v>
      </c>
      <c r="B2247">
        <v>1</v>
      </c>
      <c r="C2247" t="s">
        <v>27</v>
      </c>
      <c r="D2247" t="str">
        <f>_xlfn.XLOOKUP(C2247,'Carrier Name Rename'!A:A,'Carrier Name Rename'!B:B)</f>
        <v>SkyWest Airlines Inc.</v>
      </c>
      <c r="E2247" t="s">
        <v>23</v>
      </c>
      <c r="F2247" t="s">
        <v>24</v>
      </c>
      <c r="G2247">
        <v>439</v>
      </c>
      <c r="H2247">
        <v>66</v>
      </c>
      <c r="I2247">
        <v>13.08</v>
      </c>
      <c r="J2247">
        <v>6.97</v>
      </c>
      <c r="K2247">
        <v>32.69</v>
      </c>
      <c r="L2247">
        <v>0</v>
      </c>
      <c r="M2247">
        <v>13.27</v>
      </c>
      <c r="N2247">
        <v>28</v>
      </c>
      <c r="O2247">
        <v>9</v>
      </c>
      <c r="P2247">
        <v>2784</v>
      </c>
      <c r="Q2247">
        <v>390</v>
      </c>
      <c r="R2247">
        <v>442</v>
      </c>
      <c r="S2247">
        <v>1045</v>
      </c>
      <c r="T2247">
        <v>0</v>
      </c>
      <c r="U2247">
        <v>907</v>
      </c>
      <c r="V2247" s="1">
        <f t="shared" si="105"/>
        <v>0.15029999999999999</v>
      </c>
      <c r="W2247" s="1">
        <f t="shared" si="106"/>
        <v>6.3799999999999996E-2</v>
      </c>
      <c r="X2247" s="1">
        <f t="shared" si="107"/>
        <v>2.0500000000000001E-2</v>
      </c>
    </row>
    <row r="2248" spans="1:24" x14ac:dyDescent="0.25">
      <c r="A2248">
        <v>2009</v>
      </c>
      <c r="B2248">
        <v>1</v>
      </c>
      <c r="C2248" t="s">
        <v>41</v>
      </c>
      <c r="D2248" t="str">
        <f>_xlfn.XLOOKUP(C2248,'Carrier Name Rename'!A:A,'Carrier Name Rename'!B:B)</f>
        <v>United Air Lines Inc.</v>
      </c>
      <c r="E2248" t="s">
        <v>23</v>
      </c>
      <c r="F2248" t="s">
        <v>24</v>
      </c>
      <c r="G2248">
        <v>580</v>
      </c>
      <c r="H2248">
        <v>149</v>
      </c>
      <c r="I2248">
        <v>35.67</v>
      </c>
      <c r="J2248">
        <v>2.97</v>
      </c>
      <c r="K2248">
        <v>57.13</v>
      </c>
      <c r="L2248">
        <v>0.7</v>
      </c>
      <c r="M2248">
        <v>52.53</v>
      </c>
      <c r="N2248">
        <v>4</v>
      </c>
      <c r="O2248">
        <v>2</v>
      </c>
      <c r="P2248">
        <v>7971</v>
      </c>
      <c r="Q2248">
        <v>2646</v>
      </c>
      <c r="R2248">
        <v>198</v>
      </c>
      <c r="S2248">
        <v>1691</v>
      </c>
      <c r="T2248">
        <v>19</v>
      </c>
      <c r="U2248">
        <v>3417</v>
      </c>
      <c r="V2248" s="1">
        <f t="shared" si="105"/>
        <v>0.25690000000000002</v>
      </c>
      <c r="W2248" s="1">
        <f t="shared" si="106"/>
        <v>6.8999999999999999E-3</v>
      </c>
      <c r="X2248" s="1">
        <f t="shared" si="107"/>
        <v>3.3999999999999998E-3</v>
      </c>
    </row>
    <row r="2249" spans="1:24" x14ac:dyDescent="0.25">
      <c r="A2249">
        <v>2009</v>
      </c>
      <c r="B2249">
        <v>1</v>
      </c>
      <c r="C2249" t="s">
        <v>61</v>
      </c>
      <c r="D2249" t="str">
        <f>_xlfn.XLOOKUP(C2249,'Carrier Name Rename'!A:A,'Carrier Name Rename'!B:B)</f>
        <v>US Airways Inc.</v>
      </c>
      <c r="E2249" t="s">
        <v>23</v>
      </c>
      <c r="F2249" t="s">
        <v>24</v>
      </c>
      <c r="G2249">
        <v>289</v>
      </c>
      <c r="H2249">
        <v>78</v>
      </c>
      <c r="I2249">
        <v>18.100000000000001</v>
      </c>
      <c r="J2249">
        <v>0</v>
      </c>
      <c r="K2249">
        <v>37.94</v>
      </c>
      <c r="L2249">
        <v>0</v>
      </c>
      <c r="M2249">
        <v>21.96</v>
      </c>
      <c r="N2249">
        <v>1</v>
      </c>
      <c r="O2249">
        <v>2</v>
      </c>
      <c r="P2249">
        <v>4015</v>
      </c>
      <c r="Q2249">
        <v>957</v>
      </c>
      <c r="R2249">
        <v>0</v>
      </c>
      <c r="S2249">
        <v>1429</v>
      </c>
      <c r="T2249">
        <v>0</v>
      </c>
      <c r="U2249">
        <v>1629</v>
      </c>
      <c r="V2249" s="1">
        <f t="shared" si="105"/>
        <v>0.26989999999999997</v>
      </c>
      <c r="W2249" s="1">
        <f t="shared" si="106"/>
        <v>3.5000000000000001E-3</v>
      </c>
      <c r="X2249" s="1">
        <f t="shared" si="107"/>
        <v>6.8999999999999999E-3</v>
      </c>
    </row>
    <row r="2250" spans="1:24" x14ac:dyDescent="0.25">
      <c r="A2250">
        <v>2009</v>
      </c>
      <c r="B2250">
        <v>1</v>
      </c>
      <c r="C2250" t="s">
        <v>43</v>
      </c>
      <c r="D2250" t="str">
        <f>_xlfn.XLOOKUP(C2250,'Carrier Name Rename'!A:A,'Carrier Name Rename'!B:B)</f>
        <v>Southwest Airlines Co.</v>
      </c>
      <c r="E2250" t="s">
        <v>23</v>
      </c>
      <c r="F2250" t="s">
        <v>24</v>
      </c>
      <c r="G2250">
        <v>1229</v>
      </c>
      <c r="H2250">
        <v>211</v>
      </c>
      <c r="I2250">
        <v>49.54</v>
      </c>
      <c r="J2250">
        <v>18.48</v>
      </c>
      <c r="K2250">
        <v>52.64</v>
      </c>
      <c r="L2250">
        <v>0.26</v>
      </c>
      <c r="M2250">
        <v>90.08</v>
      </c>
      <c r="N2250">
        <v>13</v>
      </c>
      <c r="O2250">
        <v>18</v>
      </c>
      <c r="P2250">
        <v>9914</v>
      </c>
      <c r="Q2250">
        <v>1892</v>
      </c>
      <c r="R2250">
        <v>1588</v>
      </c>
      <c r="S2250">
        <v>2114</v>
      </c>
      <c r="T2250">
        <v>7</v>
      </c>
      <c r="U2250">
        <v>4313</v>
      </c>
      <c r="V2250" s="1">
        <f t="shared" si="105"/>
        <v>0.17169999999999999</v>
      </c>
      <c r="W2250" s="1">
        <f t="shared" si="106"/>
        <v>1.06E-2</v>
      </c>
      <c r="X2250" s="1">
        <f t="shared" si="107"/>
        <v>1.46E-2</v>
      </c>
    </row>
    <row r="2251" spans="1:24" x14ac:dyDescent="0.25">
      <c r="A2251">
        <v>2008</v>
      </c>
      <c r="B2251">
        <v>12</v>
      </c>
      <c r="C2251" t="s">
        <v>31</v>
      </c>
      <c r="D2251" t="str">
        <f>_xlfn.XLOOKUP(C2251,'Carrier Name Rename'!A:A,'Carrier Name Rename'!B:B)</f>
        <v>American Airlines Inc.</v>
      </c>
      <c r="E2251" t="s">
        <v>23</v>
      </c>
      <c r="F2251" t="s">
        <v>24</v>
      </c>
      <c r="G2251">
        <v>394</v>
      </c>
      <c r="H2251">
        <v>169</v>
      </c>
      <c r="I2251">
        <v>46.44</v>
      </c>
      <c r="J2251">
        <v>21.52</v>
      </c>
      <c r="K2251">
        <v>80.2</v>
      </c>
      <c r="L2251">
        <v>0</v>
      </c>
      <c r="M2251">
        <v>20.84</v>
      </c>
      <c r="N2251">
        <v>8</v>
      </c>
      <c r="O2251">
        <v>1</v>
      </c>
      <c r="P2251">
        <v>10004</v>
      </c>
      <c r="Q2251">
        <v>2742</v>
      </c>
      <c r="R2251">
        <v>1702</v>
      </c>
      <c r="S2251">
        <v>3604</v>
      </c>
      <c r="T2251">
        <v>0</v>
      </c>
      <c r="U2251">
        <v>1956</v>
      </c>
      <c r="V2251" s="1">
        <f t="shared" si="105"/>
        <v>0.4289</v>
      </c>
      <c r="W2251" s="1">
        <f t="shared" si="106"/>
        <v>2.0299999999999999E-2</v>
      </c>
      <c r="X2251" s="1">
        <f t="shared" si="107"/>
        <v>2.5000000000000001E-3</v>
      </c>
    </row>
    <row r="2252" spans="1:24" x14ac:dyDescent="0.25">
      <c r="A2252">
        <v>2008</v>
      </c>
      <c r="B2252">
        <v>12</v>
      </c>
      <c r="C2252" t="s">
        <v>33</v>
      </c>
      <c r="D2252" t="str">
        <f>_xlfn.XLOOKUP(C2252,'Carrier Name Rename'!A:A,'Carrier Name Rename'!B:B)</f>
        <v>Alaska Airlines Inc.</v>
      </c>
      <c r="E2252" t="s">
        <v>23</v>
      </c>
      <c r="F2252" t="s">
        <v>24</v>
      </c>
      <c r="G2252">
        <v>3675</v>
      </c>
      <c r="H2252">
        <v>1339</v>
      </c>
      <c r="I2252">
        <v>273.95999999999998</v>
      </c>
      <c r="J2252">
        <v>43.96</v>
      </c>
      <c r="K2252">
        <v>442.09</v>
      </c>
      <c r="L2252">
        <v>5.19</v>
      </c>
      <c r="M2252">
        <v>573.79</v>
      </c>
      <c r="N2252">
        <v>225</v>
      </c>
      <c r="O2252">
        <v>12</v>
      </c>
      <c r="P2252">
        <v>84366</v>
      </c>
      <c r="Q2252">
        <v>19785</v>
      </c>
      <c r="R2252">
        <v>4833</v>
      </c>
      <c r="S2252">
        <v>18022</v>
      </c>
      <c r="T2252">
        <v>166</v>
      </c>
      <c r="U2252">
        <v>41560</v>
      </c>
      <c r="V2252" s="1">
        <f t="shared" si="105"/>
        <v>0.3644</v>
      </c>
      <c r="W2252" s="1">
        <f t="shared" si="106"/>
        <v>6.1199999999999997E-2</v>
      </c>
      <c r="X2252" s="1">
        <f t="shared" si="107"/>
        <v>3.3E-3</v>
      </c>
    </row>
    <row r="2253" spans="1:24" x14ac:dyDescent="0.25">
      <c r="A2253">
        <v>2008</v>
      </c>
      <c r="B2253">
        <v>12</v>
      </c>
      <c r="C2253" t="s">
        <v>35</v>
      </c>
      <c r="D2253" t="str">
        <f>_xlfn.XLOOKUP(C2253,'Carrier Name Rename'!A:A,'Carrier Name Rename'!B:B)</f>
        <v>JetBlue Airways</v>
      </c>
      <c r="E2253" t="s">
        <v>23</v>
      </c>
      <c r="F2253" t="s">
        <v>24</v>
      </c>
      <c r="G2253">
        <v>149</v>
      </c>
      <c r="H2253">
        <v>56</v>
      </c>
      <c r="I2253">
        <v>17.899999999999999</v>
      </c>
      <c r="J2253">
        <v>0.06</v>
      </c>
      <c r="K2253">
        <v>20.239999999999998</v>
      </c>
      <c r="L2253">
        <v>0</v>
      </c>
      <c r="M2253">
        <v>17.809999999999999</v>
      </c>
      <c r="N2253">
        <v>9</v>
      </c>
      <c r="O2253">
        <v>1</v>
      </c>
      <c r="P2253">
        <v>3876</v>
      </c>
      <c r="Q2253">
        <v>1498</v>
      </c>
      <c r="R2253">
        <v>8</v>
      </c>
      <c r="S2253">
        <v>964</v>
      </c>
      <c r="T2253">
        <v>0</v>
      </c>
      <c r="U2253">
        <v>1406</v>
      </c>
      <c r="V2253" s="1">
        <f t="shared" si="105"/>
        <v>0.37580000000000002</v>
      </c>
      <c r="W2253" s="1">
        <f t="shared" si="106"/>
        <v>6.0400000000000002E-2</v>
      </c>
      <c r="X2253" s="1">
        <f t="shared" si="107"/>
        <v>6.7000000000000002E-3</v>
      </c>
    </row>
    <row r="2254" spans="1:24" x14ac:dyDescent="0.25">
      <c r="A2254">
        <v>2008</v>
      </c>
      <c r="B2254">
        <v>12</v>
      </c>
      <c r="C2254" t="s">
        <v>65</v>
      </c>
      <c r="D2254" t="str">
        <f>_xlfn.XLOOKUP(C2254,'Carrier Name Rename'!A:A,'Carrier Name Rename'!B:B)</f>
        <v>Continental Air Lines Inc.</v>
      </c>
      <c r="E2254" t="s">
        <v>23</v>
      </c>
      <c r="F2254" t="s">
        <v>24</v>
      </c>
      <c r="G2254">
        <v>393</v>
      </c>
      <c r="H2254">
        <v>176</v>
      </c>
      <c r="I2254">
        <v>63.74</v>
      </c>
      <c r="J2254">
        <v>13.51</v>
      </c>
      <c r="K2254">
        <v>64.599999999999994</v>
      </c>
      <c r="L2254">
        <v>2.5299999999999998</v>
      </c>
      <c r="M2254">
        <v>31.63</v>
      </c>
      <c r="N2254">
        <v>16</v>
      </c>
      <c r="O2254">
        <v>0</v>
      </c>
      <c r="P2254">
        <v>10456</v>
      </c>
      <c r="Q2254">
        <v>3175</v>
      </c>
      <c r="R2254">
        <v>953</v>
      </c>
      <c r="S2254">
        <v>3316</v>
      </c>
      <c r="T2254">
        <v>125</v>
      </c>
      <c r="U2254">
        <v>2887</v>
      </c>
      <c r="V2254" s="1">
        <f t="shared" si="105"/>
        <v>0.44779999999999998</v>
      </c>
      <c r="W2254" s="1">
        <f t="shared" si="106"/>
        <v>4.07E-2</v>
      </c>
      <c r="X2254" s="1">
        <f t="shared" si="107"/>
        <v>0</v>
      </c>
    </row>
    <row r="2255" spans="1:24" x14ac:dyDescent="0.25">
      <c r="A2255">
        <v>2008</v>
      </c>
      <c r="B2255">
        <v>12</v>
      </c>
      <c r="C2255" t="s">
        <v>37</v>
      </c>
      <c r="D2255" t="str">
        <f>_xlfn.XLOOKUP(C2255,'Carrier Name Rename'!A:A,'Carrier Name Rename'!B:B)</f>
        <v>Delta Air Lines Inc.</v>
      </c>
      <c r="E2255" t="s">
        <v>23</v>
      </c>
      <c r="F2255" t="s">
        <v>24</v>
      </c>
      <c r="G2255">
        <v>438</v>
      </c>
      <c r="H2255">
        <v>192</v>
      </c>
      <c r="I2255">
        <v>44.51</v>
      </c>
      <c r="J2255">
        <v>7.61</v>
      </c>
      <c r="K2255">
        <v>104.08</v>
      </c>
      <c r="L2255">
        <v>0</v>
      </c>
      <c r="M2255">
        <v>35.799999999999997</v>
      </c>
      <c r="N2255">
        <v>9</v>
      </c>
      <c r="O2255">
        <v>10</v>
      </c>
      <c r="P2255">
        <v>10373</v>
      </c>
      <c r="Q2255">
        <v>2276</v>
      </c>
      <c r="R2255">
        <v>766</v>
      </c>
      <c r="S2255">
        <v>4739</v>
      </c>
      <c r="T2255">
        <v>0</v>
      </c>
      <c r="U2255">
        <v>2592</v>
      </c>
      <c r="V2255" s="1">
        <f t="shared" si="105"/>
        <v>0.43840000000000001</v>
      </c>
      <c r="W2255" s="1">
        <f t="shared" si="106"/>
        <v>2.0500000000000001E-2</v>
      </c>
      <c r="X2255" s="1">
        <f t="shared" si="107"/>
        <v>2.2800000000000001E-2</v>
      </c>
    </row>
    <row r="2256" spans="1:24" x14ac:dyDescent="0.25">
      <c r="A2256">
        <v>2008</v>
      </c>
      <c r="B2256">
        <v>12</v>
      </c>
      <c r="C2256" t="s">
        <v>39</v>
      </c>
      <c r="D2256" t="str">
        <f>_xlfn.XLOOKUP(C2256,'Carrier Name Rename'!A:A,'Carrier Name Rename'!B:B)</f>
        <v>Frontier Airlines Inc.</v>
      </c>
      <c r="E2256" t="s">
        <v>23</v>
      </c>
      <c r="F2256" t="s">
        <v>24</v>
      </c>
      <c r="G2256">
        <v>119</v>
      </c>
      <c r="H2256">
        <v>66</v>
      </c>
      <c r="I2256">
        <v>29.41</v>
      </c>
      <c r="J2256">
        <v>0.62</v>
      </c>
      <c r="K2256">
        <v>28.89</v>
      </c>
      <c r="L2256">
        <v>0</v>
      </c>
      <c r="M2256">
        <v>7.08</v>
      </c>
      <c r="N2256">
        <v>8</v>
      </c>
      <c r="O2256">
        <v>0</v>
      </c>
      <c r="P2256">
        <v>2551</v>
      </c>
      <c r="Q2256">
        <v>1010</v>
      </c>
      <c r="R2256">
        <v>17</v>
      </c>
      <c r="S2256">
        <v>1077</v>
      </c>
      <c r="T2256">
        <v>0</v>
      </c>
      <c r="U2256">
        <v>447</v>
      </c>
      <c r="V2256" s="1">
        <f t="shared" si="105"/>
        <v>0.55459999999999998</v>
      </c>
      <c r="W2256" s="1">
        <f t="shared" si="106"/>
        <v>6.7199999999999996E-2</v>
      </c>
      <c r="X2256" s="1">
        <f t="shared" si="107"/>
        <v>0</v>
      </c>
    </row>
    <row r="2257" spans="1:24" x14ac:dyDescent="0.25">
      <c r="A2257">
        <v>2008</v>
      </c>
      <c r="B2257">
        <v>12</v>
      </c>
      <c r="C2257" t="s">
        <v>21</v>
      </c>
      <c r="D2257" t="str">
        <f>_xlfn.XLOOKUP(C2257,'Carrier Name Rename'!A:A,'Carrier Name Rename'!B:B)</f>
        <v>Hawaiian Airlines Inc.</v>
      </c>
      <c r="E2257" t="s">
        <v>23</v>
      </c>
      <c r="F2257" t="s">
        <v>24</v>
      </c>
      <c r="G2257">
        <v>93</v>
      </c>
      <c r="H2257">
        <v>48</v>
      </c>
      <c r="I2257">
        <v>35.82</v>
      </c>
      <c r="J2257">
        <v>1.44</v>
      </c>
      <c r="K2257">
        <v>0.4</v>
      </c>
      <c r="L2257">
        <v>0</v>
      </c>
      <c r="M2257">
        <v>10.35</v>
      </c>
      <c r="N2257">
        <v>6</v>
      </c>
      <c r="O2257">
        <v>1</v>
      </c>
      <c r="P2257">
        <v>2854</v>
      </c>
      <c r="Q2257">
        <v>1666</v>
      </c>
      <c r="R2257">
        <v>145</v>
      </c>
      <c r="S2257">
        <v>42</v>
      </c>
      <c r="T2257">
        <v>0</v>
      </c>
      <c r="U2257">
        <v>1001</v>
      </c>
      <c r="V2257" s="1">
        <f t="shared" si="105"/>
        <v>0.5161</v>
      </c>
      <c r="W2257" s="1">
        <f t="shared" si="106"/>
        <v>6.4500000000000002E-2</v>
      </c>
      <c r="X2257" s="1">
        <f t="shared" si="107"/>
        <v>1.0800000000000001E-2</v>
      </c>
    </row>
    <row r="2258" spans="1:24" x14ac:dyDescent="0.25">
      <c r="A2258">
        <v>2008</v>
      </c>
      <c r="B2258">
        <v>12</v>
      </c>
      <c r="C2258" t="s">
        <v>67</v>
      </c>
      <c r="D2258" t="str">
        <f>_xlfn.XLOOKUP(C2258,'Carrier Name Rename'!A:A,'Carrier Name Rename'!B:B)</f>
        <v>Northwest Airlines Inc.</v>
      </c>
      <c r="E2258" t="s">
        <v>23</v>
      </c>
      <c r="F2258" t="s">
        <v>24</v>
      </c>
      <c r="G2258">
        <v>412</v>
      </c>
      <c r="H2258">
        <v>228</v>
      </c>
      <c r="I2258">
        <v>67.34</v>
      </c>
      <c r="J2258">
        <v>5.99</v>
      </c>
      <c r="K2258">
        <v>135.56</v>
      </c>
      <c r="L2258">
        <v>0.42</v>
      </c>
      <c r="M2258">
        <v>18.690000000000001</v>
      </c>
      <c r="N2258">
        <v>19</v>
      </c>
      <c r="O2258">
        <v>0</v>
      </c>
      <c r="P2258">
        <v>11837</v>
      </c>
      <c r="Q2258">
        <v>4030</v>
      </c>
      <c r="R2258">
        <v>429</v>
      </c>
      <c r="S2258">
        <v>5706</v>
      </c>
      <c r="T2258">
        <v>13</v>
      </c>
      <c r="U2258">
        <v>1659</v>
      </c>
      <c r="V2258" s="1">
        <f t="shared" si="105"/>
        <v>0.5534</v>
      </c>
      <c r="W2258" s="1">
        <f t="shared" si="106"/>
        <v>4.6100000000000002E-2</v>
      </c>
      <c r="X2258" s="1">
        <f t="shared" si="107"/>
        <v>0</v>
      </c>
    </row>
    <row r="2259" spans="1:24" x14ac:dyDescent="0.25">
      <c r="A2259">
        <v>2008</v>
      </c>
      <c r="B2259">
        <v>12</v>
      </c>
      <c r="C2259" t="s">
        <v>27</v>
      </c>
      <c r="D2259" t="str">
        <f>_xlfn.XLOOKUP(C2259,'Carrier Name Rename'!A:A,'Carrier Name Rename'!B:B)</f>
        <v>SkyWest Airlines Inc.</v>
      </c>
      <c r="E2259" t="s">
        <v>23</v>
      </c>
      <c r="F2259" t="s">
        <v>24</v>
      </c>
      <c r="G2259">
        <v>428</v>
      </c>
      <c r="H2259">
        <v>129</v>
      </c>
      <c r="I2259">
        <v>25.41</v>
      </c>
      <c r="J2259">
        <v>7.02</v>
      </c>
      <c r="K2259">
        <v>49.48</v>
      </c>
      <c r="L2259">
        <v>0</v>
      </c>
      <c r="M2259">
        <v>47.1</v>
      </c>
      <c r="N2259">
        <v>30</v>
      </c>
      <c r="O2259">
        <v>2</v>
      </c>
      <c r="P2259">
        <v>6242</v>
      </c>
      <c r="Q2259">
        <v>1166</v>
      </c>
      <c r="R2259">
        <v>635</v>
      </c>
      <c r="S2259">
        <v>2227</v>
      </c>
      <c r="T2259">
        <v>0</v>
      </c>
      <c r="U2259">
        <v>2214</v>
      </c>
      <c r="V2259" s="1">
        <f t="shared" si="105"/>
        <v>0.3014</v>
      </c>
      <c r="W2259" s="1">
        <f t="shared" si="106"/>
        <v>7.0099999999999996E-2</v>
      </c>
      <c r="X2259" s="1">
        <f t="shared" si="107"/>
        <v>4.7000000000000002E-3</v>
      </c>
    </row>
    <row r="2260" spans="1:24" x14ac:dyDescent="0.25">
      <c r="A2260">
        <v>2008</v>
      </c>
      <c r="B2260">
        <v>12</v>
      </c>
      <c r="C2260" t="s">
        <v>41</v>
      </c>
      <c r="D2260" t="str">
        <f>_xlfn.XLOOKUP(C2260,'Carrier Name Rename'!A:A,'Carrier Name Rename'!B:B)</f>
        <v>United Air Lines Inc.</v>
      </c>
      <c r="E2260" t="s">
        <v>23</v>
      </c>
      <c r="F2260" t="s">
        <v>24</v>
      </c>
      <c r="G2260">
        <v>606</v>
      </c>
      <c r="H2260">
        <v>201</v>
      </c>
      <c r="I2260">
        <v>57.09</v>
      </c>
      <c r="J2260">
        <v>11.84</v>
      </c>
      <c r="K2260">
        <v>59.47</v>
      </c>
      <c r="L2260">
        <v>0</v>
      </c>
      <c r="M2260">
        <v>72.599999999999994</v>
      </c>
      <c r="N2260">
        <v>28</v>
      </c>
      <c r="O2260">
        <v>0</v>
      </c>
      <c r="P2260">
        <v>11562</v>
      </c>
      <c r="Q2260">
        <v>3390</v>
      </c>
      <c r="R2260">
        <v>647</v>
      </c>
      <c r="S2260">
        <v>2343</v>
      </c>
      <c r="T2260">
        <v>0</v>
      </c>
      <c r="U2260">
        <v>5182</v>
      </c>
      <c r="V2260" s="1">
        <f t="shared" si="105"/>
        <v>0.33169999999999999</v>
      </c>
      <c r="W2260" s="1">
        <f t="shared" si="106"/>
        <v>4.6199999999999998E-2</v>
      </c>
      <c r="X2260" s="1">
        <f t="shared" si="107"/>
        <v>0</v>
      </c>
    </row>
    <row r="2261" spans="1:24" x14ac:dyDescent="0.25">
      <c r="A2261">
        <v>2008</v>
      </c>
      <c r="B2261">
        <v>12</v>
      </c>
      <c r="C2261" t="s">
        <v>61</v>
      </c>
      <c r="D2261" t="str">
        <f>_xlfn.XLOOKUP(C2261,'Carrier Name Rename'!A:A,'Carrier Name Rename'!B:B)</f>
        <v>US Airways Inc.</v>
      </c>
      <c r="E2261" t="s">
        <v>23</v>
      </c>
      <c r="F2261" t="s">
        <v>24</v>
      </c>
      <c r="G2261">
        <v>330</v>
      </c>
      <c r="H2261">
        <v>113</v>
      </c>
      <c r="I2261">
        <v>29.71</v>
      </c>
      <c r="J2261">
        <v>0.03</v>
      </c>
      <c r="K2261">
        <v>41.92</v>
      </c>
      <c r="L2261">
        <v>0.91</v>
      </c>
      <c r="M2261">
        <v>40.43</v>
      </c>
      <c r="N2261">
        <v>10</v>
      </c>
      <c r="O2261">
        <v>5</v>
      </c>
      <c r="P2261">
        <v>5864</v>
      </c>
      <c r="Q2261">
        <v>1336</v>
      </c>
      <c r="R2261">
        <v>7</v>
      </c>
      <c r="S2261">
        <v>1870</v>
      </c>
      <c r="T2261">
        <v>31</v>
      </c>
      <c r="U2261">
        <v>2620</v>
      </c>
      <c r="V2261" s="1">
        <f t="shared" si="105"/>
        <v>0.34239999999999998</v>
      </c>
      <c r="W2261" s="1">
        <f t="shared" si="106"/>
        <v>3.0300000000000001E-2</v>
      </c>
      <c r="X2261" s="1">
        <f t="shared" si="107"/>
        <v>1.52E-2</v>
      </c>
    </row>
    <row r="2262" spans="1:24" x14ac:dyDescent="0.25">
      <c r="A2262">
        <v>2008</v>
      </c>
      <c r="B2262">
        <v>12</v>
      </c>
      <c r="C2262" t="s">
        <v>43</v>
      </c>
      <c r="D2262" t="str">
        <f>_xlfn.XLOOKUP(C2262,'Carrier Name Rename'!A:A,'Carrier Name Rename'!B:B)</f>
        <v>Southwest Airlines Co.</v>
      </c>
      <c r="E2262" t="s">
        <v>23</v>
      </c>
      <c r="F2262" t="s">
        <v>24</v>
      </c>
      <c r="G2262">
        <v>1311</v>
      </c>
      <c r="H2262">
        <v>414</v>
      </c>
      <c r="I2262">
        <v>93.3</v>
      </c>
      <c r="J2262">
        <v>23.7</v>
      </c>
      <c r="K2262">
        <v>69.06</v>
      </c>
      <c r="L2262">
        <v>2.1</v>
      </c>
      <c r="M2262">
        <v>225.84</v>
      </c>
      <c r="N2262">
        <v>47</v>
      </c>
      <c r="O2262">
        <v>9</v>
      </c>
      <c r="P2262">
        <v>26574</v>
      </c>
      <c r="Q2262">
        <v>4841</v>
      </c>
      <c r="R2262">
        <v>2855</v>
      </c>
      <c r="S2262">
        <v>3499</v>
      </c>
      <c r="T2262">
        <v>54</v>
      </c>
      <c r="U2262">
        <v>15325</v>
      </c>
      <c r="V2262" s="1">
        <f t="shared" si="105"/>
        <v>0.31580000000000003</v>
      </c>
      <c r="W2262" s="1">
        <f t="shared" si="106"/>
        <v>3.5900000000000001E-2</v>
      </c>
      <c r="X2262" s="1">
        <f t="shared" si="107"/>
        <v>6.8999999999999999E-3</v>
      </c>
    </row>
    <row r="2263" spans="1:24" x14ac:dyDescent="0.25">
      <c r="A2263">
        <v>2008</v>
      </c>
      <c r="B2263">
        <v>11</v>
      </c>
      <c r="C2263" t="s">
        <v>31</v>
      </c>
      <c r="D2263" t="str">
        <f>_xlfn.XLOOKUP(C2263,'Carrier Name Rename'!A:A,'Carrier Name Rename'!B:B)</f>
        <v>American Airlines Inc.</v>
      </c>
      <c r="E2263" t="s">
        <v>23</v>
      </c>
      <c r="F2263" t="s">
        <v>24</v>
      </c>
      <c r="G2263">
        <v>375</v>
      </c>
      <c r="H2263">
        <v>87</v>
      </c>
      <c r="I2263">
        <v>35.08</v>
      </c>
      <c r="J2263">
        <v>2.09</v>
      </c>
      <c r="K2263">
        <v>42.12</v>
      </c>
      <c r="L2263">
        <v>0</v>
      </c>
      <c r="M2263">
        <v>7.71</v>
      </c>
      <c r="N2263">
        <v>2</v>
      </c>
      <c r="O2263">
        <v>2</v>
      </c>
      <c r="P2263">
        <v>4996</v>
      </c>
      <c r="Q2263">
        <v>2226</v>
      </c>
      <c r="R2263">
        <v>829</v>
      </c>
      <c r="S2263">
        <v>1289</v>
      </c>
      <c r="T2263">
        <v>0</v>
      </c>
      <c r="U2263">
        <v>652</v>
      </c>
      <c r="V2263" s="1">
        <f t="shared" si="105"/>
        <v>0.23200000000000001</v>
      </c>
      <c r="W2263" s="1">
        <f t="shared" si="106"/>
        <v>5.3E-3</v>
      </c>
      <c r="X2263" s="1">
        <f t="shared" si="107"/>
        <v>5.3E-3</v>
      </c>
    </row>
    <row r="2264" spans="1:24" x14ac:dyDescent="0.25">
      <c r="A2264">
        <v>2008</v>
      </c>
      <c r="B2264">
        <v>11</v>
      </c>
      <c r="C2264" t="s">
        <v>33</v>
      </c>
      <c r="D2264" t="str">
        <f>_xlfn.XLOOKUP(C2264,'Carrier Name Rename'!A:A,'Carrier Name Rename'!B:B)</f>
        <v>Alaska Airlines Inc.</v>
      </c>
      <c r="E2264" t="s">
        <v>23</v>
      </c>
      <c r="F2264" t="s">
        <v>24</v>
      </c>
      <c r="G2264">
        <v>3591</v>
      </c>
      <c r="H2264">
        <v>678</v>
      </c>
      <c r="I2264">
        <v>135.24</v>
      </c>
      <c r="J2264">
        <v>8.6199999999999992</v>
      </c>
      <c r="K2264">
        <v>319.17</v>
      </c>
      <c r="L2264">
        <v>3.13</v>
      </c>
      <c r="M2264">
        <v>211.85</v>
      </c>
      <c r="N2264">
        <v>12</v>
      </c>
      <c r="O2264">
        <v>3</v>
      </c>
      <c r="P2264">
        <v>30046</v>
      </c>
      <c r="Q2264">
        <v>8942</v>
      </c>
      <c r="R2264">
        <v>375</v>
      </c>
      <c r="S2264">
        <v>9303</v>
      </c>
      <c r="T2264">
        <v>82</v>
      </c>
      <c r="U2264">
        <v>11344</v>
      </c>
      <c r="V2264" s="1">
        <f t="shared" si="105"/>
        <v>0.1888</v>
      </c>
      <c r="W2264" s="1">
        <f t="shared" si="106"/>
        <v>3.3E-3</v>
      </c>
      <c r="X2264" s="1">
        <f t="shared" si="107"/>
        <v>8.0000000000000004E-4</v>
      </c>
    </row>
    <row r="2265" spans="1:24" x14ac:dyDescent="0.25">
      <c r="A2265">
        <v>2008</v>
      </c>
      <c r="B2265">
        <v>11</v>
      </c>
      <c r="C2265" t="s">
        <v>35</v>
      </c>
      <c r="D2265" t="str">
        <f>_xlfn.XLOOKUP(C2265,'Carrier Name Rename'!A:A,'Carrier Name Rename'!B:B)</f>
        <v>JetBlue Airways</v>
      </c>
      <c r="E2265" t="s">
        <v>23</v>
      </c>
      <c r="F2265" t="s">
        <v>24</v>
      </c>
      <c r="G2265">
        <v>145</v>
      </c>
      <c r="H2265">
        <v>18</v>
      </c>
      <c r="I2265">
        <v>7.84</v>
      </c>
      <c r="J2265">
        <v>0.43</v>
      </c>
      <c r="K2265">
        <v>2.82</v>
      </c>
      <c r="L2265">
        <v>0</v>
      </c>
      <c r="M2265">
        <v>6.91</v>
      </c>
      <c r="N2265">
        <v>0</v>
      </c>
      <c r="O2265">
        <v>0</v>
      </c>
      <c r="P2265">
        <v>1011</v>
      </c>
      <c r="Q2265">
        <v>364</v>
      </c>
      <c r="R2265">
        <v>52</v>
      </c>
      <c r="S2265">
        <v>166</v>
      </c>
      <c r="T2265">
        <v>0</v>
      </c>
      <c r="U2265">
        <v>429</v>
      </c>
      <c r="V2265" s="1">
        <f t="shared" si="105"/>
        <v>0.1241</v>
      </c>
      <c r="W2265" s="1">
        <f t="shared" si="106"/>
        <v>0</v>
      </c>
      <c r="X2265" s="1">
        <f t="shared" si="107"/>
        <v>0</v>
      </c>
    </row>
    <row r="2266" spans="1:24" x14ac:dyDescent="0.25">
      <c r="A2266">
        <v>2008</v>
      </c>
      <c r="B2266">
        <v>11</v>
      </c>
      <c r="C2266" t="s">
        <v>65</v>
      </c>
      <c r="D2266" t="str">
        <f>_xlfn.XLOOKUP(C2266,'Carrier Name Rename'!A:A,'Carrier Name Rename'!B:B)</f>
        <v>Continental Air Lines Inc.</v>
      </c>
      <c r="E2266" t="s">
        <v>23</v>
      </c>
      <c r="F2266" t="s">
        <v>24</v>
      </c>
      <c r="G2266">
        <v>320</v>
      </c>
      <c r="H2266">
        <v>88</v>
      </c>
      <c r="I2266">
        <v>33.11</v>
      </c>
      <c r="J2266">
        <v>1.7</v>
      </c>
      <c r="K2266">
        <v>37.04</v>
      </c>
      <c r="L2266">
        <v>1.92</v>
      </c>
      <c r="M2266">
        <v>14.23</v>
      </c>
      <c r="N2266">
        <v>1</v>
      </c>
      <c r="O2266">
        <v>0</v>
      </c>
      <c r="P2266">
        <v>4477</v>
      </c>
      <c r="Q2266">
        <v>1767</v>
      </c>
      <c r="R2266">
        <v>178</v>
      </c>
      <c r="S2266">
        <v>1503</v>
      </c>
      <c r="T2266">
        <v>53</v>
      </c>
      <c r="U2266">
        <v>976</v>
      </c>
      <c r="V2266" s="1">
        <f t="shared" si="105"/>
        <v>0.27500000000000002</v>
      </c>
      <c r="W2266" s="1">
        <f t="shared" si="106"/>
        <v>3.0999999999999999E-3</v>
      </c>
      <c r="X2266" s="1">
        <f t="shared" si="107"/>
        <v>0</v>
      </c>
    </row>
    <row r="2267" spans="1:24" x14ac:dyDescent="0.25">
      <c r="A2267">
        <v>2008</v>
      </c>
      <c r="B2267">
        <v>11</v>
      </c>
      <c r="C2267" t="s">
        <v>37</v>
      </c>
      <c r="D2267" t="str">
        <f>_xlfn.XLOOKUP(C2267,'Carrier Name Rename'!A:A,'Carrier Name Rename'!B:B)</f>
        <v>Delta Air Lines Inc.</v>
      </c>
      <c r="E2267" t="s">
        <v>23</v>
      </c>
      <c r="F2267" t="s">
        <v>24</v>
      </c>
      <c r="G2267">
        <v>416</v>
      </c>
      <c r="H2267">
        <v>69</v>
      </c>
      <c r="I2267">
        <v>15.06</v>
      </c>
      <c r="J2267">
        <v>1.5</v>
      </c>
      <c r="K2267">
        <v>37.340000000000003</v>
      </c>
      <c r="L2267">
        <v>0</v>
      </c>
      <c r="M2267">
        <v>15.09</v>
      </c>
      <c r="N2267">
        <v>0</v>
      </c>
      <c r="O2267">
        <v>2</v>
      </c>
      <c r="P2267">
        <v>3320</v>
      </c>
      <c r="Q2267">
        <v>968</v>
      </c>
      <c r="R2267">
        <v>101</v>
      </c>
      <c r="S2267">
        <v>1192</v>
      </c>
      <c r="T2267">
        <v>0</v>
      </c>
      <c r="U2267">
        <v>1059</v>
      </c>
      <c r="V2267" s="1">
        <f t="shared" si="105"/>
        <v>0.16589999999999999</v>
      </c>
      <c r="W2267" s="1">
        <f t="shared" si="106"/>
        <v>0</v>
      </c>
      <c r="X2267" s="1">
        <f t="shared" si="107"/>
        <v>4.7999999999999996E-3</v>
      </c>
    </row>
    <row r="2268" spans="1:24" x14ac:dyDescent="0.25">
      <c r="A2268">
        <v>2008</v>
      </c>
      <c r="B2268">
        <v>11</v>
      </c>
      <c r="C2268" t="s">
        <v>39</v>
      </c>
      <c r="D2268" t="str">
        <f>_xlfn.XLOOKUP(C2268,'Carrier Name Rename'!A:A,'Carrier Name Rename'!B:B)</f>
        <v>Frontier Airlines Inc.</v>
      </c>
      <c r="E2268" t="s">
        <v>23</v>
      </c>
      <c r="F2268" t="s">
        <v>24</v>
      </c>
      <c r="G2268">
        <v>115</v>
      </c>
      <c r="H2268">
        <v>38</v>
      </c>
      <c r="I2268">
        <v>8.57</v>
      </c>
      <c r="J2268">
        <v>0.44</v>
      </c>
      <c r="K2268">
        <v>24.29</v>
      </c>
      <c r="L2268">
        <v>0</v>
      </c>
      <c r="M2268">
        <v>4.7</v>
      </c>
      <c r="N2268">
        <v>0</v>
      </c>
      <c r="O2268">
        <v>1</v>
      </c>
      <c r="P2268">
        <v>1328</v>
      </c>
      <c r="Q2268">
        <v>281</v>
      </c>
      <c r="R2268">
        <v>19</v>
      </c>
      <c r="S2268">
        <v>818</v>
      </c>
      <c r="T2268">
        <v>0</v>
      </c>
      <c r="U2268">
        <v>210</v>
      </c>
      <c r="V2268" s="1">
        <f t="shared" si="105"/>
        <v>0.33040000000000003</v>
      </c>
      <c r="W2268" s="1">
        <f t="shared" si="106"/>
        <v>0</v>
      </c>
      <c r="X2268" s="1">
        <f t="shared" si="107"/>
        <v>8.6999999999999994E-3</v>
      </c>
    </row>
    <row r="2269" spans="1:24" x14ac:dyDescent="0.25">
      <c r="A2269">
        <v>2008</v>
      </c>
      <c r="B2269">
        <v>11</v>
      </c>
      <c r="C2269" t="s">
        <v>63</v>
      </c>
      <c r="D2269" t="str">
        <f>_xlfn.XLOOKUP(C2269,'Carrier Name Rename'!A:A,'Carrier Name Rename'!B:B)</f>
        <v>AirTran Airways Corporation</v>
      </c>
      <c r="E2269" t="s">
        <v>23</v>
      </c>
      <c r="F2269" t="s">
        <v>24</v>
      </c>
      <c r="G2269">
        <v>1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 s="1">
        <f t="shared" si="105"/>
        <v>0</v>
      </c>
      <c r="W2269" s="1">
        <f t="shared" si="106"/>
        <v>0</v>
      </c>
      <c r="X2269" s="1">
        <f t="shared" si="107"/>
        <v>0</v>
      </c>
    </row>
    <row r="2270" spans="1:24" x14ac:dyDescent="0.25">
      <c r="A2270">
        <v>2008</v>
      </c>
      <c r="B2270">
        <v>11</v>
      </c>
      <c r="C2270" t="s">
        <v>21</v>
      </c>
      <c r="D2270" t="str">
        <f>_xlfn.XLOOKUP(C2270,'Carrier Name Rename'!A:A,'Carrier Name Rename'!B:B)</f>
        <v>Hawaiian Airlines Inc.</v>
      </c>
      <c r="E2270" t="s">
        <v>23</v>
      </c>
      <c r="F2270" t="s">
        <v>24</v>
      </c>
      <c r="G2270">
        <v>90</v>
      </c>
      <c r="H2270">
        <v>25</v>
      </c>
      <c r="I2270">
        <v>21.91</v>
      </c>
      <c r="J2270">
        <v>0</v>
      </c>
      <c r="K2270">
        <v>0</v>
      </c>
      <c r="L2270">
        <v>0</v>
      </c>
      <c r="M2270">
        <v>3.09</v>
      </c>
      <c r="N2270">
        <v>2</v>
      </c>
      <c r="O2270">
        <v>1</v>
      </c>
      <c r="P2270">
        <v>1080</v>
      </c>
      <c r="Q2270">
        <v>838</v>
      </c>
      <c r="R2270">
        <v>0</v>
      </c>
      <c r="S2270">
        <v>0</v>
      </c>
      <c r="T2270">
        <v>0</v>
      </c>
      <c r="U2270">
        <v>242</v>
      </c>
      <c r="V2270" s="1">
        <f t="shared" si="105"/>
        <v>0.27779999999999999</v>
      </c>
      <c r="W2270" s="1">
        <f t="shared" si="106"/>
        <v>2.2200000000000001E-2</v>
      </c>
      <c r="X2270" s="1">
        <f t="shared" si="107"/>
        <v>1.11E-2</v>
      </c>
    </row>
    <row r="2271" spans="1:24" x14ac:dyDescent="0.25">
      <c r="A2271">
        <v>2008</v>
      </c>
      <c r="B2271">
        <v>11</v>
      </c>
      <c r="C2271" t="s">
        <v>67</v>
      </c>
      <c r="D2271" t="str">
        <f>_xlfn.XLOOKUP(C2271,'Carrier Name Rename'!A:A,'Carrier Name Rename'!B:B)</f>
        <v>Northwest Airlines Inc.</v>
      </c>
      <c r="E2271" t="s">
        <v>23</v>
      </c>
      <c r="F2271" t="s">
        <v>24</v>
      </c>
      <c r="G2271">
        <v>357</v>
      </c>
      <c r="H2271">
        <v>59</v>
      </c>
      <c r="I2271">
        <v>20.14</v>
      </c>
      <c r="J2271">
        <v>0</v>
      </c>
      <c r="K2271">
        <v>36.08</v>
      </c>
      <c r="L2271">
        <v>0</v>
      </c>
      <c r="M2271">
        <v>2.78</v>
      </c>
      <c r="N2271">
        <v>0</v>
      </c>
      <c r="O2271">
        <v>0</v>
      </c>
      <c r="P2271">
        <v>1959</v>
      </c>
      <c r="Q2271">
        <v>930</v>
      </c>
      <c r="R2271">
        <v>0</v>
      </c>
      <c r="S2271">
        <v>932</v>
      </c>
      <c r="T2271">
        <v>0</v>
      </c>
      <c r="U2271">
        <v>97</v>
      </c>
      <c r="V2271" s="1">
        <f t="shared" si="105"/>
        <v>0.1653</v>
      </c>
      <c r="W2271" s="1">
        <f t="shared" si="106"/>
        <v>0</v>
      </c>
      <c r="X2271" s="1">
        <f t="shared" si="107"/>
        <v>0</v>
      </c>
    </row>
    <row r="2272" spans="1:24" x14ac:dyDescent="0.25">
      <c r="A2272">
        <v>2008</v>
      </c>
      <c r="B2272">
        <v>11</v>
      </c>
      <c r="C2272" t="s">
        <v>27</v>
      </c>
      <c r="D2272" t="str">
        <f>_xlfn.XLOOKUP(C2272,'Carrier Name Rename'!A:A,'Carrier Name Rename'!B:B)</f>
        <v>SkyWest Airlines Inc.</v>
      </c>
      <c r="E2272" t="s">
        <v>23</v>
      </c>
      <c r="F2272" t="s">
        <v>24</v>
      </c>
      <c r="G2272">
        <v>413</v>
      </c>
      <c r="H2272">
        <v>68</v>
      </c>
      <c r="I2272">
        <v>17.489999999999998</v>
      </c>
      <c r="J2272">
        <v>1</v>
      </c>
      <c r="K2272">
        <v>29.99</v>
      </c>
      <c r="L2272">
        <v>0.27</v>
      </c>
      <c r="M2272">
        <v>19.25</v>
      </c>
      <c r="N2272">
        <v>15</v>
      </c>
      <c r="O2272">
        <v>0</v>
      </c>
      <c r="P2272">
        <v>2505</v>
      </c>
      <c r="Q2272">
        <v>601</v>
      </c>
      <c r="R2272">
        <v>27</v>
      </c>
      <c r="S2272">
        <v>855</v>
      </c>
      <c r="T2272">
        <v>4</v>
      </c>
      <c r="U2272">
        <v>1018</v>
      </c>
      <c r="V2272" s="1">
        <f t="shared" si="105"/>
        <v>0.1646</v>
      </c>
      <c r="W2272" s="1">
        <f t="shared" si="106"/>
        <v>3.6299999999999999E-2</v>
      </c>
      <c r="X2272" s="1">
        <f t="shared" si="107"/>
        <v>0</v>
      </c>
    </row>
    <row r="2273" spans="1:24" x14ac:dyDescent="0.25">
      <c r="A2273">
        <v>2008</v>
      </c>
      <c r="B2273">
        <v>11</v>
      </c>
      <c r="C2273" t="s">
        <v>41</v>
      </c>
      <c r="D2273" t="str">
        <f>_xlfn.XLOOKUP(C2273,'Carrier Name Rename'!A:A,'Carrier Name Rename'!B:B)</f>
        <v>United Air Lines Inc.</v>
      </c>
      <c r="E2273" t="s">
        <v>23</v>
      </c>
      <c r="F2273" t="s">
        <v>24</v>
      </c>
      <c r="G2273">
        <v>579</v>
      </c>
      <c r="H2273">
        <v>84</v>
      </c>
      <c r="I2273">
        <v>24.44</v>
      </c>
      <c r="J2273">
        <v>0.61</v>
      </c>
      <c r="K2273">
        <v>22.95</v>
      </c>
      <c r="L2273">
        <v>0</v>
      </c>
      <c r="M2273">
        <v>36.01</v>
      </c>
      <c r="N2273">
        <v>4</v>
      </c>
      <c r="O2273">
        <v>0</v>
      </c>
      <c r="P2273">
        <v>4910</v>
      </c>
      <c r="Q2273">
        <v>1906</v>
      </c>
      <c r="R2273">
        <v>30</v>
      </c>
      <c r="S2273">
        <v>794</v>
      </c>
      <c r="T2273">
        <v>0</v>
      </c>
      <c r="U2273">
        <v>2180</v>
      </c>
      <c r="V2273" s="1">
        <f t="shared" si="105"/>
        <v>0.14510000000000001</v>
      </c>
      <c r="W2273" s="1">
        <f t="shared" si="106"/>
        <v>6.8999999999999999E-3</v>
      </c>
      <c r="X2273" s="1">
        <f t="shared" si="107"/>
        <v>0</v>
      </c>
    </row>
    <row r="2274" spans="1:24" x14ac:dyDescent="0.25">
      <c r="A2274">
        <v>2008</v>
      </c>
      <c r="B2274">
        <v>11</v>
      </c>
      <c r="C2274" t="s">
        <v>61</v>
      </c>
      <c r="D2274" t="str">
        <f>_xlfn.XLOOKUP(C2274,'Carrier Name Rename'!A:A,'Carrier Name Rename'!B:B)</f>
        <v>US Airways Inc.</v>
      </c>
      <c r="E2274" t="s">
        <v>23</v>
      </c>
      <c r="F2274" t="s">
        <v>24</v>
      </c>
      <c r="G2274">
        <v>296</v>
      </c>
      <c r="H2274">
        <v>50</v>
      </c>
      <c r="I2274">
        <v>15.12</v>
      </c>
      <c r="J2274">
        <v>0.14000000000000001</v>
      </c>
      <c r="K2274">
        <v>23.74</v>
      </c>
      <c r="L2274">
        <v>0.41</v>
      </c>
      <c r="M2274">
        <v>10.58</v>
      </c>
      <c r="N2274">
        <v>0</v>
      </c>
      <c r="O2274">
        <v>2</v>
      </c>
      <c r="P2274">
        <v>1800</v>
      </c>
      <c r="Q2274">
        <v>645</v>
      </c>
      <c r="R2274">
        <v>6</v>
      </c>
      <c r="S2274">
        <v>666</v>
      </c>
      <c r="T2274">
        <v>12</v>
      </c>
      <c r="U2274">
        <v>471</v>
      </c>
      <c r="V2274" s="1">
        <f t="shared" si="105"/>
        <v>0.16889999999999999</v>
      </c>
      <c r="W2274" s="1">
        <f t="shared" si="106"/>
        <v>0</v>
      </c>
      <c r="X2274" s="1">
        <f t="shared" si="107"/>
        <v>6.7999999999999996E-3</v>
      </c>
    </row>
    <row r="2275" spans="1:24" x14ac:dyDescent="0.25">
      <c r="A2275">
        <v>2008</v>
      </c>
      <c r="B2275">
        <v>11</v>
      </c>
      <c r="C2275" t="s">
        <v>43</v>
      </c>
      <c r="D2275" t="str">
        <f>_xlfn.XLOOKUP(C2275,'Carrier Name Rename'!A:A,'Carrier Name Rename'!B:B)</f>
        <v>Southwest Airlines Co.</v>
      </c>
      <c r="E2275" t="s">
        <v>23</v>
      </c>
      <c r="F2275" t="s">
        <v>24</v>
      </c>
      <c r="G2275">
        <v>1247</v>
      </c>
      <c r="H2275">
        <v>141</v>
      </c>
      <c r="I2275">
        <v>34.5</v>
      </c>
      <c r="J2275">
        <v>3.44</v>
      </c>
      <c r="K2275">
        <v>23.33</v>
      </c>
      <c r="L2275">
        <v>0</v>
      </c>
      <c r="M2275">
        <v>79.73</v>
      </c>
      <c r="N2275">
        <v>10</v>
      </c>
      <c r="O2275">
        <v>1</v>
      </c>
      <c r="P2275">
        <v>6310</v>
      </c>
      <c r="Q2275">
        <v>1263</v>
      </c>
      <c r="R2275">
        <v>98</v>
      </c>
      <c r="S2275">
        <v>673</v>
      </c>
      <c r="T2275">
        <v>0</v>
      </c>
      <c r="U2275">
        <v>4276</v>
      </c>
      <c r="V2275" s="1">
        <f t="shared" si="105"/>
        <v>0.11310000000000001</v>
      </c>
      <c r="W2275" s="1">
        <f t="shared" si="106"/>
        <v>8.0000000000000002E-3</v>
      </c>
      <c r="X2275" s="1">
        <f t="shared" si="107"/>
        <v>8.0000000000000004E-4</v>
      </c>
    </row>
    <row r="2276" spans="1:24" x14ac:dyDescent="0.25">
      <c r="A2276">
        <v>2008</v>
      </c>
      <c r="B2276">
        <v>10</v>
      </c>
      <c r="C2276" t="s">
        <v>31</v>
      </c>
      <c r="D2276" t="str">
        <f>_xlfn.XLOOKUP(C2276,'Carrier Name Rename'!A:A,'Carrier Name Rename'!B:B)</f>
        <v>American Airlines Inc.</v>
      </c>
      <c r="E2276" t="s">
        <v>23</v>
      </c>
      <c r="F2276" t="s">
        <v>24</v>
      </c>
      <c r="G2276">
        <v>449</v>
      </c>
      <c r="H2276">
        <v>111</v>
      </c>
      <c r="I2276">
        <v>42.77</v>
      </c>
      <c r="J2276">
        <v>1.47</v>
      </c>
      <c r="K2276">
        <v>47.42</v>
      </c>
      <c r="L2276">
        <v>0</v>
      </c>
      <c r="M2276">
        <v>19.34</v>
      </c>
      <c r="N2276">
        <v>1</v>
      </c>
      <c r="O2276">
        <v>2</v>
      </c>
      <c r="P2276">
        <v>4614</v>
      </c>
      <c r="Q2276">
        <v>2077</v>
      </c>
      <c r="R2276">
        <v>83</v>
      </c>
      <c r="S2276">
        <v>1259</v>
      </c>
      <c r="T2276">
        <v>0</v>
      </c>
      <c r="U2276">
        <v>1195</v>
      </c>
      <c r="V2276" s="1">
        <f t="shared" si="105"/>
        <v>0.2472</v>
      </c>
      <c r="W2276" s="1">
        <f t="shared" si="106"/>
        <v>2.2000000000000001E-3</v>
      </c>
      <c r="X2276" s="1">
        <f t="shared" si="107"/>
        <v>4.4999999999999997E-3</v>
      </c>
    </row>
    <row r="2277" spans="1:24" x14ac:dyDescent="0.25">
      <c r="A2277">
        <v>2008</v>
      </c>
      <c r="B2277">
        <v>10</v>
      </c>
      <c r="C2277" t="s">
        <v>33</v>
      </c>
      <c r="D2277" t="str">
        <f>_xlfn.XLOOKUP(C2277,'Carrier Name Rename'!A:A,'Carrier Name Rename'!B:B)</f>
        <v>Alaska Airlines Inc.</v>
      </c>
      <c r="E2277" t="s">
        <v>23</v>
      </c>
      <c r="F2277" t="s">
        <v>24</v>
      </c>
      <c r="G2277">
        <v>4070</v>
      </c>
      <c r="H2277">
        <v>611</v>
      </c>
      <c r="I2277">
        <v>149.01</v>
      </c>
      <c r="J2277">
        <v>0</v>
      </c>
      <c r="K2277">
        <v>282.41000000000003</v>
      </c>
      <c r="L2277">
        <v>0</v>
      </c>
      <c r="M2277">
        <v>179.59</v>
      </c>
      <c r="N2277">
        <v>28</v>
      </c>
      <c r="O2277">
        <v>7</v>
      </c>
      <c r="P2277">
        <v>25642</v>
      </c>
      <c r="Q2277">
        <v>9222</v>
      </c>
      <c r="R2277">
        <v>0</v>
      </c>
      <c r="S2277">
        <v>7557</v>
      </c>
      <c r="T2277">
        <v>0</v>
      </c>
      <c r="U2277">
        <v>8863</v>
      </c>
      <c r="V2277" s="1">
        <f t="shared" si="105"/>
        <v>0.15010000000000001</v>
      </c>
      <c r="W2277" s="1">
        <f t="shared" si="106"/>
        <v>6.8999999999999999E-3</v>
      </c>
      <c r="X2277" s="1">
        <f t="shared" si="107"/>
        <v>1.6999999999999999E-3</v>
      </c>
    </row>
    <row r="2278" spans="1:24" x14ac:dyDescent="0.25">
      <c r="A2278">
        <v>2008</v>
      </c>
      <c r="B2278">
        <v>10</v>
      </c>
      <c r="C2278" t="s">
        <v>35</v>
      </c>
      <c r="D2278" t="str">
        <f>_xlfn.XLOOKUP(C2278,'Carrier Name Rename'!A:A,'Carrier Name Rename'!B:B)</f>
        <v>JetBlue Airways</v>
      </c>
      <c r="E2278" t="s">
        <v>23</v>
      </c>
      <c r="F2278" t="s">
        <v>24</v>
      </c>
      <c r="G2278">
        <v>156</v>
      </c>
      <c r="H2278">
        <v>26</v>
      </c>
      <c r="I2278">
        <v>5.33</v>
      </c>
      <c r="J2278">
        <v>0</v>
      </c>
      <c r="K2278">
        <v>15.08</v>
      </c>
      <c r="L2278">
        <v>0</v>
      </c>
      <c r="M2278">
        <v>5.59</v>
      </c>
      <c r="N2278">
        <v>0</v>
      </c>
      <c r="O2278">
        <v>1</v>
      </c>
      <c r="P2278">
        <v>848</v>
      </c>
      <c r="Q2278">
        <v>172</v>
      </c>
      <c r="R2278">
        <v>0</v>
      </c>
      <c r="S2278">
        <v>425</v>
      </c>
      <c r="T2278">
        <v>0</v>
      </c>
      <c r="U2278">
        <v>251</v>
      </c>
      <c r="V2278" s="1">
        <f t="shared" si="105"/>
        <v>0.16669999999999999</v>
      </c>
      <c r="W2278" s="1">
        <f t="shared" si="106"/>
        <v>0</v>
      </c>
      <c r="X2278" s="1">
        <f t="shared" si="107"/>
        <v>6.4000000000000003E-3</v>
      </c>
    </row>
    <row r="2279" spans="1:24" x14ac:dyDescent="0.25">
      <c r="A2279">
        <v>2008</v>
      </c>
      <c r="B2279">
        <v>10</v>
      </c>
      <c r="C2279" t="s">
        <v>65</v>
      </c>
      <c r="D2279" t="str">
        <f>_xlfn.XLOOKUP(C2279,'Carrier Name Rename'!A:A,'Carrier Name Rename'!B:B)</f>
        <v>Continental Air Lines Inc.</v>
      </c>
      <c r="E2279" t="s">
        <v>23</v>
      </c>
      <c r="F2279" t="s">
        <v>24</v>
      </c>
      <c r="G2279">
        <v>343</v>
      </c>
      <c r="H2279">
        <v>88</v>
      </c>
      <c r="I2279">
        <v>28.12</v>
      </c>
      <c r="J2279">
        <v>3.65</v>
      </c>
      <c r="K2279">
        <v>44.58</v>
      </c>
      <c r="L2279">
        <v>0</v>
      </c>
      <c r="M2279">
        <v>11.65</v>
      </c>
      <c r="N2279">
        <v>0</v>
      </c>
      <c r="O2279">
        <v>0</v>
      </c>
      <c r="P2279">
        <v>4479</v>
      </c>
      <c r="Q2279">
        <v>1561</v>
      </c>
      <c r="R2279">
        <v>338</v>
      </c>
      <c r="S2279">
        <v>1390</v>
      </c>
      <c r="T2279">
        <v>0</v>
      </c>
      <c r="U2279">
        <v>1190</v>
      </c>
      <c r="V2279" s="1">
        <f t="shared" si="105"/>
        <v>0.25659999999999999</v>
      </c>
      <c r="W2279" s="1">
        <f t="shared" si="106"/>
        <v>0</v>
      </c>
      <c r="X2279" s="1">
        <f t="shared" si="107"/>
        <v>0</v>
      </c>
    </row>
    <row r="2280" spans="1:24" x14ac:dyDescent="0.25">
      <c r="A2280">
        <v>2008</v>
      </c>
      <c r="B2280">
        <v>10</v>
      </c>
      <c r="C2280" t="s">
        <v>37</v>
      </c>
      <c r="D2280" t="str">
        <f>_xlfn.XLOOKUP(C2280,'Carrier Name Rename'!A:A,'Carrier Name Rename'!B:B)</f>
        <v>Delta Air Lines Inc.</v>
      </c>
      <c r="E2280" t="s">
        <v>23</v>
      </c>
      <c r="F2280" t="s">
        <v>24</v>
      </c>
      <c r="G2280">
        <v>435</v>
      </c>
      <c r="H2280">
        <v>66</v>
      </c>
      <c r="I2280">
        <v>21</v>
      </c>
      <c r="J2280">
        <v>2.4900000000000002</v>
      </c>
      <c r="K2280">
        <v>34.58</v>
      </c>
      <c r="L2280">
        <v>0</v>
      </c>
      <c r="M2280">
        <v>7.93</v>
      </c>
      <c r="N2280">
        <v>1</v>
      </c>
      <c r="O2280">
        <v>0</v>
      </c>
      <c r="P2280">
        <v>2380</v>
      </c>
      <c r="Q2280">
        <v>963</v>
      </c>
      <c r="R2280">
        <v>120</v>
      </c>
      <c r="S2280">
        <v>884</v>
      </c>
      <c r="T2280">
        <v>0</v>
      </c>
      <c r="U2280">
        <v>413</v>
      </c>
      <c r="V2280" s="1">
        <f t="shared" si="105"/>
        <v>0.1517</v>
      </c>
      <c r="W2280" s="1">
        <f t="shared" si="106"/>
        <v>2.3E-3</v>
      </c>
      <c r="X2280" s="1">
        <f t="shared" si="107"/>
        <v>0</v>
      </c>
    </row>
    <row r="2281" spans="1:24" x14ac:dyDescent="0.25">
      <c r="A2281">
        <v>2008</v>
      </c>
      <c r="B2281">
        <v>10</v>
      </c>
      <c r="C2281" t="s">
        <v>39</v>
      </c>
      <c r="D2281" t="str">
        <f>_xlfn.XLOOKUP(C2281,'Carrier Name Rename'!A:A,'Carrier Name Rename'!B:B)</f>
        <v>Frontier Airlines Inc.</v>
      </c>
      <c r="E2281" t="s">
        <v>23</v>
      </c>
      <c r="F2281" t="s">
        <v>24</v>
      </c>
      <c r="G2281">
        <v>120</v>
      </c>
      <c r="H2281">
        <v>25</v>
      </c>
      <c r="I2281">
        <v>6.76</v>
      </c>
      <c r="J2281">
        <v>0.92</v>
      </c>
      <c r="K2281">
        <v>17.32</v>
      </c>
      <c r="L2281">
        <v>0</v>
      </c>
      <c r="M2281">
        <v>0</v>
      </c>
      <c r="N2281">
        <v>0</v>
      </c>
      <c r="O2281">
        <v>0</v>
      </c>
      <c r="P2281">
        <v>707</v>
      </c>
      <c r="Q2281">
        <v>225</v>
      </c>
      <c r="R2281">
        <v>34</v>
      </c>
      <c r="S2281">
        <v>448</v>
      </c>
      <c r="T2281">
        <v>0</v>
      </c>
      <c r="U2281">
        <v>0</v>
      </c>
      <c r="V2281" s="1">
        <f t="shared" si="105"/>
        <v>0.20830000000000001</v>
      </c>
      <c r="W2281" s="1">
        <f t="shared" si="106"/>
        <v>0</v>
      </c>
      <c r="X2281" s="1">
        <f t="shared" si="107"/>
        <v>0</v>
      </c>
    </row>
    <row r="2282" spans="1:24" x14ac:dyDescent="0.25">
      <c r="A2282">
        <v>2008</v>
      </c>
      <c r="B2282">
        <v>10</v>
      </c>
      <c r="C2282" t="s">
        <v>63</v>
      </c>
      <c r="D2282" t="str">
        <f>_xlfn.XLOOKUP(C2282,'Carrier Name Rename'!A:A,'Carrier Name Rename'!B:B)</f>
        <v>AirTran Airways Corporation</v>
      </c>
      <c r="E2282" t="s">
        <v>23</v>
      </c>
      <c r="F2282" t="s">
        <v>24</v>
      </c>
      <c r="G2282">
        <v>38</v>
      </c>
      <c r="H2282">
        <v>16</v>
      </c>
      <c r="I2282">
        <v>2.16</v>
      </c>
      <c r="J2282">
        <v>0</v>
      </c>
      <c r="K2282">
        <v>11.13</v>
      </c>
      <c r="L2282">
        <v>0</v>
      </c>
      <c r="M2282">
        <v>2.7</v>
      </c>
      <c r="N2282">
        <v>0</v>
      </c>
      <c r="O2282">
        <v>0</v>
      </c>
      <c r="P2282">
        <v>550</v>
      </c>
      <c r="Q2282">
        <v>56</v>
      </c>
      <c r="R2282">
        <v>0</v>
      </c>
      <c r="S2282">
        <v>339</v>
      </c>
      <c r="T2282">
        <v>0</v>
      </c>
      <c r="U2282">
        <v>155</v>
      </c>
      <c r="V2282" s="1">
        <f t="shared" si="105"/>
        <v>0.42109999999999997</v>
      </c>
      <c r="W2282" s="1">
        <f t="shared" si="106"/>
        <v>0</v>
      </c>
      <c r="X2282" s="1">
        <f t="shared" si="107"/>
        <v>0</v>
      </c>
    </row>
    <row r="2283" spans="1:24" x14ac:dyDescent="0.25">
      <c r="A2283">
        <v>2008</v>
      </c>
      <c r="B2283">
        <v>10</v>
      </c>
      <c r="C2283" t="s">
        <v>21</v>
      </c>
      <c r="D2283" t="str">
        <f>_xlfn.XLOOKUP(C2283,'Carrier Name Rename'!A:A,'Carrier Name Rename'!B:B)</f>
        <v>Hawaiian Airlines Inc.</v>
      </c>
      <c r="E2283" t="s">
        <v>23</v>
      </c>
      <c r="F2283" t="s">
        <v>24</v>
      </c>
      <c r="G2283">
        <v>67</v>
      </c>
      <c r="H2283">
        <v>16</v>
      </c>
      <c r="I2283">
        <v>14.32</v>
      </c>
      <c r="J2283">
        <v>0</v>
      </c>
      <c r="K2283">
        <v>0</v>
      </c>
      <c r="L2283">
        <v>0</v>
      </c>
      <c r="M2283">
        <v>1.68</v>
      </c>
      <c r="N2283">
        <v>1</v>
      </c>
      <c r="O2283">
        <v>0</v>
      </c>
      <c r="P2283">
        <v>838</v>
      </c>
      <c r="Q2283">
        <v>771</v>
      </c>
      <c r="R2283">
        <v>0</v>
      </c>
      <c r="S2283">
        <v>0</v>
      </c>
      <c r="T2283">
        <v>0</v>
      </c>
      <c r="U2283">
        <v>67</v>
      </c>
      <c r="V2283" s="1">
        <f t="shared" si="105"/>
        <v>0.23880000000000001</v>
      </c>
      <c r="W2283" s="1">
        <f t="shared" si="106"/>
        <v>1.49E-2</v>
      </c>
      <c r="X2283" s="1">
        <f t="shared" si="107"/>
        <v>0</v>
      </c>
    </row>
    <row r="2284" spans="1:24" x14ac:dyDescent="0.25">
      <c r="A2284">
        <v>2008</v>
      </c>
      <c r="B2284">
        <v>10</v>
      </c>
      <c r="C2284" t="s">
        <v>67</v>
      </c>
      <c r="D2284" t="str">
        <f>_xlfn.XLOOKUP(C2284,'Carrier Name Rename'!A:A,'Carrier Name Rename'!B:B)</f>
        <v>Northwest Airlines Inc.</v>
      </c>
      <c r="E2284" t="s">
        <v>23</v>
      </c>
      <c r="F2284" t="s">
        <v>24</v>
      </c>
      <c r="G2284">
        <v>371</v>
      </c>
      <c r="H2284">
        <v>59</v>
      </c>
      <c r="I2284">
        <v>24.88</v>
      </c>
      <c r="J2284">
        <v>0</v>
      </c>
      <c r="K2284">
        <v>27.6</v>
      </c>
      <c r="L2284">
        <v>0</v>
      </c>
      <c r="M2284">
        <v>6.53</v>
      </c>
      <c r="N2284">
        <v>0</v>
      </c>
      <c r="O2284">
        <v>1</v>
      </c>
      <c r="P2284">
        <v>2494</v>
      </c>
      <c r="Q2284">
        <v>1299</v>
      </c>
      <c r="R2284">
        <v>0</v>
      </c>
      <c r="S2284">
        <v>749</v>
      </c>
      <c r="T2284">
        <v>0</v>
      </c>
      <c r="U2284">
        <v>446</v>
      </c>
      <c r="V2284" s="1">
        <f t="shared" si="105"/>
        <v>0.159</v>
      </c>
      <c r="W2284" s="1">
        <f t="shared" si="106"/>
        <v>0</v>
      </c>
      <c r="X2284" s="1">
        <f t="shared" si="107"/>
        <v>2.7000000000000001E-3</v>
      </c>
    </row>
    <row r="2285" spans="1:24" x14ac:dyDescent="0.25">
      <c r="A2285">
        <v>2008</v>
      </c>
      <c r="B2285">
        <v>10</v>
      </c>
      <c r="C2285" t="s">
        <v>27</v>
      </c>
      <c r="D2285" t="str">
        <f>_xlfn.XLOOKUP(C2285,'Carrier Name Rename'!A:A,'Carrier Name Rename'!B:B)</f>
        <v>SkyWest Airlines Inc.</v>
      </c>
      <c r="E2285" t="s">
        <v>23</v>
      </c>
      <c r="F2285" t="s">
        <v>24</v>
      </c>
      <c r="G2285">
        <v>386</v>
      </c>
      <c r="H2285">
        <v>48</v>
      </c>
      <c r="I2285">
        <v>8.3800000000000008</v>
      </c>
      <c r="J2285">
        <v>0.88</v>
      </c>
      <c r="K2285">
        <v>28</v>
      </c>
      <c r="L2285">
        <v>0</v>
      </c>
      <c r="M2285">
        <v>10.74</v>
      </c>
      <c r="N2285">
        <v>5</v>
      </c>
      <c r="O2285">
        <v>2</v>
      </c>
      <c r="P2285">
        <v>1545</v>
      </c>
      <c r="Q2285">
        <v>324</v>
      </c>
      <c r="R2285">
        <v>35</v>
      </c>
      <c r="S2285">
        <v>839</v>
      </c>
      <c r="T2285">
        <v>0</v>
      </c>
      <c r="U2285">
        <v>347</v>
      </c>
      <c r="V2285" s="1">
        <f t="shared" si="105"/>
        <v>0.1244</v>
      </c>
      <c r="W2285" s="1">
        <f t="shared" si="106"/>
        <v>1.2999999999999999E-2</v>
      </c>
      <c r="X2285" s="1">
        <f t="shared" si="107"/>
        <v>5.1999999999999998E-3</v>
      </c>
    </row>
    <row r="2286" spans="1:24" x14ac:dyDescent="0.25">
      <c r="A2286">
        <v>2008</v>
      </c>
      <c r="B2286">
        <v>10</v>
      </c>
      <c r="C2286" t="s">
        <v>41</v>
      </c>
      <c r="D2286" t="str">
        <f>_xlfn.XLOOKUP(C2286,'Carrier Name Rename'!A:A,'Carrier Name Rename'!B:B)</f>
        <v>United Air Lines Inc.</v>
      </c>
      <c r="E2286" t="s">
        <v>23</v>
      </c>
      <c r="F2286" t="s">
        <v>24</v>
      </c>
      <c r="G2286">
        <v>763</v>
      </c>
      <c r="H2286">
        <v>110</v>
      </c>
      <c r="I2286">
        <v>30.32</v>
      </c>
      <c r="J2286">
        <v>2.69</v>
      </c>
      <c r="K2286">
        <v>37.46</v>
      </c>
      <c r="L2286">
        <v>0</v>
      </c>
      <c r="M2286">
        <v>39.53</v>
      </c>
      <c r="N2286">
        <v>3</v>
      </c>
      <c r="O2286">
        <v>0</v>
      </c>
      <c r="P2286">
        <v>5036</v>
      </c>
      <c r="Q2286">
        <v>1612</v>
      </c>
      <c r="R2286">
        <v>182</v>
      </c>
      <c r="S2286">
        <v>959</v>
      </c>
      <c r="T2286">
        <v>0</v>
      </c>
      <c r="U2286">
        <v>2283</v>
      </c>
      <c r="V2286" s="1">
        <f t="shared" si="105"/>
        <v>0.14419999999999999</v>
      </c>
      <c r="W2286" s="1">
        <f t="shared" si="106"/>
        <v>3.8999999999999998E-3</v>
      </c>
      <c r="X2286" s="1">
        <f t="shared" si="107"/>
        <v>0</v>
      </c>
    </row>
    <row r="2287" spans="1:24" x14ac:dyDescent="0.25">
      <c r="A2287">
        <v>2008</v>
      </c>
      <c r="B2287">
        <v>10</v>
      </c>
      <c r="C2287" t="s">
        <v>61</v>
      </c>
      <c r="D2287" t="str">
        <f>_xlfn.XLOOKUP(C2287,'Carrier Name Rename'!A:A,'Carrier Name Rename'!B:B)</f>
        <v>US Airways Inc.</v>
      </c>
      <c r="E2287" t="s">
        <v>23</v>
      </c>
      <c r="F2287" t="s">
        <v>24</v>
      </c>
      <c r="G2287">
        <v>325</v>
      </c>
      <c r="H2287">
        <v>49</v>
      </c>
      <c r="I2287">
        <v>16.079999999999998</v>
      </c>
      <c r="J2287">
        <v>0</v>
      </c>
      <c r="K2287">
        <v>24.5</v>
      </c>
      <c r="L2287">
        <v>1.36</v>
      </c>
      <c r="M2287">
        <v>7.06</v>
      </c>
      <c r="N2287">
        <v>0</v>
      </c>
      <c r="O2287">
        <v>3</v>
      </c>
      <c r="P2287">
        <v>1652</v>
      </c>
      <c r="Q2287">
        <v>584</v>
      </c>
      <c r="R2287">
        <v>0</v>
      </c>
      <c r="S2287">
        <v>745</v>
      </c>
      <c r="T2287">
        <v>32</v>
      </c>
      <c r="U2287">
        <v>291</v>
      </c>
      <c r="V2287" s="1">
        <f t="shared" si="105"/>
        <v>0.15079999999999999</v>
      </c>
      <c r="W2287" s="1">
        <f t="shared" si="106"/>
        <v>0</v>
      </c>
      <c r="X2287" s="1">
        <f t="shared" si="107"/>
        <v>9.1999999999999998E-3</v>
      </c>
    </row>
    <row r="2288" spans="1:24" x14ac:dyDescent="0.25">
      <c r="A2288">
        <v>2008</v>
      </c>
      <c r="B2288">
        <v>10</v>
      </c>
      <c r="C2288" t="s">
        <v>43</v>
      </c>
      <c r="D2288" t="str">
        <f>_xlfn.XLOOKUP(C2288,'Carrier Name Rename'!A:A,'Carrier Name Rename'!B:B)</f>
        <v>Southwest Airlines Co.</v>
      </c>
      <c r="E2288" t="s">
        <v>23</v>
      </c>
      <c r="F2288" t="s">
        <v>24</v>
      </c>
      <c r="G2288">
        <v>1428</v>
      </c>
      <c r="H2288">
        <v>170</v>
      </c>
      <c r="I2288">
        <v>36.770000000000003</v>
      </c>
      <c r="J2288">
        <v>0.64</v>
      </c>
      <c r="K2288">
        <v>70.17</v>
      </c>
      <c r="L2288">
        <v>0</v>
      </c>
      <c r="M2288">
        <v>62.42</v>
      </c>
      <c r="N2288">
        <v>3</v>
      </c>
      <c r="O2288">
        <v>2</v>
      </c>
      <c r="P2288">
        <v>5905</v>
      </c>
      <c r="Q2288">
        <v>1386</v>
      </c>
      <c r="R2288">
        <v>14</v>
      </c>
      <c r="S2288">
        <v>1867</v>
      </c>
      <c r="T2288">
        <v>0</v>
      </c>
      <c r="U2288">
        <v>2638</v>
      </c>
      <c r="V2288" s="1">
        <f t="shared" si="105"/>
        <v>0.11899999999999999</v>
      </c>
      <c r="W2288" s="1">
        <f t="shared" si="106"/>
        <v>2.0999999999999999E-3</v>
      </c>
      <c r="X2288" s="1">
        <f t="shared" si="107"/>
        <v>1.4E-3</v>
      </c>
    </row>
    <row r="2289" spans="1:24" x14ac:dyDescent="0.25">
      <c r="A2289">
        <v>2008</v>
      </c>
      <c r="B2289">
        <v>9</v>
      </c>
      <c r="C2289" t="s">
        <v>37</v>
      </c>
      <c r="D2289" t="str">
        <f>_xlfn.XLOOKUP(C2289,'Carrier Name Rename'!A:A,'Carrier Name Rename'!B:B)</f>
        <v>Delta Air Lines Inc.</v>
      </c>
      <c r="E2289" t="s">
        <v>23</v>
      </c>
      <c r="F2289" t="s">
        <v>24</v>
      </c>
      <c r="G2289">
        <v>482</v>
      </c>
      <c r="H2289">
        <v>66</v>
      </c>
      <c r="I2289">
        <v>21.75</v>
      </c>
      <c r="J2289">
        <v>0.24</v>
      </c>
      <c r="K2289">
        <v>35.11</v>
      </c>
      <c r="L2289">
        <v>0</v>
      </c>
      <c r="M2289">
        <v>8.9</v>
      </c>
      <c r="N2289">
        <v>1</v>
      </c>
      <c r="O2289">
        <v>0</v>
      </c>
      <c r="P2289">
        <v>2484</v>
      </c>
      <c r="Q2289">
        <v>931</v>
      </c>
      <c r="R2289">
        <v>26</v>
      </c>
      <c r="S2289">
        <v>1014</v>
      </c>
      <c r="T2289">
        <v>0</v>
      </c>
      <c r="U2289">
        <v>513</v>
      </c>
      <c r="V2289" s="1">
        <f t="shared" si="105"/>
        <v>0.13689999999999999</v>
      </c>
      <c r="W2289" s="1">
        <f t="shared" si="106"/>
        <v>2.0999999999999999E-3</v>
      </c>
      <c r="X2289" s="1">
        <f t="shared" si="107"/>
        <v>0</v>
      </c>
    </row>
    <row r="2290" spans="1:24" x14ac:dyDescent="0.25">
      <c r="A2290">
        <v>2008</v>
      </c>
      <c r="B2290">
        <v>9</v>
      </c>
      <c r="C2290" t="s">
        <v>39</v>
      </c>
      <c r="D2290" t="str">
        <f>_xlfn.XLOOKUP(C2290,'Carrier Name Rename'!A:A,'Carrier Name Rename'!B:B)</f>
        <v>Frontier Airlines Inc.</v>
      </c>
      <c r="E2290" t="s">
        <v>23</v>
      </c>
      <c r="F2290" t="s">
        <v>24</v>
      </c>
      <c r="G2290">
        <v>118</v>
      </c>
      <c r="H2290">
        <v>18</v>
      </c>
      <c r="I2290">
        <v>4.8499999999999996</v>
      </c>
      <c r="J2290">
        <v>0.17</v>
      </c>
      <c r="K2290">
        <v>12.28</v>
      </c>
      <c r="L2290">
        <v>0</v>
      </c>
      <c r="M2290">
        <v>0.7</v>
      </c>
      <c r="N2290">
        <v>0</v>
      </c>
      <c r="O2290">
        <v>0</v>
      </c>
      <c r="P2290">
        <v>423</v>
      </c>
      <c r="Q2290">
        <v>103</v>
      </c>
      <c r="R2290">
        <v>5</v>
      </c>
      <c r="S2290">
        <v>294</v>
      </c>
      <c r="T2290">
        <v>0</v>
      </c>
      <c r="U2290">
        <v>21</v>
      </c>
      <c r="V2290" s="1">
        <f t="shared" si="105"/>
        <v>0.1525</v>
      </c>
      <c r="W2290" s="1">
        <f t="shared" si="106"/>
        <v>0</v>
      </c>
      <c r="X2290" s="1">
        <f t="shared" si="107"/>
        <v>0</v>
      </c>
    </row>
    <row r="2291" spans="1:24" x14ac:dyDescent="0.25">
      <c r="A2291">
        <v>2008</v>
      </c>
      <c r="B2291">
        <v>9</v>
      </c>
      <c r="C2291" t="s">
        <v>63</v>
      </c>
      <c r="D2291" t="str">
        <f>_xlfn.XLOOKUP(C2291,'Carrier Name Rename'!A:A,'Carrier Name Rename'!B:B)</f>
        <v>AirTran Airways Corporation</v>
      </c>
      <c r="E2291" t="s">
        <v>23</v>
      </c>
      <c r="F2291" t="s">
        <v>24</v>
      </c>
      <c r="G2291">
        <v>65</v>
      </c>
      <c r="H2291">
        <v>15</v>
      </c>
      <c r="I2291">
        <v>3.06</v>
      </c>
      <c r="J2291">
        <v>0</v>
      </c>
      <c r="K2291">
        <v>10.220000000000001</v>
      </c>
      <c r="L2291">
        <v>0</v>
      </c>
      <c r="M2291">
        <v>1.72</v>
      </c>
      <c r="N2291">
        <v>0</v>
      </c>
      <c r="O2291">
        <v>0</v>
      </c>
      <c r="P2291">
        <v>423</v>
      </c>
      <c r="Q2291">
        <v>90</v>
      </c>
      <c r="R2291">
        <v>0</v>
      </c>
      <c r="S2291">
        <v>298</v>
      </c>
      <c r="T2291">
        <v>0</v>
      </c>
      <c r="U2291">
        <v>35</v>
      </c>
      <c r="V2291" s="1">
        <f t="shared" si="105"/>
        <v>0.23080000000000001</v>
      </c>
      <c r="W2291" s="1">
        <f t="shared" si="106"/>
        <v>0</v>
      </c>
      <c r="X2291" s="1">
        <f t="shared" si="107"/>
        <v>0</v>
      </c>
    </row>
    <row r="2292" spans="1:24" x14ac:dyDescent="0.25">
      <c r="A2292">
        <v>2008</v>
      </c>
      <c r="B2292">
        <v>9</v>
      </c>
      <c r="C2292" t="s">
        <v>21</v>
      </c>
      <c r="D2292" t="str">
        <f>_xlfn.XLOOKUP(C2292,'Carrier Name Rename'!A:A,'Carrier Name Rename'!B:B)</f>
        <v>Hawaiian Airlines Inc.</v>
      </c>
      <c r="E2292" t="s">
        <v>23</v>
      </c>
      <c r="F2292" t="s">
        <v>24</v>
      </c>
      <c r="G2292">
        <v>63</v>
      </c>
      <c r="H2292">
        <v>6</v>
      </c>
      <c r="I2292">
        <v>5</v>
      </c>
      <c r="J2292">
        <v>0</v>
      </c>
      <c r="K2292">
        <v>0</v>
      </c>
      <c r="L2292">
        <v>0</v>
      </c>
      <c r="M2292">
        <v>1</v>
      </c>
      <c r="N2292">
        <v>0</v>
      </c>
      <c r="O2292">
        <v>1</v>
      </c>
      <c r="P2292">
        <v>637</v>
      </c>
      <c r="Q2292">
        <v>622</v>
      </c>
      <c r="R2292">
        <v>0</v>
      </c>
      <c r="S2292">
        <v>0</v>
      </c>
      <c r="T2292">
        <v>0</v>
      </c>
      <c r="U2292">
        <v>15</v>
      </c>
      <c r="V2292" s="1">
        <f t="shared" si="105"/>
        <v>9.5200000000000007E-2</v>
      </c>
      <c r="W2292" s="1">
        <f t="shared" si="106"/>
        <v>0</v>
      </c>
      <c r="X2292" s="1">
        <f t="shared" si="107"/>
        <v>1.5900000000000001E-2</v>
      </c>
    </row>
    <row r="2293" spans="1:24" x14ac:dyDescent="0.25">
      <c r="A2293">
        <v>2008</v>
      </c>
      <c r="B2293">
        <v>9</v>
      </c>
      <c r="C2293" t="s">
        <v>67</v>
      </c>
      <c r="D2293" t="str">
        <f>_xlfn.XLOOKUP(C2293,'Carrier Name Rename'!A:A,'Carrier Name Rename'!B:B)</f>
        <v>Northwest Airlines Inc.</v>
      </c>
      <c r="E2293" t="s">
        <v>23</v>
      </c>
      <c r="F2293" t="s">
        <v>24</v>
      </c>
      <c r="G2293">
        <v>362</v>
      </c>
      <c r="H2293">
        <v>41</v>
      </c>
      <c r="I2293">
        <v>24.48</v>
      </c>
      <c r="J2293">
        <v>0.45</v>
      </c>
      <c r="K2293">
        <v>9.8699999999999992</v>
      </c>
      <c r="L2293">
        <v>1</v>
      </c>
      <c r="M2293">
        <v>5.2</v>
      </c>
      <c r="N2293">
        <v>0</v>
      </c>
      <c r="O2293">
        <v>0</v>
      </c>
      <c r="P2293">
        <v>1688</v>
      </c>
      <c r="Q2293">
        <v>1119</v>
      </c>
      <c r="R2293">
        <v>27</v>
      </c>
      <c r="S2293">
        <v>240</v>
      </c>
      <c r="T2293">
        <v>33</v>
      </c>
      <c r="U2293">
        <v>269</v>
      </c>
      <c r="V2293" s="1">
        <f t="shared" si="105"/>
        <v>0.1133</v>
      </c>
      <c r="W2293" s="1">
        <f t="shared" si="106"/>
        <v>0</v>
      </c>
      <c r="X2293" s="1">
        <f t="shared" si="107"/>
        <v>0</v>
      </c>
    </row>
    <row r="2294" spans="1:24" x14ac:dyDescent="0.25">
      <c r="A2294">
        <v>2008</v>
      </c>
      <c r="B2294">
        <v>9</v>
      </c>
      <c r="C2294" t="s">
        <v>27</v>
      </c>
      <c r="D2294" t="str">
        <f>_xlfn.XLOOKUP(C2294,'Carrier Name Rename'!A:A,'Carrier Name Rename'!B:B)</f>
        <v>SkyWest Airlines Inc.</v>
      </c>
      <c r="E2294" t="s">
        <v>23</v>
      </c>
      <c r="F2294" t="s">
        <v>24</v>
      </c>
      <c r="G2294">
        <v>375</v>
      </c>
      <c r="H2294">
        <v>32</v>
      </c>
      <c r="I2294">
        <v>11.27</v>
      </c>
      <c r="J2294">
        <v>0</v>
      </c>
      <c r="K2294">
        <v>15.14</v>
      </c>
      <c r="L2294">
        <v>0</v>
      </c>
      <c r="M2294">
        <v>5.59</v>
      </c>
      <c r="N2294">
        <v>1</v>
      </c>
      <c r="O2294">
        <v>0</v>
      </c>
      <c r="P2294">
        <v>1062</v>
      </c>
      <c r="Q2294">
        <v>416</v>
      </c>
      <c r="R2294">
        <v>0</v>
      </c>
      <c r="S2294">
        <v>402</v>
      </c>
      <c r="T2294">
        <v>0</v>
      </c>
      <c r="U2294">
        <v>244</v>
      </c>
      <c r="V2294" s="1">
        <f t="shared" si="105"/>
        <v>8.5300000000000001E-2</v>
      </c>
      <c r="W2294" s="1">
        <f t="shared" si="106"/>
        <v>2.7000000000000001E-3</v>
      </c>
      <c r="X2294" s="1">
        <f t="shared" si="107"/>
        <v>0</v>
      </c>
    </row>
    <row r="2295" spans="1:24" x14ac:dyDescent="0.25">
      <c r="A2295">
        <v>2008</v>
      </c>
      <c r="B2295">
        <v>9</v>
      </c>
      <c r="C2295" t="s">
        <v>41</v>
      </c>
      <c r="D2295" t="str">
        <f>_xlfn.XLOOKUP(C2295,'Carrier Name Rename'!A:A,'Carrier Name Rename'!B:B)</f>
        <v>United Air Lines Inc.</v>
      </c>
      <c r="E2295" t="s">
        <v>23</v>
      </c>
      <c r="F2295" t="s">
        <v>24</v>
      </c>
      <c r="G2295">
        <v>742</v>
      </c>
      <c r="H2295">
        <v>102</v>
      </c>
      <c r="I2295">
        <v>34.020000000000003</v>
      </c>
      <c r="J2295">
        <v>2.2599999999999998</v>
      </c>
      <c r="K2295">
        <v>27.68</v>
      </c>
      <c r="L2295">
        <v>0</v>
      </c>
      <c r="M2295">
        <v>38.03</v>
      </c>
      <c r="N2295">
        <v>0</v>
      </c>
      <c r="O2295">
        <v>1</v>
      </c>
      <c r="P2295">
        <v>4759</v>
      </c>
      <c r="Q2295">
        <v>1862</v>
      </c>
      <c r="R2295">
        <v>72</v>
      </c>
      <c r="S2295">
        <v>793</v>
      </c>
      <c r="T2295">
        <v>0</v>
      </c>
      <c r="U2295">
        <v>2032</v>
      </c>
      <c r="V2295" s="1">
        <f t="shared" si="105"/>
        <v>0.13750000000000001</v>
      </c>
      <c r="W2295" s="1">
        <f t="shared" si="106"/>
        <v>0</v>
      </c>
      <c r="X2295" s="1">
        <f t="shared" si="107"/>
        <v>1.2999999999999999E-3</v>
      </c>
    </row>
    <row r="2296" spans="1:24" x14ac:dyDescent="0.25">
      <c r="A2296">
        <v>2008</v>
      </c>
      <c r="B2296">
        <v>9</v>
      </c>
      <c r="C2296" t="s">
        <v>61</v>
      </c>
      <c r="D2296" t="str">
        <f>_xlfn.XLOOKUP(C2296,'Carrier Name Rename'!A:A,'Carrier Name Rename'!B:B)</f>
        <v>US Airways Inc.</v>
      </c>
      <c r="E2296" t="s">
        <v>23</v>
      </c>
      <c r="F2296" t="s">
        <v>24</v>
      </c>
      <c r="G2296">
        <v>356</v>
      </c>
      <c r="H2296">
        <v>67</v>
      </c>
      <c r="I2296">
        <v>25.66</v>
      </c>
      <c r="J2296">
        <v>1.9</v>
      </c>
      <c r="K2296">
        <v>29.11</v>
      </c>
      <c r="L2296">
        <v>0</v>
      </c>
      <c r="M2296">
        <v>10.34</v>
      </c>
      <c r="N2296">
        <v>1</v>
      </c>
      <c r="O2296">
        <v>0</v>
      </c>
      <c r="P2296">
        <v>3285</v>
      </c>
      <c r="Q2296">
        <v>1588</v>
      </c>
      <c r="R2296">
        <v>205</v>
      </c>
      <c r="S2296">
        <v>793</v>
      </c>
      <c r="T2296">
        <v>0</v>
      </c>
      <c r="U2296">
        <v>699</v>
      </c>
      <c r="V2296" s="1">
        <f t="shared" si="105"/>
        <v>0.18820000000000001</v>
      </c>
      <c r="W2296" s="1">
        <f t="shared" si="106"/>
        <v>2.8E-3</v>
      </c>
      <c r="X2296" s="1">
        <f t="shared" si="107"/>
        <v>0</v>
      </c>
    </row>
    <row r="2297" spans="1:24" x14ac:dyDescent="0.25">
      <c r="A2297">
        <v>2008</v>
      </c>
      <c r="B2297">
        <v>9</v>
      </c>
      <c r="C2297" t="s">
        <v>43</v>
      </c>
      <c r="D2297" t="str">
        <f>_xlfn.XLOOKUP(C2297,'Carrier Name Rename'!A:A,'Carrier Name Rename'!B:B)</f>
        <v>Southwest Airlines Co.</v>
      </c>
      <c r="E2297" t="s">
        <v>23</v>
      </c>
      <c r="F2297" t="s">
        <v>24</v>
      </c>
      <c r="G2297">
        <v>1382</v>
      </c>
      <c r="H2297">
        <v>88</v>
      </c>
      <c r="I2297">
        <v>33.130000000000003</v>
      </c>
      <c r="J2297">
        <v>0.38</v>
      </c>
      <c r="K2297">
        <v>13.53</v>
      </c>
      <c r="L2297">
        <v>0</v>
      </c>
      <c r="M2297">
        <v>40.97</v>
      </c>
      <c r="N2297">
        <v>2</v>
      </c>
      <c r="O2297">
        <v>2</v>
      </c>
      <c r="P2297">
        <v>3423</v>
      </c>
      <c r="Q2297">
        <v>1357</v>
      </c>
      <c r="R2297">
        <v>6</v>
      </c>
      <c r="S2297">
        <v>301</v>
      </c>
      <c r="T2297">
        <v>0</v>
      </c>
      <c r="U2297">
        <v>1759</v>
      </c>
      <c r="V2297" s="1">
        <f t="shared" si="105"/>
        <v>6.3700000000000007E-2</v>
      </c>
      <c r="W2297" s="1">
        <f t="shared" si="106"/>
        <v>1.4E-3</v>
      </c>
      <c r="X2297" s="1">
        <f t="shared" si="107"/>
        <v>1.4E-3</v>
      </c>
    </row>
    <row r="2298" spans="1:24" x14ac:dyDescent="0.25">
      <c r="A2298">
        <v>2008</v>
      </c>
      <c r="B2298">
        <v>9</v>
      </c>
      <c r="C2298" t="s">
        <v>69</v>
      </c>
      <c r="D2298" t="str">
        <f>_xlfn.XLOOKUP(C2298,'Carrier Name Rename'!A:A,'Carrier Name Rename'!B:B)</f>
        <v>ExpressJet Airlines Inc.</v>
      </c>
      <c r="E2298" t="s">
        <v>23</v>
      </c>
      <c r="F2298" t="s">
        <v>24</v>
      </c>
      <c r="G2298">
        <v>3</v>
      </c>
      <c r="H2298">
        <v>1</v>
      </c>
      <c r="I2298">
        <v>0</v>
      </c>
      <c r="J2298">
        <v>0</v>
      </c>
      <c r="K2298">
        <v>1</v>
      </c>
      <c r="L2298">
        <v>0</v>
      </c>
      <c r="M2298">
        <v>0</v>
      </c>
      <c r="N2298">
        <v>0</v>
      </c>
      <c r="O2298">
        <v>0</v>
      </c>
      <c r="P2298">
        <v>21</v>
      </c>
      <c r="Q2298">
        <v>0</v>
      </c>
      <c r="R2298">
        <v>0</v>
      </c>
      <c r="S2298">
        <v>21</v>
      </c>
      <c r="T2298">
        <v>0</v>
      </c>
      <c r="U2298">
        <v>0</v>
      </c>
      <c r="V2298" s="1">
        <f t="shared" si="105"/>
        <v>0.33329999999999999</v>
      </c>
      <c r="W2298" s="1">
        <f t="shared" si="106"/>
        <v>0</v>
      </c>
      <c r="X2298" s="1">
        <f t="shared" si="107"/>
        <v>0</v>
      </c>
    </row>
    <row r="2299" spans="1:24" x14ac:dyDescent="0.25">
      <c r="A2299">
        <v>2008</v>
      </c>
      <c r="B2299">
        <v>9</v>
      </c>
      <c r="C2299" t="s">
        <v>31</v>
      </c>
      <c r="D2299" t="str">
        <f>_xlfn.XLOOKUP(C2299,'Carrier Name Rename'!A:A,'Carrier Name Rename'!B:B)</f>
        <v>American Airlines Inc.</v>
      </c>
      <c r="E2299" t="s">
        <v>23</v>
      </c>
      <c r="F2299" t="s">
        <v>24</v>
      </c>
      <c r="G2299">
        <v>466</v>
      </c>
      <c r="H2299">
        <v>79</v>
      </c>
      <c r="I2299">
        <v>36.92</v>
      </c>
      <c r="J2299">
        <v>0.71</v>
      </c>
      <c r="K2299">
        <v>24.45</v>
      </c>
      <c r="L2299">
        <v>0</v>
      </c>
      <c r="M2299">
        <v>16.920000000000002</v>
      </c>
      <c r="N2299">
        <v>1</v>
      </c>
      <c r="O2299">
        <v>1</v>
      </c>
      <c r="P2299">
        <v>3801</v>
      </c>
      <c r="Q2299">
        <v>2062</v>
      </c>
      <c r="R2299">
        <v>34</v>
      </c>
      <c r="S2299">
        <v>707</v>
      </c>
      <c r="T2299">
        <v>0</v>
      </c>
      <c r="U2299">
        <v>998</v>
      </c>
      <c r="V2299" s="1">
        <f t="shared" si="105"/>
        <v>0.16950000000000001</v>
      </c>
      <c r="W2299" s="1">
        <f t="shared" si="106"/>
        <v>2.0999999999999999E-3</v>
      </c>
      <c r="X2299" s="1">
        <f t="shared" si="107"/>
        <v>2.0999999999999999E-3</v>
      </c>
    </row>
    <row r="2300" spans="1:24" x14ac:dyDescent="0.25">
      <c r="A2300">
        <v>2008</v>
      </c>
      <c r="B2300">
        <v>9</v>
      </c>
      <c r="C2300" t="s">
        <v>33</v>
      </c>
      <c r="D2300" t="str">
        <f>_xlfn.XLOOKUP(C2300,'Carrier Name Rename'!A:A,'Carrier Name Rename'!B:B)</f>
        <v>Alaska Airlines Inc.</v>
      </c>
      <c r="E2300" t="s">
        <v>23</v>
      </c>
      <c r="F2300" t="s">
        <v>24</v>
      </c>
      <c r="G2300">
        <v>3986</v>
      </c>
      <c r="H2300">
        <v>370</v>
      </c>
      <c r="I2300">
        <v>125.88</v>
      </c>
      <c r="J2300">
        <v>5.4</v>
      </c>
      <c r="K2300">
        <v>96.33</v>
      </c>
      <c r="L2300">
        <v>1.63</v>
      </c>
      <c r="M2300">
        <v>140.77000000000001</v>
      </c>
      <c r="N2300">
        <v>25</v>
      </c>
      <c r="O2300">
        <v>3</v>
      </c>
      <c r="P2300">
        <v>19202</v>
      </c>
      <c r="Q2300">
        <v>8067</v>
      </c>
      <c r="R2300">
        <v>291</v>
      </c>
      <c r="S2300">
        <v>2858</v>
      </c>
      <c r="T2300">
        <v>36</v>
      </c>
      <c r="U2300">
        <v>7950</v>
      </c>
      <c r="V2300" s="1">
        <f t="shared" si="105"/>
        <v>9.2799999999999994E-2</v>
      </c>
      <c r="W2300" s="1">
        <f t="shared" si="106"/>
        <v>6.3E-3</v>
      </c>
      <c r="X2300" s="1">
        <f t="shared" si="107"/>
        <v>8.0000000000000004E-4</v>
      </c>
    </row>
    <row r="2301" spans="1:24" x14ac:dyDescent="0.25">
      <c r="A2301">
        <v>2008</v>
      </c>
      <c r="B2301">
        <v>9</v>
      </c>
      <c r="C2301" t="s">
        <v>35</v>
      </c>
      <c r="D2301" t="str">
        <f>_xlfn.XLOOKUP(C2301,'Carrier Name Rename'!A:A,'Carrier Name Rename'!B:B)</f>
        <v>JetBlue Airways</v>
      </c>
      <c r="E2301" t="s">
        <v>23</v>
      </c>
      <c r="F2301" t="s">
        <v>24</v>
      </c>
      <c r="G2301">
        <v>153</v>
      </c>
      <c r="H2301">
        <v>22</v>
      </c>
      <c r="I2301">
        <v>8</v>
      </c>
      <c r="J2301">
        <v>0.26</v>
      </c>
      <c r="K2301">
        <v>8.68</v>
      </c>
      <c r="L2301">
        <v>0</v>
      </c>
      <c r="M2301">
        <v>5.0599999999999996</v>
      </c>
      <c r="N2301">
        <v>0</v>
      </c>
      <c r="O2301">
        <v>0</v>
      </c>
      <c r="P2301">
        <v>1017</v>
      </c>
      <c r="Q2301">
        <v>311</v>
      </c>
      <c r="R2301">
        <v>24</v>
      </c>
      <c r="S2301">
        <v>338</v>
      </c>
      <c r="T2301">
        <v>0</v>
      </c>
      <c r="U2301">
        <v>344</v>
      </c>
      <c r="V2301" s="1">
        <f t="shared" si="105"/>
        <v>0.14380000000000001</v>
      </c>
      <c r="W2301" s="1">
        <f t="shared" si="106"/>
        <v>0</v>
      </c>
      <c r="X2301" s="1">
        <f t="shared" si="107"/>
        <v>0</v>
      </c>
    </row>
    <row r="2302" spans="1:24" x14ac:dyDescent="0.25">
      <c r="A2302">
        <v>2008</v>
      </c>
      <c r="B2302">
        <v>9</v>
      </c>
      <c r="C2302" t="s">
        <v>65</v>
      </c>
      <c r="D2302" t="str">
        <f>_xlfn.XLOOKUP(C2302,'Carrier Name Rename'!A:A,'Carrier Name Rename'!B:B)</f>
        <v>Continental Air Lines Inc.</v>
      </c>
      <c r="E2302" t="s">
        <v>23</v>
      </c>
      <c r="F2302" t="s">
        <v>24</v>
      </c>
      <c r="G2302">
        <v>387</v>
      </c>
      <c r="H2302">
        <v>62</v>
      </c>
      <c r="I2302">
        <v>23.81</v>
      </c>
      <c r="J2302">
        <v>0.66</v>
      </c>
      <c r="K2302">
        <v>25.8</v>
      </c>
      <c r="L2302">
        <v>0</v>
      </c>
      <c r="M2302">
        <v>11.73</v>
      </c>
      <c r="N2302">
        <v>18</v>
      </c>
      <c r="O2302">
        <v>0</v>
      </c>
      <c r="P2302">
        <v>3637</v>
      </c>
      <c r="Q2302">
        <v>1612</v>
      </c>
      <c r="R2302">
        <v>33</v>
      </c>
      <c r="S2302">
        <v>995</v>
      </c>
      <c r="T2302">
        <v>0</v>
      </c>
      <c r="U2302">
        <v>997</v>
      </c>
      <c r="V2302" s="1">
        <f t="shared" si="105"/>
        <v>0.16020000000000001</v>
      </c>
      <c r="W2302" s="1">
        <f t="shared" si="106"/>
        <v>4.65E-2</v>
      </c>
      <c r="X2302" s="1">
        <f t="shared" si="107"/>
        <v>0</v>
      </c>
    </row>
    <row r="2303" spans="1:24" x14ac:dyDescent="0.25">
      <c r="A2303">
        <v>2008</v>
      </c>
      <c r="B2303">
        <v>8</v>
      </c>
      <c r="C2303" t="s">
        <v>31</v>
      </c>
      <c r="D2303" t="str">
        <f>_xlfn.XLOOKUP(C2303,'Carrier Name Rename'!A:A,'Carrier Name Rename'!B:B)</f>
        <v>American Airlines Inc.</v>
      </c>
      <c r="E2303" t="s">
        <v>23</v>
      </c>
      <c r="F2303" t="s">
        <v>24</v>
      </c>
      <c r="G2303">
        <v>522</v>
      </c>
      <c r="H2303">
        <v>164</v>
      </c>
      <c r="I2303">
        <v>54.86</v>
      </c>
      <c r="J2303">
        <v>9.64</v>
      </c>
      <c r="K2303">
        <v>67.900000000000006</v>
      </c>
      <c r="L2303">
        <v>0</v>
      </c>
      <c r="M2303">
        <v>31.6</v>
      </c>
      <c r="N2303">
        <v>3</v>
      </c>
      <c r="O2303">
        <v>0</v>
      </c>
      <c r="P2303">
        <v>8234</v>
      </c>
      <c r="Q2303">
        <v>2666</v>
      </c>
      <c r="R2303">
        <v>975</v>
      </c>
      <c r="S2303">
        <v>2422</v>
      </c>
      <c r="T2303">
        <v>0</v>
      </c>
      <c r="U2303">
        <v>2171</v>
      </c>
      <c r="V2303" s="1">
        <f t="shared" si="105"/>
        <v>0.31419999999999998</v>
      </c>
      <c r="W2303" s="1">
        <f t="shared" si="106"/>
        <v>5.7000000000000002E-3</v>
      </c>
      <c r="X2303" s="1">
        <f t="shared" si="107"/>
        <v>0</v>
      </c>
    </row>
    <row r="2304" spans="1:24" x14ac:dyDescent="0.25">
      <c r="A2304">
        <v>2008</v>
      </c>
      <c r="B2304">
        <v>8</v>
      </c>
      <c r="C2304" t="s">
        <v>33</v>
      </c>
      <c r="D2304" t="str">
        <f>_xlfn.XLOOKUP(C2304,'Carrier Name Rename'!A:A,'Carrier Name Rename'!B:B)</f>
        <v>Alaska Airlines Inc.</v>
      </c>
      <c r="E2304" t="s">
        <v>23</v>
      </c>
      <c r="F2304" t="s">
        <v>24</v>
      </c>
      <c r="G2304">
        <v>4482</v>
      </c>
      <c r="H2304">
        <v>838</v>
      </c>
      <c r="I2304">
        <v>201.99</v>
      </c>
      <c r="J2304">
        <v>8.9499999999999993</v>
      </c>
      <c r="K2304">
        <v>294.54000000000002</v>
      </c>
      <c r="L2304">
        <v>8.7799999999999994</v>
      </c>
      <c r="M2304">
        <v>323.73</v>
      </c>
      <c r="N2304">
        <v>36</v>
      </c>
      <c r="O2304">
        <v>5</v>
      </c>
      <c r="P2304">
        <v>40460</v>
      </c>
      <c r="Q2304">
        <v>10595</v>
      </c>
      <c r="R2304">
        <v>1102</v>
      </c>
      <c r="S2304">
        <v>10173</v>
      </c>
      <c r="T2304">
        <v>351</v>
      </c>
      <c r="U2304">
        <v>18239</v>
      </c>
      <c r="V2304" s="1">
        <f t="shared" si="105"/>
        <v>0.187</v>
      </c>
      <c r="W2304" s="1">
        <f t="shared" si="106"/>
        <v>8.0000000000000002E-3</v>
      </c>
      <c r="X2304" s="1">
        <f t="shared" si="107"/>
        <v>1.1000000000000001E-3</v>
      </c>
    </row>
    <row r="2305" spans="1:24" x14ac:dyDescent="0.25">
      <c r="A2305">
        <v>2008</v>
      </c>
      <c r="B2305">
        <v>8</v>
      </c>
      <c r="C2305" t="s">
        <v>35</v>
      </c>
      <c r="D2305" t="str">
        <f>_xlfn.XLOOKUP(C2305,'Carrier Name Rename'!A:A,'Carrier Name Rename'!B:B)</f>
        <v>JetBlue Airways</v>
      </c>
      <c r="E2305" t="s">
        <v>23</v>
      </c>
      <c r="F2305" t="s">
        <v>24</v>
      </c>
      <c r="G2305">
        <v>186</v>
      </c>
      <c r="H2305">
        <v>53</v>
      </c>
      <c r="I2305">
        <v>15.4</v>
      </c>
      <c r="J2305">
        <v>0</v>
      </c>
      <c r="K2305">
        <v>21.23</v>
      </c>
      <c r="L2305">
        <v>0.14000000000000001</v>
      </c>
      <c r="M2305">
        <v>16.239999999999998</v>
      </c>
      <c r="N2305">
        <v>5</v>
      </c>
      <c r="O2305">
        <v>1</v>
      </c>
      <c r="P2305">
        <v>3261</v>
      </c>
      <c r="Q2305">
        <v>859</v>
      </c>
      <c r="R2305">
        <v>0</v>
      </c>
      <c r="S2305">
        <v>842</v>
      </c>
      <c r="T2305">
        <v>9</v>
      </c>
      <c r="U2305">
        <v>1551</v>
      </c>
      <c r="V2305" s="1">
        <f t="shared" si="105"/>
        <v>0.28489999999999999</v>
      </c>
      <c r="W2305" s="1">
        <f t="shared" si="106"/>
        <v>2.69E-2</v>
      </c>
      <c r="X2305" s="1">
        <f t="shared" si="107"/>
        <v>5.4000000000000003E-3</v>
      </c>
    </row>
    <row r="2306" spans="1:24" x14ac:dyDescent="0.25">
      <c r="A2306">
        <v>2008</v>
      </c>
      <c r="B2306">
        <v>8</v>
      </c>
      <c r="C2306" t="s">
        <v>65</v>
      </c>
      <c r="D2306" t="str">
        <f>_xlfn.XLOOKUP(C2306,'Carrier Name Rename'!A:A,'Carrier Name Rename'!B:B)</f>
        <v>Continental Air Lines Inc.</v>
      </c>
      <c r="E2306" t="s">
        <v>23</v>
      </c>
      <c r="F2306" t="s">
        <v>24</v>
      </c>
      <c r="G2306">
        <v>492</v>
      </c>
      <c r="H2306">
        <v>147</v>
      </c>
      <c r="I2306">
        <v>45.44</v>
      </c>
      <c r="J2306">
        <v>7.94</v>
      </c>
      <c r="K2306">
        <v>63.66</v>
      </c>
      <c r="L2306">
        <v>1.41</v>
      </c>
      <c r="M2306">
        <v>28.55</v>
      </c>
      <c r="N2306">
        <v>1</v>
      </c>
      <c r="O2306">
        <v>1</v>
      </c>
      <c r="P2306">
        <v>8170</v>
      </c>
      <c r="Q2306">
        <v>2468</v>
      </c>
      <c r="R2306">
        <v>523</v>
      </c>
      <c r="S2306">
        <v>2580</v>
      </c>
      <c r="T2306">
        <v>24</v>
      </c>
      <c r="U2306">
        <v>2575</v>
      </c>
      <c r="V2306" s="1">
        <f t="shared" si="105"/>
        <v>0.29880000000000001</v>
      </c>
      <c r="W2306" s="1">
        <f t="shared" si="106"/>
        <v>2E-3</v>
      </c>
      <c r="X2306" s="1">
        <f t="shared" si="107"/>
        <v>2E-3</v>
      </c>
    </row>
    <row r="2307" spans="1:24" x14ac:dyDescent="0.25">
      <c r="A2307">
        <v>2008</v>
      </c>
      <c r="B2307">
        <v>8</v>
      </c>
      <c r="C2307" t="s">
        <v>37</v>
      </c>
      <c r="D2307" t="str">
        <f>_xlfn.XLOOKUP(C2307,'Carrier Name Rename'!A:A,'Carrier Name Rename'!B:B)</f>
        <v>Delta Air Lines Inc.</v>
      </c>
      <c r="E2307" t="s">
        <v>23</v>
      </c>
      <c r="F2307" t="s">
        <v>24</v>
      </c>
      <c r="G2307">
        <v>560</v>
      </c>
      <c r="H2307">
        <v>105</v>
      </c>
      <c r="I2307">
        <v>35.299999999999997</v>
      </c>
      <c r="J2307">
        <v>1.51</v>
      </c>
      <c r="K2307">
        <v>50.05</v>
      </c>
      <c r="L2307">
        <v>0</v>
      </c>
      <c r="M2307">
        <v>18.14</v>
      </c>
      <c r="N2307">
        <v>0</v>
      </c>
      <c r="O2307">
        <v>1</v>
      </c>
      <c r="P2307">
        <v>4582</v>
      </c>
      <c r="Q2307">
        <v>1442</v>
      </c>
      <c r="R2307">
        <v>127</v>
      </c>
      <c r="S2307">
        <v>2003</v>
      </c>
      <c r="T2307">
        <v>0</v>
      </c>
      <c r="U2307">
        <v>1010</v>
      </c>
      <c r="V2307" s="1">
        <f t="shared" ref="V2307:V2370" si="108">ROUND(H2307/G2307,4)</f>
        <v>0.1875</v>
      </c>
      <c r="W2307" s="1">
        <f t="shared" ref="W2307:W2370" si="109">ROUND(N2307/G2307,4)</f>
        <v>0</v>
      </c>
      <c r="X2307" s="1">
        <f t="shared" ref="X2307:X2370" si="110">ROUND(O2307/G2307,4)</f>
        <v>1.8E-3</v>
      </c>
    </row>
    <row r="2308" spans="1:24" x14ac:dyDescent="0.25">
      <c r="A2308">
        <v>2008</v>
      </c>
      <c r="B2308">
        <v>8</v>
      </c>
      <c r="C2308" t="s">
        <v>39</v>
      </c>
      <c r="D2308" t="str">
        <f>_xlfn.XLOOKUP(C2308,'Carrier Name Rename'!A:A,'Carrier Name Rename'!B:B)</f>
        <v>Frontier Airlines Inc.</v>
      </c>
      <c r="E2308" t="s">
        <v>23</v>
      </c>
      <c r="F2308" t="s">
        <v>24</v>
      </c>
      <c r="G2308">
        <v>156</v>
      </c>
      <c r="H2308">
        <v>35</v>
      </c>
      <c r="I2308">
        <v>15.61</v>
      </c>
      <c r="J2308">
        <v>0.3</v>
      </c>
      <c r="K2308">
        <v>13.92</v>
      </c>
      <c r="L2308">
        <v>0</v>
      </c>
      <c r="M2308">
        <v>5.18</v>
      </c>
      <c r="N2308">
        <v>1</v>
      </c>
      <c r="O2308">
        <v>0</v>
      </c>
      <c r="P2308">
        <v>1226</v>
      </c>
      <c r="Q2308">
        <v>568</v>
      </c>
      <c r="R2308">
        <v>33</v>
      </c>
      <c r="S2308">
        <v>409</v>
      </c>
      <c r="T2308">
        <v>0</v>
      </c>
      <c r="U2308">
        <v>216</v>
      </c>
      <c r="V2308" s="1">
        <f t="shared" si="108"/>
        <v>0.22439999999999999</v>
      </c>
      <c r="W2308" s="1">
        <f t="shared" si="109"/>
        <v>6.4000000000000003E-3</v>
      </c>
      <c r="X2308" s="1">
        <f t="shared" si="110"/>
        <v>0</v>
      </c>
    </row>
    <row r="2309" spans="1:24" x14ac:dyDescent="0.25">
      <c r="A2309">
        <v>2008</v>
      </c>
      <c r="B2309">
        <v>8</v>
      </c>
      <c r="C2309" t="s">
        <v>63</v>
      </c>
      <c r="D2309" t="str">
        <f>_xlfn.XLOOKUP(C2309,'Carrier Name Rename'!A:A,'Carrier Name Rename'!B:B)</f>
        <v>AirTran Airways Corporation</v>
      </c>
      <c r="E2309" t="s">
        <v>23</v>
      </c>
      <c r="F2309" t="s">
        <v>24</v>
      </c>
      <c r="G2309">
        <v>217</v>
      </c>
      <c r="H2309">
        <v>56</v>
      </c>
      <c r="I2309">
        <v>13.23</v>
      </c>
      <c r="J2309">
        <v>1.4</v>
      </c>
      <c r="K2309">
        <v>30.3</v>
      </c>
      <c r="L2309">
        <v>0</v>
      </c>
      <c r="M2309">
        <v>11.08</v>
      </c>
      <c r="N2309">
        <v>0</v>
      </c>
      <c r="O2309">
        <v>0</v>
      </c>
      <c r="P2309">
        <v>2152</v>
      </c>
      <c r="Q2309">
        <v>580</v>
      </c>
      <c r="R2309">
        <v>95</v>
      </c>
      <c r="S2309">
        <v>890</v>
      </c>
      <c r="T2309">
        <v>0</v>
      </c>
      <c r="U2309">
        <v>587</v>
      </c>
      <c r="V2309" s="1">
        <f t="shared" si="108"/>
        <v>0.2581</v>
      </c>
      <c r="W2309" s="1">
        <f t="shared" si="109"/>
        <v>0</v>
      </c>
      <c r="X2309" s="1">
        <f t="shared" si="110"/>
        <v>0</v>
      </c>
    </row>
    <row r="2310" spans="1:24" x14ac:dyDescent="0.25">
      <c r="A2310">
        <v>2008</v>
      </c>
      <c r="B2310">
        <v>8</v>
      </c>
      <c r="C2310" t="s">
        <v>21</v>
      </c>
      <c r="D2310" t="str">
        <f>_xlfn.XLOOKUP(C2310,'Carrier Name Rename'!A:A,'Carrier Name Rename'!B:B)</f>
        <v>Hawaiian Airlines Inc.</v>
      </c>
      <c r="E2310" t="s">
        <v>23</v>
      </c>
      <c r="F2310" t="s">
        <v>24</v>
      </c>
      <c r="G2310">
        <v>62</v>
      </c>
      <c r="H2310">
        <v>8</v>
      </c>
      <c r="I2310">
        <v>7.73</v>
      </c>
      <c r="J2310">
        <v>0</v>
      </c>
      <c r="K2310">
        <v>0</v>
      </c>
      <c r="L2310">
        <v>0</v>
      </c>
      <c r="M2310">
        <v>0.27</v>
      </c>
      <c r="N2310">
        <v>0</v>
      </c>
      <c r="O2310">
        <v>1</v>
      </c>
      <c r="P2310">
        <v>1335</v>
      </c>
      <c r="Q2310">
        <v>1331</v>
      </c>
      <c r="R2310">
        <v>0</v>
      </c>
      <c r="S2310">
        <v>0</v>
      </c>
      <c r="T2310">
        <v>0</v>
      </c>
      <c r="U2310">
        <v>4</v>
      </c>
      <c r="V2310" s="1">
        <f t="shared" si="108"/>
        <v>0.129</v>
      </c>
      <c r="W2310" s="1">
        <f t="shared" si="109"/>
        <v>0</v>
      </c>
      <c r="X2310" s="1">
        <f t="shared" si="110"/>
        <v>1.61E-2</v>
      </c>
    </row>
    <row r="2311" spans="1:24" x14ac:dyDescent="0.25">
      <c r="A2311">
        <v>2008</v>
      </c>
      <c r="B2311">
        <v>8</v>
      </c>
      <c r="C2311" t="s">
        <v>67</v>
      </c>
      <c r="D2311" t="str">
        <f>_xlfn.XLOOKUP(C2311,'Carrier Name Rename'!A:A,'Carrier Name Rename'!B:B)</f>
        <v>Northwest Airlines Inc.</v>
      </c>
      <c r="E2311" t="s">
        <v>23</v>
      </c>
      <c r="F2311" t="s">
        <v>24</v>
      </c>
      <c r="G2311">
        <v>509</v>
      </c>
      <c r="H2311">
        <v>111</v>
      </c>
      <c r="I2311">
        <v>40.18</v>
      </c>
      <c r="J2311">
        <v>3.35</v>
      </c>
      <c r="K2311">
        <v>55.15</v>
      </c>
      <c r="L2311">
        <v>0</v>
      </c>
      <c r="M2311">
        <v>12.32</v>
      </c>
      <c r="N2311">
        <v>0</v>
      </c>
      <c r="O2311">
        <v>3</v>
      </c>
      <c r="P2311">
        <v>4260</v>
      </c>
      <c r="Q2311">
        <v>2138</v>
      </c>
      <c r="R2311">
        <v>186</v>
      </c>
      <c r="S2311">
        <v>1394</v>
      </c>
      <c r="T2311">
        <v>0</v>
      </c>
      <c r="U2311">
        <v>542</v>
      </c>
      <c r="V2311" s="1">
        <f t="shared" si="108"/>
        <v>0.21809999999999999</v>
      </c>
      <c r="W2311" s="1">
        <f t="shared" si="109"/>
        <v>0</v>
      </c>
      <c r="X2311" s="1">
        <f t="shared" si="110"/>
        <v>5.8999999999999999E-3</v>
      </c>
    </row>
    <row r="2312" spans="1:24" x14ac:dyDescent="0.25">
      <c r="A2312">
        <v>2008</v>
      </c>
      <c r="B2312">
        <v>8</v>
      </c>
      <c r="C2312" t="s">
        <v>27</v>
      </c>
      <c r="D2312" t="str">
        <f>_xlfn.XLOOKUP(C2312,'Carrier Name Rename'!A:A,'Carrier Name Rename'!B:B)</f>
        <v>SkyWest Airlines Inc.</v>
      </c>
      <c r="E2312" t="s">
        <v>23</v>
      </c>
      <c r="F2312" t="s">
        <v>24</v>
      </c>
      <c r="G2312">
        <v>411</v>
      </c>
      <c r="H2312">
        <v>37</v>
      </c>
      <c r="I2312">
        <v>10.18</v>
      </c>
      <c r="J2312">
        <v>0</v>
      </c>
      <c r="K2312">
        <v>19.48</v>
      </c>
      <c r="L2312">
        <v>0</v>
      </c>
      <c r="M2312">
        <v>7.35</v>
      </c>
      <c r="N2312">
        <v>0</v>
      </c>
      <c r="O2312">
        <v>0</v>
      </c>
      <c r="P2312">
        <v>1057</v>
      </c>
      <c r="Q2312">
        <v>225</v>
      </c>
      <c r="R2312">
        <v>0</v>
      </c>
      <c r="S2312">
        <v>597</v>
      </c>
      <c r="T2312">
        <v>0</v>
      </c>
      <c r="U2312">
        <v>235</v>
      </c>
      <c r="V2312" s="1">
        <f t="shared" si="108"/>
        <v>0.09</v>
      </c>
      <c r="W2312" s="1">
        <f t="shared" si="109"/>
        <v>0</v>
      </c>
      <c r="X2312" s="1">
        <f t="shared" si="110"/>
        <v>0</v>
      </c>
    </row>
    <row r="2313" spans="1:24" x14ac:dyDescent="0.25">
      <c r="A2313">
        <v>2008</v>
      </c>
      <c r="B2313">
        <v>8</v>
      </c>
      <c r="C2313" t="s">
        <v>41</v>
      </c>
      <c r="D2313" t="str">
        <f>_xlfn.XLOOKUP(C2313,'Carrier Name Rename'!A:A,'Carrier Name Rename'!B:B)</f>
        <v>United Air Lines Inc.</v>
      </c>
      <c r="E2313" t="s">
        <v>23</v>
      </c>
      <c r="F2313" t="s">
        <v>24</v>
      </c>
      <c r="G2313">
        <v>857</v>
      </c>
      <c r="H2313">
        <v>243</v>
      </c>
      <c r="I2313">
        <v>67.5</v>
      </c>
      <c r="J2313">
        <v>6.41</v>
      </c>
      <c r="K2313">
        <v>64.58</v>
      </c>
      <c r="L2313">
        <v>0</v>
      </c>
      <c r="M2313">
        <v>104.51</v>
      </c>
      <c r="N2313">
        <v>7</v>
      </c>
      <c r="O2313">
        <v>0</v>
      </c>
      <c r="P2313">
        <v>15098</v>
      </c>
      <c r="Q2313">
        <v>4497</v>
      </c>
      <c r="R2313">
        <v>431</v>
      </c>
      <c r="S2313">
        <v>2201</v>
      </c>
      <c r="T2313">
        <v>0</v>
      </c>
      <c r="U2313">
        <v>7969</v>
      </c>
      <c r="V2313" s="1">
        <f t="shared" si="108"/>
        <v>0.28349999999999997</v>
      </c>
      <c r="W2313" s="1">
        <f t="shared" si="109"/>
        <v>8.2000000000000007E-3</v>
      </c>
      <c r="X2313" s="1">
        <f t="shared" si="110"/>
        <v>0</v>
      </c>
    </row>
    <row r="2314" spans="1:24" x14ac:dyDescent="0.25">
      <c r="A2314">
        <v>2008</v>
      </c>
      <c r="B2314">
        <v>8</v>
      </c>
      <c r="C2314" t="s">
        <v>61</v>
      </c>
      <c r="D2314" t="str">
        <f>_xlfn.XLOOKUP(C2314,'Carrier Name Rename'!A:A,'Carrier Name Rename'!B:B)</f>
        <v>US Airways Inc.</v>
      </c>
      <c r="E2314" t="s">
        <v>23</v>
      </c>
      <c r="F2314" t="s">
        <v>24</v>
      </c>
      <c r="G2314">
        <v>400</v>
      </c>
      <c r="H2314">
        <v>101</v>
      </c>
      <c r="I2314">
        <v>41.68</v>
      </c>
      <c r="J2314">
        <v>4.09</v>
      </c>
      <c r="K2314">
        <v>40.86</v>
      </c>
      <c r="L2314">
        <v>0</v>
      </c>
      <c r="M2314">
        <v>14.37</v>
      </c>
      <c r="N2314">
        <v>1</v>
      </c>
      <c r="O2314">
        <v>2</v>
      </c>
      <c r="P2314">
        <v>6122</v>
      </c>
      <c r="Q2314">
        <v>2849</v>
      </c>
      <c r="R2314">
        <v>514</v>
      </c>
      <c r="S2314">
        <v>1778</v>
      </c>
      <c r="T2314">
        <v>0</v>
      </c>
      <c r="U2314">
        <v>981</v>
      </c>
      <c r="V2314" s="1">
        <f t="shared" si="108"/>
        <v>0.2525</v>
      </c>
      <c r="W2314" s="1">
        <f t="shared" si="109"/>
        <v>2.5000000000000001E-3</v>
      </c>
      <c r="X2314" s="1">
        <f t="shared" si="110"/>
        <v>5.0000000000000001E-3</v>
      </c>
    </row>
    <row r="2315" spans="1:24" x14ac:dyDescent="0.25">
      <c r="A2315">
        <v>2008</v>
      </c>
      <c r="B2315">
        <v>8</v>
      </c>
      <c r="C2315" t="s">
        <v>43</v>
      </c>
      <c r="D2315" t="str">
        <f>_xlfn.XLOOKUP(C2315,'Carrier Name Rename'!A:A,'Carrier Name Rename'!B:B)</f>
        <v>Southwest Airlines Co.</v>
      </c>
      <c r="E2315" t="s">
        <v>23</v>
      </c>
      <c r="F2315" t="s">
        <v>24</v>
      </c>
      <c r="G2315">
        <v>1468</v>
      </c>
      <c r="H2315">
        <v>240</v>
      </c>
      <c r="I2315">
        <v>51.55</v>
      </c>
      <c r="J2315">
        <v>5.18</v>
      </c>
      <c r="K2315">
        <v>62.61</v>
      </c>
      <c r="L2315">
        <v>7.0000000000000007E-2</v>
      </c>
      <c r="M2315">
        <v>120.58</v>
      </c>
      <c r="N2315">
        <v>1</v>
      </c>
      <c r="O2315">
        <v>1</v>
      </c>
      <c r="P2315">
        <v>10736</v>
      </c>
      <c r="Q2315">
        <v>2233</v>
      </c>
      <c r="R2315">
        <v>389</v>
      </c>
      <c r="S2315">
        <v>2133</v>
      </c>
      <c r="T2315">
        <v>9</v>
      </c>
      <c r="U2315">
        <v>5972</v>
      </c>
      <c r="V2315" s="1">
        <f t="shared" si="108"/>
        <v>0.16350000000000001</v>
      </c>
      <c r="W2315" s="1">
        <f t="shared" si="109"/>
        <v>6.9999999999999999E-4</v>
      </c>
      <c r="X2315" s="1">
        <f t="shared" si="110"/>
        <v>6.9999999999999999E-4</v>
      </c>
    </row>
    <row r="2316" spans="1:24" x14ac:dyDescent="0.25">
      <c r="A2316">
        <v>2008</v>
      </c>
      <c r="B2316">
        <v>8</v>
      </c>
      <c r="C2316" t="s">
        <v>69</v>
      </c>
      <c r="D2316" t="str">
        <f>_xlfn.XLOOKUP(C2316,'Carrier Name Rename'!A:A,'Carrier Name Rename'!B:B)</f>
        <v>ExpressJet Airlines Inc.</v>
      </c>
      <c r="E2316" t="s">
        <v>23</v>
      </c>
      <c r="F2316" t="s">
        <v>24</v>
      </c>
      <c r="G2316">
        <v>119</v>
      </c>
      <c r="H2316">
        <v>27</v>
      </c>
      <c r="I2316">
        <v>12.79</v>
      </c>
      <c r="J2316">
        <v>0</v>
      </c>
      <c r="K2316">
        <v>13.26</v>
      </c>
      <c r="L2316">
        <v>0</v>
      </c>
      <c r="M2316">
        <v>0.94</v>
      </c>
      <c r="N2316">
        <v>1</v>
      </c>
      <c r="O2316">
        <v>0</v>
      </c>
      <c r="P2316">
        <v>1525</v>
      </c>
      <c r="Q2316">
        <v>1035</v>
      </c>
      <c r="R2316">
        <v>0</v>
      </c>
      <c r="S2316">
        <v>457</v>
      </c>
      <c r="T2316">
        <v>0</v>
      </c>
      <c r="U2316">
        <v>33</v>
      </c>
      <c r="V2316" s="1">
        <f t="shared" si="108"/>
        <v>0.22689999999999999</v>
      </c>
      <c r="W2316" s="1">
        <f t="shared" si="109"/>
        <v>8.3999999999999995E-3</v>
      </c>
      <c r="X2316" s="1">
        <f t="shared" si="110"/>
        <v>0</v>
      </c>
    </row>
    <row r="2317" spans="1:24" x14ac:dyDescent="0.25">
      <c r="A2317">
        <v>2008</v>
      </c>
      <c r="B2317">
        <v>7</v>
      </c>
      <c r="C2317" t="s">
        <v>31</v>
      </c>
      <c r="D2317" t="str">
        <f>_xlfn.XLOOKUP(C2317,'Carrier Name Rename'!A:A,'Carrier Name Rename'!B:B)</f>
        <v>American Airlines Inc.</v>
      </c>
      <c r="E2317" t="s">
        <v>23</v>
      </c>
      <c r="F2317" t="s">
        <v>24</v>
      </c>
      <c r="G2317">
        <v>520</v>
      </c>
      <c r="H2317">
        <v>191</v>
      </c>
      <c r="I2317">
        <v>76.61</v>
      </c>
      <c r="J2317">
        <v>4.7</v>
      </c>
      <c r="K2317">
        <v>68.38</v>
      </c>
      <c r="L2317">
        <v>0</v>
      </c>
      <c r="M2317">
        <v>41.3</v>
      </c>
      <c r="N2317">
        <v>1</v>
      </c>
      <c r="O2317">
        <v>0</v>
      </c>
      <c r="P2317">
        <v>10204</v>
      </c>
      <c r="Q2317">
        <v>4041</v>
      </c>
      <c r="R2317">
        <v>318</v>
      </c>
      <c r="S2317">
        <v>2622</v>
      </c>
      <c r="T2317">
        <v>0</v>
      </c>
      <c r="U2317">
        <v>3223</v>
      </c>
      <c r="V2317" s="1">
        <f t="shared" si="108"/>
        <v>0.36730000000000002</v>
      </c>
      <c r="W2317" s="1">
        <f t="shared" si="109"/>
        <v>1.9E-3</v>
      </c>
      <c r="X2317" s="1">
        <f t="shared" si="110"/>
        <v>0</v>
      </c>
    </row>
    <row r="2318" spans="1:24" x14ac:dyDescent="0.25">
      <c r="A2318">
        <v>2008</v>
      </c>
      <c r="B2318">
        <v>7</v>
      </c>
      <c r="C2318" t="s">
        <v>33</v>
      </c>
      <c r="D2318" t="str">
        <f>_xlfn.XLOOKUP(C2318,'Carrier Name Rename'!A:A,'Carrier Name Rename'!B:B)</f>
        <v>Alaska Airlines Inc.</v>
      </c>
      <c r="E2318" t="s">
        <v>23</v>
      </c>
      <c r="F2318" t="s">
        <v>24</v>
      </c>
      <c r="G2318">
        <v>4611</v>
      </c>
      <c r="H2318">
        <v>904</v>
      </c>
      <c r="I2318">
        <v>187.75</v>
      </c>
      <c r="J2318">
        <v>12.71</v>
      </c>
      <c r="K2318">
        <v>387.18</v>
      </c>
      <c r="L2318">
        <v>3.97</v>
      </c>
      <c r="M2318">
        <v>312.39</v>
      </c>
      <c r="N2318">
        <v>33</v>
      </c>
      <c r="O2318">
        <v>2</v>
      </c>
      <c r="P2318">
        <v>40657</v>
      </c>
      <c r="Q2318">
        <v>12379</v>
      </c>
      <c r="R2318">
        <v>1003</v>
      </c>
      <c r="S2318">
        <v>11985</v>
      </c>
      <c r="T2318">
        <v>139</v>
      </c>
      <c r="U2318">
        <v>15151</v>
      </c>
      <c r="V2318" s="1">
        <f t="shared" si="108"/>
        <v>0.1961</v>
      </c>
      <c r="W2318" s="1">
        <f t="shared" si="109"/>
        <v>7.1999999999999998E-3</v>
      </c>
      <c r="X2318" s="1">
        <f t="shared" si="110"/>
        <v>4.0000000000000002E-4</v>
      </c>
    </row>
    <row r="2319" spans="1:24" x14ac:dyDescent="0.25">
      <c r="A2319">
        <v>2008</v>
      </c>
      <c r="B2319">
        <v>7</v>
      </c>
      <c r="C2319" t="s">
        <v>35</v>
      </c>
      <c r="D2319" t="str">
        <f>_xlfn.XLOOKUP(C2319,'Carrier Name Rename'!A:A,'Carrier Name Rename'!B:B)</f>
        <v>JetBlue Airways</v>
      </c>
      <c r="E2319" t="s">
        <v>23</v>
      </c>
      <c r="F2319" t="s">
        <v>24</v>
      </c>
      <c r="G2319">
        <v>185</v>
      </c>
      <c r="H2319">
        <v>58</v>
      </c>
      <c r="I2319">
        <v>11.42</v>
      </c>
      <c r="J2319">
        <v>0.04</v>
      </c>
      <c r="K2319">
        <v>38.03</v>
      </c>
      <c r="L2319">
        <v>0</v>
      </c>
      <c r="M2319">
        <v>8.51</v>
      </c>
      <c r="N2319">
        <v>5</v>
      </c>
      <c r="O2319">
        <v>0</v>
      </c>
      <c r="P2319">
        <v>3842</v>
      </c>
      <c r="Q2319">
        <v>868</v>
      </c>
      <c r="R2319">
        <v>5</v>
      </c>
      <c r="S2319">
        <v>2350</v>
      </c>
      <c r="T2319">
        <v>0</v>
      </c>
      <c r="U2319">
        <v>619</v>
      </c>
      <c r="V2319" s="1">
        <f t="shared" si="108"/>
        <v>0.3135</v>
      </c>
      <c r="W2319" s="1">
        <f t="shared" si="109"/>
        <v>2.7E-2</v>
      </c>
      <c r="X2319" s="1">
        <f t="shared" si="110"/>
        <v>0</v>
      </c>
    </row>
    <row r="2320" spans="1:24" x14ac:dyDescent="0.25">
      <c r="A2320">
        <v>2008</v>
      </c>
      <c r="B2320">
        <v>7</v>
      </c>
      <c r="C2320" t="s">
        <v>65</v>
      </c>
      <c r="D2320" t="str">
        <f>_xlfn.XLOOKUP(C2320,'Carrier Name Rename'!A:A,'Carrier Name Rename'!B:B)</f>
        <v>Continental Air Lines Inc.</v>
      </c>
      <c r="E2320" t="s">
        <v>23</v>
      </c>
      <c r="F2320" t="s">
        <v>24</v>
      </c>
      <c r="G2320">
        <v>490</v>
      </c>
      <c r="H2320">
        <v>133</v>
      </c>
      <c r="I2320">
        <v>56.55</v>
      </c>
      <c r="J2320">
        <v>3.27</v>
      </c>
      <c r="K2320">
        <v>47.86</v>
      </c>
      <c r="L2320">
        <v>0.14000000000000001</v>
      </c>
      <c r="M2320">
        <v>25.19</v>
      </c>
      <c r="N2320">
        <v>2</v>
      </c>
      <c r="O2320">
        <v>0</v>
      </c>
      <c r="P2320">
        <v>7176</v>
      </c>
      <c r="Q2320">
        <v>2782</v>
      </c>
      <c r="R2320">
        <v>157</v>
      </c>
      <c r="S2320">
        <v>2480</v>
      </c>
      <c r="T2320">
        <v>3</v>
      </c>
      <c r="U2320">
        <v>1754</v>
      </c>
      <c r="V2320" s="1">
        <f t="shared" si="108"/>
        <v>0.27139999999999997</v>
      </c>
      <c r="W2320" s="1">
        <f t="shared" si="109"/>
        <v>4.1000000000000003E-3</v>
      </c>
      <c r="X2320" s="1">
        <f t="shared" si="110"/>
        <v>0</v>
      </c>
    </row>
    <row r="2321" spans="1:24" x14ac:dyDescent="0.25">
      <c r="A2321">
        <v>2008</v>
      </c>
      <c r="B2321">
        <v>7</v>
      </c>
      <c r="C2321" t="s">
        <v>37</v>
      </c>
      <c r="D2321" t="str">
        <f>_xlfn.XLOOKUP(C2321,'Carrier Name Rename'!A:A,'Carrier Name Rename'!B:B)</f>
        <v>Delta Air Lines Inc.</v>
      </c>
      <c r="E2321" t="s">
        <v>23</v>
      </c>
      <c r="F2321" t="s">
        <v>24</v>
      </c>
      <c r="G2321">
        <v>563</v>
      </c>
      <c r="H2321">
        <v>168</v>
      </c>
      <c r="I2321">
        <v>45.63</v>
      </c>
      <c r="J2321">
        <v>6.72</v>
      </c>
      <c r="K2321">
        <v>72.95</v>
      </c>
      <c r="L2321">
        <v>0</v>
      </c>
      <c r="M2321">
        <v>42.7</v>
      </c>
      <c r="N2321">
        <v>0</v>
      </c>
      <c r="O2321">
        <v>2</v>
      </c>
      <c r="P2321">
        <v>8887</v>
      </c>
      <c r="Q2321">
        <v>2572</v>
      </c>
      <c r="R2321">
        <v>517</v>
      </c>
      <c r="S2321">
        <v>2728</v>
      </c>
      <c r="T2321">
        <v>0</v>
      </c>
      <c r="U2321">
        <v>3070</v>
      </c>
      <c r="V2321" s="1">
        <f t="shared" si="108"/>
        <v>0.2984</v>
      </c>
      <c r="W2321" s="1">
        <f t="shared" si="109"/>
        <v>0</v>
      </c>
      <c r="X2321" s="1">
        <f t="shared" si="110"/>
        <v>3.5999999999999999E-3</v>
      </c>
    </row>
    <row r="2322" spans="1:24" x14ac:dyDescent="0.25">
      <c r="A2322">
        <v>2008</v>
      </c>
      <c r="B2322">
        <v>7</v>
      </c>
      <c r="C2322" t="s">
        <v>39</v>
      </c>
      <c r="D2322" t="str">
        <f>_xlfn.XLOOKUP(C2322,'Carrier Name Rename'!A:A,'Carrier Name Rename'!B:B)</f>
        <v>Frontier Airlines Inc.</v>
      </c>
      <c r="E2322" t="s">
        <v>23</v>
      </c>
      <c r="F2322" t="s">
        <v>24</v>
      </c>
      <c r="G2322">
        <v>155</v>
      </c>
      <c r="H2322">
        <v>49</v>
      </c>
      <c r="I2322">
        <v>19.2</v>
      </c>
      <c r="J2322">
        <v>0</v>
      </c>
      <c r="K2322">
        <v>23.2</v>
      </c>
      <c r="L2322">
        <v>0</v>
      </c>
      <c r="M2322">
        <v>6.6</v>
      </c>
      <c r="N2322">
        <v>0</v>
      </c>
      <c r="O2322">
        <v>0</v>
      </c>
      <c r="P2322">
        <v>1638</v>
      </c>
      <c r="Q2322">
        <v>625</v>
      </c>
      <c r="R2322">
        <v>0</v>
      </c>
      <c r="S2322">
        <v>722</v>
      </c>
      <c r="T2322">
        <v>0</v>
      </c>
      <c r="U2322">
        <v>291</v>
      </c>
      <c r="V2322" s="1">
        <f t="shared" si="108"/>
        <v>0.31609999999999999</v>
      </c>
      <c r="W2322" s="1">
        <f t="shared" si="109"/>
        <v>0</v>
      </c>
      <c r="X2322" s="1">
        <f t="shared" si="110"/>
        <v>0</v>
      </c>
    </row>
    <row r="2323" spans="1:24" x14ac:dyDescent="0.25">
      <c r="A2323">
        <v>2008</v>
      </c>
      <c r="B2323">
        <v>7</v>
      </c>
      <c r="C2323" t="s">
        <v>63</v>
      </c>
      <c r="D2323" t="str">
        <f>_xlfn.XLOOKUP(C2323,'Carrier Name Rename'!A:A,'Carrier Name Rename'!B:B)</f>
        <v>AirTran Airways Corporation</v>
      </c>
      <c r="E2323" t="s">
        <v>23</v>
      </c>
      <c r="F2323" t="s">
        <v>24</v>
      </c>
      <c r="G2323">
        <v>218</v>
      </c>
      <c r="H2323">
        <v>94</v>
      </c>
      <c r="I2323">
        <v>24.24</v>
      </c>
      <c r="J2323">
        <v>0.24</v>
      </c>
      <c r="K2323">
        <v>53.14</v>
      </c>
      <c r="L2323">
        <v>0</v>
      </c>
      <c r="M2323">
        <v>16.38</v>
      </c>
      <c r="N2323">
        <v>0</v>
      </c>
      <c r="O2323">
        <v>1</v>
      </c>
      <c r="P2323">
        <v>4506</v>
      </c>
      <c r="Q2323">
        <v>1253</v>
      </c>
      <c r="R2323">
        <v>55</v>
      </c>
      <c r="S2323">
        <v>1896</v>
      </c>
      <c r="T2323">
        <v>0</v>
      </c>
      <c r="U2323">
        <v>1302</v>
      </c>
      <c r="V2323" s="1">
        <f t="shared" si="108"/>
        <v>0.43120000000000003</v>
      </c>
      <c r="W2323" s="1">
        <f t="shared" si="109"/>
        <v>0</v>
      </c>
      <c r="X2323" s="1">
        <f t="shared" si="110"/>
        <v>4.5999999999999999E-3</v>
      </c>
    </row>
    <row r="2324" spans="1:24" x14ac:dyDescent="0.25">
      <c r="A2324">
        <v>2008</v>
      </c>
      <c r="B2324">
        <v>7</v>
      </c>
      <c r="C2324" t="s">
        <v>21</v>
      </c>
      <c r="D2324" t="str">
        <f>_xlfn.XLOOKUP(C2324,'Carrier Name Rename'!A:A,'Carrier Name Rename'!B:B)</f>
        <v>Hawaiian Airlines Inc.</v>
      </c>
      <c r="E2324" t="s">
        <v>23</v>
      </c>
      <c r="F2324" t="s">
        <v>24</v>
      </c>
      <c r="G2324">
        <v>62</v>
      </c>
      <c r="H2324">
        <v>13</v>
      </c>
      <c r="I2324">
        <v>9.98</v>
      </c>
      <c r="J2324">
        <v>0</v>
      </c>
      <c r="K2324">
        <v>0</v>
      </c>
      <c r="L2324">
        <v>0</v>
      </c>
      <c r="M2324">
        <v>3.02</v>
      </c>
      <c r="N2324">
        <v>0</v>
      </c>
      <c r="O2324">
        <v>0</v>
      </c>
      <c r="P2324">
        <v>487</v>
      </c>
      <c r="Q2324">
        <v>344</v>
      </c>
      <c r="R2324">
        <v>0</v>
      </c>
      <c r="S2324">
        <v>0</v>
      </c>
      <c r="T2324">
        <v>0</v>
      </c>
      <c r="U2324">
        <v>143</v>
      </c>
      <c r="V2324" s="1">
        <f t="shared" si="108"/>
        <v>0.2097</v>
      </c>
      <c r="W2324" s="1">
        <f t="shared" si="109"/>
        <v>0</v>
      </c>
      <c r="X2324" s="1">
        <f t="shared" si="110"/>
        <v>0</v>
      </c>
    </row>
    <row r="2325" spans="1:24" x14ac:dyDescent="0.25">
      <c r="A2325">
        <v>2008</v>
      </c>
      <c r="B2325">
        <v>7</v>
      </c>
      <c r="C2325" t="s">
        <v>67</v>
      </c>
      <c r="D2325" t="str">
        <f>_xlfn.XLOOKUP(C2325,'Carrier Name Rename'!A:A,'Carrier Name Rename'!B:B)</f>
        <v>Northwest Airlines Inc.</v>
      </c>
      <c r="E2325" t="s">
        <v>23</v>
      </c>
      <c r="F2325" t="s">
        <v>24</v>
      </c>
      <c r="G2325">
        <v>589</v>
      </c>
      <c r="H2325">
        <v>196</v>
      </c>
      <c r="I2325">
        <v>65.7</v>
      </c>
      <c r="J2325">
        <v>7.51</v>
      </c>
      <c r="K2325">
        <v>106.91</v>
      </c>
      <c r="L2325">
        <v>1.48</v>
      </c>
      <c r="M2325">
        <v>14.39</v>
      </c>
      <c r="N2325">
        <v>1</v>
      </c>
      <c r="O2325">
        <v>2</v>
      </c>
      <c r="P2325">
        <v>7104</v>
      </c>
      <c r="Q2325">
        <v>2874</v>
      </c>
      <c r="R2325">
        <v>562</v>
      </c>
      <c r="S2325">
        <v>2920</v>
      </c>
      <c r="T2325">
        <v>86</v>
      </c>
      <c r="U2325">
        <v>662</v>
      </c>
      <c r="V2325" s="1">
        <f t="shared" si="108"/>
        <v>0.33279999999999998</v>
      </c>
      <c r="W2325" s="1">
        <f t="shared" si="109"/>
        <v>1.6999999999999999E-3</v>
      </c>
      <c r="X2325" s="1">
        <f t="shared" si="110"/>
        <v>3.3999999999999998E-3</v>
      </c>
    </row>
    <row r="2326" spans="1:24" x14ac:dyDescent="0.25">
      <c r="A2326">
        <v>2008</v>
      </c>
      <c r="B2326">
        <v>7</v>
      </c>
      <c r="C2326" t="s">
        <v>27</v>
      </c>
      <c r="D2326" t="str">
        <f>_xlfn.XLOOKUP(C2326,'Carrier Name Rename'!A:A,'Carrier Name Rename'!B:B)</f>
        <v>SkyWest Airlines Inc.</v>
      </c>
      <c r="E2326" t="s">
        <v>23</v>
      </c>
      <c r="F2326" t="s">
        <v>24</v>
      </c>
      <c r="G2326">
        <v>408</v>
      </c>
      <c r="H2326">
        <v>40</v>
      </c>
      <c r="I2326">
        <v>11.2</v>
      </c>
      <c r="J2326">
        <v>0</v>
      </c>
      <c r="K2326">
        <v>21.71</v>
      </c>
      <c r="L2326">
        <v>0.64</v>
      </c>
      <c r="M2326">
        <v>6.45</v>
      </c>
      <c r="N2326">
        <v>3</v>
      </c>
      <c r="O2326">
        <v>0</v>
      </c>
      <c r="P2326">
        <v>1370</v>
      </c>
      <c r="Q2326">
        <v>256</v>
      </c>
      <c r="R2326">
        <v>0</v>
      </c>
      <c r="S2326">
        <v>816</v>
      </c>
      <c r="T2326">
        <v>16</v>
      </c>
      <c r="U2326">
        <v>282</v>
      </c>
      <c r="V2326" s="1">
        <f t="shared" si="108"/>
        <v>9.8000000000000004E-2</v>
      </c>
      <c r="W2326" s="1">
        <f t="shared" si="109"/>
        <v>7.4000000000000003E-3</v>
      </c>
      <c r="X2326" s="1">
        <f t="shared" si="110"/>
        <v>0</v>
      </c>
    </row>
    <row r="2327" spans="1:24" x14ac:dyDescent="0.25">
      <c r="A2327">
        <v>2008</v>
      </c>
      <c r="B2327">
        <v>7</v>
      </c>
      <c r="C2327" t="s">
        <v>41</v>
      </c>
      <c r="D2327" t="str">
        <f>_xlfn.XLOOKUP(C2327,'Carrier Name Rename'!A:A,'Carrier Name Rename'!B:B)</f>
        <v>United Air Lines Inc.</v>
      </c>
      <c r="E2327" t="s">
        <v>23</v>
      </c>
      <c r="F2327" t="s">
        <v>24</v>
      </c>
      <c r="G2327">
        <v>863</v>
      </c>
      <c r="H2327">
        <v>307</v>
      </c>
      <c r="I2327">
        <v>80.67</v>
      </c>
      <c r="J2327">
        <v>7.42</v>
      </c>
      <c r="K2327">
        <v>81.599999999999994</v>
      </c>
      <c r="L2327">
        <v>0</v>
      </c>
      <c r="M2327">
        <v>137.31</v>
      </c>
      <c r="N2327">
        <v>17</v>
      </c>
      <c r="O2327">
        <v>0</v>
      </c>
      <c r="P2327">
        <v>18038</v>
      </c>
      <c r="Q2327">
        <v>4382</v>
      </c>
      <c r="R2327">
        <v>584</v>
      </c>
      <c r="S2327">
        <v>3247</v>
      </c>
      <c r="T2327">
        <v>0</v>
      </c>
      <c r="U2327">
        <v>9825</v>
      </c>
      <c r="V2327" s="1">
        <f t="shared" si="108"/>
        <v>0.35570000000000002</v>
      </c>
      <c r="W2327" s="1">
        <f t="shared" si="109"/>
        <v>1.9699999999999999E-2</v>
      </c>
      <c r="X2327" s="1">
        <f t="shared" si="110"/>
        <v>0</v>
      </c>
    </row>
    <row r="2328" spans="1:24" x14ac:dyDescent="0.25">
      <c r="A2328">
        <v>2008</v>
      </c>
      <c r="B2328">
        <v>7</v>
      </c>
      <c r="C2328" t="s">
        <v>61</v>
      </c>
      <c r="D2328" t="str">
        <f>_xlfn.XLOOKUP(C2328,'Carrier Name Rename'!A:A,'Carrier Name Rename'!B:B)</f>
        <v>US Airways Inc.</v>
      </c>
      <c r="E2328" t="s">
        <v>23</v>
      </c>
      <c r="F2328" t="s">
        <v>24</v>
      </c>
      <c r="G2328">
        <v>401</v>
      </c>
      <c r="H2328">
        <v>118</v>
      </c>
      <c r="I2328">
        <v>49.41</v>
      </c>
      <c r="J2328">
        <v>2.39</v>
      </c>
      <c r="K2328">
        <v>38.07</v>
      </c>
      <c r="L2328">
        <v>0.41</v>
      </c>
      <c r="M2328">
        <v>27.72</v>
      </c>
      <c r="N2328">
        <v>4</v>
      </c>
      <c r="O2328">
        <v>0</v>
      </c>
      <c r="P2328">
        <v>7850</v>
      </c>
      <c r="Q2328">
        <v>3083</v>
      </c>
      <c r="R2328">
        <v>319</v>
      </c>
      <c r="S2328">
        <v>2122</v>
      </c>
      <c r="T2328">
        <v>29</v>
      </c>
      <c r="U2328">
        <v>2297</v>
      </c>
      <c r="V2328" s="1">
        <f t="shared" si="108"/>
        <v>0.29430000000000001</v>
      </c>
      <c r="W2328" s="1">
        <f t="shared" si="109"/>
        <v>0.01</v>
      </c>
      <c r="X2328" s="1">
        <f t="shared" si="110"/>
        <v>0</v>
      </c>
    </row>
    <row r="2329" spans="1:24" x14ac:dyDescent="0.25">
      <c r="A2329">
        <v>2008</v>
      </c>
      <c r="B2329">
        <v>7</v>
      </c>
      <c r="C2329" t="s">
        <v>43</v>
      </c>
      <c r="D2329" t="str">
        <f>_xlfn.XLOOKUP(C2329,'Carrier Name Rename'!A:A,'Carrier Name Rename'!B:B)</f>
        <v>Southwest Airlines Co.</v>
      </c>
      <c r="E2329" t="s">
        <v>23</v>
      </c>
      <c r="F2329" t="s">
        <v>24</v>
      </c>
      <c r="G2329">
        <v>1514</v>
      </c>
      <c r="H2329">
        <v>256</v>
      </c>
      <c r="I2329">
        <v>58.16</v>
      </c>
      <c r="J2329">
        <v>11.27</v>
      </c>
      <c r="K2329">
        <v>70.45</v>
      </c>
      <c r="L2329">
        <v>0</v>
      </c>
      <c r="M2329">
        <v>116.12</v>
      </c>
      <c r="N2329">
        <v>1</v>
      </c>
      <c r="O2329">
        <v>0</v>
      </c>
      <c r="P2329">
        <v>11468</v>
      </c>
      <c r="Q2329">
        <v>2574</v>
      </c>
      <c r="R2329">
        <v>480</v>
      </c>
      <c r="S2329">
        <v>2191</v>
      </c>
      <c r="T2329">
        <v>0</v>
      </c>
      <c r="U2329">
        <v>6223</v>
      </c>
      <c r="V2329" s="1">
        <f t="shared" si="108"/>
        <v>0.1691</v>
      </c>
      <c r="W2329" s="1">
        <f t="shared" si="109"/>
        <v>6.9999999999999999E-4</v>
      </c>
      <c r="X2329" s="1">
        <f t="shared" si="110"/>
        <v>0</v>
      </c>
    </row>
    <row r="2330" spans="1:24" x14ac:dyDescent="0.25">
      <c r="A2330">
        <v>2008</v>
      </c>
      <c r="B2330">
        <v>7</v>
      </c>
      <c r="C2330" t="s">
        <v>69</v>
      </c>
      <c r="D2330" t="str">
        <f>_xlfn.XLOOKUP(C2330,'Carrier Name Rename'!A:A,'Carrier Name Rename'!B:B)</f>
        <v>ExpressJet Airlines Inc.</v>
      </c>
      <c r="E2330" t="s">
        <v>23</v>
      </c>
      <c r="F2330" t="s">
        <v>24</v>
      </c>
      <c r="G2330">
        <v>149</v>
      </c>
      <c r="H2330">
        <v>40</v>
      </c>
      <c r="I2330">
        <v>9.9600000000000009</v>
      </c>
      <c r="J2330">
        <v>0</v>
      </c>
      <c r="K2330">
        <v>23.06</v>
      </c>
      <c r="L2330">
        <v>0</v>
      </c>
      <c r="M2330">
        <v>6.99</v>
      </c>
      <c r="N2330">
        <v>1</v>
      </c>
      <c r="O2330">
        <v>0</v>
      </c>
      <c r="P2330">
        <v>1573</v>
      </c>
      <c r="Q2330">
        <v>431</v>
      </c>
      <c r="R2330">
        <v>0</v>
      </c>
      <c r="S2330">
        <v>774</v>
      </c>
      <c r="T2330">
        <v>0</v>
      </c>
      <c r="U2330">
        <v>368</v>
      </c>
      <c r="V2330" s="1">
        <f t="shared" si="108"/>
        <v>0.26850000000000002</v>
      </c>
      <c r="W2330" s="1">
        <f t="shared" si="109"/>
        <v>6.7000000000000002E-3</v>
      </c>
      <c r="X2330" s="1">
        <f t="shared" si="110"/>
        <v>0</v>
      </c>
    </row>
    <row r="2331" spans="1:24" x14ac:dyDescent="0.25">
      <c r="A2331">
        <v>2008</v>
      </c>
      <c r="B2331">
        <v>6</v>
      </c>
      <c r="C2331" t="s">
        <v>31</v>
      </c>
      <c r="D2331" t="str">
        <f>_xlfn.XLOOKUP(C2331,'Carrier Name Rename'!A:A,'Carrier Name Rename'!B:B)</f>
        <v>American Airlines Inc.</v>
      </c>
      <c r="E2331" t="s">
        <v>23</v>
      </c>
      <c r="F2331" t="s">
        <v>24</v>
      </c>
      <c r="G2331">
        <v>492</v>
      </c>
      <c r="H2331">
        <v>263</v>
      </c>
      <c r="I2331">
        <v>68.22</v>
      </c>
      <c r="J2331">
        <v>8.18</v>
      </c>
      <c r="K2331">
        <v>137.88</v>
      </c>
      <c r="L2331">
        <v>0</v>
      </c>
      <c r="M2331">
        <v>48.71</v>
      </c>
      <c r="N2331">
        <v>1</v>
      </c>
      <c r="O2331">
        <v>2</v>
      </c>
      <c r="P2331">
        <v>13782</v>
      </c>
      <c r="Q2331">
        <v>4043</v>
      </c>
      <c r="R2331">
        <v>713</v>
      </c>
      <c r="S2331">
        <v>5243</v>
      </c>
      <c r="T2331">
        <v>0</v>
      </c>
      <c r="U2331">
        <v>3783</v>
      </c>
      <c r="V2331" s="1">
        <f t="shared" si="108"/>
        <v>0.53459999999999996</v>
      </c>
      <c r="W2331" s="1">
        <f t="shared" si="109"/>
        <v>2E-3</v>
      </c>
      <c r="X2331" s="1">
        <f t="shared" si="110"/>
        <v>4.1000000000000003E-3</v>
      </c>
    </row>
    <row r="2332" spans="1:24" x14ac:dyDescent="0.25">
      <c r="A2332">
        <v>2008</v>
      </c>
      <c r="B2332">
        <v>6</v>
      </c>
      <c r="C2332" t="s">
        <v>33</v>
      </c>
      <c r="D2332" t="str">
        <f>_xlfn.XLOOKUP(C2332,'Carrier Name Rename'!A:A,'Carrier Name Rename'!B:B)</f>
        <v>Alaska Airlines Inc.</v>
      </c>
      <c r="E2332" t="s">
        <v>23</v>
      </c>
      <c r="F2332" t="s">
        <v>24</v>
      </c>
      <c r="G2332">
        <v>4344</v>
      </c>
      <c r="H2332">
        <v>1106</v>
      </c>
      <c r="I2332">
        <v>216.32</v>
      </c>
      <c r="J2332">
        <v>6.31</v>
      </c>
      <c r="K2332">
        <v>555</v>
      </c>
      <c r="L2332">
        <v>3.57</v>
      </c>
      <c r="M2332">
        <v>324.81</v>
      </c>
      <c r="N2332">
        <v>29</v>
      </c>
      <c r="O2332">
        <v>5</v>
      </c>
      <c r="P2332">
        <v>49183</v>
      </c>
      <c r="Q2332">
        <v>12984</v>
      </c>
      <c r="R2332">
        <v>391</v>
      </c>
      <c r="S2332">
        <v>17447</v>
      </c>
      <c r="T2332">
        <v>113</v>
      </c>
      <c r="U2332">
        <v>18248</v>
      </c>
      <c r="V2332" s="1">
        <f t="shared" si="108"/>
        <v>0.25459999999999999</v>
      </c>
      <c r="W2332" s="1">
        <f t="shared" si="109"/>
        <v>6.7000000000000002E-3</v>
      </c>
      <c r="X2332" s="1">
        <f t="shared" si="110"/>
        <v>1.1999999999999999E-3</v>
      </c>
    </row>
    <row r="2333" spans="1:24" x14ac:dyDescent="0.25">
      <c r="A2333">
        <v>2008</v>
      </c>
      <c r="B2333">
        <v>6</v>
      </c>
      <c r="C2333" t="s">
        <v>35</v>
      </c>
      <c r="D2333" t="str">
        <f>_xlfn.XLOOKUP(C2333,'Carrier Name Rename'!A:A,'Carrier Name Rename'!B:B)</f>
        <v>JetBlue Airways</v>
      </c>
      <c r="E2333" t="s">
        <v>23</v>
      </c>
      <c r="F2333" t="s">
        <v>24</v>
      </c>
      <c r="G2333">
        <v>180</v>
      </c>
      <c r="H2333">
        <v>50</v>
      </c>
      <c r="I2333">
        <v>6.55</v>
      </c>
      <c r="J2333">
        <v>1.92</v>
      </c>
      <c r="K2333">
        <v>27.52</v>
      </c>
      <c r="L2333">
        <v>0</v>
      </c>
      <c r="M2333">
        <v>14.01</v>
      </c>
      <c r="N2333">
        <v>5</v>
      </c>
      <c r="O2333">
        <v>0</v>
      </c>
      <c r="P2333">
        <v>3464</v>
      </c>
      <c r="Q2333">
        <v>443</v>
      </c>
      <c r="R2333">
        <v>333</v>
      </c>
      <c r="S2333">
        <v>1727</v>
      </c>
      <c r="T2333">
        <v>0</v>
      </c>
      <c r="U2333">
        <v>961</v>
      </c>
      <c r="V2333" s="1">
        <f t="shared" si="108"/>
        <v>0.27779999999999999</v>
      </c>
      <c r="W2333" s="1">
        <f t="shared" si="109"/>
        <v>2.7799999999999998E-2</v>
      </c>
      <c r="X2333" s="1">
        <f t="shared" si="110"/>
        <v>0</v>
      </c>
    </row>
    <row r="2334" spans="1:24" x14ac:dyDescent="0.25">
      <c r="A2334">
        <v>2008</v>
      </c>
      <c r="B2334">
        <v>6</v>
      </c>
      <c r="C2334" t="s">
        <v>65</v>
      </c>
      <c r="D2334" t="str">
        <f>_xlfn.XLOOKUP(C2334,'Carrier Name Rename'!A:A,'Carrier Name Rename'!B:B)</f>
        <v>Continental Air Lines Inc.</v>
      </c>
      <c r="E2334" t="s">
        <v>23</v>
      </c>
      <c r="F2334" t="s">
        <v>24</v>
      </c>
      <c r="G2334">
        <v>448</v>
      </c>
      <c r="H2334">
        <v>186</v>
      </c>
      <c r="I2334">
        <v>56.79</v>
      </c>
      <c r="J2334">
        <v>12.99</v>
      </c>
      <c r="K2334">
        <v>84.73</v>
      </c>
      <c r="L2334">
        <v>0.96</v>
      </c>
      <c r="M2334">
        <v>30.52</v>
      </c>
      <c r="N2334">
        <v>1</v>
      </c>
      <c r="O2334">
        <v>1</v>
      </c>
      <c r="P2334">
        <v>9476</v>
      </c>
      <c r="Q2334">
        <v>2574</v>
      </c>
      <c r="R2334">
        <v>739</v>
      </c>
      <c r="S2334">
        <v>3965</v>
      </c>
      <c r="T2334">
        <v>41</v>
      </c>
      <c r="U2334">
        <v>2157</v>
      </c>
      <c r="V2334" s="1">
        <f t="shared" si="108"/>
        <v>0.41520000000000001</v>
      </c>
      <c r="W2334" s="1">
        <f t="shared" si="109"/>
        <v>2.2000000000000001E-3</v>
      </c>
      <c r="X2334" s="1">
        <f t="shared" si="110"/>
        <v>2.2000000000000001E-3</v>
      </c>
    </row>
    <row r="2335" spans="1:24" x14ac:dyDescent="0.25">
      <c r="A2335">
        <v>2008</v>
      </c>
      <c r="B2335">
        <v>6</v>
      </c>
      <c r="C2335" t="s">
        <v>37</v>
      </c>
      <c r="D2335" t="str">
        <f>_xlfn.XLOOKUP(C2335,'Carrier Name Rename'!A:A,'Carrier Name Rename'!B:B)</f>
        <v>Delta Air Lines Inc.</v>
      </c>
      <c r="E2335" t="s">
        <v>23</v>
      </c>
      <c r="F2335" t="s">
        <v>24</v>
      </c>
      <c r="G2335">
        <v>519</v>
      </c>
      <c r="H2335">
        <v>212</v>
      </c>
      <c r="I2335">
        <v>51.28</v>
      </c>
      <c r="J2335">
        <v>4.3</v>
      </c>
      <c r="K2335">
        <v>116.61</v>
      </c>
      <c r="L2335">
        <v>0.75</v>
      </c>
      <c r="M2335">
        <v>39.049999999999997</v>
      </c>
      <c r="N2335">
        <v>1</v>
      </c>
      <c r="O2335">
        <v>2</v>
      </c>
      <c r="P2335">
        <v>9469</v>
      </c>
      <c r="Q2335">
        <v>3037</v>
      </c>
      <c r="R2335">
        <v>322</v>
      </c>
      <c r="S2335">
        <v>4270</v>
      </c>
      <c r="T2335">
        <v>30</v>
      </c>
      <c r="U2335">
        <v>1810</v>
      </c>
      <c r="V2335" s="1">
        <f t="shared" si="108"/>
        <v>0.40849999999999997</v>
      </c>
      <c r="W2335" s="1">
        <f t="shared" si="109"/>
        <v>1.9E-3</v>
      </c>
      <c r="X2335" s="1">
        <f t="shared" si="110"/>
        <v>3.8999999999999998E-3</v>
      </c>
    </row>
    <row r="2336" spans="1:24" x14ac:dyDescent="0.25">
      <c r="A2336">
        <v>2008</v>
      </c>
      <c r="B2336">
        <v>6</v>
      </c>
      <c r="C2336" t="s">
        <v>39</v>
      </c>
      <c r="D2336" t="str">
        <f>_xlfn.XLOOKUP(C2336,'Carrier Name Rename'!A:A,'Carrier Name Rename'!B:B)</f>
        <v>Frontier Airlines Inc.</v>
      </c>
      <c r="E2336" t="s">
        <v>23</v>
      </c>
      <c r="F2336" t="s">
        <v>24</v>
      </c>
      <c r="G2336">
        <v>150</v>
      </c>
      <c r="H2336">
        <v>44</v>
      </c>
      <c r="I2336">
        <v>12.96</v>
      </c>
      <c r="J2336">
        <v>0</v>
      </c>
      <c r="K2336">
        <v>20.98</v>
      </c>
      <c r="L2336">
        <v>0</v>
      </c>
      <c r="M2336">
        <v>10.07</v>
      </c>
      <c r="N2336">
        <v>0</v>
      </c>
      <c r="O2336">
        <v>0</v>
      </c>
      <c r="P2336">
        <v>1348</v>
      </c>
      <c r="Q2336">
        <v>382</v>
      </c>
      <c r="R2336">
        <v>0</v>
      </c>
      <c r="S2336">
        <v>701</v>
      </c>
      <c r="T2336">
        <v>0</v>
      </c>
      <c r="U2336">
        <v>265</v>
      </c>
      <c r="V2336" s="1">
        <f t="shared" si="108"/>
        <v>0.29330000000000001</v>
      </c>
      <c r="W2336" s="1">
        <f t="shared" si="109"/>
        <v>0</v>
      </c>
      <c r="X2336" s="1">
        <f t="shared" si="110"/>
        <v>0</v>
      </c>
    </row>
    <row r="2337" spans="1:24" x14ac:dyDescent="0.25">
      <c r="A2337">
        <v>2008</v>
      </c>
      <c r="B2337">
        <v>6</v>
      </c>
      <c r="C2337" t="s">
        <v>63</v>
      </c>
      <c r="D2337" t="str">
        <f>_xlfn.XLOOKUP(C2337,'Carrier Name Rename'!A:A,'Carrier Name Rename'!B:B)</f>
        <v>AirTran Airways Corporation</v>
      </c>
      <c r="E2337" t="s">
        <v>23</v>
      </c>
      <c r="F2337" t="s">
        <v>24</v>
      </c>
      <c r="G2337">
        <v>200</v>
      </c>
      <c r="H2337">
        <v>72</v>
      </c>
      <c r="I2337">
        <v>18.25</v>
      </c>
      <c r="J2337">
        <v>0.87</v>
      </c>
      <c r="K2337">
        <v>37.35</v>
      </c>
      <c r="L2337">
        <v>0</v>
      </c>
      <c r="M2337">
        <v>15.53</v>
      </c>
      <c r="N2337">
        <v>0</v>
      </c>
      <c r="O2337">
        <v>0</v>
      </c>
      <c r="P2337">
        <v>2931</v>
      </c>
      <c r="Q2337">
        <v>695</v>
      </c>
      <c r="R2337">
        <v>136</v>
      </c>
      <c r="S2337">
        <v>1203</v>
      </c>
      <c r="T2337">
        <v>0</v>
      </c>
      <c r="U2337">
        <v>897</v>
      </c>
      <c r="V2337" s="1">
        <f t="shared" si="108"/>
        <v>0.36</v>
      </c>
      <c r="W2337" s="1">
        <f t="shared" si="109"/>
        <v>0</v>
      </c>
      <c r="X2337" s="1">
        <f t="shared" si="110"/>
        <v>0</v>
      </c>
    </row>
    <row r="2338" spans="1:24" x14ac:dyDescent="0.25">
      <c r="A2338">
        <v>2008</v>
      </c>
      <c r="B2338">
        <v>6</v>
      </c>
      <c r="C2338" t="s">
        <v>21</v>
      </c>
      <c r="D2338" t="str">
        <f>_xlfn.XLOOKUP(C2338,'Carrier Name Rename'!A:A,'Carrier Name Rename'!B:B)</f>
        <v>Hawaiian Airlines Inc.</v>
      </c>
      <c r="E2338" t="s">
        <v>23</v>
      </c>
      <c r="F2338" t="s">
        <v>24</v>
      </c>
      <c r="G2338">
        <v>60</v>
      </c>
      <c r="H2338">
        <v>9</v>
      </c>
      <c r="I2338">
        <v>7.46</v>
      </c>
      <c r="J2338">
        <v>0</v>
      </c>
      <c r="K2338">
        <v>0</v>
      </c>
      <c r="L2338">
        <v>0</v>
      </c>
      <c r="M2338">
        <v>1.54</v>
      </c>
      <c r="N2338">
        <v>0</v>
      </c>
      <c r="O2338">
        <v>0</v>
      </c>
      <c r="P2338">
        <v>425</v>
      </c>
      <c r="Q2338">
        <v>388</v>
      </c>
      <c r="R2338">
        <v>0</v>
      </c>
      <c r="S2338">
        <v>0</v>
      </c>
      <c r="T2338">
        <v>0</v>
      </c>
      <c r="U2338">
        <v>37</v>
      </c>
      <c r="V2338" s="1">
        <f t="shared" si="108"/>
        <v>0.15</v>
      </c>
      <c r="W2338" s="1">
        <f t="shared" si="109"/>
        <v>0</v>
      </c>
      <c r="X2338" s="1">
        <f t="shared" si="110"/>
        <v>0</v>
      </c>
    </row>
    <row r="2339" spans="1:24" x14ac:dyDescent="0.25">
      <c r="A2339">
        <v>2008</v>
      </c>
      <c r="B2339">
        <v>6</v>
      </c>
      <c r="C2339" t="s">
        <v>67</v>
      </c>
      <c r="D2339" t="str">
        <f>_xlfn.XLOOKUP(C2339,'Carrier Name Rename'!A:A,'Carrier Name Rename'!B:B)</f>
        <v>Northwest Airlines Inc.</v>
      </c>
      <c r="E2339" t="s">
        <v>23</v>
      </c>
      <c r="F2339" t="s">
        <v>24</v>
      </c>
      <c r="G2339">
        <v>546</v>
      </c>
      <c r="H2339">
        <v>206</v>
      </c>
      <c r="I2339">
        <v>72.040000000000006</v>
      </c>
      <c r="J2339">
        <v>4.83</v>
      </c>
      <c r="K2339">
        <v>101.04</v>
      </c>
      <c r="L2339">
        <v>0</v>
      </c>
      <c r="M2339">
        <v>28.09</v>
      </c>
      <c r="N2339">
        <v>1</v>
      </c>
      <c r="O2339">
        <v>0</v>
      </c>
      <c r="P2339">
        <v>9007</v>
      </c>
      <c r="Q2339">
        <v>3487</v>
      </c>
      <c r="R2339">
        <v>406</v>
      </c>
      <c r="S2339">
        <v>3283</v>
      </c>
      <c r="T2339">
        <v>0</v>
      </c>
      <c r="U2339">
        <v>1831</v>
      </c>
      <c r="V2339" s="1">
        <f t="shared" si="108"/>
        <v>0.37730000000000002</v>
      </c>
      <c r="W2339" s="1">
        <f t="shared" si="109"/>
        <v>1.8E-3</v>
      </c>
      <c r="X2339" s="1">
        <f t="shared" si="110"/>
        <v>0</v>
      </c>
    </row>
    <row r="2340" spans="1:24" x14ac:dyDescent="0.25">
      <c r="A2340">
        <v>2008</v>
      </c>
      <c r="B2340">
        <v>6</v>
      </c>
      <c r="C2340" t="s">
        <v>27</v>
      </c>
      <c r="D2340" t="str">
        <f>_xlfn.XLOOKUP(C2340,'Carrier Name Rename'!A:A,'Carrier Name Rename'!B:B)</f>
        <v>SkyWest Airlines Inc.</v>
      </c>
      <c r="E2340" t="s">
        <v>23</v>
      </c>
      <c r="F2340" t="s">
        <v>24</v>
      </c>
      <c r="G2340">
        <v>414</v>
      </c>
      <c r="H2340">
        <v>38</v>
      </c>
      <c r="I2340">
        <v>15.58</v>
      </c>
      <c r="J2340">
        <v>1</v>
      </c>
      <c r="K2340">
        <v>18.28</v>
      </c>
      <c r="L2340">
        <v>0</v>
      </c>
      <c r="M2340">
        <v>3.14</v>
      </c>
      <c r="N2340">
        <v>2</v>
      </c>
      <c r="O2340">
        <v>0</v>
      </c>
      <c r="P2340">
        <v>1296</v>
      </c>
      <c r="Q2340">
        <v>639</v>
      </c>
      <c r="R2340">
        <v>44</v>
      </c>
      <c r="S2340">
        <v>469</v>
      </c>
      <c r="T2340">
        <v>0</v>
      </c>
      <c r="U2340">
        <v>144</v>
      </c>
      <c r="V2340" s="1">
        <f t="shared" si="108"/>
        <v>9.1800000000000007E-2</v>
      </c>
      <c r="W2340" s="1">
        <f t="shared" si="109"/>
        <v>4.7999999999999996E-3</v>
      </c>
      <c r="X2340" s="1">
        <f t="shared" si="110"/>
        <v>0</v>
      </c>
    </row>
    <row r="2341" spans="1:24" x14ac:dyDescent="0.25">
      <c r="A2341">
        <v>2008</v>
      </c>
      <c r="B2341">
        <v>6</v>
      </c>
      <c r="C2341" t="s">
        <v>41</v>
      </c>
      <c r="D2341" t="str">
        <f>_xlfn.XLOOKUP(C2341,'Carrier Name Rename'!A:A,'Carrier Name Rename'!B:B)</f>
        <v>United Air Lines Inc.</v>
      </c>
      <c r="E2341" t="s">
        <v>23</v>
      </c>
      <c r="F2341" t="s">
        <v>24</v>
      </c>
      <c r="G2341">
        <v>831</v>
      </c>
      <c r="H2341">
        <v>369</v>
      </c>
      <c r="I2341">
        <v>97.62</v>
      </c>
      <c r="J2341">
        <v>7.54</v>
      </c>
      <c r="K2341">
        <v>113.87</v>
      </c>
      <c r="L2341">
        <v>0</v>
      </c>
      <c r="M2341">
        <v>149.97</v>
      </c>
      <c r="N2341">
        <v>15</v>
      </c>
      <c r="O2341">
        <v>0</v>
      </c>
      <c r="P2341">
        <v>22669</v>
      </c>
      <c r="Q2341">
        <v>6591</v>
      </c>
      <c r="R2341">
        <v>502</v>
      </c>
      <c r="S2341">
        <v>4228</v>
      </c>
      <c r="T2341">
        <v>0</v>
      </c>
      <c r="U2341">
        <v>11348</v>
      </c>
      <c r="V2341" s="1">
        <f t="shared" si="108"/>
        <v>0.44400000000000001</v>
      </c>
      <c r="W2341" s="1">
        <f t="shared" si="109"/>
        <v>1.8100000000000002E-2</v>
      </c>
      <c r="X2341" s="1">
        <f t="shared" si="110"/>
        <v>0</v>
      </c>
    </row>
    <row r="2342" spans="1:24" x14ac:dyDescent="0.25">
      <c r="A2342">
        <v>2008</v>
      </c>
      <c r="B2342">
        <v>6</v>
      </c>
      <c r="C2342" t="s">
        <v>61</v>
      </c>
      <c r="D2342" t="str">
        <f>_xlfn.XLOOKUP(C2342,'Carrier Name Rename'!A:A,'Carrier Name Rename'!B:B)</f>
        <v>US Airways Inc.</v>
      </c>
      <c r="E2342" t="s">
        <v>23</v>
      </c>
      <c r="F2342" t="s">
        <v>24</v>
      </c>
      <c r="G2342">
        <v>384</v>
      </c>
      <c r="H2342">
        <v>117</v>
      </c>
      <c r="I2342">
        <v>37.49</v>
      </c>
      <c r="J2342">
        <v>0.53</v>
      </c>
      <c r="K2342">
        <v>58.61</v>
      </c>
      <c r="L2342">
        <v>1</v>
      </c>
      <c r="M2342">
        <v>19.38</v>
      </c>
      <c r="N2342">
        <v>0</v>
      </c>
      <c r="O2342">
        <v>1</v>
      </c>
      <c r="P2342">
        <v>5921</v>
      </c>
      <c r="Q2342">
        <v>1793</v>
      </c>
      <c r="R2342">
        <v>55</v>
      </c>
      <c r="S2342">
        <v>2326</v>
      </c>
      <c r="T2342">
        <v>25</v>
      </c>
      <c r="U2342">
        <v>1722</v>
      </c>
      <c r="V2342" s="1">
        <f t="shared" si="108"/>
        <v>0.30470000000000003</v>
      </c>
      <c r="W2342" s="1">
        <f t="shared" si="109"/>
        <v>0</v>
      </c>
      <c r="X2342" s="1">
        <f t="shared" si="110"/>
        <v>2.5999999999999999E-3</v>
      </c>
    </row>
    <row r="2343" spans="1:24" x14ac:dyDescent="0.25">
      <c r="A2343">
        <v>2008</v>
      </c>
      <c r="B2343">
        <v>6</v>
      </c>
      <c r="C2343" t="s">
        <v>43</v>
      </c>
      <c r="D2343" t="str">
        <f>_xlfn.XLOOKUP(C2343,'Carrier Name Rename'!A:A,'Carrier Name Rename'!B:B)</f>
        <v>Southwest Airlines Co.</v>
      </c>
      <c r="E2343" t="s">
        <v>23</v>
      </c>
      <c r="F2343" t="s">
        <v>24</v>
      </c>
      <c r="G2343">
        <v>1469</v>
      </c>
      <c r="H2343">
        <v>419</v>
      </c>
      <c r="I2343">
        <v>72.66</v>
      </c>
      <c r="J2343">
        <v>5.69</v>
      </c>
      <c r="K2343">
        <v>112.48</v>
      </c>
      <c r="L2343">
        <v>0.69</v>
      </c>
      <c r="M2343">
        <v>227.48</v>
      </c>
      <c r="N2343">
        <v>0</v>
      </c>
      <c r="O2343">
        <v>2</v>
      </c>
      <c r="P2343">
        <v>19949</v>
      </c>
      <c r="Q2343">
        <v>3221</v>
      </c>
      <c r="R2343">
        <v>312</v>
      </c>
      <c r="S2343">
        <v>3583</v>
      </c>
      <c r="T2343">
        <v>19</v>
      </c>
      <c r="U2343">
        <v>12814</v>
      </c>
      <c r="V2343" s="1">
        <f t="shared" si="108"/>
        <v>0.28520000000000001</v>
      </c>
      <c r="W2343" s="1">
        <f t="shared" si="109"/>
        <v>0</v>
      </c>
      <c r="X2343" s="1">
        <f t="shared" si="110"/>
        <v>1.4E-3</v>
      </c>
    </row>
    <row r="2344" spans="1:24" x14ac:dyDescent="0.25">
      <c r="A2344">
        <v>2008</v>
      </c>
      <c r="B2344">
        <v>6</v>
      </c>
      <c r="C2344" t="s">
        <v>69</v>
      </c>
      <c r="D2344" t="str">
        <f>_xlfn.XLOOKUP(C2344,'Carrier Name Rename'!A:A,'Carrier Name Rename'!B:B)</f>
        <v>ExpressJet Airlines Inc.</v>
      </c>
      <c r="E2344" t="s">
        <v>23</v>
      </c>
      <c r="F2344" t="s">
        <v>24</v>
      </c>
      <c r="G2344">
        <v>138</v>
      </c>
      <c r="H2344">
        <v>46</v>
      </c>
      <c r="I2344">
        <v>7.92</v>
      </c>
      <c r="J2344">
        <v>0</v>
      </c>
      <c r="K2344">
        <v>31.49</v>
      </c>
      <c r="L2344">
        <v>0</v>
      </c>
      <c r="M2344">
        <v>6.59</v>
      </c>
      <c r="N2344">
        <v>0</v>
      </c>
      <c r="O2344">
        <v>0</v>
      </c>
      <c r="P2344">
        <v>1471</v>
      </c>
      <c r="Q2344">
        <v>339</v>
      </c>
      <c r="R2344">
        <v>0</v>
      </c>
      <c r="S2344">
        <v>903</v>
      </c>
      <c r="T2344">
        <v>0</v>
      </c>
      <c r="U2344">
        <v>229</v>
      </c>
      <c r="V2344" s="1">
        <f t="shared" si="108"/>
        <v>0.33329999999999999</v>
      </c>
      <c r="W2344" s="1">
        <f t="shared" si="109"/>
        <v>0</v>
      </c>
      <c r="X2344" s="1">
        <f t="shared" si="110"/>
        <v>0</v>
      </c>
    </row>
    <row r="2345" spans="1:24" x14ac:dyDescent="0.25">
      <c r="A2345">
        <v>2008</v>
      </c>
      <c r="B2345">
        <v>5</v>
      </c>
      <c r="C2345" t="s">
        <v>31</v>
      </c>
      <c r="D2345" t="str">
        <f>_xlfn.XLOOKUP(C2345,'Carrier Name Rename'!A:A,'Carrier Name Rename'!B:B)</f>
        <v>American Airlines Inc.</v>
      </c>
      <c r="E2345" t="s">
        <v>23</v>
      </c>
      <c r="F2345" t="s">
        <v>24</v>
      </c>
      <c r="G2345">
        <v>496</v>
      </c>
      <c r="H2345">
        <v>208</v>
      </c>
      <c r="I2345">
        <v>67.69</v>
      </c>
      <c r="J2345">
        <v>5.73</v>
      </c>
      <c r="K2345">
        <v>82.6</v>
      </c>
      <c r="L2345">
        <v>0</v>
      </c>
      <c r="M2345">
        <v>51.97</v>
      </c>
      <c r="N2345">
        <v>2</v>
      </c>
      <c r="O2345">
        <v>1</v>
      </c>
      <c r="P2345">
        <v>10314</v>
      </c>
      <c r="Q2345">
        <v>3324</v>
      </c>
      <c r="R2345">
        <v>480</v>
      </c>
      <c r="S2345">
        <v>2868</v>
      </c>
      <c r="T2345">
        <v>0</v>
      </c>
      <c r="U2345">
        <v>3642</v>
      </c>
      <c r="V2345" s="1">
        <f t="shared" si="108"/>
        <v>0.4194</v>
      </c>
      <c r="W2345" s="1">
        <f t="shared" si="109"/>
        <v>4.0000000000000001E-3</v>
      </c>
      <c r="X2345" s="1">
        <f t="shared" si="110"/>
        <v>2E-3</v>
      </c>
    </row>
    <row r="2346" spans="1:24" x14ac:dyDescent="0.25">
      <c r="A2346">
        <v>2008</v>
      </c>
      <c r="B2346">
        <v>5</v>
      </c>
      <c r="C2346" t="s">
        <v>33</v>
      </c>
      <c r="D2346" t="str">
        <f>_xlfn.XLOOKUP(C2346,'Carrier Name Rename'!A:A,'Carrier Name Rename'!B:B)</f>
        <v>Alaska Airlines Inc.</v>
      </c>
      <c r="E2346" t="s">
        <v>23</v>
      </c>
      <c r="F2346" t="s">
        <v>24</v>
      </c>
      <c r="G2346">
        <v>4343</v>
      </c>
      <c r="H2346">
        <v>868</v>
      </c>
      <c r="I2346">
        <v>203.18</v>
      </c>
      <c r="J2346">
        <v>0.74</v>
      </c>
      <c r="K2346">
        <v>406.35</v>
      </c>
      <c r="L2346">
        <v>4.75</v>
      </c>
      <c r="M2346">
        <v>252.98</v>
      </c>
      <c r="N2346">
        <v>54</v>
      </c>
      <c r="O2346">
        <v>9</v>
      </c>
      <c r="P2346">
        <v>41396</v>
      </c>
      <c r="Q2346">
        <v>14178</v>
      </c>
      <c r="R2346">
        <v>109</v>
      </c>
      <c r="S2346">
        <v>11639</v>
      </c>
      <c r="T2346">
        <v>158</v>
      </c>
      <c r="U2346">
        <v>15312</v>
      </c>
      <c r="V2346" s="1">
        <f t="shared" si="108"/>
        <v>0.19989999999999999</v>
      </c>
      <c r="W2346" s="1">
        <f t="shared" si="109"/>
        <v>1.24E-2</v>
      </c>
      <c r="X2346" s="1">
        <f t="shared" si="110"/>
        <v>2.0999999999999999E-3</v>
      </c>
    </row>
    <row r="2347" spans="1:24" x14ac:dyDescent="0.25">
      <c r="A2347">
        <v>2008</v>
      </c>
      <c r="B2347">
        <v>5</v>
      </c>
      <c r="C2347" t="s">
        <v>35</v>
      </c>
      <c r="D2347" t="str">
        <f>_xlfn.XLOOKUP(C2347,'Carrier Name Rename'!A:A,'Carrier Name Rename'!B:B)</f>
        <v>JetBlue Airways</v>
      </c>
      <c r="E2347" t="s">
        <v>23</v>
      </c>
      <c r="F2347" t="s">
        <v>24</v>
      </c>
      <c r="G2347">
        <v>123</v>
      </c>
      <c r="H2347">
        <v>21</v>
      </c>
      <c r="I2347">
        <v>4.5999999999999996</v>
      </c>
      <c r="J2347">
        <v>0</v>
      </c>
      <c r="K2347">
        <v>9.48</v>
      </c>
      <c r="L2347">
        <v>0</v>
      </c>
      <c r="M2347">
        <v>6.92</v>
      </c>
      <c r="N2347">
        <v>0</v>
      </c>
      <c r="O2347">
        <v>0</v>
      </c>
      <c r="P2347">
        <v>1162</v>
      </c>
      <c r="Q2347">
        <v>402</v>
      </c>
      <c r="R2347">
        <v>0</v>
      </c>
      <c r="S2347">
        <v>338</v>
      </c>
      <c r="T2347">
        <v>0</v>
      </c>
      <c r="U2347">
        <v>422</v>
      </c>
      <c r="V2347" s="1">
        <f t="shared" si="108"/>
        <v>0.17069999999999999</v>
      </c>
      <c r="W2347" s="1">
        <f t="shared" si="109"/>
        <v>0</v>
      </c>
      <c r="X2347" s="1">
        <f t="shared" si="110"/>
        <v>0</v>
      </c>
    </row>
    <row r="2348" spans="1:24" x14ac:dyDescent="0.25">
      <c r="A2348">
        <v>2008</v>
      </c>
      <c r="B2348">
        <v>5</v>
      </c>
      <c r="C2348" t="s">
        <v>65</v>
      </c>
      <c r="D2348" t="str">
        <f>_xlfn.XLOOKUP(C2348,'Carrier Name Rename'!A:A,'Carrier Name Rename'!B:B)</f>
        <v>Continental Air Lines Inc.</v>
      </c>
      <c r="E2348" t="s">
        <v>23</v>
      </c>
      <c r="F2348" t="s">
        <v>24</v>
      </c>
      <c r="G2348">
        <v>416</v>
      </c>
      <c r="H2348">
        <v>134</v>
      </c>
      <c r="I2348">
        <v>47.6</v>
      </c>
      <c r="J2348">
        <v>2.17</v>
      </c>
      <c r="K2348">
        <v>57.54</v>
      </c>
      <c r="L2348">
        <v>2.2599999999999998</v>
      </c>
      <c r="M2348">
        <v>24.43</v>
      </c>
      <c r="N2348">
        <v>1</v>
      </c>
      <c r="O2348">
        <v>2</v>
      </c>
      <c r="P2348">
        <v>5801</v>
      </c>
      <c r="Q2348">
        <v>1741</v>
      </c>
      <c r="R2348">
        <v>80</v>
      </c>
      <c r="S2348">
        <v>2211</v>
      </c>
      <c r="T2348">
        <v>73</v>
      </c>
      <c r="U2348">
        <v>1696</v>
      </c>
      <c r="V2348" s="1">
        <f t="shared" si="108"/>
        <v>0.3221</v>
      </c>
      <c r="W2348" s="1">
        <f t="shared" si="109"/>
        <v>2.3999999999999998E-3</v>
      </c>
      <c r="X2348" s="1">
        <f t="shared" si="110"/>
        <v>4.7999999999999996E-3</v>
      </c>
    </row>
    <row r="2349" spans="1:24" x14ac:dyDescent="0.25">
      <c r="A2349">
        <v>2008</v>
      </c>
      <c r="B2349">
        <v>5</v>
      </c>
      <c r="C2349" t="s">
        <v>37</v>
      </c>
      <c r="D2349" t="str">
        <f>_xlfn.XLOOKUP(C2349,'Carrier Name Rename'!A:A,'Carrier Name Rename'!B:B)</f>
        <v>Delta Air Lines Inc.</v>
      </c>
      <c r="E2349" t="s">
        <v>23</v>
      </c>
      <c r="F2349" t="s">
        <v>24</v>
      </c>
      <c r="G2349">
        <v>441</v>
      </c>
      <c r="H2349">
        <v>81</v>
      </c>
      <c r="I2349">
        <v>16.86</v>
      </c>
      <c r="J2349">
        <v>1.03</v>
      </c>
      <c r="K2349">
        <v>44.55</v>
      </c>
      <c r="L2349">
        <v>0</v>
      </c>
      <c r="M2349">
        <v>18.559999999999999</v>
      </c>
      <c r="N2349">
        <v>0</v>
      </c>
      <c r="O2349">
        <v>0</v>
      </c>
      <c r="P2349">
        <v>3147</v>
      </c>
      <c r="Q2349">
        <v>882</v>
      </c>
      <c r="R2349">
        <v>32</v>
      </c>
      <c r="S2349">
        <v>1326</v>
      </c>
      <c r="T2349">
        <v>0</v>
      </c>
      <c r="U2349">
        <v>907</v>
      </c>
      <c r="V2349" s="1">
        <f t="shared" si="108"/>
        <v>0.1837</v>
      </c>
      <c r="W2349" s="1">
        <f t="shared" si="109"/>
        <v>0</v>
      </c>
      <c r="X2349" s="1">
        <f t="shared" si="110"/>
        <v>0</v>
      </c>
    </row>
    <row r="2350" spans="1:24" x14ac:dyDescent="0.25">
      <c r="A2350">
        <v>2008</v>
      </c>
      <c r="B2350">
        <v>5</v>
      </c>
      <c r="C2350" t="s">
        <v>39</v>
      </c>
      <c r="D2350" t="str">
        <f>_xlfn.XLOOKUP(C2350,'Carrier Name Rename'!A:A,'Carrier Name Rename'!B:B)</f>
        <v>Frontier Airlines Inc.</v>
      </c>
      <c r="E2350" t="s">
        <v>23</v>
      </c>
      <c r="F2350" t="s">
        <v>24</v>
      </c>
      <c r="G2350">
        <v>155</v>
      </c>
      <c r="H2350">
        <v>31</v>
      </c>
      <c r="I2350">
        <v>10.77</v>
      </c>
      <c r="J2350">
        <v>0</v>
      </c>
      <c r="K2350">
        <v>11.82</v>
      </c>
      <c r="L2350">
        <v>0</v>
      </c>
      <c r="M2350">
        <v>8.42</v>
      </c>
      <c r="N2350">
        <v>0</v>
      </c>
      <c r="O2350">
        <v>0</v>
      </c>
      <c r="P2350">
        <v>1256</v>
      </c>
      <c r="Q2350">
        <v>370</v>
      </c>
      <c r="R2350">
        <v>0</v>
      </c>
      <c r="S2350">
        <v>420</v>
      </c>
      <c r="T2350">
        <v>0</v>
      </c>
      <c r="U2350">
        <v>466</v>
      </c>
      <c r="V2350" s="1">
        <f t="shared" si="108"/>
        <v>0.2</v>
      </c>
      <c r="W2350" s="1">
        <f t="shared" si="109"/>
        <v>0</v>
      </c>
      <c r="X2350" s="1">
        <f t="shared" si="110"/>
        <v>0</v>
      </c>
    </row>
    <row r="2351" spans="1:24" x14ac:dyDescent="0.25">
      <c r="A2351">
        <v>2008</v>
      </c>
      <c r="B2351">
        <v>5</v>
      </c>
      <c r="C2351" t="s">
        <v>63</v>
      </c>
      <c r="D2351" t="str">
        <f>_xlfn.XLOOKUP(C2351,'Carrier Name Rename'!A:A,'Carrier Name Rename'!B:B)</f>
        <v>AirTran Airways Corporation</v>
      </c>
      <c r="E2351" t="s">
        <v>23</v>
      </c>
      <c r="F2351" t="s">
        <v>24</v>
      </c>
      <c r="G2351">
        <v>160</v>
      </c>
      <c r="H2351">
        <v>33</v>
      </c>
      <c r="I2351">
        <v>5.91</v>
      </c>
      <c r="J2351">
        <v>0</v>
      </c>
      <c r="K2351">
        <v>17.239999999999998</v>
      </c>
      <c r="L2351">
        <v>0</v>
      </c>
      <c r="M2351">
        <v>9.85</v>
      </c>
      <c r="N2351">
        <v>0</v>
      </c>
      <c r="O2351">
        <v>0</v>
      </c>
      <c r="P2351">
        <v>1240</v>
      </c>
      <c r="Q2351">
        <v>252</v>
      </c>
      <c r="R2351">
        <v>0</v>
      </c>
      <c r="S2351">
        <v>503</v>
      </c>
      <c r="T2351">
        <v>0</v>
      </c>
      <c r="U2351">
        <v>485</v>
      </c>
      <c r="V2351" s="1">
        <f t="shared" si="108"/>
        <v>0.20630000000000001</v>
      </c>
      <c r="W2351" s="1">
        <f t="shared" si="109"/>
        <v>0</v>
      </c>
      <c r="X2351" s="1">
        <f t="shared" si="110"/>
        <v>0</v>
      </c>
    </row>
    <row r="2352" spans="1:24" x14ac:dyDescent="0.25">
      <c r="A2352">
        <v>2008</v>
      </c>
      <c r="B2352">
        <v>5</v>
      </c>
      <c r="C2352" t="s">
        <v>21</v>
      </c>
      <c r="D2352" t="str">
        <f>_xlfn.XLOOKUP(C2352,'Carrier Name Rename'!A:A,'Carrier Name Rename'!B:B)</f>
        <v>Hawaiian Airlines Inc.</v>
      </c>
      <c r="E2352" t="s">
        <v>23</v>
      </c>
      <c r="F2352" t="s">
        <v>24</v>
      </c>
      <c r="G2352">
        <v>62</v>
      </c>
      <c r="H2352">
        <v>25</v>
      </c>
      <c r="I2352">
        <v>24.35</v>
      </c>
      <c r="J2352">
        <v>0</v>
      </c>
      <c r="K2352">
        <v>0</v>
      </c>
      <c r="L2352">
        <v>0</v>
      </c>
      <c r="M2352">
        <v>0.65</v>
      </c>
      <c r="N2352">
        <v>0</v>
      </c>
      <c r="O2352">
        <v>0</v>
      </c>
      <c r="P2352">
        <v>2168</v>
      </c>
      <c r="Q2352">
        <v>2140</v>
      </c>
      <c r="R2352">
        <v>0</v>
      </c>
      <c r="S2352">
        <v>0</v>
      </c>
      <c r="T2352">
        <v>0</v>
      </c>
      <c r="U2352">
        <v>28</v>
      </c>
      <c r="V2352" s="1">
        <f t="shared" si="108"/>
        <v>0.4032</v>
      </c>
      <c r="W2352" s="1">
        <f t="shared" si="109"/>
        <v>0</v>
      </c>
      <c r="X2352" s="1">
        <f t="shared" si="110"/>
        <v>0</v>
      </c>
    </row>
    <row r="2353" spans="1:24" x14ac:dyDescent="0.25">
      <c r="A2353">
        <v>2008</v>
      </c>
      <c r="B2353">
        <v>5</v>
      </c>
      <c r="C2353" t="s">
        <v>67</v>
      </c>
      <c r="D2353" t="str">
        <f>_xlfn.XLOOKUP(C2353,'Carrier Name Rename'!A:A,'Carrier Name Rename'!B:B)</f>
        <v>Northwest Airlines Inc.</v>
      </c>
      <c r="E2353" t="s">
        <v>23</v>
      </c>
      <c r="F2353" t="s">
        <v>24</v>
      </c>
      <c r="G2353">
        <v>402</v>
      </c>
      <c r="H2353">
        <v>108</v>
      </c>
      <c r="I2353">
        <v>35.08</v>
      </c>
      <c r="J2353">
        <v>0.32</v>
      </c>
      <c r="K2353">
        <v>59.21</v>
      </c>
      <c r="L2353">
        <v>0</v>
      </c>
      <c r="M2353">
        <v>13.39</v>
      </c>
      <c r="N2353">
        <v>1</v>
      </c>
      <c r="O2353">
        <v>0</v>
      </c>
      <c r="P2353">
        <v>4476</v>
      </c>
      <c r="Q2353">
        <v>1976</v>
      </c>
      <c r="R2353">
        <v>12</v>
      </c>
      <c r="S2353">
        <v>1761</v>
      </c>
      <c r="T2353">
        <v>0</v>
      </c>
      <c r="U2353">
        <v>727</v>
      </c>
      <c r="V2353" s="1">
        <f t="shared" si="108"/>
        <v>0.26869999999999999</v>
      </c>
      <c r="W2353" s="1">
        <f t="shared" si="109"/>
        <v>2.5000000000000001E-3</v>
      </c>
      <c r="X2353" s="1">
        <f t="shared" si="110"/>
        <v>0</v>
      </c>
    </row>
    <row r="2354" spans="1:24" x14ac:dyDescent="0.25">
      <c r="A2354">
        <v>2008</v>
      </c>
      <c r="B2354">
        <v>5</v>
      </c>
      <c r="C2354" t="s">
        <v>27</v>
      </c>
      <c r="D2354" t="str">
        <f>_xlfn.XLOOKUP(C2354,'Carrier Name Rename'!A:A,'Carrier Name Rename'!B:B)</f>
        <v>SkyWest Airlines Inc.</v>
      </c>
      <c r="E2354" t="s">
        <v>23</v>
      </c>
      <c r="F2354" t="s">
        <v>24</v>
      </c>
      <c r="G2354">
        <v>438</v>
      </c>
      <c r="H2354">
        <v>19</v>
      </c>
      <c r="I2354">
        <v>4.3099999999999996</v>
      </c>
      <c r="J2354">
        <v>0.12</v>
      </c>
      <c r="K2354">
        <v>11.69</v>
      </c>
      <c r="L2354">
        <v>0</v>
      </c>
      <c r="M2354">
        <v>2.88</v>
      </c>
      <c r="N2354">
        <v>3</v>
      </c>
      <c r="O2354">
        <v>0</v>
      </c>
      <c r="P2354">
        <v>497</v>
      </c>
      <c r="Q2354">
        <v>145</v>
      </c>
      <c r="R2354">
        <v>2</v>
      </c>
      <c r="S2354">
        <v>297</v>
      </c>
      <c r="T2354">
        <v>0</v>
      </c>
      <c r="U2354">
        <v>53</v>
      </c>
      <c r="V2354" s="1">
        <f t="shared" si="108"/>
        <v>4.3400000000000001E-2</v>
      </c>
      <c r="W2354" s="1">
        <f t="shared" si="109"/>
        <v>6.7999999999999996E-3</v>
      </c>
      <c r="X2354" s="1">
        <f t="shared" si="110"/>
        <v>0</v>
      </c>
    </row>
    <row r="2355" spans="1:24" x14ac:dyDescent="0.25">
      <c r="A2355">
        <v>2008</v>
      </c>
      <c r="B2355">
        <v>5</v>
      </c>
      <c r="C2355" t="s">
        <v>41</v>
      </c>
      <c r="D2355" t="str">
        <f>_xlfn.XLOOKUP(C2355,'Carrier Name Rename'!A:A,'Carrier Name Rename'!B:B)</f>
        <v>United Air Lines Inc.</v>
      </c>
      <c r="E2355" t="s">
        <v>23</v>
      </c>
      <c r="F2355" t="s">
        <v>24</v>
      </c>
      <c r="G2355">
        <v>754</v>
      </c>
      <c r="H2355">
        <v>261</v>
      </c>
      <c r="I2355">
        <v>61.81</v>
      </c>
      <c r="J2355">
        <v>3.57</v>
      </c>
      <c r="K2355">
        <v>96.79</v>
      </c>
      <c r="L2355">
        <v>0</v>
      </c>
      <c r="M2355">
        <v>98.84</v>
      </c>
      <c r="N2355">
        <v>1</v>
      </c>
      <c r="O2355">
        <v>0</v>
      </c>
      <c r="P2355">
        <v>12659</v>
      </c>
      <c r="Q2355">
        <v>3460</v>
      </c>
      <c r="R2355">
        <v>239</v>
      </c>
      <c r="S2355">
        <v>2940</v>
      </c>
      <c r="T2355">
        <v>0</v>
      </c>
      <c r="U2355">
        <v>6020</v>
      </c>
      <c r="V2355" s="1">
        <f t="shared" si="108"/>
        <v>0.34620000000000001</v>
      </c>
      <c r="W2355" s="1">
        <f t="shared" si="109"/>
        <v>1.2999999999999999E-3</v>
      </c>
      <c r="X2355" s="1">
        <f t="shared" si="110"/>
        <v>0</v>
      </c>
    </row>
    <row r="2356" spans="1:24" x14ac:dyDescent="0.25">
      <c r="A2356">
        <v>2008</v>
      </c>
      <c r="B2356">
        <v>5</v>
      </c>
      <c r="C2356" t="s">
        <v>61</v>
      </c>
      <c r="D2356" t="str">
        <f>_xlfn.XLOOKUP(C2356,'Carrier Name Rename'!A:A,'Carrier Name Rename'!B:B)</f>
        <v>US Airways Inc.</v>
      </c>
      <c r="E2356" t="s">
        <v>23</v>
      </c>
      <c r="F2356" t="s">
        <v>24</v>
      </c>
      <c r="G2356">
        <v>297</v>
      </c>
      <c r="H2356">
        <v>38</v>
      </c>
      <c r="I2356">
        <v>12.77</v>
      </c>
      <c r="J2356">
        <v>0.13</v>
      </c>
      <c r="K2356">
        <v>13.23</v>
      </c>
      <c r="L2356">
        <v>0</v>
      </c>
      <c r="M2356">
        <v>11.86</v>
      </c>
      <c r="N2356">
        <v>0</v>
      </c>
      <c r="O2356">
        <v>1</v>
      </c>
      <c r="P2356">
        <v>1745</v>
      </c>
      <c r="Q2356">
        <v>437</v>
      </c>
      <c r="R2356">
        <v>7</v>
      </c>
      <c r="S2356">
        <v>430</v>
      </c>
      <c r="T2356">
        <v>0</v>
      </c>
      <c r="U2356">
        <v>871</v>
      </c>
      <c r="V2356" s="1">
        <f t="shared" si="108"/>
        <v>0.12790000000000001</v>
      </c>
      <c r="W2356" s="1">
        <f t="shared" si="109"/>
        <v>0</v>
      </c>
      <c r="X2356" s="1">
        <f t="shared" si="110"/>
        <v>3.3999999999999998E-3</v>
      </c>
    </row>
    <row r="2357" spans="1:24" x14ac:dyDescent="0.25">
      <c r="A2357">
        <v>2008</v>
      </c>
      <c r="B2357">
        <v>5</v>
      </c>
      <c r="C2357" t="s">
        <v>43</v>
      </c>
      <c r="D2357" t="str">
        <f>_xlfn.XLOOKUP(C2357,'Carrier Name Rename'!A:A,'Carrier Name Rename'!B:B)</f>
        <v>Southwest Airlines Co.</v>
      </c>
      <c r="E2357" t="s">
        <v>23</v>
      </c>
      <c r="F2357" t="s">
        <v>24</v>
      </c>
      <c r="G2357">
        <v>1473</v>
      </c>
      <c r="H2357">
        <v>279</v>
      </c>
      <c r="I2357">
        <v>52.33</v>
      </c>
      <c r="J2357">
        <v>0.52</v>
      </c>
      <c r="K2357">
        <v>68.23</v>
      </c>
      <c r="L2357">
        <v>0.53</v>
      </c>
      <c r="M2357">
        <v>157.38999999999999</v>
      </c>
      <c r="N2357">
        <v>1</v>
      </c>
      <c r="O2357">
        <v>0</v>
      </c>
      <c r="P2357">
        <v>10305</v>
      </c>
      <c r="Q2357">
        <v>2075</v>
      </c>
      <c r="R2357">
        <v>15</v>
      </c>
      <c r="S2357">
        <v>1900</v>
      </c>
      <c r="T2357">
        <v>11</v>
      </c>
      <c r="U2357">
        <v>6304</v>
      </c>
      <c r="V2357" s="1">
        <f t="shared" si="108"/>
        <v>0.18940000000000001</v>
      </c>
      <c r="W2357" s="1">
        <f t="shared" si="109"/>
        <v>6.9999999999999999E-4</v>
      </c>
      <c r="X2357" s="1">
        <f t="shared" si="110"/>
        <v>0</v>
      </c>
    </row>
    <row r="2358" spans="1:24" x14ac:dyDescent="0.25">
      <c r="A2358">
        <v>2008</v>
      </c>
      <c r="B2358">
        <v>5</v>
      </c>
      <c r="C2358" t="s">
        <v>69</v>
      </c>
      <c r="D2358" t="str">
        <f>_xlfn.XLOOKUP(C2358,'Carrier Name Rename'!A:A,'Carrier Name Rename'!B:B)</f>
        <v>ExpressJet Airlines Inc.</v>
      </c>
      <c r="E2358" t="s">
        <v>23</v>
      </c>
      <c r="F2358" t="s">
        <v>24</v>
      </c>
      <c r="G2358">
        <v>91</v>
      </c>
      <c r="H2358">
        <v>18</v>
      </c>
      <c r="I2358">
        <v>5</v>
      </c>
      <c r="J2358">
        <v>0</v>
      </c>
      <c r="K2358">
        <v>12.3</v>
      </c>
      <c r="L2358">
        <v>0</v>
      </c>
      <c r="M2358">
        <v>0.69</v>
      </c>
      <c r="N2358">
        <v>0</v>
      </c>
      <c r="O2358">
        <v>0</v>
      </c>
      <c r="P2358">
        <v>646</v>
      </c>
      <c r="Q2358">
        <v>294</v>
      </c>
      <c r="R2358">
        <v>0</v>
      </c>
      <c r="S2358">
        <v>334</v>
      </c>
      <c r="T2358">
        <v>0</v>
      </c>
      <c r="U2358">
        <v>18</v>
      </c>
      <c r="V2358" s="1">
        <f t="shared" si="108"/>
        <v>0.1978</v>
      </c>
      <c r="W2358" s="1">
        <f t="shared" si="109"/>
        <v>0</v>
      </c>
      <c r="X2358" s="1">
        <f t="shared" si="110"/>
        <v>0</v>
      </c>
    </row>
    <row r="2359" spans="1:24" x14ac:dyDescent="0.25">
      <c r="A2359">
        <v>2008</v>
      </c>
      <c r="B2359">
        <v>4</v>
      </c>
      <c r="C2359" t="s">
        <v>31</v>
      </c>
      <c r="D2359" t="str">
        <f>_xlfn.XLOOKUP(C2359,'Carrier Name Rename'!A:A,'Carrier Name Rename'!B:B)</f>
        <v>American Airlines Inc.</v>
      </c>
      <c r="E2359" t="s">
        <v>23</v>
      </c>
      <c r="F2359" t="s">
        <v>24</v>
      </c>
      <c r="G2359">
        <v>467</v>
      </c>
      <c r="H2359">
        <v>186</v>
      </c>
      <c r="I2359">
        <v>71.760000000000005</v>
      </c>
      <c r="J2359">
        <v>1.48</v>
      </c>
      <c r="K2359">
        <v>80.430000000000007</v>
      </c>
      <c r="L2359">
        <v>0</v>
      </c>
      <c r="M2359">
        <v>32.33</v>
      </c>
      <c r="N2359">
        <v>19</v>
      </c>
      <c r="O2359">
        <v>0</v>
      </c>
      <c r="P2359">
        <v>9148</v>
      </c>
      <c r="Q2359">
        <v>3698</v>
      </c>
      <c r="R2359">
        <v>103</v>
      </c>
      <c r="S2359">
        <v>3100</v>
      </c>
      <c r="T2359">
        <v>0</v>
      </c>
      <c r="U2359">
        <v>2247</v>
      </c>
      <c r="V2359" s="1">
        <f t="shared" si="108"/>
        <v>0.39829999999999999</v>
      </c>
      <c r="W2359" s="1">
        <f t="shared" si="109"/>
        <v>4.07E-2</v>
      </c>
      <c r="X2359" s="1">
        <f t="shared" si="110"/>
        <v>0</v>
      </c>
    </row>
    <row r="2360" spans="1:24" x14ac:dyDescent="0.25">
      <c r="A2360">
        <v>2008</v>
      </c>
      <c r="B2360">
        <v>4</v>
      </c>
      <c r="C2360" t="s">
        <v>33</v>
      </c>
      <c r="D2360" t="str">
        <f>_xlfn.XLOOKUP(C2360,'Carrier Name Rename'!A:A,'Carrier Name Rename'!B:B)</f>
        <v>Alaska Airlines Inc.</v>
      </c>
      <c r="E2360" t="s">
        <v>23</v>
      </c>
      <c r="F2360" t="s">
        <v>24</v>
      </c>
      <c r="G2360">
        <v>3869</v>
      </c>
      <c r="H2360">
        <v>683</v>
      </c>
      <c r="I2360">
        <v>173.73</v>
      </c>
      <c r="J2360">
        <v>4.1900000000000004</v>
      </c>
      <c r="K2360">
        <v>295.14999999999998</v>
      </c>
      <c r="L2360">
        <v>2.61</v>
      </c>
      <c r="M2360">
        <v>207.32</v>
      </c>
      <c r="N2360">
        <v>45</v>
      </c>
      <c r="O2360">
        <v>2</v>
      </c>
      <c r="P2360">
        <v>37294</v>
      </c>
      <c r="Q2360">
        <v>12944</v>
      </c>
      <c r="R2360">
        <v>502</v>
      </c>
      <c r="S2360">
        <v>8495</v>
      </c>
      <c r="T2360">
        <v>59</v>
      </c>
      <c r="U2360">
        <v>15294</v>
      </c>
      <c r="V2360" s="1">
        <f t="shared" si="108"/>
        <v>0.17649999999999999</v>
      </c>
      <c r="W2360" s="1">
        <f t="shared" si="109"/>
        <v>1.1599999999999999E-2</v>
      </c>
      <c r="X2360" s="1">
        <f t="shared" si="110"/>
        <v>5.0000000000000001E-4</v>
      </c>
    </row>
    <row r="2361" spans="1:24" x14ac:dyDescent="0.25">
      <c r="A2361">
        <v>2008</v>
      </c>
      <c r="B2361">
        <v>4</v>
      </c>
      <c r="C2361" t="s">
        <v>35</v>
      </c>
      <c r="D2361" t="str">
        <f>_xlfn.XLOOKUP(C2361,'Carrier Name Rename'!A:A,'Carrier Name Rename'!B:B)</f>
        <v>JetBlue Airways</v>
      </c>
      <c r="E2361" t="s">
        <v>23</v>
      </c>
      <c r="F2361" t="s">
        <v>24</v>
      </c>
      <c r="G2361">
        <v>60</v>
      </c>
      <c r="H2361">
        <v>6</v>
      </c>
      <c r="I2361">
        <v>2.1</v>
      </c>
      <c r="J2361">
        <v>0</v>
      </c>
      <c r="K2361">
        <v>1.83</v>
      </c>
      <c r="L2361">
        <v>0</v>
      </c>
      <c r="M2361">
        <v>2.0699999999999998</v>
      </c>
      <c r="N2361">
        <v>0</v>
      </c>
      <c r="O2361">
        <v>0</v>
      </c>
      <c r="P2361">
        <v>312</v>
      </c>
      <c r="Q2361">
        <v>154</v>
      </c>
      <c r="R2361">
        <v>0</v>
      </c>
      <c r="S2361">
        <v>64</v>
      </c>
      <c r="T2361">
        <v>0</v>
      </c>
      <c r="U2361">
        <v>94</v>
      </c>
      <c r="V2361" s="1">
        <f t="shared" si="108"/>
        <v>0.1</v>
      </c>
      <c r="W2361" s="1">
        <f t="shared" si="109"/>
        <v>0</v>
      </c>
      <c r="X2361" s="1">
        <f t="shared" si="110"/>
        <v>0</v>
      </c>
    </row>
    <row r="2362" spans="1:24" x14ac:dyDescent="0.25">
      <c r="A2362">
        <v>2008</v>
      </c>
      <c r="B2362">
        <v>4</v>
      </c>
      <c r="C2362" t="s">
        <v>65</v>
      </c>
      <c r="D2362" t="str">
        <f>_xlfn.XLOOKUP(C2362,'Carrier Name Rename'!A:A,'Carrier Name Rename'!B:B)</f>
        <v>Continental Air Lines Inc.</v>
      </c>
      <c r="E2362" t="s">
        <v>23</v>
      </c>
      <c r="F2362" t="s">
        <v>24</v>
      </c>
      <c r="G2362">
        <v>366</v>
      </c>
      <c r="H2362">
        <v>127</v>
      </c>
      <c r="I2362">
        <v>45.1</v>
      </c>
      <c r="J2362">
        <v>2.52</v>
      </c>
      <c r="K2362">
        <v>50.11</v>
      </c>
      <c r="L2362">
        <v>1.87</v>
      </c>
      <c r="M2362">
        <v>27.4</v>
      </c>
      <c r="N2362">
        <v>0</v>
      </c>
      <c r="O2362">
        <v>0</v>
      </c>
      <c r="P2362">
        <v>5272</v>
      </c>
      <c r="Q2362">
        <v>1836</v>
      </c>
      <c r="R2362">
        <v>112</v>
      </c>
      <c r="S2362">
        <v>1766</v>
      </c>
      <c r="T2362">
        <v>44</v>
      </c>
      <c r="U2362">
        <v>1514</v>
      </c>
      <c r="V2362" s="1">
        <f t="shared" si="108"/>
        <v>0.34699999999999998</v>
      </c>
      <c r="W2362" s="1">
        <f t="shared" si="109"/>
        <v>0</v>
      </c>
      <c r="X2362" s="1">
        <f t="shared" si="110"/>
        <v>0</v>
      </c>
    </row>
    <row r="2363" spans="1:24" x14ac:dyDescent="0.25">
      <c r="A2363">
        <v>2008</v>
      </c>
      <c r="B2363">
        <v>4</v>
      </c>
      <c r="C2363" t="s">
        <v>37</v>
      </c>
      <c r="D2363" t="str">
        <f>_xlfn.XLOOKUP(C2363,'Carrier Name Rename'!A:A,'Carrier Name Rename'!B:B)</f>
        <v>Delta Air Lines Inc.</v>
      </c>
      <c r="E2363" t="s">
        <v>23</v>
      </c>
      <c r="F2363" t="s">
        <v>24</v>
      </c>
      <c r="G2363">
        <v>393</v>
      </c>
      <c r="H2363">
        <v>77</v>
      </c>
      <c r="I2363">
        <v>19.36</v>
      </c>
      <c r="J2363">
        <v>1.5</v>
      </c>
      <c r="K2363">
        <v>37.82</v>
      </c>
      <c r="L2363">
        <v>0</v>
      </c>
      <c r="M2363">
        <v>18.32</v>
      </c>
      <c r="N2363">
        <v>0</v>
      </c>
      <c r="O2363">
        <v>0</v>
      </c>
      <c r="P2363">
        <v>3669</v>
      </c>
      <c r="Q2363">
        <v>1319</v>
      </c>
      <c r="R2363">
        <v>145</v>
      </c>
      <c r="S2363">
        <v>1111</v>
      </c>
      <c r="T2363">
        <v>0</v>
      </c>
      <c r="U2363">
        <v>1094</v>
      </c>
      <c r="V2363" s="1">
        <f t="shared" si="108"/>
        <v>0.19589999999999999</v>
      </c>
      <c r="W2363" s="1">
        <f t="shared" si="109"/>
        <v>0</v>
      </c>
      <c r="X2363" s="1">
        <f t="shared" si="110"/>
        <v>0</v>
      </c>
    </row>
    <row r="2364" spans="1:24" x14ac:dyDescent="0.25">
      <c r="A2364">
        <v>2008</v>
      </c>
      <c r="B2364">
        <v>4</v>
      </c>
      <c r="C2364" t="s">
        <v>39</v>
      </c>
      <c r="D2364" t="str">
        <f>_xlfn.XLOOKUP(C2364,'Carrier Name Rename'!A:A,'Carrier Name Rename'!B:B)</f>
        <v>Frontier Airlines Inc.</v>
      </c>
      <c r="E2364" t="s">
        <v>23</v>
      </c>
      <c r="F2364" t="s">
        <v>24</v>
      </c>
      <c r="G2364">
        <v>106</v>
      </c>
      <c r="H2364">
        <v>20</v>
      </c>
      <c r="I2364">
        <v>10.6</v>
      </c>
      <c r="J2364">
        <v>0</v>
      </c>
      <c r="K2364">
        <v>7.8</v>
      </c>
      <c r="L2364">
        <v>0</v>
      </c>
      <c r="M2364">
        <v>1.61</v>
      </c>
      <c r="N2364">
        <v>0</v>
      </c>
      <c r="O2364">
        <v>0</v>
      </c>
      <c r="P2364">
        <v>709</v>
      </c>
      <c r="Q2364">
        <v>372</v>
      </c>
      <c r="R2364">
        <v>0</v>
      </c>
      <c r="S2364">
        <v>265</v>
      </c>
      <c r="T2364">
        <v>0</v>
      </c>
      <c r="U2364">
        <v>72</v>
      </c>
      <c r="V2364" s="1">
        <f t="shared" si="108"/>
        <v>0.18870000000000001</v>
      </c>
      <c r="W2364" s="1">
        <f t="shared" si="109"/>
        <v>0</v>
      </c>
      <c r="X2364" s="1">
        <f t="shared" si="110"/>
        <v>0</v>
      </c>
    </row>
    <row r="2365" spans="1:24" x14ac:dyDescent="0.25">
      <c r="A2365">
        <v>2008</v>
      </c>
      <c r="B2365">
        <v>4</v>
      </c>
      <c r="C2365" t="s">
        <v>21</v>
      </c>
      <c r="D2365" t="str">
        <f>_xlfn.XLOOKUP(C2365,'Carrier Name Rename'!A:A,'Carrier Name Rename'!B:B)</f>
        <v>Hawaiian Airlines Inc.</v>
      </c>
      <c r="E2365" t="s">
        <v>23</v>
      </c>
      <c r="F2365" t="s">
        <v>24</v>
      </c>
      <c r="G2365">
        <v>90</v>
      </c>
      <c r="H2365">
        <v>27</v>
      </c>
      <c r="I2365">
        <v>25.67</v>
      </c>
      <c r="J2365">
        <v>0</v>
      </c>
      <c r="K2365">
        <v>0</v>
      </c>
      <c r="L2365">
        <v>0</v>
      </c>
      <c r="M2365">
        <v>1.33</v>
      </c>
      <c r="N2365">
        <v>0</v>
      </c>
      <c r="O2365">
        <v>2</v>
      </c>
      <c r="P2365">
        <v>1279</v>
      </c>
      <c r="Q2365">
        <v>1254</v>
      </c>
      <c r="R2365">
        <v>0</v>
      </c>
      <c r="S2365">
        <v>0</v>
      </c>
      <c r="T2365">
        <v>0</v>
      </c>
      <c r="U2365">
        <v>25</v>
      </c>
      <c r="V2365" s="1">
        <f t="shared" si="108"/>
        <v>0.3</v>
      </c>
      <c r="W2365" s="1">
        <f t="shared" si="109"/>
        <v>0</v>
      </c>
      <c r="X2365" s="1">
        <f t="shared" si="110"/>
        <v>2.2200000000000001E-2</v>
      </c>
    </row>
    <row r="2366" spans="1:24" x14ac:dyDescent="0.25">
      <c r="A2366">
        <v>2008</v>
      </c>
      <c r="B2366">
        <v>4</v>
      </c>
      <c r="C2366" t="s">
        <v>67</v>
      </c>
      <c r="D2366" t="str">
        <f>_xlfn.XLOOKUP(C2366,'Carrier Name Rename'!A:A,'Carrier Name Rename'!B:B)</f>
        <v>Northwest Airlines Inc.</v>
      </c>
      <c r="E2366" t="s">
        <v>23</v>
      </c>
      <c r="F2366" t="s">
        <v>24</v>
      </c>
      <c r="G2366">
        <v>359</v>
      </c>
      <c r="H2366">
        <v>102</v>
      </c>
      <c r="I2366">
        <v>39.86</v>
      </c>
      <c r="J2366">
        <v>1</v>
      </c>
      <c r="K2366">
        <v>49.8</v>
      </c>
      <c r="L2366">
        <v>0</v>
      </c>
      <c r="M2366">
        <v>11.34</v>
      </c>
      <c r="N2366">
        <v>0</v>
      </c>
      <c r="O2366">
        <v>0</v>
      </c>
      <c r="P2366">
        <v>4401</v>
      </c>
      <c r="Q2366">
        <v>2305</v>
      </c>
      <c r="R2366">
        <v>87</v>
      </c>
      <c r="S2366">
        <v>1441</v>
      </c>
      <c r="T2366">
        <v>0</v>
      </c>
      <c r="U2366">
        <v>568</v>
      </c>
      <c r="V2366" s="1">
        <f t="shared" si="108"/>
        <v>0.28410000000000002</v>
      </c>
      <c r="W2366" s="1">
        <f t="shared" si="109"/>
        <v>0</v>
      </c>
      <c r="X2366" s="1">
        <f t="shared" si="110"/>
        <v>0</v>
      </c>
    </row>
    <row r="2367" spans="1:24" x14ac:dyDescent="0.25">
      <c r="A2367">
        <v>2008</v>
      </c>
      <c r="B2367">
        <v>4</v>
      </c>
      <c r="C2367" t="s">
        <v>27</v>
      </c>
      <c r="D2367" t="str">
        <f>_xlfn.XLOOKUP(C2367,'Carrier Name Rename'!A:A,'Carrier Name Rename'!B:B)</f>
        <v>SkyWest Airlines Inc.</v>
      </c>
      <c r="E2367" t="s">
        <v>23</v>
      </c>
      <c r="F2367" t="s">
        <v>24</v>
      </c>
      <c r="G2367">
        <v>459</v>
      </c>
      <c r="H2367">
        <v>38</v>
      </c>
      <c r="I2367">
        <v>19.02</v>
      </c>
      <c r="J2367">
        <v>2.79</v>
      </c>
      <c r="K2367">
        <v>11.01</v>
      </c>
      <c r="L2367">
        <v>0</v>
      </c>
      <c r="M2367">
        <v>5.17</v>
      </c>
      <c r="N2367">
        <v>3</v>
      </c>
      <c r="O2367">
        <v>1</v>
      </c>
      <c r="P2367">
        <v>1403</v>
      </c>
      <c r="Q2367">
        <v>585</v>
      </c>
      <c r="R2367">
        <v>347</v>
      </c>
      <c r="S2367">
        <v>271</v>
      </c>
      <c r="T2367">
        <v>0</v>
      </c>
      <c r="U2367">
        <v>200</v>
      </c>
      <c r="V2367" s="1">
        <f t="shared" si="108"/>
        <v>8.2799999999999999E-2</v>
      </c>
      <c r="W2367" s="1">
        <f t="shared" si="109"/>
        <v>6.4999999999999997E-3</v>
      </c>
      <c r="X2367" s="1">
        <f t="shared" si="110"/>
        <v>2.2000000000000001E-3</v>
      </c>
    </row>
    <row r="2368" spans="1:24" x14ac:dyDescent="0.25">
      <c r="A2368">
        <v>2008</v>
      </c>
      <c r="B2368">
        <v>4</v>
      </c>
      <c r="C2368" t="s">
        <v>41</v>
      </c>
      <c r="D2368" t="str">
        <f>_xlfn.XLOOKUP(C2368,'Carrier Name Rename'!A:A,'Carrier Name Rename'!B:B)</f>
        <v>United Air Lines Inc.</v>
      </c>
      <c r="E2368" t="s">
        <v>23</v>
      </c>
      <c r="F2368" t="s">
        <v>24</v>
      </c>
      <c r="G2368">
        <v>738</v>
      </c>
      <c r="H2368">
        <v>218</v>
      </c>
      <c r="I2368">
        <v>66.599999999999994</v>
      </c>
      <c r="J2368">
        <v>3.18</v>
      </c>
      <c r="K2368">
        <v>76.95</v>
      </c>
      <c r="L2368">
        <v>0</v>
      </c>
      <c r="M2368">
        <v>71.27</v>
      </c>
      <c r="N2368">
        <v>6</v>
      </c>
      <c r="O2368">
        <v>1</v>
      </c>
      <c r="P2368">
        <v>10280</v>
      </c>
      <c r="Q2368">
        <v>3454</v>
      </c>
      <c r="R2368">
        <v>350</v>
      </c>
      <c r="S2368">
        <v>2406</v>
      </c>
      <c r="T2368">
        <v>0</v>
      </c>
      <c r="U2368">
        <v>4070</v>
      </c>
      <c r="V2368" s="1">
        <f t="shared" si="108"/>
        <v>0.2954</v>
      </c>
      <c r="W2368" s="1">
        <f t="shared" si="109"/>
        <v>8.0999999999999996E-3</v>
      </c>
      <c r="X2368" s="1">
        <f t="shared" si="110"/>
        <v>1.4E-3</v>
      </c>
    </row>
    <row r="2369" spans="1:24" x14ac:dyDescent="0.25">
      <c r="A2369">
        <v>2008</v>
      </c>
      <c r="B2369">
        <v>4</v>
      </c>
      <c r="C2369" t="s">
        <v>61</v>
      </c>
      <c r="D2369" t="str">
        <f>_xlfn.XLOOKUP(C2369,'Carrier Name Rename'!A:A,'Carrier Name Rename'!B:B)</f>
        <v>US Airways Inc.</v>
      </c>
      <c r="E2369" t="s">
        <v>23</v>
      </c>
      <c r="F2369" t="s">
        <v>24</v>
      </c>
      <c r="G2369">
        <v>278</v>
      </c>
      <c r="H2369">
        <v>66</v>
      </c>
      <c r="I2369">
        <v>25.16</v>
      </c>
      <c r="J2369">
        <v>0</v>
      </c>
      <c r="K2369">
        <v>28.21</v>
      </c>
      <c r="L2369">
        <v>0</v>
      </c>
      <c r="M2369">
        <v>12.62</v>
      </c>
      <c r="N2369">
        <v>0</v>
      </c>
      <c r="O2369">
        <v>1</v>
      </c>
      <c r="P2369">
        <v>3279</v>
      </c>
      <c r="Q2369">
        <v>1016</v>
      </c>
      <c r="R2369">
        <v>0</v>
      </c>
      <c r="S2369">
        <v>997</v>
      </c>
      <c r="T2369">
        <v>0</v>
      </c>
      <c r="U2369">
        <v>1266</v>
      </c>
      <c r="V2369" s="1">
        <f t="shared" si="108"/>
        <v>0.2374</v>
      </c>
      <c r="W2369" s="1">
        <f t="shared" si="109"/>
        <v>0</v>
      </c>
      <c r="X2369" s="1">
        <f t="shared" si="110"/>
        <v>3.5999999999999999E-3</v>
      </c>
    </row>
    <row r="2370" spans="1:24" x14ac:dyDescent="0.25">
      <c r="A2370">
        <v>2008</v>
      </c>
      <c r="B2370">
        <v>4</v>
      </c>
      <c r="C2370" t="s">
        <v>43</v>
      </c>
      <c r="D2370" t="str">
        <f>_xlfn.XLOOKUP(C2370,'Carrier Name Rename'!A:A,'Carrier Name Rename'!B:B)</f>
        <v>Southwest Airlines Co.</v>
      </c>
      <c r="E2370" t="s">
        <v>23</v>
      </c>
      <c r="F2370" t="s">
        <v>24</v>
      </c>
      <c r="G2370">
        <v>1376</v>
      </c>
      <c r="H2370">
        <v>233</v>
      </c>
      <c r="I2370">
        <v>61.68</v>
      </c>
      <c r="J2370">
        <v>0.92</v>
      </c>
      <c r="K2370">
        <v>42.04</v>
      </c>
      <c r="L2370">
        <v>1.1599999999999999</v>
      </c>
      <c r="M2370">
        <v>127.2</v>
      </c>
      <c r="N2370">
        <v>1</v>
      </c>
      <c r="O2370">
        <v>0</v>
      </c>
      <c r="P2370">
        <v>9767</v>
      </c>
      <c r="Q2370">
        <v>2524</v>
      </c>
      <c r="R2370">
        <v>281</v>
      </c>
      <c r="S2370">
        <v>1121</v>
      </c>
      <c r="T2370">
        <v>33</v>
      </c>
      <c r="U2370">
        <v>5808</v>
      </c>
      <c r="V2370" s="1">
        <f t="shared" si="108"/>
        <v>0.16930000000000001</v>
      </c>
      <c r="W2370" s="1">
        <f t="shared" si="109"/>
        <v>6.9999999999999999E-4</v>
      </c>
      <c r="X2370" s="1">
        <f t="shared" si="110"/>
        <v>0</v>
      </c>
    </row>
    <row r="2371" spans="1:24" x14ac:dyDescent="0.25">
      <c r="A2371">
        <v>2008</v>
      </c>
      <c r="B2371">
        <v>4</v>
      </c>
      <c r="C2371" t="s">
        <v>69</v>
      </c>
      <c r="D2371" t="str">
        <f>_xlfn.XLOOKUP(C2371,'Carrier Name Rename'!A:A,'Carrier Name Rename'!B:B)</f>
        <v>ExpressJet Airlines Inc.</v>
      </c>
      <c r="E2371" t="s">
        <v>23</v>
      </c>
      <c r="F2371" t="s">
        <v>24</v>
      </c>
      <c r="G2371">
        <v>90</v>
      </c>
      <c r="H2371">
        <v>29</v>
      </c>
      <c r="I2371">
        <v>11.73</v>
      </c>
      <c r="J2371">
        <v>0</v>
      </c>
      <c r="K2371">
        <v>16.93</v>
      </c>
      <c r="L2371">
        <v>0</v>
      </c>
      <c r="M2371">
        <v>0.34</v>
      </c>
      <c r="N2371">
        <v>0</v>
      </c>
      <c r="O2371">
        <v>0</v>
      </c>
      <c r="P2371">
        <v>870</v>
      </c>
      <c r="Q2371">
        <v>432</v>
      </c>
      <c r="R2371">
        <v>0</v>
      </c>
      <c r="S2371">
        <v>420</v>
      </c>
      <c r="T2371">
        <v>0</v>
      </c>
      <c r="U2371">
        <v>18</v>
      </c>
      <c r="V2371" s="1">
        <f t="shared" ref="V2371:V2434" si="111">ROUND(H2371/G2371,4)</f>
        <v>0.32219999999999999</v>
      </c>
      <c r="W2371" s="1">
        <f t="shared" ref="W2371:W2434" si="112">ROUND(N2371/G2371,4)</f>
        <v>0</v>
      </c>
      <c r="X2371" s="1">
        <f t="shared" ref="X2371:X2434" si="113">ROUND(O2371/G2371,4)</f>
        <v>0</v>
      </c>
    </row>
    <row r="2372" spans="1:24" x14ac:dyDescent="0.25">
      <c r="A2372">
        <v>2008</v>
      </c>
      <c r="B2372">
        <v>3</v>
      </c>
      <c r="C2372" t="s">
        <v>31</v>
      </c>
      <c r="D2372" t="str">
        <f>_xlfn.XLOOKUP(C2372,'Carrier Name Rename'!A:A,'Carrier Name Rename'!B:B)</f>
        <v>American Airlines Inc.</v>
      </c>
      <c r="E2372" t="s">
        <v>23</v>
      </c>
      <c r="F2372" t="s">
        <v>24</v>
      </c>
      <c r="G2372">
        <v>429</v>
      </c>
      <c r="H2372">
        <v>151</v>
      </c>
      <c r="I2372">
        <v>44.97</v>
      </c>
      <c r="J2372">
        <v>4.37</v>
      </c>
      <c r="K2372">
        <v>66.86</v>
      </c>
      <c r="L2372">
        <v>0</v>
      </c>
      <c r="M2372">
        <v>34.799999999999997</v>
      </c>
      <c r="N2372">
        <v>23</v>
      </c>
      <c r="O2372">
        <v>1</v>
      </c>
      <c r="P2372">
        <v>8742</v>
      </c>
      <c r="Q2372">
        <v>2684</v>
      </c>
      <c r="R2372">
        <v>647</v>
      </c>
      <c r="S2372">
        <v>2770</v>
      </c>
      <c r="T2372">
        <v>0</v>
      </c>
      <c r="U2372">
        <v>2641</v>
      </c>
      <c r="V2372" s="1">
        <f t="shared" si="111"/>
        <v>0.35199999999999998</v>
      </c>
      <c r="W2372" s="1">
        <f t="shared" si="112"/>
        <v>5.3600000000000002E-2</v>
      </c>
      <c r="X2372" s="1">
        <f t="shared" si="113"/>
        <v>2.3E-3</v>
      </c>
    </row>
    <row r="2373" spans="1:24" x14ac:dyDescent="0.25">
      <c r="A2373">
        <v>2008</v>
      </c>
      <c r="B2373">
        <v>3</v>
      </c>
      <c r="C2373" t="s">
        <v>33</v>
      </c>
      <c r="D2373" t="str">
        <f>_xlfn.XLOOKUP(C2373,'Carrier Name Rename'!A:A,'Carrier Name Rename'!B:B)</f>
        <v>Alaska Airlines Inc.</v>
      </c>
      <c r="E2373" t="s">
        <v>23</v>
      </c>
      <c r="F2373" t="s">
        <v>24</v>
      </c>
      <c r="G2373">
        <v>3878</v>
      </c>
      <c r="H2373">
        <v>949</v>
      </c>
      <c r="I2373">
        <v>196.39</v>
      </c>
      <c r="J2373">
        <v>7.51</v>
      </c>
      <c r="K2373">
        <v>437.96</v>
      </c>
      <c r="L2373">
        <v>6.29</v>
      </c>
      <c r="M2373">
        <v>300.85000000000002</v>
      </c>
      <c r="N2373">
        <v>23</v>
      </c>
      <c r="O2373">
        <v>7</v>
      </c>
      <c r="P2373">
        <v>46427</v>
      </c>
      <c r="Q2373">
        <v>12862</v>
      </c>
      <c r="R2373">
        <v>993</v>
      </c>
      <c r="S2373">
        <v>12624</v>
      </c>
      <c r="T2373">
        <v>267</v>
      </c>
      <c r="U2373">
        <v>19681</v>
      </c>
      <c r="V2373" s="1">
        <f t="shared" si="111"/>
        <v>0.2447</v>
      </c>
      <c r="W2373" s="1">
        <f t="shared" si="112"/>
        <v>5.8999999999999999E-3</v>
      </c>
      <c r="X2373" s="1">
        <f t="shared" si="113"/>
        <v>1.8E-3</v>
      </c>
    </row>
    <row r="2374" spans="1:24" x14ac:dyDescent="0.25">
      <c r="A2374">
        <v>2008</v>
      </c>
      <c r="B2374">
        <v>3</v>
      </c>
      <c r="C2374" t="s">
        <v>35</v>
      </c>
      <c r="D2374" t="str">
        <f>_xlfn.XLOOKUP(C2374,'Carrier Name Rename'!A:A,'Carrier Name Rename'!B:B)</f>
        <v>JetBlue Airways</v>
      </c>
      <c r="E2374" t="s">
        <v>23</v>
      </c>
      <c r="F2374" t="s">
        <v>24</v>
      </c>
      <c r="G2374">
        <v>62</v>
      </c>
      <c r="H2374">
        <v>8</v>
      </c>
      <c r="I2374">
        <v>3.65</v>
      </c>
      <c r="J2374">
        <v>0</v>
      </c>
      <c r="K2374">
        <v>2.68</v>
      </c>
      <c r="L2374">
        <v>0</v>
      </c>
      <c r="M2374">
        <v>1.68</v>
      </c>
      <c r="N2374">
        <v>0</v>
      </c>
      <c r="O2374">
        <v>0</v>
      </c>
      <c r="P2374">
        <v>237</v>
      </c>
      <c r="Q2374">
        <v>117</v>
      </c>
      <c r="R2374">
        <v>0</v>
      </c>
      <c r="S2374">
        <v>58</v>
      </c>
      <c r="T2374">
        <v>0</v>
      </c>
      <c r="U2374">
        <v>62</v>
      </c>
      <c r="V2374" s="1">
        <f t="shared" si="111"/>
        <v>0.129</v>
      </c>
      <c r="W2374" s="1">
        <f t="shared" si="112"/>
        <v>0</v>
      </c>
      <c r="X2374" s="1">
        <f t="shared" si="113"/>
        <v>0</v>
      </c>
    </row>
    <row r="2375" spans="1:24" x14ac:dyDescent="0.25">
      <c r="A2375">
        <v>2008</v>
      </c>
      <c r="B2375">
        <v>3</v>
      </c>
      <c r="C2375" t="s">
        <v>65</v>
      </c>
      <c r="D2375" t="str">
        <f>_xlfn.XLOOKUP(C2375,'Carrier Name Rename'!A:A,'Carrier Name Rename'!B:B)</f>
        <v>Continental Air Lines Inc.</v>
      </c>
      <c r="E2375" t="s">
        <v>23</v>
      </c>
      <c r="F2375" t="s">
        <v>24</v>
      </c>
      <c r="G2375">
        <v>380</v>
      </c>
      <c r="H2375">
        <v>140</v>
      </c>
      <c r="I2375">
        <v>56.87</v>
      </c>
      <c r="J2375">
        <v>3.46</v>
      </c>
      <c r="K2375">
        <v>43.8</v>
      </c>
      <c r="L2375">
        <v>0.9</v>
      </c>
      <c r="M2375">
        <v>34.96</v>
      </c>
      <c r="N2375">
        <v>1</v>
      </c>
      <c r="O2375">
        <v>0</v>
      </c>
      <c r="P2375">
        <v>6644</v>
      </c>
      <c r="Q2375">
        <v>2752</v>
      </c>
      <c r="R2375">
        <v>199</v>
      </c>
      <c r="S2375">
        <v>1549</v>
      </c>
      <c r="T2375">
        <v>30</v>
      </c>
      <c r="U2375">
        <v>2114</v>
      </c>
      <c r="V2375" s="1">
        <f t="shared" si="111"/>
        <v>0.36840000000000001</v>
      </c>
      <c r="W2375" s="1">
        <f t="shared" si="112"/>
        <v>2.5999999999999999E-3</v>
      </c>
      <c r="X2375" s="1">
        <f t="shared" si="113"/>
        <v>0</v>
      </c>
    </row>
    <row r="2376" spans="1:24" x14ac:dyDescent="0.25">
      <c r="A2376">
        <v>2008</v>
      </c>
      <c r="B2376">
        <v>3</v>
      </c>
      <c r="C2376" t="s">
        <v>37</v>
      </c>
      <c r="D2376" t="str">
        <f>_xlfn.XLOOKUP(C2376,'Carrier Name Rename'!A:A,'Carrier Name Rename'!B:B)</f>
        <v>Delta Air Lines Inc.</v>
      </c>
      <c r="E2376" t="s">
        <v>23</v>
      </c>
      <c r="F2376" t="s">
        <v>24</v>
      </c>
      <c r="G2376">
        <v>384</v>
      </c>
      <c r="H2376">
        <v>107</v>
      </c>
      <c r="I2376">
        <v>27.17</v>
      </c>
      <c r="J2376">
        <v>5.05</v>
      </c>
      <c r="K2376">
        <v>48</v>
      </c>
      <c r="L2376">
        <v>0</v>
      </c>
      <c r="M2376">
        <v>26.77</v>
      </c>
      <c r="N2376">
        <v>2</v>
      </c>
      <c r="O2376">
        <v>2</v>
      </c>
      <c r="P2376">
        <v>4360</v>
      </c>
      <c r="Q2376">
        <v>1170</v>
      </c>
      <c r="R2376">
        <v>261</v>
      </c>
      <c r="S2376">
        <v>1373</v>
      </c>
      <c r="T2376">
        <v>0</v>
      </c>
      <c r="U2376">
        <v>1556</v>
      </c>
      <c r="V2376" s="1">
        <f t="shared" si="111"/>
        <v>0.27860000000000001</v>
      </c>
      <c r="W2376" s="1">
        <f t="shared" si="112"/>
        <v>5.1999999999999998E-3</v>
      </c>
      <c r="X2376" s="1">
        <f t="shared" si="113"/>
        <v>5.1999999999999998E-3</v>
      </c>
    </row>
    <row r="2377" spans="1:24" x14ac:dyDescent="0.25">
      <c r="A2377">
        <v>2008</v>
      </c>
      <c r="B2377">
        <v>3</v>
      </c>
      <c r="C2377" t="s">
        <v>39</v>
      </c>
      <c r="D2377" t="str">
        <f>_xlfn.XLOOKUP(C2377,'Carrier Name Rename'!A:A,'Carrier Name Rename'!B:B)</f>
        <v>Frontier Airlines Inc.</v>
      </c>
      <c r="E2377" t="s">
        <v>23</v>
      </c>
      <c r="F2377" t="s">
        <v>24</v>
      </c>
      <c r="G2377">
        <v>95</v>
      </c>
      <c r="H2377">
        <v>47</v>
      </c>
      <c r="I2377">
        <v>16.079999999999998</v>
      </c>
      <c r="J2377">
        <v>0.33</v>
      </c>
      <c r="K2377">
        <v>21.79</v>
      </c>
      <c r="L2377">
        <v>0</v>
      </c>
      <c r="M2377">
        <v>8.8000000000000007</v>
      </c>
      <c r="N2377">
        <v>0</v>
      </c>
      <c r="O2377">
        <v>0</v>
      </c>
      <c r="P2377">
        <v>1525</v>
      </c>
      <c r="Q2377">
        <v>504</v>
      </c>
      <c r="R2377">
        <v>16</v>
      </c>
      <c r="S2377">
        <v>680</v>
      </c>
      <c r="T2377">
        <v>0</v>
      </c>
      <c r="U2377">
        <v>325</v>
      </c>
      <c r="V2377" s="1">
        <f t="shared" si="111"/>
        <v>0.49469999999999997</v>
      </c>
      <c r="W2377" s="1">
        <f t="shared" si="112"/>
        <v>0</v>
      </c>
      <c r="X2377" s="1">
        <f t="shared" si="113"/>
        <v>0</v>
      </c>
    </row>
    <row r="2378" spans="1:24" x14ac:dyDescent="0.25">
      <c r="A2378">
        <v>2008</v>
      </c>
      <c r="B2378">
        <v>3</v>
      </c>
      <c r="C2378" t="s">
        <v>21</v>
      </c>
      <c r="D2378" t="str">
        <f>_xlfn.XLOOKUP(C2378,'Carrier Name Rename'!A:A,'Carrier Name Rename'!B:B)</f>
        <v>Hawaiian Airlines Inc.</v>
      </c>
      <c r="E2378" t="s">
        <v>23</v>
      </c>
      <c r="F2378" t="s">
        <v>24</v>
      </c>
      <c r="G2378">
        <v>93</v>
      </c>
      <c r="H2378">
        <v>12</v>
      </c>
      <c r="I2378">
        <v>11.03</v>
      </c>
      <c r="J2378">
        <v>0</v>
      </c>
      <c r="K2378">
        <v>0</v>
      </c>
      <c r="L2378">
        <v>0</v>
      </c>
      <c r="M2378">
        <v>0.97</v>
      </c>
      <c r="N2378">
        <v>0</v>
      </c>
      <c r="O2378">
        <v>0</v>
      </c>
      <c r="P2378">
        <v>836</v>
      </c>
      <c r="Q2378">
        <v>642</v>
      </c>
      <c r="R2378">
        <v>0</v>
      </c>
      <c r="S2378">
        <v>0</v>
      </c>
      <c r="T2378">
        <v>0</v>
      </c>
      <c r="U2378">
        <v>194</v>
      </c>
      <c r="V2378" s="1">
        <f t="shared" si="111"/>
        <v>0.129</v>
      </c>
      <c r="W2378" s="1">
        <f t="shared" si="112"/>
        <v>0</v>
      </c>
      <c r="X2378" s="1">
        <f t="shared" si="113"/>
        <v>0</v>
      </c>
    </row>
    <row r="2379" spans="1:24" x14ac:dyDescent="0.25">
      <c r="A2379">
        <v>2008</v>
      </c>
      <c r="B2379">
        <v>3</v>
      </c>
      <c r="C2379" t="s">
        <v>67</v>
      </c>
      <c r="D2379" t="str">
        <f>_xlfn.XLOOKUP(C2379,'Carrier Name Rename'!A:A,'Carrier Name Rename'!B:B)</f>
        <v>Northwest Airlines Inc.</v>
      </c>
      <c r="E2379" t="s">
        <v>23</v>
      </c>
      <c r="F2379" t="s">
        <v>24</v>
      </c>
      <c r="G2379">
        <v>367</v>
      </c>
      <c r="H2379">
        <v>119</v>
      </c>
      <c r="I2379">
        <v>44.74</v>
      </c>
      <c r="J2379">
        <v>1.17</v>
      </c>
      <c r="K2379">
        <v>58.1</v>
      </c>
      <c r="L2379">
        <v>0.28999999999999998</v>
      </c>
      <c r="M2379">
        <v>14.7</v>
      </c>
      <c r="N2379">
        <v>1</v>
      </c>
      <c r="O2379">
        <v>0</v>
      </c>
      <c r="P2379">
        <v>6144</v>
      </c>
      <c r="Q2379">
        <v>3617</v>
      </c>
      <c r="R2379">
        <v>50</v>
      </c>
      <c r="S2379">
        <v>1812</v>
      </c>
      <c r="T2379">
        <v>8</v>
      </c>
      <c r="U2379">
        <v>657</v>
      </c>
      <c r="V2379" s="1">
        <f t="shared" si="111"/>
        <v>0.32429999999999998</v>
      </c>
      <c r="W2379" s="1">
        <f t="shared" si="112"/>
        <v>2.7000000000000001E-3</v>
      </c>
      <c r="X2379" s="1">
        <f t="shared" si="113"/>
        <v>0</v>
      </c>
    </row>
    <row r="2380" spans="1:24" x14ac:dyDescent="0.25">
      <c r="A2380">
        <v>2008</v>
      </c>
      <c r="B2380">
        <v>3</v>
      </c>
      <c r="C2380" t="s">
        <v>27</v>
      </c>
      <c r="D2380" t="str">
        <f>_xlfn.XLOOKUP(C2380,'Carrier Name Rename'!A:A,'Carrier Name Rename'!B:B)</f>
        <v>SkyWest Airlines Inc.</v>
      </c>
      <c r="E2380" t="s">
        <v>23</v>
      </c>
      <c r="F2380" t="s">
        <v>24</v>
      </c>
      <c r="G2380">
        <v>465</v>
      </c>
      <c r="H2380">
        <v>77</v>
      </c>
      <c r="I2380">
        <v>47</v>
      </c>
      <c r="J2380">
        <v>2</v>
      </c>
      <c r="K2380">
        <v>15</v>
      </c>
      <c r="L2380">
        <v>0</v>
      </c>
      <c r="M2380">
        <v>13</v>
      </c>
      <c r="N2380">
        <v>10</v>
      </c>
      <c r="O2380">
        <v>0</v>
      </c>
      <c r="P2380">
        <v>2802</v>
      </c>
      <c r="Q2380">
        <v>1917</v>
      </c>
      <c r="R2380">
        <v>144</v>
      </c>
      <c r="S2380">
        <v>358</v>
      </c>
      <c r="T2380">
        <v>0</v>
      </c>
      <c r="U2380">
        <v>383</v>
      </c>
      <c r="V2380" s="1">
        <f t="shared" si="111"/>
        <v>0.1656</v>
      </c>
      <c r="W2380" s="1">
        <f t="shared" si="112"/>
        <v>2.1499999999999998E-2</v>
      </c>
      <c r="X2380" s="1">
        <f t="shared" si="113"/>
        <v>0</v>
      </c>
    </row>
    <row r="2381" spans="1:24" x14ac:dyDescent="0.25">
      <c r="A2381">
        <v>2008</v>
      </c>
      <c r="B2381">
        <v>3</v>
      </c>
      <c r="C2381" t="s">
        <v>41</v>
      </c>
      <c r="D2381" t="str">
        <f>_xlfn.XLOOKUP(C2381,'Carrier Name Rename'!A:A,'Carrier Name Rename'!B:B)</f>
        <v>United Air Lines Inc.</v>
      </c>
      <c r="E2381" t="s">
        <v>23</v>
      </c>
      <c r="F2381" t="s">
        <v>24</v>
      </c>
      <c r="G2381">
        <v>783</v>
      </c>
      <c r="H2381">
        <v>250</v>
      </c>
      <c r="I2381">
        <v>61.59</v>
      </c>
      <c r="J2381">
        <v>2.82</v>
      </c>
      <c r="K2381">
        <v>86.36</v>
      </c>
      <c r="L2381">
        <v>1</v>
      </c>
      <c r="M2381">
        <v>98.23</v>
      </c>
      <c r="N2381">
        <v>5</v>
      </c>
      <c r="O2381">
        <v>0</v>
      </c>
      <c r="P2381">
        <v>12926</v>
      </c>
      <c r="Q2381">
        <v>3196</v>
      </c>
      <c r="R2381">
        <v>166</v>
      </c>
      <c r="S2381">
        <v>2637</v>
      </c>
      <c r="T2381">
        <v>48</v>
      </c>
      <c r="U2381">
        <v>6879</v>
      </c>
      <c r="V2381" s="1">
        <f t="shared" si="111"/>
        <v>0.31929999999999997</v>
      </c>
      <c r="W2381" s="1">
        <f t="shared" si="112"/>
        <v>6.4000000000000003E-3</v>
      </c>
      <c r="X2381" s="1">
        <f t="shared" si="113"/>
        <v>0</v>
      </c>
    </row>
    <row r="2382" spans="1:24" x14ac:dyDescent="0.25">
      <c r="A2382">
        <v>2008</v>
      </c>
      <c r="B2382">
        <v>3</v>
      </c>
      <c r="C2382" t="s">
        <v>61</v>
      </c>
      <c r="D2382" t="str">
        <f>_xlfn.XLOOKUP(C2382,'Carrier Name Rename'!A:A,'Carrier Name Rename'!B:B)</f>
        <v>US Airways Inc.</v>
      </c>
      <c r="E2382" t="s">
        <v>23</v>
      </c>
      <c r="F2382" t="s">
        <v>24</v>
      </c>
      <c r="G2382">
        <v>298</v>
      </c>
      <c r="H2382">
        <v>81</v>
      </c>
      <c r="I2382">
        <v>37.630000000000003</v>
      </c>
      <c r="J2382">
        <v>0</v>
      </c>
      <c r="K2382">
        <v>27.48</v>
      </c>
      <c r="L2382">
        <v>3.21</v>
      </c>
      <c r="M2382">
        <v>12.67</v>
      </c>
      <c r="N2382">
        <v>1</v>
      </c>
      <c r="O2382">
        <v>2</v>
      </c>
      <c r="P2382">
        <v>3450</v>
      </c>
      <c r="Q2382">
        <v>1845</v>
      </c>
      <c r="R2382">
        <v>0</v>
      </c>
      <c r="S2382">
        <v>861</v>
      </c>
      <c r="T2382">
        <v>83</v>
      </c>
      <c r="U2382">
        <v>661</v>
      </c>
      <c r="V2382" s="1">
        <f t="shared" si="111"/>
        <v>0.27179999999999999</v>
      </c>
      <c r="W2382" s="1">
        <f t="shared" si="112"/>
        <v>3.3999999999999998E-3</v>
      </c>
      <c r="X2382" s="1">
        <f t="shared" si="113"/>
        <v>6.7000000000000002E-3</v>
      </c>
    </row>
    <row r="2383" spans="1:24" x14ac:dyDescent="0.25">
      <c r="A2383">
        <v>2008</v>
      </c>
      <c r="B2383">
        <v>3</v>
      </c>
      <c r="C2383" t="s">
        <v>43</v>
      </c>
      <c r="D2383" t="str">
        <f>_xlfn.XLOOKUP(C2383,'Carrier Name Rename'!A:A,'Carrier Name Rename'!B:B)</f>
        <v>Southwest Airlines Co.</v>
      </c>
      <c r="E2383" t="s">
        <v>23</v>
      </c>
      <c r="F2383" t="s">
        <v>24</v>
      </c>
      <c r="G2383">
        <v>1403</v>
      </c>
      <c r="H2383">
        <v>400</v>
      </c>
      <c r="I2383">
        <v>73</v>
      </c>
      <c r="J2383">
        <v>0.51</v>
      </c>
      <c r="K2383">
        <v>95.74</v>
      </c>
      <c r="L2383">
        <v>1.08</v>
      </c>
      <c r="M2383">
        <v>229.67</v>
      </c>
      <c r="N2383">
        <v>3</v>
      </c>
      <c r="O2383">
        <v>2</v>
      </c>
      <c r="P2383">
        <v>16247</v>
      </c>
      <c r="Q2383">
        <v>3123</v>
      </c>
      <c r="R2383">
        <v>17</v>
      </c>
      <c r="S2383">
        <v>2821</v>
      </c>
      <c r="T2383">
        <v>24</v>
      </c>
      <c r="U2383">
        <v>10262</v>
      </c>
      <c r="V2383" s="1">
        <f t="shared" si="111"/>
        <v>0.28510000000000002</v>
      </c>
      <c r="W2383" s="1">
        <f t="shared" si="112"/>
        <v>2.0999999999999999E-3</v>
      </c>
      <c r="X2383" s="1">
        <f t="shared" si="113"/>
        <v>1.4E-3</v>
      </c>
    </row>
    <row r="2384" spans="1:24" x14ac:dyDescent="0.25">
      <c r="A2384">
        <v>2008</v>
      </c>
      <c r="B2384">
        <v>3</v>
      </c>
      <c r="C2384" t="s">
        <v>69</v>
      </c>
      <c r="D2384" t="str">
        <f>_xlfn.XLOOKUP(C2384,'Carrier Name Rename'!A:A,'Carrier Name Rename'!B:B)</f>
        <v>ExpressJet Airlines Inc.</v>
      </c>
      <c r="E2384" t="s">
        <v>23</v>
      </c>
      <c r="F2384" t="s">
        <v>24</v>
      </c>
      <c r="G2384">
        <v>92</v>
      </c>
      <c r="H2384">
        <v>16</v>
      </c>
      <c r="I2384">
        <v>10.039999999999999</v>
      </c>
      <c r="J2384">
        <v>0</v>
      </c>
      <c r="K2384">
        <v>3.52</v>
      </c>
      <c r="L2384">
        <v>0</v>
      </c>
      <c r="M2384">
        <v>2.4500000000000002</v>
      </c>
      <c r="N2384">
        <v>0</v>
      </c>
      <c r="O2384">
        <v>0</v>
      </c>
      <c r="P2384">
        <v>814</v>
      </c>
      <c r="Q2384">
        <v>522</v>
      </c>
      <c r="R2384">
        <v>0</v>
      </c>
      <c r="S2384">
        <v>106</v>
      </c>
      <c r="T2384">
        <v>0</v>
      </c>
      <c r="U2384">
        <v>186</v>
      </c>
      <c r="V2384" s="1">
        <f t="shared" si="111"/>
        <v>0.1739</v>
      </c>
      <c r="W2384" s="1">
        <f t="shared" si="112"/>
        <v>0</v>
      </c>
      <c r="X2384" s="1">
        <f t="shared" si="113"/>
        <v>0</v>
      </c>
    </row>
    <row r="2385" spans="1:24" x14ac:dyDescent="0.25">
      <c r="A2385">
        <v>2008</v>
      </c>
      <c r="B2385">
        <v>2</v>
      </c>
      <c r="C2385" t="s">
        <v>31</v>
      </c>
      <c r="D2385" t="str">
        <f>_xlfn.XLOOKUP(C2385,'Carrier Name Rename'!A:A,'Carrier Name Rename'!B:B)</f>
        <v>American Airlines Inc.</v>
      </c>
      <c r="E2385" t="s">
        <v>23</v>
      </c>
      <c r="F2385" t="s">
        <v>24</v>
      </c>
      <c r="G2385">
        <v>402</v>
      </c>
      <c r="H2385">
        <v>154</v>
      </c>
      <c r="I2385">
        <v>51.51</v>
      </c>
      <c r="J2385">
        <v>11.23</v>
      </c>
      <c r="K2385">
        <v>55.26</v>
      </c>
      <c r="L2385">
        <v>0</v>
      </c>
      <c r="M2385">
        <v>35.99</v>
      </c>
      <c r="N2385">
        <v>14</v>
      </c>
      <c r="O2385">
        <v>2</v>
      </c>
      <c r="P2385">
        <v>8554</v>
      </c>
      <c r="Q2385">
        <v>3359</v>
      </c>
      <c r="R2385">
        <v>805</v>
      </c>
      <c r="S2385">
        <v>1820</v>
      </c>
      <c r="T2385">
        <v>0</v>
      </c>
      <c r="U2385">
        <v>2570</v>
      </c>
      <c r="V2385" s="1">
        <f t="shared" si="111"/>
        <v>0.3831</v>
      </c>
      <c r="W2385" s="1">
        <f t="shared" si="112"/>
        <v>3.4799999999999998E-2</v>
      </c>
      <c r="X2385" s="1">
        <f t="shared" si="113"/>
        <v>5.0000000000000001E-3</v>
      </c>
    </row>
    <row r="2386" spans="1:24" x14ac:dyDescent="0.25">
      <c r="A2386">
        <v>2008</v>
      </c>
      <c r="B2386">
        <v>2</v>
      </c>
      <c r="C2386" t="s">
        <v>33</v>
      </c>
      <c r="D2386" t="str">
        <f>_xlfn.XLOOKUP(C2386,'Carrier Name Rename'!A:A,'Carrier Name Rename'!B:B)</f>
        <v>Alaska Airlines Inc.</v>
      </c>
      <c r="E2386" t="s">
        <v>23</v>
      </c>
      <c r="F2386" t="s">
        <v>24</v>
      </c>
      <c r="G2386">
        <v>3524</v>
      </c>
      <c r="H2386">
        <v>828</v>
      </c>
      <c r="I2386">
        <v>177.12</v>
      </c>
      <c r="J2386">
        <v>8.2100000000000009</v>
      </c>
      <c r="K2386">
        <v>359.32</v>
      </c>
      <c r="L2386">
        <v>0.04</v>
      </c>
      <c r="M2386">
        <v>283.31</v>
      </c>
      <c r="N2386">
        <v>52</v>
      </c>
      <c r="O2386">
        <v>9</v>
      </c>
      <c r="P2386">
        <v>41548</v>
      </c>
      <c r="Q2386">
        <v>11929</v>
      </c>
      <c r="R2386">
        <v>491</v>
      </c>
      <c r="S2386">
        <v>11271</v>
      </c>
      <c r="T2386">
        <v>1</v>
      </c>
      <c r="U2386">
        <v>17856</v>
      </c>
      <c r="V2386" s="1">
        <f t="shared" si="111"/>
        <v>0.23499999999999999</v>
      </c>
      <c r="W2386" s="1">
        <f t="shared" si="112"/>
        <v>1.4800000000000001E-2</v>
      </c>
      <c r="X2386" s="1">
        <f t="shared" si="113"/>
        <v>2.5999999999999999E-3</v>
      </c>
    </row>
    <row r="2387" spans="1:24" x14ac:dyDescent="0.25">
      <c r="A2387">
        <v>2008</v>
      </c>
      <c r="B2387">
        <v>2</v>
      </c>
      <c r="C2387" t="s">
        <v>35</v>
      </c>
      <c r="D2387" t="str">
        <f>_xlfn.XLOOKUP(C2387,'Carrier Name Rename'!A:A,'Carrier Name Rename'!B:B)</f>
        <v>JetBlue Airways</v>
      </c>
      <c r="E2387" t="s">
        <v>23</v>
      </c>
      <c r="F2387" t="s">
        <v>24</v>
      </c>
      <c r="G2387">
        <v>58</v>
      </c>
      <c r="H2387">
        <v>9</v>
      </c>
      <c r="I2387">
        <v>2.25</v>
      </c>
      <c r="J2387">
        <v>0.6</v>
      </c>
      <c r="K2387">
        <v>3.76</v>
      </c>
      <c r="L2387">
        <v>0</v>
      </c>
      <c r="M2387">
        <v>2.39</v>
      </c>
      <c r="N2387">
        <v>0</v>
      </c>
      <c r="O2387">
        <v>1</v>
      </c>
      <c r="P2387">
        <v>457</v>
      </c>
      <c r="Q2387">
        <v>105</v>
      </c>
      <c r="R2387">
        <v>44</v>
      </c>
      <c r="S2387">
        <v>161</v>
      </c>
      <c r="T2387">
        <v>0</v>
      </c>
      <c r="U2387">
        <v>147</v>
      </c>
      <c r="V2387" s="1">
        <f t="shared" si="111"/>
        <v>0.1552</v>
      </c>
      <c r="W2387" s="1">
        <f t="shared" si="112"/>
        <v>0</v>
      </c>
      <c r="X2387" s="1">
        <f t="shared" si="113"/>
        <v>1.72E-2</v>
      </c>
    </row>
    <row r="2388" spans="1:24" x14ac:dyDescent="0.25">
      <c r="A2388">
        <v>2008</v>
      </c>
      <c r="B2388">
        <v>2</v>
      </c>
      <c r="C2388" t="s">
        <v>65</v>
      </c>
      <c r="D2388" t="str">
        <f>_xlfn.XLOOKUP(C2388,'Carrier Name Rename'!A:A,'Carrier Name Rename'!B:B)</f>
        <v>Continental Air Lines Inc.</v>
      </c>
      <c r="E2388" t="s">
        <v>23</v>
      </c>
      <c r="F2388" t="s">
        <v>24</v>
      </c>
      <c r="G2388">
        <v>301</v>
      </c>
      <c r="H2388">
        <v>77</v>
      </c>
      <c r="I2388">
        <v>24.36</v>
      </c>
      <c r="J2388">
        <v>4.88</v>
      </c>
      <c r="K2388">
        <v>26.88</v>
      </c>
      <c r="L2388">
        <v>1.28</v>
      </c>
      <c r="M2388">
        <v>19.600000000000001</v>
      </c>
      <c r="N2388">
        <v>2</v>
      </c>
      <c r="O2388">
        <v>0</v>
      </c>
      <c r="P2388">
        <v>3381</v>
      </c>
      <c r="Q2388">
        <v>1157</v>
      </c>
      <c r="R2388">
        <v>264</v>
      </c>
      <c r="S2388">
        <v>852</v>
      </c>
      <c r="T2388">
        <v>30</v>
      </c>
      <c r="U2388">
        <v>1078</v>
      </c>
      <c r="V2388" s="1">
        <f t="shared" si="111"/>
        <v>0.25580000000000003</v>
      </c>
      <c r="W2388" s="1">
        <f t="shared" si="112"/>
        <v>6.6E-3</v>
      </c>
      <c r="X2388" s="1">
        <f t="shared" si="113"/>
        <v>0</v>
      </c>
    </row>
    <row r="2389" spans="1:24" x14ac:dyDescent="0.25">
      <c r="A2389">
        <v>2008</v>
      </c>
      <c r="B2389">
        <v>2</v>
      </c>
      <c r="C2389" t="s">
        <v>37</v>
      </c>
      <c r="D2389" t="str">
        <f>_xlfn.XLOOKUP(C2389,'Carrier Name Rename'!A:A,'Carrier Name Rename'!B:B)</f>
        <v>Delta Air Lines Inc.</v>
      </c>
      <c r="E2389" t="s">
        <v>23</v>
      </c>
      <c r="F2389" t="s">
        <v>24</v>
      </c>
      <c r="G2389">
        <v>350</v>
      </c>
      <c r="H2389">
        <v>80</v>
      </c>
      <c r="I2389">
        <v>22.95</v>
      </c>
      <c r="J2389">
        <v>0.36</v>
      </c>
      <c r="K2389">
        <v>44.16</v>
      </c>
      <c r="L2389">
        <v>0</v>
      </c>
      <c r="M2389">
        <v>12.52</v>
      </c>
      <c r="N2389">
        <v>4</v>
      </c>
      <c r="O2389">
        <v>1</v>
      </c>
      <c r="P2389">
        <v>2788</v>
      </c>
      <c r="Q2389">
        <v>810</v>
      </c>
      <c r="R2389">
        <v>21</v>
      </c>
      <c r="S2389">
        <v>1220</v>
      </c>
      <c r="T2389">
        <v>0</v>
      </c>
      <c r="U2389">
        <v>737</v>
      </c>
      <c r="V2389" s="1">
        <f t="shared" si="111"/>
        <v>0.2286</v>
      </c>
      <c r="W2389" s="1">
        <f t="shared" si="112"/>
        <v>1.14E-2</v>
      </c>
      <c r="X2389" s="1">
        <f t="shared" si="113"/>
        <v>2.8999999999999998E-3</v>
      </c>
    </row>
    <row r="2390" spans="1:24" x14ac:dyDescent="0.25">
      <c r="A2390">
        <v>2008</v>
      </c>
      <c r="B2390">
        <v>2</v>
      </c>
      <c r="C2390" t="s">
        <v>39</v>
      </c>
      <c r="D2390" t="str">
        <f>_xlfn.XLOOKUP(C2390,'Carrier Name Rename'!A:A,'Carrier Name Rename'!B:B)</f>
        <v>Frontier Airlines Inc.</v>
      </c>
      <c r="E2390" t="s">
        <v>23</v>
      </c>
      <c r="F2390" t="s">
        <v>24</v>
      </c>
      <c r="G2390">
        <v>107</v>
      </c>
      <c r="H2390">
        <v>29</v>
      </c>
      <c r="I2390">
        <v>8.93</v>
      </c>
      <c r="J2390">
        <v>0.4</v>
      </c>
      <c r="K2390">
        <v>16.73</v>
      </c>
      <c r="L2390">
        <v>0</v>
      </c>
      <c r="M2390">
        <v>2.93</v>
      </c>
      <c r="N2390">
        <v>0</v>
      </c>
      <c r="O2390">
        <v>0</v>
      </c>
      <c r="P2390">
        <v>764</v>
      </c>
      <c r="Q2390">
        <v>196</v>
      </c>
      <c r="R2390">
        <v>8</v>
      </c>
      <c r="S2390">
        <v>465</v>
      </c>
      <c r="T2390">
        <v>0</v>
      </c>
      <c r="U2390">
        <v>95</v>
      </c>
      <c r="V2390" s="1">
        <f t="shared" si="111"/>
        <v>0.27100000000000002</v>
      </c>
      <c r="W2390" s="1">
        <f t="shared" si="112"/>
        <v>0</v>
      </c>
      <c r="X2390" s="1">
        <f t="shared" si="113"/>
        <v>0</v>
      </c>
    </row>
    <row r="2391" spans="1:24" x14ac:dyDescent="0.25">
      <c r="A2391">
        <v>2008</v>
      </c>
      <c r="B2391">
        <v>2</v>
      </c>
      <c r="C2391" t="s">
        <v>21</v>
      </c>
      <c r="D2391" t="str">
        <f>_xlfn.XLOOKUP(C2391,'Carrier Name Rename'!A:A,'Carrier Name Rename'!B:B)</f>
        <v>Hawaiian Airlines Inc.</v>
      </c>
      <c r="E2391" t="s">
        <v>23</v>
      </c>
      <c r="F2391" t="s">
        <v>24</v>
      </c>
      <c r="G2391">
        <v>87</v>
      </c>
      <c r="H2391">
        <v>15</v>
      </c>
      <c r="I2391">
        <v>14.52</v>
      </c>
      <c r="J2391">
        <v>0</v>
      </c>
      <c r="K2391">
        <v>0</v>
      </c>
      <c r="L2391">
        <v>0</v>
      </c>
      <c r="M2391">
        <v>0.48</v>
      </c>
      <c r="N2391">
        <v>0</v>
      </c>
      <c r="O2391">
        <v>0</v>
      </c>
      <c r="P2391">
        <v>472</v>
      </c>
      <c r="Q2391">
        <v>462</v>
      </c>
      <c r="R2391">
        <v>0</v>
      </c>
      <c r="S2391">
        <v>0</v>
      </c>
      <c r="T2391">
        <v>0</v>
      </c>
      <c r="U2391">
        <v>10</v>
      </c>
      <c r="V2391" s="1">
        <f t="shared" si="111"/>
        <v>0.1724</v>
      </c>
      <c r="W2391" s="1">
        <f t="shared" si="112"/>
        <v>0</v>
      </c>
      <c r="X2391" s="1">
        <f t="shared" si="113"/>
        <v>0</v>
      </c>
    </row>
    <row r="2392" spans="1:24" x14ac:dyDescent="0.25">
      <c r="A2392">
        <v>2008</v>
      </c>
      <c r="B2392">
        <v>2</v>
      </c>
      <c r="C2392" t="s">
        <v>67</v>
      </c>
      <c r="D2392" t="str">
        <f>_xlfn.XLOOKUP(C2392,'Carrier Name Rename'!A:A,'Carrier Name Rename'!B:B)</f>
        <v>Northwest Airlines Inc.</v>
      </c>
      <c r="E2392" t="s">
        <v>23</v>
      </c>
      <c r="F2392" t="s">
        <v>24</v>
      </c>
      <c r="G2392">
        <v>344</v>
      </c>
      <c r="H2392">
        <v>110</v>
      </c>
      <c r="I2392">
        <v>37.18</v>
      </c>
      <c r="J2392">
        <v>0.69</v>
      </c>
      <c r="K2392">
        <v>56.14</v>
      </c>
      <c r="L2392">
        <v>0.2</v>
      </c>
      <c r="M2392">
        <v>15.79</v>
      </c>
      <c r="N2392">
        <v>1</v>
      </c>
      <c r="O2392">
        <v>0</v>
      </c>
      <c r="P2392">
        <v>5566</v>
      </c>
      <c r="Q2392">
        <v>1967</v>
      </c>
      <c r="R2392">
        <v>375</v>
      </c>
      <c r="S2392">
        <v>1921</v>
      </c>
      <c r="T2392">
        <v>8</v>
      </c>
      <c r="U2392">
        <v>1295</v>
      </c>
      <c r="V2392" s="1">
        <f t="shared" si="111"/>
        <v>0.31979999999999997</v>
      </c>
      <c r="W2392" s="1">
        <f t="shared" si="112"/>
        <v>2.8999999999999998E-3</v>
      </c>
      <c r="X2392" s="1">
        <f t="shared" si="113"/>
        <v>0</v>
      </c>
    </row>
    <row r="2393" spans="1:24" x14ac:dyDescent="0.25">
      <c r="A2393">
        <v>2008</v>
      </c>
      <c r="B2393">
        <v>2</v>
      </c>
      <c r="C2393" t="s">
        <v>27</v>
      </c>
      <c r="D2393" t="str">
        <f>_xlfn.XLOOKUP(C2393,'Carrier Name Rename'!A:A,'Carrier Name Rename'!B:B)</f>
        <v>SkyWest Airlines Inc.</v>
      </c>
      <c r="E2393" t="s">
        <v>23</v>
      </c>
      <c r="F2393" t="s">
        <v>24</v>
      </c>
      <c r="G2393">
        <v>432</v>
      </c>
      <c r="H2393">
        <v>80</v>
      </c>
      <c r="I2393">
        <v>42</v>
      </c>
      <c r="J2393">
        <v>3</v>
      </c>
      <c r="K2393">
        <v>6</v>
      </c>
      <c r="L2393">
        <v>0</v>
      </c>
      <c r="M2393">
        <v>29</v>
      </c>
      <c r="N2393">
        <v>9</v>
      </c>
      <c r="O2393">
        <v>1</v>
      </c>
      <c r="P2393">
        <v>3993</v>
      </c>
      <c r="Q2393">
        <v>1448</v>
      </c>
      <c r="R2393">
        <v>342</v>
      </c>
      <c r="S2393">
        <v>903</v>
      </c>
      <c r="T2393">
        <v>0</v>
      </c>
      <c r="U2393">
        <v>1300</v>
      </c>
      <c r="V2393" s="1">
        <f t="shared" si="111"/>
        <v>0.1852</v>
      </c>
      <c r="W2393" s="1">
        <f t="shared" si="112"/>
        <v>2.0799999999999999E-2</v>
      </c>
      <c r="X2393" s="1">
        <f t="shared" si="113"/>
        <v>2.3E-3</v>
      </c>
    </row>
    <row r="2394" spans="1:24" x14ac:dyDescent="0.25">
      <c r="A2394">
        <v>2008</v>
      </c>
      <c r="B2394">
        <v>2</v>
      </c>
      <c r="C2394" t="s">
        <v>41</v>
      </c>
      <c r="D2394" t="str">
        <f>_xlfn.XLOOKUP(C2394,'Carrier Name Rename'!A:A,'Carrier Name Rename'!B:B)</f>
        <v>United Air Lines Inc.</v>
      </c>
      <c r="E2394" t="s">
        <v>23</v>
      </c>
      <c r="F2394" t="s">
        <v>24</v>
      </c>
      <c r="G2394">
        <v>696</v>
      </c>
      <c r="H2394">
        <v>241</v>
      </c>
      <c r="I2394">
        <v>59.7</v>
      </c>
      <c r="J2394">
        <v>9.31</v>
      </c>
      <c r="K2394">
        <v>69.41</v>
      </c>
      <c r="L2394">
        <v>0</v>
      </c>
      <c r="M2394">
        <v>102.59</v>
      </c>
      <c r="N2394">
        <v>3</v>
      </c>
      <c r="O2394">
        <v>1</v>
      </c>
      <c r="P2394">
        <v>14668</v>
      </c>
      <c r="Q2394">
        <v>3991</v>
      </c>
      <c r="R2394">
        <v>516</v>
      </c>
      <c r="S2394">
        <v>2133</v>
      </c>
      <c r="T2394">
        <v>0</v>
      </c>
      <c r="U2394">
        <v>8028</v>
      </c>
      <c r="V2394" s="1">
        <f t="shared" si="111"/>
        <v>0.3463</v>
      </c>
      <c r="W2394" s="1">
        <f t="shared" si="112"/>
        <v>4.3E-3</v>
      </c>
      <c r="X2394" s="1">
        <f t="shared" si="113"/>
        <v>1.4E-3</v>
      </c>
    </row>
    <row r="2395" spans="1:24" x14ac:dyDescent="0.25">
      <c r="A2395">
        <v>2008</v>
      </c>
      <c r="B2395">
        <v>2</v>
      </c>
      <c r="C2395" t="s">
        <v>61</v>
      </c>
      <c r="D2395" t="str">
        <f>_xlfn.XLOOKUP(C2395,'Carrier Name Rename'!A:A,'Carrier Name Rename'!B:B)</f>
        <v>US Airways Inc.</v>
      </c>
      <c r="E2395" t="s">
        <v>23</v>
      </c>
      <c r="F2395" t="s">
        <v>24</v>
      </c>
      <c r="G2395">
        <v>291</v>
      </c>
      <c r="H2395">
        <v>68</v>
      </c>
      <c r="I2395">
        <v>19.899999999999999</v>
      </c>
      <c r="J2395">
        <v>0.09</v>
      </c>
      <c r="K2395">
        <v>26.95</v>
      </c>
      <c r="L2395">
        <v>0.08</v>
      </c>
      <c r="M2395">
        <v>20.98</v>
      </c>
      <c r="N2395">
        <v>2</v>
      </c>
      <c r="O2395">
        <v>0</v>
      </c>
      <c r="P2395">
        <v>3226</v>
      </c>
      <c r="Q2395">
        <v>930</v>
      </c>
      <c r="R2395">
        <v>31</v>
      </c>
      <c r="S2395">
        <v>801</v>
      </c>
      <c r="T2395">
        <v>5</v>
      </c>
      <c r="U2395">
        <v>1459</v>
      </c>
      <c r="V2395" s="1">
        <f t="shared" si="111"/>
        <v>0.23369999999999999</v>
      </c>
      <c r="W2395" s="1">
        <f t="shared" si="112"/>
        <v>6.8999999999999999E-3</v>
      </c>
      <c r="X2395" s="1">
        <f t="shared" si="113"/>
        <v>0</v>
      </c>
    </row>
    <row r="2396" spans="1:24" x14ac:dyDescent="0.25">
      <c r="A2396">
        <v>2008</v>
      </c>
      <c r="B2396">
        <v>2</v>
      </c>
      <c r="C2396" t="s">
        <v>43</v>
      </c>
      <c r="D2396" t="str">
        <f>_xlfn.XLOOKUP(C2396,'Carrier Name Rename'!A:A,'Carrier Name Rename'!B:B)</f>
        <v>Southwest Airlines Co.</v>
      </c>
      <c r="E2396" t="s">
        <v>23</v>
      </c>
      <c r="F2396" t="s">
        <v>24</v>
      </c>
      <c r="G2396">
        <v>1307</v>
      </c>
      <c r="H2396">
        <v>315</v>
      </c>
      <c r="I2396">
        <v>59.6</v>
      </c>
      <c r="J2396">
        <v>7.1</v>
      </c>
      <c r="K2396">
        <v>50.35</v>
      </c>
      <c r="L2396">
        <v>0.86</v>
      </c>
      <c r="M2396">
        <v>197.09</v>
      </c>
      <c r="N2396">
        <v>13</v>
      </c>
      <c r="O2396">
        <v>4</v>
      </c>
      <c r="P2396">
        <v>15445</v>
      </c>
      <c r="Q2396">
        <v>2684</v>
      </c>
      <c r="R2396">
        <v>625</v>
      </c>
      <c r="S2396">
        <v>1593</v>
      </c>
      <c r="T2396">
        <v>26</v>
      </c>
      <c r="U2396">
        <v>10517</v>
      </c>
      <c r="V2396" s="1">
        <f t="shared" si="111"/>
        <v>0.24099999999999999</v>
      </c>
      <c r="W2396" s="1">
        <f t="shared" si="112"/>
        <v>9.9000000000000008E-3</v>
      </c>
      <c r="X2396" s="1">
        <f t="shared" si="113"/>
        <v>3.0999999999999999E-3</v>
      </c>
    </row>
    <row r="2397" spans="1:24" x14ac:dyDescent="0.25">
      <c r="A2397">
        <v>2008</v>
      </c>
      <c r="B2397">
        <v>2</v>
      </c>
      <c r="C2397" t="s">
        <v>69</v>
      </c>
      <c r="D2397" t="str">
        <f>_xlfn.XLOOKUP(C2397,'Carrier Name Rename'!A:A,'Carrier Name Rename'!B:B)</f>
        <v>ExpressJet Airlines Inc.</v>
      </c>
      <c r="E2397" t="s">
        <v>23</v>
      </c>
      <c r="F2397" t="s">
        <v>24</v>
      </c>
      <c r="G2397">
        <v>78</v>
      </c>
      <c r="H2397">
        <v>22</v>
      </c>
      <c r="I2397">
        <v>5.61</v>
      </c>
      <c r="J2397">
        <v>0</v>
      </c>
      <c r="K2397">
        <v>8.32</v>
      </c>
      <c r="L2397">
        <v>1</v>
      </c>
      <c r="M2397">
        <v>7.06</v>
      </c>
      <c r="N2397">
        <v>0</v>
      </c>
      <c r="O2397">
        <v>0</v>
      </c>
      <c r="P2397">
        <v>863</v>
      </c>
      <c r="Q2397">
        <v>283</v>
      </c>
      <c r="R2397">
        <v>0</v>
      </c>
      <c r="S2397">
        <v>278</v>
      </c>
      <c r="T2397">
        <v>16</v>
      </c>
      <c r="U2397">
        <v>286</v>
      </c>
      <c r="V2397" s="1">
        <f t="shared" si="111"/>
        <v>0.28210000000000002</v>
      </c>
      <c r="W2397" s="1">
        <f t="shared" si="112"/>
        <v>0</v>
      </c>
      <c r="X2397" s="1">
        <f t="shared" si="113"/>
        <v>0</v>
      </c>
    </row>
    <row r="2398" spans="1:24" x14ac:dyDescent="0.25">
      <c r="A2398">
        <v>2008</v>
      </c>
      <c r="B2398">
        <v>1</v>
      </c>
      <c r="C2398" t="s">
        <v>31</v>
      </c>
      <c r="D2398" t="str">
        <f>_xlfn.XLOOKUP(C2398,'Carrier Name Rename'!A:A,'Carrier Name Rename'!B:B)</f>
        <v>American Airlines Inc.</v>
      </c>
      <c r="E2398" t="s">
        <v>23</v>
      </c>
      <c r="F2398" t="s">
        <v>24</v>
      </c>
      <c r="G2398">
        <v>429</v>
      </c>
      <c r="H2398">
        <v>130</v>
      </c>
      <c r="I2398">
        <v>50.81</v>
      </c>
      <c r="J2398">
        <v>10.55</v>
      </c>
      <c r="K2398">
        <v>37.29</v>
      </c>
      <c r="L2398">
        <v>0</v>
      </c>
      <c r="M2398">
        <v>31.35</v>
      </c>
      <c r="N2398">
        <v>9</v>
      </c>
      <c r="O2398">
        <v>0</v>
      </c>
      <c r="P2398">
        <v>6439</v>
      </c>
      <c r="Q2398">
        <v>2470</v>
      </c>
      <c r="R2398">
        <v>574</v>
      </c>
      <c r="S2398">
        <v>1193</v>
      </c>
      <c r="T2398">
        <v>0</v>
      </c>
      <c r="U2398">
        <v>2202</v>
      </c>
      <c r="V2398" s="1">
        <f t="shared" si="111"/>
        <v>0.30299999999999999</v>
      </c>
      <c r="W2398" s="1">
        <f t="shared" si="112"/>
        <v>2.1000000000000001E-2</v>
      </c>
      <c r="X2398" s="1">
        <f t="shared" si="113"/>
        <v>0</v>
      </c>
    </row>
    <row r="2399" spans="1:24" x14ac:dyDescent="0.25">
      <c r="A2399">
        <v>2008</v>
      </c>
      <c r="B2399">
        <v>1</v>
      </c>
      <c r="C2399" t="s">
        <v>33</v>
      </c>
      <c r="D2399" t="str">
        <f>_xlfn.XLOOKUP(C2399,'Carrier Name Rename'!A:A,'Carrier Name Rename'!B:B)</f>
        <v>Alaska Airlines Inc.</v>
      </c>
      <c r="E2399" t="s">
        <v>23</v>
      </c>
      <c r="F2399" t="s">
        <v>24</v>
      </c>
      <c r="G2399">
        <v>3753</v>
      </c>
      <c r="H2399">
        <v>873</v>
      </c>
      <c r="I2399">
        <v>194.2</v>
      </c>
      <c r="J2399">
        <v>12.55</v>
      </c>
      <c r="K2399">
        <v>316.47000000000003</v>
      </c>
      <c r="L2399">
        <v>8.15</v>
      </c>
      <c r="M2399">
        <v>341.62</v>
      </c>
      <c r="N2399">
        <v>85</v>
      </c>
      <c r="O2399">
        <v>5</v>
      </c>
      <c r="P2399">
        <v>45778</v>
      </c>
      <c r="Q2399">
        <v>11648</v>
      </c>
      <c r="R2399">
        <v>1152</v>
      </c>
      <c r="S2399">
        <v>10076</v>
      </c>
      <c r="T2399">
        <v>238</v>
      </c>
      <c r="U2399">
        <v>22664</v>
      </c>
      <c r="V2399" s="1">
        <f t="shared" si="111"/>
        <v>0.2326</v>
      </c>
      <c r="W2399" s="1">
        <f t="shared" si="112"/>
        <v>2.2599999999999999E-2</v>
      </c>
      <c r="X2399" s="1">
        <f t="shared" si="113"/>
        <v>1.2999999999999999E-3</v>
      </c>
    </row>
    <row r="2400" spans="1:24" x14ac:dyDescent="0.25">
      <c r="A2400">
        <v>2008</v>
      </c>
      <c r="B2400">
        <v>1</v>
      </c>
      <c r="C2400" t="s">
        <v>35</v>
      </c>
      <c r="D2400" t="str">
        <f>_xlfn.XLOOKUP(C2400,'Carrier Name Rename'!A:A,'Carrier Name Rename'!B:B)</f>
        <v>JetBlue Airways</v>
      </c>
      <c r="E2400" t="s">
        <v>23</v>
      </c>
      <c r="F2400" t="s">
        <v>24</v>
      </c>
      <c r="G2400">
        <v>62</v>
      </c>
      <c r="H2400">
        <v>9</v>
      </c>
      <c r="I2400">
        <v>1.58</v>
      </c>
      <c r="J2400">
        <v>0</v>
      </c>
      <c r="K2400">
        <v>3</v>
      </c>
      <c r="L2400">
        <v>0</v>
      </c>
      <c r="M2400">
        <v>4.42</v>
      </c>
      <c r="N2400">
        <v>0</v>
      </c>
      <c r="O2400">
        <v>0</v>
      </c>
      <c r="P2400">
        <v>316</v>
      </c>
      <c r="Q2400">
        <v>36</v>
      </c>
      <c r="R2400">
        <v>0</v>
      </c>
      <c r="S2400">
        <v>122</v>
      </c>
      <c r="T2400">
        <v>0</v>
      </c>
      <c r="U2400">
        <v>158</v>
      </c>
      <c r="V2400" s="1">
        <f t="shared" si="111"/>
        <v>0.1452</v>
      </c>
      <c r="W2400" s="1">
        <f t="shared" si="112"/>
        <v>0</v>
      </c>
      <c r="X2400" s="1">
        <f t="shared" si="113"/>
        <v>0</v>
      </c>
    </row>
    <row r="2401" spans="1:24" x14ac:dyDescent="0.25">
      <c r="A2401">
        <v>2008</v>
      </c>
      <c r="B2401">
        <v>1</v>
      </c>
      <c r="C2401" t="s">
        <v>65</v>
      </c>
      <c r="D2401" t="str">
        <f>_xlfn.XLOOKUP(C2401,'Carrier Name Rename'!A:A,'Carrier Name Rename'!B:B)</f>
        <v>Continental Air Lines Inc.</v>
      </c>
      <c r="E2401" t="s">
        <v>23</v>
      </c>
      <c r="F2401" t="s">
        <v>24</v>
      </c>
      <c r="G2401">
        <v>308</v>
      </c>
      <c r="H2401">
        <v>90</v>
      </c>
      <c r="I2401">
        <v>33.19</v>
      </c>
      <c r="J2401">
        <v>1.87</v>
      </c>
      <c r="K2401">
        <v>32.19</v>
      </c>
      <c r="L2401">
        <v>1</v>
      </c>
      <c r="M2401">
        <v>21.75</v>
      </c>
      <c r="N2401">
        <v>1</v>
      </c>
      <c r="O2401">
        <v>0</v>
      </c>
      <c r="P2401">
        <v>3290</v>
      </c>
      <c r="Q2401">
        <v>1065</v>
      </c>
      <c r="R2401">
        <v>83</v>
      </c>
      <c r="S2401">
        <v>892</v>
      </c>
      <c r="T2401">
        <v>18</v>
      </c>
      <c r="U2401">
        <v>1232</v>
      </c>
      <c r="V2401" s="1">
        <f t="shared" si="111"/>
        <v>0.29220000000000002</v>
      </c>
      <c r="W2401" s="1">
        <f t="shared" si="112"/>
        <v>3.2000000000000002E-3</v>
      </c>
      <c r="X2401" s="1">
        <f t="shared" si="113"/>
        <v>0</v>
      </c>
    </row>
    <row r="2402" spans="1:24" x14ac:dyDescent="0.25">
      <c r="A2402">
        <v>2008</v>
      </c>
      <c r="B2402">
        <v>1</v>
      </c>
      <c r="C2402" t="s">
        <v>37</v>
      </c>
      <c r="D2402" t="str">
        <f>_xlfn.XLOOKUP(C2402,'Carrier Name Rename'!A:A,'Carrier Name Rename'!B:B)</f>
        <v>Delta Air Lines Inc.</v>
      </c>
      <c r="E2402" t="s">
        <v>23</v>
      </c>
      <c r="F2402" t="s">
        <v>24</v>
      </c>
      <c r="G2402">
        <v>397</v>
      </c>
      <c r="H2402">
        <v>83</v>
      </c>
      <c r="I2402">
        <v>30.37</v>
      </c>
      <c r="J2402">
        <v>3.07</v>
      </c>
      <c r="K2402">
        <v>27.98</v>
      </c>
      <c r="L2402">
        <v>0</v>
      </c>
      <c r="M2402">
        <v>21.58</v>
      </c>
      <c r="N2402">
        <v>3</v>
      </c>
      <c r="O2402">
        <v>0</v>
      </c>
      <c r="P2402">
        <v>3878</v>
      </c>
      <c r="Q2402">
        <v>1411</v>
      </c>
      <c r="R2402">
        <v>222</v>
      </c>
      <c r="S2402">
        <v>1238</v>
      </c>
      <c r="T2402">
        <v>0</v>
      </c>
      <c r="U2402">
        <v>1007</v>
      </c>
      <c r="V2402" s="1">
        <f t="shared" si="111"/>
        <v>0.20910000000000001</v>
      </c>
      <c r="W2402" s="1">
        <f t="shared" si="112"/>
        <v>7.6E-3</v>
      </c>
      <c r="X2402" s="1">
        <f t="shared" si="113"/>
        <v>0</v>
      </c>
    </row>
    <row r="2403" spans="1:24" x14ac:dyDescent="0.25">
      <c r="A2403">
        <v>2008</v>
      </c>
      <c r="B2403">
        <v>1</v>
      </c>
      <c r="C2403" t="s">
        <v>39</v>
      </c>
      <c r="D2403" t="str">
        <f>_xlfn.XLOOKUP(C2403,'Carrier Name Rename'!A:A,'Carrier Name Rename'!B:B)</f>
        <v>Frontier Airlines Inc.</v>
      </c>
      <c r="E2403" t="s">
        <v>23</v>
      </c>
      <c r="F2403" t="s">
        <v>24</v>
      </c>
      <c r="G2403">
        <v>104</v>
      </c>
      <c r="H2403">
        <v>28</v>
      </c>
      <c r="I2403">
        <v>15.44</v>
      </c>
      <c r="J2403">
        <v>0</v>
      </c>
      <c r="K2403">
        <v>10.61</v>
      </c>
      <c r="L2403">
        <v>0</v>
      </c>
      <c r="M2403">
        <v>1.96</v>
      </c>
      <c r="N2403">
        <v>0</v>
      </c>
      <c r="O2403">
        <v>0</v>
      </c>
      <c r="P2403">
        <v>910</v>
      </c>
      <c r="Q2403">
        <v>540</v>
      </c>
      <c r="R2403">
        <v>0</v>
      </c>
      <c r="S2403">
        <v>307</v>
      </c>
      <c r="T2403">
        <v>0</v>
      </c>
      <c r="U2403">
        <v>63</v>
      </c>
      <c r="V2403" s="1">
        <f t="shared" si="111"/>
        <v>0.26919999999999999</v>
      </c>
      <c r="W2403" s="1">
        <f t="shared" si="112"/>
        <v>0</v>
      </c>
      <c r="X2403" s="1">
        <f t="shared" si="113"/>
        <v>0</v>
      </c>
    </row>
    <row r="2404" spans="1:24" x14ac:dyDescent="0.25">
      <c r="A2404">
        <v>2008</v>
      </c>
      <c r="B2404">
        <v>1</v>
      </c>
      <c r="C2404" t="s">
        <v>21</v>
      </c>
      <c r="D2404" t="str">
        <f>_xlfn.XLOOKUP(C2404,'Carrier Name Rename'!A:A,'Carrier Name Rename'!B:B)</f>
        <v>Hawaiian Airlines Inc.</v>
      </c>
      <c r="E2404" t="s">
        <v>23</v>
      </c>
      <c r="F2404" t="s">
        <v>24</v>
      </c>
      <c r="G2404">
        <v>93</v>
      </c>
      <c r="H2404">
        <v>28</v>
      </c>
      <c r="I2404">
        <v>25.63</v>
      </c>
      <c r="J2404">
        <v>0</v>
      </c>
      <c r="K2404">
        <v>0</v>
      </c>
      <c r="L2404">
        <v>0</v>
      </c>
      <c r="M2404">
        <v>2.37</v>
      </c>
      <c r="N2404">
        <v>0</v>
      </c>
      <c r="O2404">
        <v>0</v>
      </c>
      <c r="P2404">
        <v>781</v>
      </c>
      <c r="Q2404">
        <v>721</v>
      </c>
      <c r="R2404">
        <v>0</v>
      </c>
      <c r="S2404">
        <v>0</v>
      </c>
      <c r="T2404">
        <v>0</v>
      </c>
      <c r="U2404">
        <v>60</v>
      </c>
      <c r="V2404" s="1">
        <f t="shared" si="111"/>
        <v>0.30109999999999998</v>
      </c>
      <c r="W2404" s="1">
        <f t="shared" si="112"/>
        <v>0</v>
      </c>
      <c r="X2404" s="1">
        <f t="shared" si="113"/>
        <v>0</v>
      </c>
    </row>
    <row r="2405" spans="1:24" x14ac:dyDescent="0.25">
      <c r="A2405">
        <v>2008</v>
      </c>
      <c r="B2405">
        <v>1</v>
      </c>
      <c r="C2405" t="s">
        <v>67</v>
      </c>
      <c r="D2405" t="str">
        <f>_xlfn.XLOOKUP(C2405,'Carrier Name Rename'!A:A,'Carrier Name Rename'!B:B)</f>
        <v>Northwest Airlines Inc.</v>
      </c>
      <c r="E2405" t="s">
        <v>23</v>
      </c>
      <c r="F2405" t="s">
        <v>24</v>
      </c>
      <c r="G2405">
        <v>389</v>
      </c>
      <c r="H2405">
        <v>106</v>
      </c>
      <c r="I2405">
        <v>38.01</v>
      </c>
      <c r="J2405">
        <v>0</v>
      </c>
      <c r="K2405">
        <v>60.48</v>
      </c>
      <c r="L2405">
        <v>0</v>
      </c>
      <c r="M2405">
        <v>7.5</v>
      </c>
      <c r="N2405">
        <v>0</v>
      </c>
      <c r="O2405">
        <v>0</v>
      </c>
      <c r="P2405">
        <v>3926</v>
      </c>
      <c r="Q2405">
        <v>1699</v>
      </c>
      <c r="R2405">
        <v>0</v>
      </c>
      <c r="S2405">
        <v>1821</v>
      </c>
      <c r="T2405">
        <v>0</v>
      </c>
      <c r="U2405">
        <v>406</v>
      </c>
      <c r="V2405" s="1">
        <f t="shared" si="111"/>
        <v>0.27250000000000002</v>
      </c>
      <c r="W2405" s="1">
        <f t="shared" si="112"/>
        <v>0</v>
      </c>
      <c r="X2405" s="1">
        <f t="shared" si="113"/>
        <v>0</v>
      </c>
    </row>
    <row r="2406" spans="1:24" x14ac:dyDescent="0.25">
      <c r="A2406">
        <v>2008</v>
      </c>
      <c r="B2406">
        <v>1</v>
      </c>
      <c r="C2406" t="s">
        <v>27</v>
      </c>
      <c r="D2406" t="str">
        <f>_xlfn.XLOOKUP(C2406,'Carrier Name Rename'!A:A,'Carrier Name Rename'!B:B)</f>
        <v>SkyWest Airlines Inc.</v>
      </c>
      <c r="E2406" t="s">
        <v>23</v>
      </c>
      <c r="F2406" t="s">
        <v>24</v>
      </c>
      <c r="G2406">
        <v>455</v>
      </c>
      <c r="H2406">
        <v>114</v>
      </c>
      <c r="I2406">
        <v>48</v>
      </c>
      <c r="J2406">
        <v>12</v>
      </c>
      <c r="K2406">
        <v>4</v>
      </c>
      <c r="L2406">
        <v>1</v>
      </c>
      <c r="M2406">
        <v>49</v>
      </c>
      <c r="N2406">
        <v>10</v>
      </c>
      <c r="O2406">
        <v>2</v>
      </c>
      <c r="P2406">
        <v>4736</v>
      </c>
      <c r="Q2406">
        <v>1957</v>
      </c>
      <c r="R2406">
        <v>972</v>
      </c>
      <c r="S2406">
        <v>137</v>
      </c>
      <c r="T2406">
        <v>40</v>
      </c>
      <c r="U2406">
        <v>1630</v>
      </c>
      <c r="V2406" s="1">
        <f t="shared" si="111"/>
        <v>0.2505</v>
      </c>
      <c r="W2406" s="1">
        <f t="shared" si="112"/>
        <v>2.1999999999999999E-2</v>
      </c>
      <c r="X2406" s="1">
        <f t="shared" si="113"/>
        <v>4.4000000000000003E-3</v>
      </c>
    </row>
    <row r="2407" spans="1:24" x14ac:dyDescent="0.25">
      <c r="A2407">
        <v>2008</v>
      </c>
      <c r="B2407">
        <v>1</v>
      </c>
      <c r="C2407" t="s">
        <v>41</v>
      </c>
      <c r="D2407" t="str">
        <f>_xlfn.XLOOKUP(C2407,'Carrier Name Rename'!A:A,'Carrier Name Rename'!B:B)</f>
        <v>United Air Lines Inc.</v>
      </c>
      <c r="E2407" t="s">
        <v>23</v>
      </c>
      <c r="F2407" t="s">
        <v>24</v>
      </c>
      <c r="G2407">
        <v>732</v>
      </c>
      <c r="H2407">
        <v>284</v>
      </c>
      <c r="I2407">
        <v>86.38</v>
      </c>
      <c r="J2407">
        <v>7.08</v>
      </c>
      <c r="K2407">
        <v>60.45</v>
      </c>
      <c r="L2407">
        <v>0</v>
      </c>
      <c r="M2407">
        <v>130.09</v>
      </c>
      <c r="N2407">
        <v>13</v>
      </c>
      <c r="O2407">
        <v>0</v>
      </c>
      <c r="P2407">
        <v>17705</v>
      </c>
      <c r="Q2407">
        <v>5116</v>
      </c>
      <c r="R2407">
        <v>533</v>
      </c>
      <c r="S2407">
        <v>2226</v>
      </c>
      <c r="T2407">
        <v>0</v>
      </c>
      <c r="U2407">
        <v>9830</v>
      </c>
      <c r="V2407" s="1">
        <f t="shared" si="111"/>
        <v>0.38800000000000001</v>
      </c>
      <c r="W2407" s="1">
        <f t="shared" si="112"/>
        <v>1.78E-2</v>
      </c>
      <c r="X2407" s="1">
        <f t="shared" si="113"/>
        <v>0</v>
      </c>
    </row>
    <row r="2408" spans="1:24" x14ac:dyDescent="0.25">
      <c r="A2408">
        <v>2008</v>
      </c>
      <c r="B2408">
        <v>1</v>
      </c>
      <c r="C2408" t="s">
        <v>61</v>
      </c>
      <c r="D2408" t="str">
        <f>_xlfn.XLOOKUP(C2408,'Carrier Name Rename'!A:A,'Carrier Name Rename'!B:B)</f>
        <v>US Airways Inc.</v>
      </c>
      <c r="E2408" t="s">
        <v>23</v>
      </c>
      <c r="F2408" t="s">
        <v>24</v>
      </c>
      <c r="G2408">
        <v>327</v>
      </c>
      <c r="H2408">
        <v>62</v>
      </c>
      <c r="I2408">
        <v>27</v>
      </c>
      <c r="J2408">
        <v>0</v>
      </c>
      <c r="K2408">
        <v>19.8</v>
      </c>
      <c r="L2408">
        <v>0</v>
      </c>
      <c r="M2408">
        <v>15.2</v>
      </c>
      <c r="N2408">
        <v>0</v>
      </c>
      <c r="O2408">
        <v>0</v>
      </c>
      <c r="P2408">
        <v>2870</v>
      </c>
      <c r="Q2408">
        <v>1223</v>
      </c>
      <c r="R2408">
        <v>0</v>
      </c>
      <c r="S2408">
        <v>648</v>
      </c>
      <c r="T2408">
        <v>0</v>
      </c>
      <c r="U2408">
        <v>999</v>
      </c>
      <c r="V2408" s="1">
        <f t="shared" si="111"/>
        <v>0.18959999999999999</v>
      </c>
      <c r="W2408" s="1">
        <f t="shared" si="112"/>
        <v>0</v>
      </c>
      <c r="X2408" s="1">
        <f t="shared" si="113"/>
        <v>0</v>
      </c>
    </row>
    <row r="2409" spans="1:24" x14ac:dyDescent="0.25">
      <c r="A2409">
        <v>2008</v>
      </c>
      <c r="B2409">
        <v>1</v>
      </c>
      <c r="C2409" t="s">
        <v>43</v>
      </c>
      <c r="D2409" t="str">
        <f>_xlfn.XLOOKUP(C2409,'Carrier Name Rename'!A:A,'Carrier Name Rename'!B:B)</f>
        <v>Southwest Airlines Co.</v>
      </c>
      <c r="E2409" t="s">
        <v>23</v>
      </c>
      <c r="F2409" t="s">
        <v>24</v>
      </c>
      <c r="G2409">
        <v>1397</v>
      </c>
      <c r="H2409">
        <v>295</v>
      </c>
      <c r="I2409">
        <v>64.94</v>
      </c>
      <c r="J2409">
        <v>2.4300000000000002</v>
      </c>
      <c r="K2409">
        <v>50.86</v>
      </c>
      <c r="L2409">
        <v>1.51</v>
      </c>
      <c r="M2409">
        <v>175.26</v>
      </c>
      <c r="N2409">
        <v>4</v>
      </c>
      <c r="O2409">
        <v>1</v>
      </c>
      <c r="P2409">
        <v>13849</v>
      </c>
      <c r="Q2409">
        <v>2779</v>
      </c>
      <c r="R2409">
        <v>291</v>
      </c>
      <c r="S2409">
        <v>1456</v>
      </c>
      <c r="T2409">
        <v>104</v>
      </c>
      <c r="U2409">
        <v>9219</v>
      </c>
      <c r="V2409" s="1">
        <f t="shared" si="111"/>
        <v>0.2112</v>
      </c>
      <c r="W2409" s="1">
        <f t="shared" si="112"/>
        <v>2.8999999999999998E-3</v>
      </c>
      <c r="X2409" s="1">
        <f t="shared" si="113"/>
        <v>6.9999999999999999E-4</v>
      </c>
    </row>
    <row r="2410" spans="1:24" x14ac:dyDescent="0.25">
      <c r="A2410">
        <v>2008</v>
      </c>
      <c r="B2410">
        <v>1</v>
      </c>
      <c r="C2410" t="s">
        <v>69</v>
      </c>
      <c r="D2410" t="str">
        <f>_xlfn.XLOOKUP(C2410,'Carrier Name Rename'!A:A,'Carrier Name Rename'!B:B)</f>
        <v>ExpressJet Airlines Inc.</v>
      </c>
      <c r="E2410" t="s">
        <v>23</v>
      </c>
      <c r="F2410" t="s">
        <v>24</v>
      </c>
      <c r="G2410">
        <v>93</v>
      </c>
      <c r="H2410">
        <v>38</v>
      </c>
      <c r="I2410">
        <v>14.72</v>
      </c>
      <c r="J2410">
        <v>0</v>
      </c>
      <c r="K2410">
        <v>11.01</v>
      </c>
      <c r="L2410">
        <v>0</v>
      </c>
      <c r="M2410">
        <v>12.27</v>
      </c>
      <c r="N2410">
        <v>1</v>
      </c>
      <c r="O2410">
        <v>0</v>
      </c>
      <c r="P2410">
        <v>2062</v>
      </c>
      <c r="Q2410">
        <v>987</v>
      </c>
      <c r="R2410">
        <v>0</v>
      </c>
      <c r="S2410">
        <v>350</v>
      </c>
      <c r="T2410">
        <v>0</v>
      </c>
      <c r="U2410">
        <v>725</v>
      </c>
      <c r="V2410" s="1">
        <f t="shared" si="111"/>
        <v>0.40860000000000002</v>
      </c>
      <c r="W2410" s="1">
        <f t="shared" si="112"/>
        <v>1.0800000000000001E-2</v>
      </c>
      <c r="X2410" s="1">
        <f t="shared" si="113"/>
        <v>0</v>
      </c>
    </row>
    <row r="2411" spans="1:24" x14ac:dyDescent="0.25">
      <c r="A2411">
        <v>2007</v>
      </c>
      <c r="B2411">
        <v>12</v>
      </c>
      <c r="C2411" t="s">
        <v>39</v>
      </c>
      <c r="D2411" t="str">
        <f>_xlfn.XLOOKUP(C2411,'Carrier Name Rename'!A:A,'Carrier Name Rename'!B:B)</f>
        <v>Frontier Airlines Inc.</v>
      </c>
      <c r="E2411" t="s">
        <v>23</v>
      </c>
      <c r="F2411" t="s">
        <v>24</v>
      </c>
      <c r="G2411">
        <v>119</v>
      </c>
      <c r="H2411">
        <v>72</v>
      </c>
      <c r="I2411">
        <v>24.08</v>
      </c>
      <c r="J2411">
        <v>0.37</v>
      </c>
      <c r="K2411">
        <v>37.229999999999997</v>
      </c>
      <c r="L2411">
        <v>0</v>
      </c>
      <c r="M2411">
        <v>10.32</v>
      </c>
      <c r="N2411">
        <v>0</v>
      </c>
      <c r="O2411">
        <v>0</v>
      </c>
      <c r="P2411">
        <v>3270</v>
      </c>
      <c r="Q2411">
        <v>979</v>
      </c>
      <c r="R2411">
        <v>33</v>
      </c>
      <c r="S2411">
        <v>1623</v>
      </c>
      <c r="T2411">
        <v>0</v>
      </c>
      <c r="U2411">
        <v>635</v>
      </c>
      <c r="V2411" s="1">
        <f t="shared" si="111"/>
        <v>0.60499999999999998</v>
      </c>
      <c r="W2411" s="1">
        <f t="shared" si="112"/>
        <v>0</v>
      </c>
      <c r="X2411" s="1">
        <f t="shared" si="113"/>
        <v>0</v>
      </c>
    </row>
    <row r="2412" spans="1:24" x14ac:dyDescent="0.25">
      <c r="A2412">
        <v>2007</v>
      </c>
      <c r="B2412">
        <v>12</v>
      </c>
      <c r="C2412" t="s">
        <v>21</v>
      </c>
      <c r="D2412" t="str">
        <f>_xlfn.XLOOKUP(C2412,'Carrier Name Rename'!A:A,'Carrier Name Rename'!B:B)</f>
        <v>Hawaiian Airlines Inc.</v>
      </c>
      <c r="E2412" t="s">
        <v>23</v>
      </c>
      <c r="F2412" t="s">
        <v>24</v>
      </c>
      <c r="G2412">
        <v>93</v>
      </c>
      <c r="H2412">
        <v>19</v>
      </c>
      <c r="I2412">
        <v>17.02</v>
      </c>
      <c r="J2412">
        <v>0</v>
      </c>
      <c r="K2412">
        <v>0.5</v>
      </c>
      <c r="L2412">
        <v>0</v>
      </c>
      <c r="M2412">
        <v>1.48</v>
      </c>
      <c r="N2412">
        <v>0</v>
      </c>
      <c r="O2412">
        <v>0</v>
      </c>
      <c r="P2412">
        <v>603</v>
      </c>
      <c r="Q2412">
        <v>542</v>
      </c>
      <c r="R2412">
        <v>0</v>
      </c>
      <c r="S2412">
        <v>8</v>
      </c>
      <c r="T2412">
        <v>0</v>
      </c>
      <c r="U2412">
        <v>53</v>
      </c>
      <c r="V2412" s="1">
        <f t="shared" si="111"/>
        <v>0.20430000000000001</v>
      </c>
      <c r="W2412" s="1">
        <f t="shared" si="112"/>
        <v>0</v>
      </c>
      <c r="X2412" s="1">
        <f t="shared" si="113"/>
        <v>0</v>
      </c>
    </row>
    <row r="2413" spans="1:24" x14ac:dyDescent="0.25">
      <c r="A2413">
        <v>2007</v>
      </c>
      <c r="B2413">
        <v>12</v>
      </c>
      <c r="C2413" t="s">
        <v>67</v>
      </c>
      <c r="D2413" t="str">
        <f>_xlfn.XLOOKUP(C2413,'Carrier Name Rename'!A:A,'Carrier Name Rename'!B:B)</f>
        <v>Northwest Airlines Inc.</v>
      </c>
      <c r="E2413" t="s">
        <v>23</v>
      </c>
      <c r="F2413" t="s">
        <v>24</v>
      </c>
      <c r="G2413">
        <v>414</v>
      </c>
      <c r="H2413">
        <v>218</v>
      </c>
      <c r="I2413">
        <v>80.95</v>
      </c>
      <c r="J2413">
        <v>4.74</v>
      </c>
      <c r="K2413">
        <v>113.37</v>
      </c>
      <c r="L2413">
        <v>0</v>
      </c>
      <c r="M2413">
        <v>18.940000000000001</v>
      </c>
      <c r="N2413">
        <v>2</v>
      </c>
      <c r="O2413">
        <v>0</v>
      </c>
      <c r="P2413">
        <v>11772</v>
      </c>
      <c r="Q2413">
        <v>4260</v>
      </c>
      <c r="R2413">
        <v>392</v>
      </c>
      <c r="S2413">
        <v>4651</v>
      </c>
      <c r="T2413">
        <v>0</v>
      </c>
      <c r="U2413">
        <v>2469</v>
      </c>
      <c r="V2413" s="1">
        <f t="shared" si="111"/>
        <v>0.52659999999999996</v>
      </c>
      <c r="W2413" s="1">
        <f t="shared" si="112"/>
        <v>4.7999999999999996E-3</v>
      </c>
      <c r="X2413" s="1">
        <f t="shared" si="113"/>
        <v>0</v>
      </c>
    </row>
    <row r="2414" spans="1:24" x14ac:dyDescent="0.25">
      <c r="A2414">
        <v>2007</v>
      </c>
      <c r="B2414">
        <v>12</v>
      </c>
      <c r="C2414" t="s">
        <v>27</v>
      </c>
      <c r="D2414" t="str">
        <f>_xlfn.XLOOKUP(C2414,'Carrier Name Rename'!A:A,'Carrier Name Rename'!B:B)</f>
        <v>SkyWest Airlines Inc.</v>
      </c>
      <c r="E2414" t="s">
        <v>23</v>
      </c>
      <c r="F2414" t="s">
        <v>24</v>
      </c>
      <c r="G2414">
        <v>382</v>
      </c>
      <c r="H2414">
        <v>102</v>
      </c>
      <c r="I2414">
        <v>59</v>
      </c>
      <c r="J2414">
        <v>4</v>
      </c>
      <c r="K2414">
        <v>15</v>
      </c>
      <c r="L2414">
        <v>0</v>
      </c>
      <c r="M2414">
        <v>24</v>
      </c>
      <c r="N2414">
        <v>8</v>
      </c>
      <c r="O2414">
        <v>0</v>
      </c>
      <c r="P2414">
        <v>3808</v>
      </c>
      <c r="Q2414">
        <v>2043</v>
      </c>
      <c r="R2414">
        <v>185</v>
      </c>
      <c r="S2414">
        <v>577</v>
      </c>
      <c r="T2414">
        <v>0</v>
      </c>
      <c r="U2414">
        <v>1003</v>
      </c>
      <c r="V2414" s="1">
        <f t="shared" si="111"/>
        <v>0.26700000000000002</v>
      </c>
      <c r="W2414" s="1">
        <f t="shared" si="112"/>
        <v>2.0899999999999998E-2</v>
      </c>
      <c r="X2414" s="1">
        <f t="shared" si="113"/>
        <v>0</v>
      </c>
    </row>
    <row r="2415" spans="1:24" x14ac:dyDescent="0.25">
      <c r="A2415">
        <v>2007</v>
      </c>
      <c r="B2415">
        <v>12</v>
      </c>
      <c r="C2415" t="s">
        <v>41</v>
      </c>
      <c r="D2415" t="str">
        <f>_xlfn.XLOOKUP(C2415,'Carrier Name Rename'!A:A,'Carrier Name Rename'!B:B)</f>
        <v>United Air Lines Inc.</v>
      </c>
      <c r="E2415" t="s">
        <v>23</v>
      </c>
      <c r="F2415" t="s">
        <v>24</v>
      </c>
      <c r="G2415">
        <v>842</v>
      </c>
      <c r="H2415">
        <v>356</v>
      </c>
      <c r="I2415">
        <v>100.46</v>
      </c>
      <c r="J2415">
        <v>9.25</v>
      </c>
      <c r="K2415">
        <v>99.83</v>
      </c>
      <c r="L2415">
        <v>0</v>
      </c>
      <c r="M2415">
        <v>146.44999999999999</v>
      </c>
      <c r="N2415">
        <v>38</v>
      </c>
      <c r="O2415">
        <v>1</v>
      </c>
      <c r="P2415">
        <v>23639</v>
      </c>
      <c r="Q2415">
        <v>6619</v>
      </c>
      <c r="R2415">
        <v>757</v>
      </c>
      <c r="S2415">
        <v>4267</v>
      </c>
      <c r="T2415">
        <v>0</v>
      </c>
      <c r="U2415">
        <v>11996</v>
      </c>
      <c r="V2415" s="1">
        <f t="shared" si="111"/>
        <v>0.42280000000000001</v>
      </c>
      <c r="W2415" s="1">
        <f t="shared" si="112"/>
        <v>4.5100000000000001E-2</v>
      </c>
      <c r="X2415" s="1">
        <f t="shared" si="113"/>
        <v>1.1999999999999999E-3</v>
      </c>
    </row>
    <row r="2416" spans="1:24" x14ac:dyDescent="0.25">
      <c r="A2416">
        <v>2007</v>
      </c>
      <c r="B2416">
        <v>12</v>
      </c>
      <c r="C2416" t="s">
        <v>61</v>
      </c>
      <c r="D2416" t="str">
        <f>_xlfn.XLOOKUP(C2416,'Carrier Name Rename'!A:A,'Carrier Name Rename'!B:B)</f>
        <v>US Airways Inc.</v>
      </c>
      <c r="E2416" t="s">
        <v>23</v>
      </c>
      <c r="F2416" t="s">
        <v>24</v>
      </c>
      <c r="G2416">
        <v>339</v>
      </c>
      <c r="H2416">
        <v>112</v>
      </c>
      <c r="I2416">
        <v>49.52</v>
      </c>
      <c r="J2416">
        <v>0</v>
      </c>
      <c r="K2416">
        <v>37.04</v>
      </c>
      <c r="L2416">
        <v>0.89</v>
      </c>
      <c r="M2416">
        <v>24.55</v>
      </c>
      <c r="N2416">
        <v>3</v>
      </c>
      <c r="O2416">
        <v>1</v>
      </c>
      <c r="P2416">
        <v>5174</v>
      </c>
      <c r="Q2416">
        <v>2139</v>
      </c>
      <c r="R2416">
        <v>0</v>
      </c>
      <c r="S2416">
        <v>1353</v>
      </c>
      <c r="T2416">
        <v>17</v>
      </c>
      <c r="U2416">
        <v>1665</v>
      </c>
      <c r="V2416" s="1">
        <f t="shared" si="111"/>
        <v>0.33040000000000003</v>
      </c>
      <c r="W2416" s="1">
        <f t="shared" si="112"/>
        <v>8.8000000000000005E-3</v>
      </c>
      <c r="X2416" s="1">
        <f t="shared" si="113"/>
        <v>2.8999999999999998E-3</v>
      </c>
    </row>
    <row r="2417" spans="1:24" x14ac:dyDescent="0.25">
      <c r="A2417">
        <v>2007</v>
      </c>
      <c r="B2417">
        <v>12</v>
      </c>
      <c r="C2417" t="s">
        <v>43</v>
      </c>
      <c r="D2417" t="str">
        <f>_xlfn.XLOOKUP(C2417,'Carrier Name Rename'!A:A,'Carrier Name Rename'!B:B)</f>
        <v>Southwest Airlines Co.</v>
      </c>
      <c r="E2417" t="s">
        <v>23</v>
      </c>
      <c r="F2417" t="s">
        <v>24</v>
      </c>
      <c r="G2417">
        <v>1374</v>
      </c>
      <c r="H2417">
        <v>430</v>
      </c>
      <c r="I2417">
        <v>108.2</v>
      </c>
      <c r="J2417">
        <v>6.37</v>
      </c>
      <c r="K2417">
        <v>105.76</v>
      </c>
      <c r="L2417">
        <v>2.09</v>
      </c>
      <c r="M2417">
        <v>207.58</v>
      </c>
      <c r="N2417">
        <v>10</v>
      </c>
      <c r="O2417">
        <v>1</v>
      </c>
      <c r="P2417">
        <v>19247</v>
      </c>
      <c r="Q2417">
        <v>4550</v>
      </c>
      <c r="R2417">
        <v>354</v>
      </c>
      <c r="S2417">
        <v>3587</v>
      </c>
      <c r="T2417">
        <v>64</v>
      </c>
      <c r="U2417">
        <v>10692</v>
      </c>
      <c r="V2417" s="1">
        <f t="shared" si="111"/>
        <v>0.313</v>
      </c>
      <c r="W2417" s="1">
        <f t="shared" si="112"/>
        <v>7.3000000000000001E-3</v>
      </c>
      <c r="X2417" s="1">
        <f t="shared" si="113"/>
        <v>6.9999999999999999E-4</v>
      </c>
    </row>
    <row r="2418" spans="1:24" x14ac:dyDescent="0.25">
      <c r="A2418">
        <v>2007</v>
      </c>
      <c r="B2418">
        <v>12</v>
      </c>
      <c r="C2418" t="s">
        <v>69</v>
      </c>
      <c r="D2418" t="str">
        <f>_xlfn.XLOOKUP(C2418,'Carrier Name Rename'!A:A,'Carrier Name Rename'!B:B)</f>
        <v>ExpressJet Airlines Inc.</v>
      </c>
      <c r="E2418" t="s">
        <v>23</v>
      </c>
      <c r="F2418" t="s">
        <v>24</v>
      </c>
      <c r="G2418">
        <v>88</v>
      </c>
      <c r="H2418">
        <v>51</v>
      </c>
      <c r="I2418">
        <v>14.64</v>
      </c>
      <c r="J2418">
        <v>0</v>
      </c>
      <c r="K2418">
        <v>16.98</v>
      </c>
      <c r="L2418">
        <v>0</v>
      </c>
      <c r="M2418">
        <v>19.38</v>
      </c>
      <c r="N2418">
        <v>0</v>
      </c>
      <c r="O2418">
        <v>0</v>
      </c>
      <c r="P2418">
        <v>2417</v>
      </c>
      <c r="Q2418">
        <v>768</v>
      </c>
      <c r="R2418">
        <v>0</v>
      </c>
      <c r="S2418">
        <v>693</v>
      </c>
      <c r="T2418">
        <v>0</v>
      </c>
      <c r="U2418">
        <v>956</v>
      </c>
      <c r="V2418" s="1">
        <f t="shared" si="111"/>
        <v>0.57950000000000002</v>
      </c>
      <c r="W2418" s="1">
        <f t="shared" si="112"/>
        <v>0</v>
      </c>
      <c r="X2418" s="1">
        <f t="shared" si="113"/>
        <v>0</v>
      </c>
    </row>
    <row r="2419" spans="1:24" x14ac:dyDescent="0.25">
      <c r="A2419">
        <v>2007</v>
      </c>
      <c r="B2419">
        <v>12</v>
      </c>
      <c r="C2419" t="s">
        <v>31</v>
      </c>
      <c r="D2419" t="str">
        <f>_xlfn.XLOOKUP(C2419,'Carrier Name Rename'!A:A,'Carrier Name Rename'!B:B)</f>
        <v>American Airlines Inc.</v>
      </c>
      <c r="E2419" t="s">
        <v>23</v>
      </c>
      <c r="F2419" t="s">
        <v>24</v>
      </c>
      <c r="G2419">
        <v>457</v>
      </c>
      <c r="H2419">
        <v>221</v>
      </c>
      <c r="I2419">
        <v>63.35</v>
      </c>
      <c r="J2419">
        <v>23.78</v>
      </c>
      <c r="K2419">
        <v>79.13</v>
      </c>
      <c r="L2419">
        <v>0</v>
      </c>
      <c r="M2419">
        <v>54.74</v>
      </c>
      <c r="N2419">
        <v>6</v>
      </c>
      <c r="O2419">
        <v>0</v>
      </c>
      <c r="P2419">
        <v>12865</v>
      </c>
      <c r="Q2419">
        <v>4163</v>
      </c>
      <c r="R2419">
        <v>1518</v>
      </c>
      <c r="S2419">
        <v>2910</v>
      </c>
      <c r="T2419">
        <v>0</v>
      </c>
      <c r="U2419">
        <v>4274</v>
      </c>
      <c r="V2419" s="1">
        <f t="shared" si="111"/>
        <v>0.48359999999999997</v>
      </c>
      <c r="W2419" s="1">
        <f t="shared" si="112"/>
        <v>1.3100000000000001E-2</v>
      </c>
      <c r="X2419" s="1">
        <f t="shared" si="113"/>
        <v>0</v>
      </c>
    </row>
    <row r="2420" spans="1:24" x14ac:dyDescent="0.25">
      <c r="A2420">
        <v>2007</v>
      </c>
      <c r="B2420">
        <v>12</v>
      </c>
      <c r="C2420" t="s">
        <v>33</v>
      </c>
      <c r="D2420" t="str">
        <f>_xlfn.XLOOKUP(C2420,'Carrier Name Rename'!A:A,'Carrier Name Rename'!B:B)</f>
        <v>Alaska Airlines Inc.</v>
      </c>
      <c r="E2420" t="s">
        <v>23</v>
      </c>
      <c r="F2420" t="s">
        <v>24</v>
      </c>
      <c r="G2420">
        <v>3834</v>
      </c>
      <c r="H2420">
        <v>1196</v>
      </c>
      <c r="I2420">
        <v>243.03</v>
      </c>
      <c r="J2420">
        <v>14.23</v>
      </c>
      <c r="K2420">
        <v>545.29999999999995</v>
      </c>
      <c r="L2420">
        <v>14.38</v>
      </c>
      <c r="M2420">
        <v>379.07</v>
      </c>
      <c r="N2420">
        <v>56</v>
      </c>
      <c r="O2420">
        <v>7</v>
      </c>
      <c r="P2420">
        <v>59426</v>
      </c>
      <c r="Q2420">
        <v>15640</v>
      </c>
      <c r="R2420">
        <v>913</v>
      </c>
      <c r="S2420">
        <v>17152</v>
      </c>
      <c r="T2420">
        <v>533</v>
      </c>
      <c r="U2420">
        <v>25188</v>
      </c>
      <c r="V2420" s="1">
        <f t="shared" si="111"/>
        <v>0.31190000000000001</v>
      </c>
      <c r="W2420" s="1">
        <f t="shared" si="112"/>
        <v>1.46E-2</v>
      </c>
      <c r="X2420" s="1">
        <f t="shared" si="113"/>
        <v>1.8E-3</v>
      </c>
    </row>
    <row r="2421" spans="1:24" x14ac:dyDescent="0.25">
      <c r="A2421">
        <v>2007</v>
      </c>
      <c r="B2421">
        <v>12</v>
      </c>
      <c r="C2421" t="s">
        <v>35</v>
      </c>
      <c r="D2421" t="str">
        <f>_xlfn.XLOOKUP(C2421,'Carrier Name Rename'!A:A,'Carrier Name Rename'!B:B)</f>
        <v>JetBlue Airways</v>
      </c>
      <c r="E2421" t="s">
        <v>23</v>
      </c>
      <c r="F2421" t="s">
        <v>24</v>
      </c>
      <c r="G2421">
        <v>62</v>
      </c>
      <c r="H2421">
        <v>19</v>
      </c>
      <c r="I2421">
        <v>7.21</v>
      </c>
      <c r="J2421">
        <v>0.56999999999999995</v>
      </c>
      <c r="K2421">
        <v>6.54</v>
      </c>
      <c r="L2421">
        <v>0</v>
      </c>
      <c r="M2421">
        <v>4.68</v>
      </c>
      <c r="N2421">
        <v>2</v>
      </c>
      <c r="O2421">
        <v>0</v>
      </c>
      <c r="P2421">
        <v>1368</v>
      </c>
      <c r="Q2421">
        <v>339</v>
      </c>
      <c r="R2421">
        <v>202</v>
      </c>
      <c r="S2421">
        <v>458</v>
      </c>
      <c r="T2421">
        <v>0</v>
      </c>
      <c r="U2421">
        <v>369</v>
      </c>
      <c r="V2421" s="1">
        <f t="shared" si="111"/>
        <v>0.30649999999999999</v>
      </c>
      <c r="W2421" s="1">
        <f t="shared" si="112"/>
        <v>3.2300000000000002E-2</v>
      </c>
      <c r="X2421" s="1">
        <f t="shared" si="113"/>
        <v>0</v>
      </c>
    </row>
    <row r="2422" spans="1:24" x14ac:dyDescent="0.25">
      <c r="A2422">
        <v>2007</v>
      </c>
      <c r="B2422">
        <v>12</v>
      </c>
      <c r="C2422" t="s">
        <v>65</v>
      </c>
      <c r="D2422" t="str">
        <f>_xlfn.XLOOKUP(C2422,'Carrier Name Rename'!A:A,'Carrier Name Rename'!B:B)</f>
        <v>Continental Air Lines Inc.</v>
      </c>
      <c r="E2422" t="s">
        <v>23</v>
      </c>
      <c r="F2422" t="s">
        <v>24</v>
      </c>
      <c r="G2422">
        <v>433</v>
      </c>
      <c r="H2422">
        <v>159</v>
      </c>
      <c r="I2422">
        <v>42.73</v>
      </c>
      <c r="J2422">
        <v>5</v>
      </c>
      <c r="K2422">
        <v>76.05</v>
      </c>
      <c r="L2422">
        <v>1.39</v>
      </c>
      <c r="M2422">
        <v>33.83</v>
      </c>
      <c r="N2422">
        <v>5</v>
      </c>
      <c r="O2422">
        <v>1</v>
      </c>
      <c r="P2422">
        <v>7078</v>
      </c>
      <c r="Q2422">
        <v>1871</v>
      </c>
      <c r="R2422">
        <v>528</v>
      </c>
      <c r="S2422">
        <v>2475</v>
      </c>
      <c r="T2422">
        <v>45</v>
      </c>
      <c r="U2422">
        <v>2159</v>
      </c>
      <c r="V2422" s="1">
        <f t="shared" si="111"/>
        <v>0.36720000000000003</v>
      </c>
      <c r="W2422" s="1">
        <f t="shared" si="112"/>
        <v>1.15E-2</v>
      </c>
      <c r="X2422" s="1">
        <f t="shared" si="113"/>
        <v>2.3E-3</v>
      </c>
    </row>
    <row r="2423" spans="1:24" x14ac:dyDescent="0.25">
      <c r="A2423">
        <v>2007</v>
      </c>
      <c r="B2423">
        <v>12</v>
      </c>
      <c r="C2423" t="s">
        <v>37</v>
      </c>
      <c r="D2423" t="str">
        <f>_xlfn.XLOOKUP(C2423,'Carrier Name Rename'!A:A,'Carrier Name Rename'!B:B)</f>
        <v>Delta Air Lines Inc.</v>
      </c>
      <c r="E2423" t="s">
        <v>23</v>
      </c>
      <c r="F2423" t="s">
        <v>24</v>
      </c>
      <c r="G2423">
        <v>473</v>
      </c>
      <c r="H2423">
        <v>169</v>
      </c>
      <c r="I2423">
        <v>38</v>
      </c>
      <c r="J2423">
        <v>6.42</v>
      </c>
      <c r="K2423">
        <v>91.82</v>
      </c>
      <c r="L2423">
        <v>0</v>
      </c>
      <c r="M2423">
        <v>32.76</v>
      </c>
      <c r="N2423">
        <v>5</v>
      </c>
      <c r="O2423">
        <v>1</v>
      </c>
      <c r="P2423">
        <v>7054</v>
      </c>
      <c r="Q2423">
        <v>1866</v>
      </c>
      <c r="R2423">
        <v>343</v>
      </c>
      <c r="S2423">
        <v>3127</v>
      </c>
      <c r="T2423">
        <v>0</v>
      </c>
      <c r="U2423">
        <v>1718</v>
      </c>
      <c r="V2423" s="1">
        <f t="shared" si="111"/>
        <v>0.35730000000000001</v>
      </c>
      <c r="W2423" s="1">
        <f t="shared" si="112"/>
        <v>1.06E-2</v>
      </c>
      <c r="X2423" s="1">
        <f t="shared" si="113"/>
        <v>2.0999999999999999E-3</v>
      </c>
    </row>
    <row r="2424" spans="1:24" x14ac:dyDescent="0.25">
      <c r="A2424">
        <v>2007</v>
      </c>
      <c r="B2424">
        <v>11</v>
      </c>
      <c r="C2424" t="s">
        <v>31</v>
      </c>
      <c r="D2424" t="str">
        <f>_xlfn.XLOOKUP(C2424,'Carrier Name Rename'!A:A,'Carrier Name Rename'!B:B)</f>
        <v>American Airlines Inc.</v>
      </c>
      <c r="E2424" t="s">
        <v>23</v>
      </c>
      <c r="F2424" t="s">
        <v>24</v>
      </c>
      <c r="G2424">
        <v>491</v>
      </c>
      <c r="H2424">
        <v>143</v>
      </c>
      <c r="I2424">
        <v>45.14</v>
      </c>
      <c r="J2424">
        <v>7.83</v>
      </c>
      <c r="K2424">
        <v>65.599999999999994</v>
      </c>
      <c r="L2424">
        <v>0</v>
      </c>
      <c r="M2424">
        <v>24.43</v>
      </c>
      <c r="N2424">
        <v>1</v>
      </c>
      <c r="O2424">
        <v>0</v>
      </c>
      <c r="P2424">
        <v>6829</v>
      </c>
      <c r="Q2424">
        <v>3156</v>
      </c>
      <c r="R2424">
        <v>329</v>
      </c>
      <c r="S2424">
        <v>1914</v>
      </c>
      <c r="T2424">
        <v>0</v>
      </c>
      <c r="U2424">
        <v>1430</v>
      </c>
      <c r="V2424" s="1">
        <f t="shared" si="111"/>
        <v>0.29120000000000001</v>
      </c>
      <c r="W2424" s="1">
        <f t="shared" si="112"/>
        <v>2E-3</v>
      </c>
      <c r="X2424" s="1">
        <f t="shared" si="113"/>
        <v>0</v>
      </c>
    </row>
    <row r="2425" spans="1:24" x14ac:dyDescent="0.25">
      <c r="A2425">
        <v>2007</v>
      </c>
      <c r="B2425">
        <v>11</v>
      </c>
      <c r="C2425" t="s">
        <v>33</v>
      </c>
      <c r="D2425" t="str">
        <f>_xlfn.XLOOKUP(C2425,'Carrier Name Rename'!A:A,'Carrier Name Rename'!B:B)</f>
        <v>Alaska Airlines Inc.</v>
      </c>
      <c r="E2425" t="s">
        <v>23</v>
      </c>
      <c r="F2425" t="s">
        <v>24</v>
      </c>
      <c r="G2425">
        <v>3698</v>
      </c>
      <c r="H2425">
        <v>838</v>
      </c>
      <c r="I2425">
        <v>192.24</v>
      </c>
      <c r="J2425">
        <v>4.5199999999999996</v>
      </c>
      <c r="K2425">
        <v>334.55</v>
      </c>
      <c r="L2425">
        <v>4.93</v>
      </c>
      <c r="M2425">
        <v>301.75</v>
      </c>
      <c r="N2425">
        <v>41</v>
      </c>
      <c r="O2425">
        <v>4</v>
      </c>
      <c r="P2425">
        <v>42245</v>
      </c>
      <c r="Q2425">
        <v>12047</v>
      </c>
      <c r="R2425">
        <v>362</v>
      </c>
      <c r="S2425">
        <v>10595</v>
      </c>
      <c r="T2425">
        <v>196</v>
      </c>
      <c r="U2425">
        <v>19045</v>
      </c>
      <c r="V2425" s="1">
        <f t="shared" si="111"/>
        <v>0.2266</v>
      </c>
      <c r="W2425" s="1">
        <f t="shared" si="112"/>
        <v>1.11E-2</v>
      </c>
      <c r="X2425" s="1">
        <f t="shared" si="113"/>
        <v>1.1000000000000001E-3</v>
      </c>
    </row>
    <row r="2426" spans="1:24" x14ac:dyDescent="0.25">
      <c r="A2426">
        <v>2007</v>
      </c>
      <c r="B2426">
        <v>11</v>
      </c>
      <c r="C2426" t="s">
        <v>35</v>
      </c>
      <c r="D2426" t="str">
        <f>_xlfn.XLOOKUP(C2426,'Carrier Name Rename'!A:A,'Carrier Name Rename'!B:B)</f>
        <v>JetBlue Airways</v>
      </c>
      <c r="E2426" t="s">
        <v>23</v>
      </c>
      <c r="F2426" t="s">
        <v>24</v>
      </c>
      <c r="G2426">
        <v>59</v>
      </c>
      <c r="H2426">
        <v>13</v>
      </c>
      <c r="I2426">
        <v>3.34</v>
      </c>
      <c r="J2426">
        <v>0</v>
      </c>
      <c r="K2426">
        <v>9.06</v>
      </c>
      <c r="L2426">
        <v>0</v>
      </c>
      <c r="M2426">
        <v>0.6</v>
      </c>
      <c r="N2426">
        <v>1</v>
      </c>
      <c r="O2426">
        <v>0</v>
      </c>
      <c r="P2426">
        <v>462</v>
      </c>
      <c r="Q2426">
        <v>177</v>
      </c>
      <c r="R2426">
        <v>0</v>
      </c>
      <c r="S2426">
        <v>276</v>
      </c>
      <c r="T2426">
        <v>0</v>
      </c>
      <c r="U2426">
        <v>9</v>
      </c>
      <c r="V2426" s="1">
        <f t="shared" si="111"/>
        <v>0.2203</v>
      </c>
      <c r="W2426" s="1">
        <f t="shared" si="112"/>
        <v>1.6899999999999998E-2</v>
      </c>
      <c r="X2426" s="1">
        <f t="shared" si="113"/>
        <v>0</v>
      </c>
    </row>
    <row r="2427" spans="1:24" x14ac:dyDescent="0.25">
      <c r="A2427">
        <v>2007</v>
      </c>
      <c r="B2427">
        <v>11</v>
      </c>
      <c r="C2427" t="s">
        <v>65</v>
      </c>
      <c r="D2427" t="str">
        <f>_xlfn.XLOOKUP(C2427,'Carrier Name Rename'!A:A,'Carrier Name Rename'!B:B)</f>
        <v>Continental Air Lines Inc.</v>
      </c>
      <c r="E2427" t="s">
        <v>23</v>
      </c>
      <c r="F2427" t="s">
        <v>24</v>
      </c>
      <c r="G2427">
        <v>358</v>
      </c>
      <c r="H2427">
        <v>101</v>
      </c>
      <c r="I2427">
        <v>28.58</v>
      </c>
      <c r="J2427">
        <v>1.0900000000000001</v>
      </c>
      <c r="K2427">
        <v>59.24</v>
      </c>
      <c r="L2427">
        <v>0.39</v>
      </c>
      <c r="M2427">
        <v>11.7</v>
      </c>
      <c r="N2427">
        <v>0</v>
      </c>
      <c r="O2427">
        <v>0</v>
      </c>
      <c r="P2427">
        <v>3950</v>
      </c>
      <c r="Q2427">
        <v>1360</v>
      </c>
      <c r="R2427">
        <v>47</v>
      </c>
      <c r="S2427">
        <v>1787</v>
      </c>
      <c r="T2427">
        <v>9</v>
      </c>
      <c r="U2427">
        <v>747</v>
      </c>
      <c r="V2427" s="1">
        <f t="shared" si="111"/>
        <v>0.28210000000000002</v>
      </c>
      <c r="W2427" s="1">
        <f t="shared" si="112"/>
        <v>0</v>
      </c>
      <c r="X2427" s="1">
        <f t="shared" si="113"/>
        <v>0</v>
      </c>
    </row>
    <row r="2428" spans="1:24" x14ac:dyDescent="0.25">
      <c r="A2428">
        <v>2007</v>
      </c>
      <c r="B2428">
        <v>11</v>
      </c>
      <c r="C2428" t="s">
        <v>37</v>
      </c>
      <c r="D2428" t="str">
        <f>_xlfn.XLOOKUP(C2428,'Carrier Name Rename'!A:A,'Carrier Name Rename'!B:B)</f>
        <v>Delta Air Lines Inc.</v>
      </c>
      <c r="E2428" t="s">
        <v>23</v>
      </c>
      <c r="F2428" t="s">
        <v>24</v>
      </c>
      <c r="G2428">
        <v>449</v>
      </c>
      <c r="H2428">
        <v>120</v>
      </c>
      <c r="I2428">
        <v>25.01</v>
      </c>
      <c r="J2428">
        <v>0.1</v>
      </c>
      <c r="K2428">
        <v>80.989999999999995</v>
      </c>
      <c r="L2428">
        <v>0</v>
      </c>
      <c r="M2428">
        <v>13.9</v>
      </c>
      <c r="N2428">
        <v>2</v>
      </c>
      <c r="O2428">
        <v>0</v>
      </c>
      <c r="P2428">
        <v>3966</v>
      </c>
      <c r="Q2428">
        <v>1023</v>
      </c>
      <c r="R2428">
        <v>4</v>
      </c>
      <c r="S2428">
        <v>2258</v>
      </c>
      <c r="T2428">
        <v>0</v>
      </c>
      <c r="U2428">
        <v>681</v>
      </c>
      <c r="V2428" s="1">
        <f t="shared" si="111"/>
        <v>0.26729999999999998</v>
      </c>
      <c r="W2428" s="1">
        <f t="shared" si="112"/>
        <v>4.4999999999999997E-3</v>
      </c>
      <c r="X2428" s="1">
        <f t="shared" si="113"/>
        <v>0</v>
      </c>
    </row>
    <row r="2429" spans="1:24" x14ac:dyDescent="0.25">
      <c r="A2429">
        <v>2007</v>
      </c>
      <c r="B2429">
        <v>11</v>
      </c>
      <c r="C2429" t="s">
        <v>39</v>
      </c>
      <c r="D2429" t="str">
        <f>_xlfn.XLOOKUP(C2429,'Carrier Name Rename'!A:A,'Carrier Name Rename'!B:B)</f>
        <v>Frontier Airlines Inc.</v>
      </c>
      <c r="E2429" t="s">
        <v>23</v>
      </c>
      <c r="F2429" t="s">
        <v>24</v>
      </c>
      <c r="G2429">
        <v>116</v>
      </c>
      <c r="H2429">
        <v>48</v>
      </c>
      <c r="I2429">
        <v>21</v>
      </c>
      <c r="J2429">
        <v>0</v>
      </c>
      <c r="K2429">
        <v>26.46</v>
      </c>
      <c r="L2429">
        <v>0</v>
      </c>
      <c r="M2429">
        <v>0.55000000000000004</v>
      </c>
      <c r="N2429">
        <v>0</v>
      </c>
      <c r="O2429">
        <v>0</v>
      </c>
      <c r="P2429">
        <v>1288</v>
      </c>
      <c r="Q2429">
        <v>596</v>
      </c>
      <c r="R2429">
        <v>0</v>
      </c>
      <c r="S2429">
        <v>683</v>
      </c>
      <c r="T2429">
        <v>0</v>
      </c>
      <c r="U2429">
        <v>9</v>
      </c>
      <c r="V2429" s="1">
        <f t="shared" si="111"/>
        <v>0.4138</v>
      </c>
      <c r="W2429" s="1">
        <f t="shared" si="112"/>
        <v>0</v>
      </c>
      <c r="X2429" s="1">
        <f t="shared" si="113"/>
        <v>0</v>
      </c>
    </row>
    <row r="2430" spans="1:24" x14ac:dyDescent="0.25">
      <c r="A2430">
        <v>2007</v>
      </c>
      <c r="B2430">
        <v>11</v>
      </c>
      <c r="C2430" t="s">
        <v>63</v>
      </c>
      <c r="D2430" t="str">
        <f>_xlfn.XLOOKUP(C2430,'Carrier Name Rename'!A:A,'Carrier Name Rename'!B:B)</f>
        <v>AirTran Airways Corporation</v>
      </c>
      <c r="E2430" t="s">
        <v>23</v>
      </c>
      <c r="F2430" t="s">
        <v>24</v>
      </c>
      <c r="G2430">
        <v>16</v>
      </c>
      <c r="H2430">
        <v>9</v>
      </c>
      <c r="I2430">
        <v>0.48</v>
      </c>
      <c r="J2430">
        <v>0</v>
      </c>
      <c r="K2430">
        <v>8.16</v>
      </c>
      <c r="L2430">
        <v>0</v>
      </c>
      <c r="M2430">
        <v>0.36</v>
      </c>
      <c r="N2430">
        <v>0</v>
      </c>
      <c r="O2430">
        <v>0</v>
      </c>
      <c r="P2430">
        <v>211</v>
      </c>
      <c r="Q2430">
        <v>13</v>
      </c>
      <c r="R2430">
        <v>0</v>
      </c>
      <c r="S2430">
        <v>189</v>
      </c>
      <c r="T2430">
        <v>0</v>
      </c>
      <c r="U2430">
        <v>9</v>
      </c>
      <c r="V2430" s="1">
        <f t="shared" si="111"/>
        <v>0.5625</v>
      </c>
      <c r="W2430" s="1">
        <f t="shared" si="112"/>
        <v>0</v>
      </c>
      <c r="X2430" s="1">
        <f t="shared" si="113"/>
        <v>0</v>
      </c>
    </row>
    <row r="2431" spans="1:24" x14ac:dyDescent="0.25">
      <c r="A2431">
        <v>2007</v>
      </c>
      <c r="B2431">
        <v>11</v>
      </c>
      <c r="C2431" t="s">
        <v>21</v>
      </c>
      <c r="D2431" t="str">
        <f>_xlfn.XLOOKUP(C2431,'Carrier Name Rename'!A:A,'Carrier Name Rename'!B:B)</f>
        <v>Hawaiian Airlines Inc.</v>
      </c>
      <c r="E2431" t="s">
        <v>23</v>
      </c>
      <c r="F2431" t="s">
        <v>24</v>
      </c>
      <c r="G2431">
        <v>90</v>
      </c>
      <c r="H2431">
        <v>11</v>
      </c>
      <c r="I2431">
        <v>9.98</v>
      </c>
      <c r="J2431">
        <v>0</v>
      </c>
      <c r="K2431">
        <v>0</v>
      </c>
      <c r="L2431">
        <v>0</v>
      </c>
      <c r="M2431">
        <v>1.02</v>
      </c>
      <c r="N2431">
        <v>0</v>
      </c>
      <c r="O2431">
        <v>0</v>
      </c>
      <c r="P2431">
        <v>919</v>
      </c>
      <c r="Q2431">
        <v>866</v>
      </c>
      <c r="R2431">
        <v>0</v>
      </c>
      <c r="S2431">
        <v>0</v>
      </c>
      <c r="T2431">
        <v>0</v>
      </c>
      <c r="U2431">
        <v>53</v>
      </c>
      <c r="V2431" s="1">
        <f t="shared" si="111"/>
        <v>0.1222</v>
      </c>
      <c r="W2431" s="1">
        <f t="shared" si="112"/>
        <v>0</v>
      </c>
      <c r="X2431" s="1">
        <f t="shared" si="113"/>
        <v>0</v>
      </c>
    </row>
    <row r="2432" spans="1:24" x14ac:dyDescent="0.25">
      <c r="A2432">
        <v>2007</v>
      </c>
      <c r="B2432">
        <v>11</v>
      </c>
      <c r="C2432" t="s">
        <v>67</v>
      </c>
      <c r="D2432" t="str">
        <f>_xlfn.XLOOKUP(C2432,'Carrier Name Rename'!A:A,'Carrier Name Rename'!B:B)</f>
        <v>Northwest Airlines Inc.</v>
      </c>
      <c r="E2432" t="s">
        <v>23</v>
      </c>
      <c r="F2432" t="s">
        <v>24</v>
      </c>
      <c r="G2432">
        <v>360</v>
      </c>
      <c r="H2432">
        <v>170</v>
      </c>
      <c r="I2432">
        <v>32.520000000000003</v>
      </c>
      <c r="J2432">
        <v>0.39</v>
      </c>
      <c r="K2432">
        <v>127.19</v>
      </c>
      <c r="L2432">
        <v>0</v>
      </c>
      <c r="M2432">
        <v>9.9</v>
      </c>
      <c r="N2432">
        <v>0</v>
      </c>
      <c r="O2432">
        <v>1</v>
      </c>
      <c r="P2432">
        <v>6657</v>
      </c>
      <c r="Q2432">
        <v>1912</v>
      </c>
      <c r="R2432">
        <v>7</v>
      </c>
      <c r="S2432">
        <v>3894</v>
      </c>
      <c r="T2432">
        <v>0</v>
      </c>
      <c r="U2432">
        <v>844</v>
      </c>
      <c r="V2432" s="1">
        <f t="shared" si="111"/>
        <v>0.47220000000000001</v>
      </c>
      <c r="W2432" s="1">
        <f t="shared" si="112"/>
        <v>0</v>
      </c>
      <c r="X2432" s="1">
        <f t="shared" si="113"/>
        <v>2.8E-3</v>
      </c>
    </row>
    <row r="2433" spans="1:24" x14ac:dyDescent="0.25">
      <c r="A2433">
        <v>2007</v>
      </c>
      <c r="B2433">
        <v>11</v>
      </c>
      <c r="C2433" t="s">
        <v>27</v>
      </c>
      <c r="D2433" t="str">
        <f>_xlfn.XLOOKUP(C2433,'Carrier Name Rename'!A:A,'Carrier Name Rename'!B:B)</f>
        <v>SkyWest Airlines Inc.</v>
      </c>
      <c r="E2433" t="s">
        <v>23</v>
      </c>
      <c r="F2433" t="s">
        <v>24</v>
      </c>
      <c r="G2433">
        <v>443</v>
      </c>
      <c r="H2433">
        <v>80</v>
      </c>
      <c r="I2433">
        <v>49</v>
      </c>
      <c r="J2433">
        <v>3</v>
      </c>
      <c r="K2433">
        <v>10</v>
      </c>
      <c r="L2433">
        <v>0</v>
      </c>
      <c r="M2433">
        <v>18</v>
      </c>
      <c r="N2433">
        <v>5</v>
      </c>
      <c r="O2433">
        <v>1</v>
      </c>
      <c r="P2433">
        <v>3107</v>
      </c>
      <c r="Q2433">
        <v>1573</v>
      </c>
      <c r="R2433">
        <v>101</v>
      </c>
      <c r="S2433">
        <v>604</v>
      </c>
      <c r="T2433">
        <v>0</v>
      </c>
      <c r="U2433">
        <v>829</v>
      </c>
      <c r="V2433" s="1">
        <f t="shared" si="111"/>
        <v>0.18060000000000001</v>
      </c>
      <c r="W2433" s="1">
        <f t="shared" si="112"/>
        <v>1.1299999999999999E-2</v>
      </c>
      <c r="X2433" s="1">
        <f t="shared" si="113"/>
        <v>2.3E-3</v>
      </c>
    </row>
    <row r="2434" spans="1:24" x14ac:dyDescent="0.25">
      <c r="A2434">
        <v>2007</v>
      </c>
      <c r="B2434">
        <v>11</v>
      </c>
      <c r="C2434" t="s">
        <v>41</v>
      </c>
      <c r="D2434" t="str">
        <f>_xlfn.XLOOKUP(C2434,'Carrier Name Rename'!A:A,'Carrier Name Rename'!B:B)</f>
        <v>United Air Lines Inc.</v>
      </c>
      <c r="E2434" t="s">
        <v>23</v>
      </c>
      <c r="F2434" t="s">
        <v>24</v>
      </c>
      <c r="G2434">
        <v>825</v>
      </c>
      <c r="H2434">
        <v>231</v>
      </c>
      <c r="I2434">
        <v>50.35</v>
      </c>
      <c r="J2434">
        <v>4.9800000000000004</v>
      </c>
      <c r="K2434">
        <v>82.22</v>
      </c>
      <c r="L2434">
        <v>0</v>
      </c>
      <c r="M2434">
        <v>93.45</v>
      </c>
      <c r="N2434">
        <v>7</v>
      </c>
      <c r="O2434">
        <v>0</v>
      </c>
      <c r="P2434">
        <v>13059</v>
      </c>
      <c r="Q2434">
        <v>3018</v>
      </c>
      <c r="R2434">
        <v>394</v>
      </c>
      <c r="S2434">
        <v>2606</v>
      </c>
      <c r="T2434">
        <v>0</v>
      </c>
      <c r="U2434">
        <v>7041</v>
      </c>
      <c r="V2434" s="1">
        <f t="shared" si="111"/>
        <v>0.28000000000000003</v>
      </c>
      <c r="W2434" s="1">
        <f t="shared" si="112"/>
        <v>8.5000000000000006E-3</v>
      </c>
      <c r="X2434" s="1">
        <f t="shared" si="113"/>
        <v>0</v>
      </c>
    </row>
    <row r="2435" spans="1:24" x14ac:dyDescent="0.25">
      <c r="A2435">
        <v>2007</v>
      </c>
      <c r="B2435">
        <v>11</v>
      </c>
      <c r="C2435" t="s">
        <v>61</v>
      </c>
      <c r="D2435" t="str">
        <f>_xlfn.XLOOKUP(C2435,'Carrier Name Rename'!A:A,'Carrier Name Rename'!B:B)</f>
        <v>US Airways Inc.</v>
      </c>
      <c r="E2435" t="s">
        <v>23</v>
      </c>
      <c r="F2435" t="s">
        <v>24</v>
      </c>
      <c r="G2435">
        <v>321</v>
      </c>
      <c r="H2435">
        <v>60</v>
      </c>
      <c r="I2435">
        <v>19.07</v>
      </c>
      <c r="J2435">
        <v>0</v>
      </c>
      <c r="K2435">
        <v>26.57</v>
      </c>
      <c r="L2435">
        <v>1.99</v>
      </c>
      <c r="M2435">
        <v>12.37</v>
      </c>
      <c r="N2435">
        <v>5</v>
      </c>
      <c r="O2435">
        <v>1</v>
      </c>
      <c r="P2435">
        <v>2642</v>
      </c>
      <c r="Q2435">
        <v>1066</v>
      </c>
      <c r="R2435">
        <v>0</v>
      </c>
      <c r="S2435">
        <v>926</v>
      </c>
      <c r="T2435">
        <v>78</v>
      </c>
      <c r="U2435">
        <v>572</v>
      </c>
      <c r="V2435" s="1">
        <f t="shared" ref="V2435:V2498" si="114">ROUND(H2435/G2435,4)</f>
        <v>0.18690000000000001</v>
      </c>
      <c r="W2435" s="1">
        <f t="shared" ref="W2435:W2498" si="115">ROUND(N2435/G2435,4)</f>
        <v>1.5599999999999999E-2</v>
      </c>
      <c r="X2435" s="1">
        <f t="shared" ref="X2435:X2498" si="116">ROUND(O2435/G2435,4)</f>
        <v>3.0999999999999999E-3</v>
      </c>
    </row>
    <row r="2436" spans="1:24" x14ac:dyDescent="0.25">
      <c r="A2436">
        <v>2007</v>
      </c>
      <c r="B2436">
        <v>11</v>
      </c>
      <c r="C2436" t="s">
        <v>43</v>
      </c>
      <c r="D2436" t="str">
        <f>_xlfn.XLOOKUP(C2436,'Carrier Name Rename'!A:A,'Carrier Name Rename'!B:B)</f>
        <v>Southwest Airlines Co.</v>
      </c>
      <c r="E2436" t="s">
        <v>23</v>
      </c>
      <c r="F2436" t="s">
        <v>24</v>
      </c>
      <c r="G2436">
        <v>1331</v>
      </c>
      <c r="H2436">
        <v>195</v>
      </c>
      <c r="I2436">
        <v>45.79</v>
      </c>
      <c r="J2436">
        <v>4.2699999999999996</v>
      </c>
      <c r="K2436">
        <v>51.08</v>
      </c>
      <c r="L2436">
        <v>0.86</v>
      </c>
      <c r="M2436">
        <v>92.99</v>
      </c>
      <c r="N2436">
        <v>6</v>
      </c>
      <c r="O2436">
        <v>2</v>
      </c>
      <c r="P2436">
        <v>8384</v>
      </c>
      <c r="Q2436">
        <v>1684</v>
      </c>
      <c r="R2436">
        <v>323</v>
      </c>
      <c r="S2436">
        <v>2107</v>
      </c>
      <c r="T2436">
        <v>22</v>
      </c>
      <c r="U2436">
        <v>4248</v>
      </c>
      <c r="V2436" s="1">
        <f t="shared" si="114"/>
        <v>0.14649999999999999</v>
      </c>
      <c r="W2436" s="1">
        <f t="shared" si="115"/>
        <v>4.4999999999999997E-3</v>
      </c>
      <c r="X2436" s="1">
        <f t="shared" si="116"/>
        <v>1.5E-3</v>
      </c>
    </row>
    <row r="2437" spans="1:24" x14ac:dyDescent="0.25">
      <c r="A2437">
        <v>2007</v>
      </c>
      <c r="B2437">
        <v>11</v>
      </c>
      <c r="C2437" t="s">
        <v>69</v>
      </c>
      <c r="D2437" t="str">
        <f>_xlfn.XLOOKUP(C2437,'Carrier Name Rename'!A:A,'Carrier Name Rename'!B:B)</f>
        <v>ExpressJet Airlines Inc.</v>
      </c>
      <c r="E2437" t="s">
        <v>23</v>
      </c>
      <c r="F2437" t="s">
        <v>24</v>
      </c>
      <c r="G2437">
        <v>108</v>
      </c>
      <c r="H2437">
        <v>45</v>
      </c>
      <c r="I2437">
        <v>9.27</v>
      </c>
      <c r="J2437">
        <v>0</v>
      </c>
      <c r="K2437">
        <v>24.35</v>
      </c>
      <c r="L2437">
        <v>0</v>
      </c>
      <c r="M2437">
        <v>11.38</v>
      </c>
      <c r="N2437">
        <v>0</v>
      </c>
      <c r="O2437">
        <v>0</v>
      </c>
      <c r="P2437">
        <v>1700</v>
      </c>
      <c r="Q2437">
        <v>522</v>
      </c>
      <c r="R2437">
        <v>0</v>
      </c>
      <c r="S2437">
        <v>807</v>
      </c>
      <c r="T2437">
        <v>0</v>
      </c>
      <c r="U2437">
        <v>371</v>
      </c>
      <c r="V2437" s="1">
        <f t="shared" si="114"/>
        <v>0.41670000000000001</v>
      </c>
      <c r="W2437" s="1">
        <f t="shared" si="115"/>
        <v>0</v>
      </c>
      <c r="X2437" s="1">
        <f t="shared" si="116"/>
        <v>0</v>
      </c>
    </row>
    <row r="2438" spans="1:24" x14ac:dyDescent="0.25">
      <c r="A2438">
        <v>2007</v>
      </c>
      <c r="B2438">
        <v>10</v>
      </c>
      <c r="C2438" t="s">
        <v>31</v>
      </c>
      <c r="D2438" t="str">
        <f>_xlfn.XLOOKUP(C2438,'Carrier Name Rename'!A:A,'Carrier Name Rename'!B:B)</f>
        <v>American Airlines Inc.</v>
      </c>
      <c r="E2438" t="s">
        <v>23</v>
      </c>
      <c r="F2438" t="s">
        <v>24</v>
      </c>
      <c r="G2438">
        <v>514</v>
      </c>
      <c r="H2438">
        <v>169</v>
      </c>
      <c r="I2438">
        <v>41.98</v>
      </c>
      <c r="J2438">
        <v>6.94</v>
      </c>
      <c r="K2438">
        <v>85.6</v>
      </c>
      <c r="L2438">
        <v>0</v>
      </c>
      <c r="M2438">
        <v>34.479999999999997</v>
      </c>
      <c r="N2438">
        <v>2</v>
      </c>
      <c r="O2438">
        <v>1</v>
      </c>
      <c r="P2438">
        <v>7841</v>
      </c>
      <c r="Q2438">
        <v>1990</v>
      </c>
      <c r="R2438">
        <v>467</v>
      </c>
      <c r="S2438">
        <v>3049</v>
      </c>
      <c r="T2438">
        <v>0</v>
      </c>
      <c r="U2438">
        <v>2335</v>
      </c>
      <c r="V2438" s="1">
        <f t="shared" si="114"/>
        <v>0.32879999999999998</v>
      </c>
      <c r="W2438" s="1">
        <f t="shared" si="115"/>
        <v>3.8999999999999998E-3</v>
      </c>
      <c r="X2438" s="1">
        <f t="shared" si="116"/>
        <v>1.9E-3</v>
      </c>
    </row>
    <row r="2439" spans="1:24" x14ac:dyDescent="0.25">
      <c r="A2439">
        <v>2007</v>
      </c>
      <c r="B2439">
        <v>10</v>
      </c>
      <c r="C2439" t="s">
        <v>33</v>
      </c>
      <c r="D2439" t="str">
        <f>_xlfn.XLOOKUP(C2439,'Carrier Name Rename'!A:A,'Carrier Name Rename'!B:B)</f>
        <v>Alaska Airlines Inc.</v>
      </c>
      <c r="E2439" t="s">
        <v>23</v>
      </c>
      <c r="F2439" t="s">
        <v>24</v>
      </c>
      <c r="G2439">
        <v>4178</v>
      </c>
      <c r="H2439">
        <v>1285</v>
      </c>
      <c r="I2439">
        <v>222.42</v>
      </c>
      <c r="J2439">
        <v>6.18</v>
      </c>
      <c r="K2439">
        <v>560.07000000000005</v>
      </c>
      <c r="L2439">
        <v>3.32</v>
      </c>
      <c r="M2439">
        <v>493.02</v>
      </c>
      <c r="N2439">
        <v>79</v>
      </c>
      <c r="O2439">
        <v>23</v>
      </c>
      <c r="P2439">
        <v>62263</v>
      </c>
      <c r="Q2439">
        <v>14961</v>
      </c>
      <c r="R2439">
        <v>367</v>
      </c>
      <c r="S2439">
        <v>17597</v>
      </c>
      <c r="T2439">
        <v>122</v>
      </c>
      <c r="U2439">
        <v>29216</v>
      </c>
      <c r="V2439" s="1">
        <f t="shared" si="114"/>
        <v>0.30759999999999998</v>
      </c>
      <c r="W2439" s="1">
        <f t="shared" si="115"/>
        <v>1.89E-2</v>
      </c>
      <c r="X2439" s="1">
        <f t="shared" si="116"/>
        <v>5.4999999999999997E-3</v>
      </c>
    </row>
    <row r="2440" spans="1:24" x14ac:dyDescent="0.25">
      <c r="A2440">
        <v>2007</v>
      </c>
      <c r="B2440">
        <v>10</v>
      </c>
      <c r="C2440" t="s">
        <v>35</v>
      </c>
      <c r="D2440" t="str">
        <f>_xlfn.XLOOKUP(C2440,'Carrier Name Rename'!A:A,'Carrier Name Rename'!B:B)</f>
        <v>JetBlue Airways</v>
      </c>
      <c r="E2440" t="s">
        <v>23</v>
      </c>
      <c r="F2440" t="s">
        <v>24</v>
      </c>
      <c r="G2440">
        <v>93</v>
      </c>
      <c r="H2440">
        <v>29</v>
      </c>
      <c r="I2440">
        <v>3.15</v>
      </c>
      <c r="J2440">
        <v>0</v>
      </c>
      <c r="K2440">
        <v>20.69</v>
      </c>
      <c r="L2440">
        <v>0</v>
      </c>
      <c r="M2440">
        <v>5.16</v>
      </c>
      <c r="N2440">
        <v>0</v>
      </c>
      <c r="O2440">
        <v>0</v>
      </c>
      <c r="P2440">
        <v>1587</v>
      </c>
      <c r="Q2440">
        <v>323</v>
      </c>
      <c r="R2440">
        <v>0</v>
      </c>
      <c r="S2440">
        <v>1002</v>
      </c>
      <c r="T2440">
        <v>0</v>
      </c>
      <c r="U2440">
        <v>262</v>
      </c>
      <c r="V2440" s="1">
        <f t="shared" si="114"/>
        <v>0.31180000000000002</v>
      </c>
      <c r="W2440" s="1">
        <f t="shared" si="115"/>
        <v>0</v>
      </c>
      <c r="X2440" s="1">
        <f t="shared" si="116"/>
        <v>0</v>
      </c>
    </row>
    <row r="2441" spans="1:24" x14ac:dyDescent="0.25">
      <c r="A2441">
        <v>2007</v>
      </c>
      <c r="B2441">
        <v>10</v>
      </c>
      <c r="C2441" t="s">
        <v>65</v>
      </c>
      <c r="D2441" t="str">
        <f>_xlfn.XLOOKUP(C2441,'Carrier Name Rename'!A:A,'Carrier Name Rename'!B:B)</f>
        <v>Continental Air Lines Inc.</v>
      </c>
      <c r="E2441" t="s">
        <v>23</v>
      </c>
      <c r="F2441" t="s">
        <v>24</v>
      </c>
      <c r="G2441">
        <v>381</v>
      </c>
      <c r="H2441">
        <v>112</v>
      </c>
      <c r="I2441">
        <v>22.41</v>
      </c>
      <c r="J2441">
        <v>3.02</v>
      </c>
      <c r="K2441">
        <v>61.42</v>
      </c>
      <c r="L2441">
        <v>0.24</v>
      </c>
      <c r="M2441">
        <v>24.91</v>
      </c>
      <c r="N2441">
        <v>0</v>
      </c>
      <c r="O2441">
        <v>0</v>
      </c>
      <c r="P2441">
        <v>4688</v>
      </c>
      <c r="Q2441">
        <v>738</v>
      </c>
      <c r="R2441">
        <v>407</v>
      </c>
      <c r="S2441">
        <v>1971</v>
      </c>
      <c r="T2441">
        <v>5</v>
      </c>
      <c r="U2441">
        <v>1567</v>
      </c>
      <c r="V2441" s="1">
        <f t="shared" si="114"/>
        <v>0.29399999999999998</v>
      </c>
      <c r="W2441" s="1">
        <f t="shared" si="115"/>
        <v>0</v>
      </c>
      <c r="X2441" s="1">
        <f t="shared" si="116"/>
        <v>0</v>
      </c>
    </row>
    <row r="2442" spans="1:24" x14ac:dyDescent="0.25">
      <c r="A2442">
        <v>2007</v>
      </c>
      <c r="B2442">
        <v>10</v>
      </c>
      <c r="C2442" t="s">
        <v>37</v>
      </c>
      <c r="D2442" t="str">
        <f>_xlfn.XLOOKUP(C2442,'Carrier Name Rename'!A:A,'Carrier Name Rename'!B:B)</f>
        <v>Delta Air Lines Inc.</v>
      </c>
      <c r="E2442" t="s">
        <v>23</v>
      </c>
      <c r="F2442" t="s">
        <v>24</v>
      </c>
      <c r="G2442">
        <v>449</v>
      </c>
      <c r="H2442">
        <v>110</v>
      </c>
      <c r="I2442">
        <v>26.83</v>
      </c>
      <c r="J2442">
        <v>0</v>
      </c>
      <c r="K2442">
        <v>66.12</v>
      </c>
      <c r="L2442">
        <v>0</v>
      </c>
      <c r="M2442">
        <v>17.05</v>
      </c>
      <c r="N2442">
        <v>0</v>
      </c>
      <c r="O2442">
        <v>2</v>
      </c>
      <c r="P2442">
        <v>4740</v>
      </c>
      <c r="Q2442">
        <v>1181</v>
      </c>
      <c r="R2442">
        <v>0</v>
      </c>
      <c r="S2442">
        <v>2686</v>
      </c>
      <c r="T2442">
        <v>0</v>
      </c>
      <c r="U2442">
        <v>873</v>
      </c>
      <c r="V2442" s="1">
        <f t="shared" si="114"/>
        <v>0.245</v>
      </c>
      <c r="W2442" s="1">
        <f t="shared" si="115"/>
        <v>0</v>
      </c>
      <c r="X2442" s="1">
        <f t="shared" si="116"/>
        <v>4.4999999999999997E-3</v>
      </c>
    </row>
    <row r="2443" spans="1:24" x14ac:dyDescent="0.25">
      <c r="A2443">
        <v>2007</v>
      </c>
      <c r="B2443">
        <v>10</v>
      </c>
      <c r="C2443" t="s">
        <v>39</v>
      </c>
      <c r="D2443" t="str">
        <f>_xlfn.XLOOKUP(C2443,'Carrier Name Rename'!A:A,'Carrier Name Rename'!B:B)</f>
        <v>Frontier Airlines Inc.</v>
      </c>
      <c r="E2443" t="s">
        <v>23</v>
      </c>
      <c r="F2443" t="s">
        <v>24</v>
      </c>
      <c r="G2443">
        <v>135</v>
      </c>
      <c r="H2443">
        <v>51</v>
      </c>
      <c r="I2443">
        <v>17.93</v>
      </c>
      <c r="J2443">
        <v>1</v>
      </c>
      <c r="K2443">
        <v>30.19</v>
      </c>
      <c r="L2443">
        <v>0</v>
      </c>
      <c r="M2443">
        <v>1.87</v>
      </c>
      <c r="N2443">
        <v>0</v>
      </c>
      <c r="O2443">
        <v>0</v>
      </c>
      <c r="P2443">
        <v>1687</v>
      </c>
      <c r="Q2443">
        <v>636</v>
      </c>
      <c r="R2443">
        <v>34</v>
      </c>
      <c r="S2443">
        <v>964</v>
      </c>
      <c r="T2443">
        <v>0</v>
      </c>
      <c r="U2443">
        <v>53</v>
      </c>
      <c r="V2443" s="1">
        <f t="shared" si="114"/>
        <v>0.37780000000000002</v>
      </c>
      <c r="W2443" s="1">
        <f t="shared" si="115"/>
        <v>0</v>
      </c>
      <c r="X2443" s="1">
        <f t="shared" si="116"/>
        <v>0</v>
      </c>
    </row>
    <row r="2444" spans="1:24" x14ac:dyDescent="0.25">
      <c r="A2444">
        <v>2007</v>
      </c>
      <c r="B2444">
        <v>10</v>
      </c>
      <c r="C2444" t="s">
        <v>63</v>
      </c>
      <c r="D2444" t="str">
        <f>_xlfn.XLOOKUP(C2444,'Carrier Name Rename'!A:A,'Carrier Name Rename'!B:B)</f>
        <v>AirTran Airways Corporation</v>
      </c>
      <c r="E2444" t="s">
        <v>23</v>
      </c>
      <c r="F2444" t="s">
        <v>24</v>
      </c>
      <c r="G2444">
        <v>82</v>
      </c>
      <c r="H2444">
        <v>35</v>
      </c>
      <c r="I2444">
        <v>5.4</v>
      </c>
      <c r="J2444">
        <v>0</v>
      </c>
      <c r="K2444">
        <v>15.54</v>
      </c>
      <c r="L2444">
        <v>0</v>
      </c>
      <c r="M2444">
        <v>14.06</v>
      </c>
      <c r="N2444">
        <v>0</v>
      </c>
      <c r="O2444">
        <v>0</v>
      </c>
      <c r="P2444">
        <v>1507</v>
      </c>
      <c r="Q2444">
        <v>230</v>
      </c>
      <c r="R2444">
        <v>0</v>
      </c>
      <c r="S2444">
        <v>506</v>
      </c>
      <c r="T2444">
        <v>0</v>
      </c>
      <c r="U2444">
        <v>771</v>
      </c>
      <c r="V2444" s="1">
        <f t="shared" si="114"/>
        <v>0.42680000000000001</v>
      </c>
      <c r="W2444" s="1">
        <f t="shared" si="115"/>
        <v>0</v>
      </c>
      <c r="X2444" s="1">
        <f t="shared" si="116"/>
        <v>0</v>
      </c>
    </row>
    <row r="2445" spans="1:24" x14ac:dyDescent="0.25">
      <c r="A2445">
        <v>2007</v>
      </c>
      <c r="B2445">
        <v>10</v>
      </c>
      <c r="C2445" t="s">
        <v>21</v>
      </c>
      <c r="D2445" t="str">
        <f>_xlfn.XLOOKUP(C2445,'Carrier Name Rename'!A:A,'Carrier Name Rename'!B:B)</f>
        <v>Hawaiian Airlines Inc.</v>
      </c>
      <c r="E2445" t="s">
        <v>23</v>
      </c>
      <c r="F2445" t="s">
        <v>24</v>
      </c>
      <c r="G2445">
        <v>93</v>
      </c>
      <c r="H2445">
        <v>21</v>
      </c>
      <c r="I2445">
        <v>15.16</v>
      </c>
      <c r="J2445">
        <v>0</v>
      </c>
      <c r="K2445">
        <v>0</v>
      </c>
      <c r="L2445">
        <v>0</v>
      </c>
      <c r="M2445">
        <v>5.84</v>
      </c>
      <c r="N2445">
        <v>0</v>
      </c>
      <c r="O2445">
        <v>0</v>
      </c>
      <c r="P2445">
        <v>1150</v>
      </c>
      <c r="Q2445">
        <v>660</v>
      </c>
      <c r="R2445">
        <v>0</v>
      </c>
      <c r="S2445">
        <v>0</v>
      </c>
      <c r="T2445">
        <v>0</v>
      </c>
      <c r="U2445">
        <v>490</v>
      </c>
      <c r="V2445" s="1">
        <f t="shared" si="114"/>
        <v>0.2258</v>
      </c>
      <c r="W2445" s="1">
        <f t="shared" si="115"/>
        <v>0</v>
      </c>
      <c r="X2445" s="1">
        <f t="shared" si="116"/>
        <v>0</v>
      </c>
    </row>
    <row r="2446" spans="1:24" x14ac:dyDescent="0.25">
      <c r="A2446">
        <v>2007</v>
      </c>
      <c r="B2446">
        <v>10</v>
      </c>
      <c r="C2446" t="s">
        <v>67</v>
      </c>
      <c r="D2446" t="str">
        <f>_xlfn.XLOOKUP(C2446,'Carrier Name Rename'!A:A,'Carrier Name Rename'!B:B)</f>
        <v>Northwest Airlines Inc.</v>
      </c>
      <c r="E2446" t="s">
        <v>23</v>
      </c>
      <c r="F2446" t="s">
        <v>24</v>
      </c>
      <c r="G2446">
        <v>399</v>
      </c>
      <c r="H2446">
        <v>137</v>
      </c>
      <c r="I2446">
        <v>38.479999999999997</v>
      </c>
      <c r="J2446">
        <v>1.2</v>
      </c>
      <c r="K2446">
        <v>78.88</v>
      </c>
      <c r="L2446">
        <v>0</v>
      </c>
      <c r="M2446">
        <v>18.45</v>
      </c>
      <c r="N2446">
        <v>0</v>
      </c>
      <c r="O2446">
        <v>1</v>
      </c>
      <c r="P2446">
        <v>6608</v>
      </c>
      <c r="Q2446">
        <v>3153</v>
      </c>
      <c r="R2446">
        <v>49</v>
      </c>
      <c r="S2446">
        <v>2406</v>
      </c>
      <c r="T2446">
        <v>0</v>
      </c>
      <c r="U2446">
        <v>1000</v>
      </c>
      <c r="V2446" s="1">
        <f t="shared" si="114"/>
        <v>0.34339999999999998</v>
      </c>
      <c r="W2446" s="1">
        <f t="shared" si="115"/>
        <v>0</v>
      </c>
      <c r="X2446" s="1">
        <f t="shared" si="116"/>
        <v>2.5000000000000001E-3</v>
      </c>
    </row>
    <row r="2447" spans="1:24" x14ac:dyDescent="0.25">
      <c r="A2447">
        <v>2007</v>
      </c>
      <c r="B2447">
        <v>10</v>
      </c>
      <c r="C2447" t="s">
        <v>27</v>
      </c>
      <c r="D2447" t="str">
        <f>_xlfn.XLOOKUP(C2447,'Carrier Name Rename'!A:A,'Carrier Name Rename'!B:B)</f>
        <v>SkyWest Airlines Inc.</v>
      </c>
      <c r="E2447" t="s">
        <v>23</v>
      </c>
      <c r="F2447" t="s">
        <v>24</v>
      </c>
      <c r="G2447">
        <v>464</v>
      </c>
      <c r="H2447">
        <v>87</v>
      </c>
      <c r="I2447">
        <v>48</v>
      </c>
      <c r="J2447">
        <v>3</v>
      </c>
      <c r="K2447">
        <v>17</v>
      </c>
      <c r="L2447">
        <v>0</v>
      </c>
      <c r="M2447">
        <v>19</v>
      </c>
      <c r="N2447">
        <v>11</v>
      </c>
      <c r="O2447">
        <v>0</v>
      </c>
      <c r="P2447">
        <v>3822</v>
      </c>
      <c r="Q2447">
        <v>1446</v>
      </c>
      <c r="R2447">
        <v>146</v>
      </c>
      <c r="S2447">
        <v>1071</v>
      </c>
      <c r="T2447">
        <v>0</v>
      </c>
      <c r="U2447">
        <v>1159</v>
      </c>
      <c r="V2447" s="1">
        <f t="shared" si="114"/>
        <v>0.1875</v>
      </c>
      <c r="W2447" s="1">
        <f t="shared" si="115"/>
        <v>2.3699999999999999E-2</v>
      </c>
      <c r="X2447" s="1">
        <f t="shared" si="116"/>
        <v>0</v>
      </c>
    </row>
    <row r="2448" spans="1:24" x14ac:dyDescent="0.25">
      <c r="A2448">
        <v>2007</v>
      </c>
      <c r="B2448">
        <v>10</v>
      </c>
      <c r="C2448" t="s">
        <v>41</v>
      </c>
      <c r="D2448" t="str">
        <f>_xlfn.XLOOKUP(C2448,'Carrier Name Rename'!A:A,'Carrier Name Rename'!B:B)</f>
        <v>United Air Lines Inc.</v>
      </c>
      <c r="E2448" t="s">
        <v>23</v>
      </c>
      <c r="F2448" t="s">
        <v>24</v>
      </c>
      <c r="G2448">
        <v>862</v>
      </c>
      <c r="H2448">
        <v>280</v>
      </c>
      <c r="I2448">
        <v>53.77</v>
      </c>
      <c r="J2448">
        <v>0.98</v>
      </c>
      <c r="K2448">
        <v>121.38</v>
      </c>
      <c r="L2448">
        <v>0</v>
      </c>
      <c r="M2448">
        <v>103.86</v>
      </c>
      <c r="N2448">
        <v>13</v>
      </c>
      <c r="O2448">
        <v>2</v>
      </c>
      <c r="P2448">
        <v>15578</v>
      </c>
      <c r="Q2448">
        <v>3660</v>
      </c>
      <c r="R2448">
        <v>57</v>
      </c>
      <c r="S2448">
        <v>4225</v>
      </c>
      <c r="T2448">
        <v>0</v>
      </c>
      <c r="U2448">
        <v>7636</v>
      </c>
      <c r="V2448" s="1">
        <f t="shared" si="114"/>
        <v>0.32479999999999998</v>
      </c>
      <c r="W2448" s="1">
        <f t="shared" si="115"/>
        <v>1.5100000000000001E-2</v>
      </c>
      <c r="X2448" s="1">
        <f t="shared" si="116"/>
        <v>2.3E-3</v>
      </c>
    </row>
    <row r="2449" spans="1:24" x14ac:dyDescent="0.25">
      <c r="A2449">
        <v>2007</v>
      </c>
      <c r="B2449">
        <v>10</v>
      </c>
      <c r="C2449" t="s">
        <v>61</v>
      </c>
      <c r="D2449" t="str">
        <f>_xlfn.XLOOKUP(C2449,'Carrier Name Rename'!A:A,'Carrier Name Rename'!B:B)</f>
        <v>US Airways Inc.</v>
      </c>
      <c r="E2449" t="s">
        <v>23</v>
      </c>
      <c r="F2449" t="s">
        <v>24</v>
      </c>
      <c r="G2449">
        <v>355</v>
      </c>
      <c r="H2449">
        <v>118</v>
      </c>
      <c r="I2449">
        <v>33.04</v>
      </c>
      <c r="J2449">
        <v>0</v>
      </c>
      <c r="K2449">
        <v>64.36</v>
      </c>
      <c r="L2449">
        <v>0</v>
      </c>
      <c r="M2449">
        <v>20.6</v>
      </c>
      <c r="N2449">
        <v>0</v>
      </c>
      <c r="O2449">
        <v>2</v>
      </c>
      <c r="P2449">
        <v>4319</v>
      </c>
      <c r="Q2449">
        <v>1312</v>
      </c>
      <c r="R2449">
        <v>0</v>
      </c>
      <c r="S2449">
        <v>2100</v>
      </c>
      <c r="T2449">
        <v>0</v>
      </c>
      <c r="U2449">
        <v>907</v>
      </c>
      <c r="V2449" s="1">
        <f t="shared" si="114"/>
        <v>0.33239999999999997</v>
      </c>
      <c r="W2449" s="1">
        <f t="shared" si="115"/>
        <v>0</v>
      </c>
      <c r="X2449" s="1">
        <f t="shared" si="116"/>
        <v>5.5999999999999999E-3</v>
      </c>
    </row>
    <row r="2450" spans="1:24" x14ac:dyDescent="0.25">
      <c r="A2450">
        <v>2007</v>
      </c>
      <c r="B2450">
        <v>10</v>
      </c>
      <c r="C2450" t="s">
        <v>43</v>
      </c>
      <c r="D2450" t="str">
        <f>_xlfn.XLOOKUP(C2450,'Carrier Name Rename'!A:A,'Carrier Name Rename'!B:B)</f>
        <v>Southwest Airlines Co.</v>
      </c>
      <c r="E2450" t="s">
        <v>23</v>
      </c>
      <c r="F2450" t="s">
        <v>24</v>
      </c>
      <c r="G2450">
        <v>1239</v>
      </c>
      <c r="H2450">
        <v>261</v>
      </c>
      <c r="I2450">
        <v>36.369999999999997</v>
      </c>
      <c r="J2450">
        <v>15.07</v>
      </c>
      <c r="K2450">
        <v>95.89</v>
      </c>
      <c r="L2450">
        <v>1.73</v>
      </c>
      <c r="M2450">
        <v>111.94</v>
      </c>
      <c r="N2450">
        <v>5</v>
      </c>
      <c r="O2450">
        <v>4</v>
      </c>
      <c r="P2450">
        <v>10584</v>
      </c>
      <c r="Q2450">
        <v>1574</v>
      </c>
      <c r="R2450">
        <v>819</v>
      </c>
      <c r="S2450">
        <v>3354</v>
      </c>
      <c r="T2450">
        <v>44</v>
      </c>
      <c r="U2450">
        <v>4793</v>
      </c>
      <c r="V2450" s="1">
        <f t="shared" si="114"/>
        <v>0.2107</v>
      </c>
      <c r="W2450" s="1">
        <f t="shared" si="115"/>
        <v>4.0000000000000001E-3</v>
      </c>
      <c r="X2450" s="1">
        <f t="shared" si="116"/>
        <v>3.2000000000000002E-3</v>
      </c>
    </row>
    <row r="2451" spans="1:24" x14ac:dyDescent="0.25">
      <c r="A2451">
        <v>2007</v>
      </c>
      <c r="B2451">
        <v>10</v>
      </c>
      <c r="C2451" t="s">
        <v>69</v>
      </c>
      <c r="D2451" t="str">
        <f>_xlfn.XLOOKUP(C2451,'Carrier Name Rename'!A:A,'Carrier Name Rename'!B:B)</f>
        <v>ExpressJet Airlines Inc.</v>
      </c>
      <c r="E2451" t="s">
        <v>23</v>
      </c>
      <c r="F2451" t="s">
        <v>24</v>
      </c>
      <c r="G2451">
        <v>115</v>
      </c>
      <c r="H2451">
        <v>37</v>
      </c>
      <c r="I2451">
        <v>8.19</v>
      </c>
      <c r="J2451">
        <v>0.93</v>
      </c>
      <c r="K2451">
        <v>17.600000000000001</v>
      </c>
      <c r="L2451">
        <v>0</v>
      </c>
      <c r="M2451">
        <v>10.28</v>
      </c>
      <c r="N2451">
        <v>0</v>
      </c>
      <c r="O2451">
        <v>0</v>
      </c>
      <c r="P2451">
        <v>1667</v>
      </c>
      <c r="Q2451">
        <v>374</v>
      </c>
      <c r="R2451">
        <v>65</v>
      </c>
      <c r="S2451">
        <v>640</v>
      </c>
      <c r="T2451">
        <v>0</v>
      </c>
      <c r="U2451">
        <v>588</v>
      </c>
      <c r="V2451" s="1">
        <f t="shared" si="114"/>
        <v>0.32169999999999999</v>
      </c>
      <c r="W2451" s="1">
        <f t="shared" si="115"/>
        <v>0</v>
      </c>
      <c r="X2451" s="1">
        <f t="shared" si="116"/>
        <v>0</v>
      </c>
    </row>
    <row r="2452" spans="1:24" x14ac:dyDescent="0.25">
      <c r="A2452">
        <v>2007</v>
      </c>
      <c r="B2452">
        <v>9</v>
      </c>
      <c r="C2452" t="s">
        <v>31</v>
      </c>
      <c r="D2452" t="str">
        <f>_xlfn.XLOOKUP(C2452,'Carrier Name Rename'!A:A,'Carrier Name Rename'!B:B)</f>
        <v>American Airlines Inc.</v>
      </c>
      <c r="E2452" t="s">
        <v>23</v>
      </c>
      <c r="F2452" t="s">
        <v>24</v>
      </c>
      <c r="G2452">
        <v>497</v>
      </c>
      <c r="H2452">
        <v>85</v>
      </c>
      <c r="I2452">
        <v>28.04</v>
      </c>
      <c r="J2452">
        <v>6.17</v>
      </c>
      <c r="K2452">
        <v>31.63</v>
      </c>
      <c r="L2452">
        <v>0</v>
      </c>
      <c r="M2452">
        <v>19.16</v>
      </c>
      <c r="N2452">
        <v>3</v>
      </c>
      <c r="O2452">
        <v>0</v>
      </c>
      <c r="P2452">
        <v>4630</v>
      </c>
      <c r="Q2452">
        <v>1522</v>
      </c>
      <c r="R2452">
        <v>512</v>
      </c>
      <c r="S2452">
        <v>1302</v>
      </c>
      <c r="T2452">
        <v>0</v>
      </c>
      <c r="U2452">
        <v>1294</v>
      </c>
      <c r="V2452" s="1">
        <f t="shared" si="114"/>
        <v>0.17100000000000001</v>
      </c>
      <c r="W2452" s="1">
        <f t="shared" si="115"/>
        <v>6.0000000000000001E-3</v>
      </c>
      <c r="X2452" s="1">
        <f t="shared" si="116"/>
        <v>0</v>
      </c>
    </row>
    <row r="2453" spans="1:24" x14ac:dyDescent="0.25">
      <c r="A2453">
        <v>2007</v>
      </c>
      <c r="B2453">
        <v>9</v>
      </c>
      <c r="C2453" t="s">
        <v>33</v>
      </c>
      <c r="D2453" t="str">
        <f>_xlfn.XLOOKUP(C2453,'Carrier Name Rename'!A:A,'Carrier Name Rename'!B:B)</f>
        <v>Alaska Airlines Inc.</v>
      </c>
      <c r="E2453" t="s">
        <v>23</v>
      </c>
      <c r="F2453" t="s">
        <v>24</v>
      </c>
      <c r="G2453">
        <v>4188</v>
      </c>
      <c r="H2453">
        <v>993</v>
      </c>
      <c r="I2453">
        <v>239.86</v>
      </c>
      <c r="J2453">
        <v>10.25</v>
      </c>
      <c r="K2453">
        <v>295.41000000000003</v>
      </c>
      <c r="L2453">
        <v>2.4300000000000002</v>
      </c>
      <c r="M2453">
        <v>445.05</v>
      </c>
      <c r="N2453">
        <v>53</v>
      </c>
      <c r="O2453">
        <v>8</v>
      </c>
      <c r="P2453">
        <v>48320</v>
      </c>
      <c r="Q2453">
        <v>14936</v>
      </c>
      <c r="R2453">
        <v>528</v>
      </c>
      <c r="S2453">
        <v>9390</v>
      </c>
      <c r="T2453">
        <v>92</v>
      </c>
      <c r="U2453">
        <v>23374</v>
      </c>
      <c r="V2453" s="1">
        <f t="shared" si="114"/>
        <v>0.23710000000000001</v>
      </c>
      <c r="W2453" s="1">
        <f t="shared" si="115"/>
        <v>1.2699999999999999E-2</v>
      </c>
      <c r="X2453" s="1">
        <f t="shared" si="116"/>
        <v>1.9E-3</v>
      </c>
    </row>
    <row r="2454" spans="1:24" x14ac:dyDescent="0.25">
      <c r="A2454">
        <v>2007</v>
      </c>
      <c r="B2454">
        <v>9</v>
      </c>
      <c r="C2454" t="s">
        <v>35</v>
      </c>
      <c r="D2454" t="str">
        <f>_xlfn.XLOOKUP(C2454,'Carrier Name Rename'!A:A,'Carrier Name Rename'!B:B)</f>
        <v>JetBlue Airways</v>
      </c>
      <c r="E2454" t="s">
        <v>23</v>
      </c>
      <c r="F2454" t="s">
        <v>24</v>
      </c>
      <c r="G2454">
        <v>90</v>
      </c>
      <c r="H2454">
        <v>22</v>
      </c>
      <c r="I2454">
        <v>3.43</v>
      </c>
      <c r="J2454">
        <v>0</v>
      </c>
      <c r="K2454">
        <v>15.87</v>
      </c>
      <c r="L2454">
        <v>0</v>
      </c>
      <c r="M2454">
        <v>2.7</v>
      </c>
      <c r="N2454">
        <v>0</v>
      </c>
      <c r="O2454">
        <v>0</v>
      </c>
      <c r="P2454">
        <v>1057</v>
      </c>
      <c r="Q2454">
        <v>260</v>
      </c>
      <c r="R2454">
        <v>0</v>
      </c>
      <c r="S2454">
        <v>520</v>
      </c>
      <c r="T2454">
        <v>0</v>
      </c>
      <c r="U2454">
        <v>277</v>
      </c>
      <c r="V2454" s="1">
        <f t="shared" si="114"/>
        <v>0.24440000000000001</v>
      </c>
      <c r="W2454" s="1">
        <f t="shared" si="115"/>
        <v>0</v>
      </c>
      <c r="X2454" s="1">
        <f t="shared" si="116"/>
        <v>0</v>
      </c>
    </row>
    <row r="2455" spans="1:24" x14ac:dyDescent="0.25">
      <c r="A2455">
        <v>2007</v>
      </c>
      <c r="B2455">
        <v>9</v>
      </c>
      <c r="C2455" t="s">
        <v>65</v>
      </c>
      <c r="D2455" t="str">
        <f>_xlfn.XLOOKUP(C2455,'Carrier Name Rename'!A:A,'Carrier Name Rename'!B:B)</f>
        <v>Continental Air Lines Inc.</v>
      </c>
      <c r="E2455" t="s">
        <v>23</v>
      </c>
      <c r="F2455" t="s">
        <v>24</v>
      </c>
      <c r="G2455">
        <v>390</v>
      </c>
      <c r="H2455">
        <v>46</v>
      </c>
      <c r="I2455">
        <v>11.28</v>
      </c>
      <c r="J2455">
        <v>0.54</v>
      </c>
      <c r="K2455">
        <v>23.24</v>
      </c>
      <c r="L2455">
        <v>0.86</v>
      </c>
      <c r="M2455">
        <v>10.08</v>
      </c>
      <c r="N2455">
        <v>0</v>
      </c>
      <c r="O2455">
        <v>1</v>
      </c>
      <c r="P2455">
        <v>2235</v>
      </c>
      <c r="Q2455">
        <v>578</v>
      </c>
      <c r="R2455">
        <v>15</v>
      </c>
      <c r="S2455">
        <v>990</v>
      </c>
      <c r="T2455">
        <v>46</v>
      </c>
      <c r="U2455">
        <v>606</v>
      </c>
      <c r="V2455" s="1">
        <f t="shared" si="114"/>
        <v>0.1179</v>
      </c>
      <c r="W2455" s="1">
        <f t="shared" si="115"/>
        <v>0</v>
      </c>
      <c r="X2455" s="1">
        <f t="shared" si="116"/>
        <v>2.5999999999999999E-3</v>
      </c>
    </row>
    <row r="2456" spans="1:24" x14ac:dyDescent="0.25">
      <c r="A2456">
        <v>2007</v>
      </c>
      <c r="B2456">
        <v>9</v>
      </c>
      <c r="C2456" t="s">
        <v>37</v>
      </c>
      <c r="D2456" t="str">
        <f>_xlfn.XLOOKUP(C2456,'Carrier Name Rename'!A:A,'Carrier Name Rename'!B:B)</f>
        <v>Delta Air Lines Inc.</v>
      </c>
      <c r="E2456" t="s">
        <v>23</v>
      </c>
      <c r="F2456" t="s">
        <v>24</v>
      </c>
      <c r="G2456">
        <v>545</v>
      </c>
      <c r="H2456">
        <v>164</v>
      </c>
      <c r="I2456">
        <v>31.83</v>
      </c>
      <c r="J2456">
        <v>3.24</v>
      </c>
      <c r="K2456">
        <v>110.61</v>
      </c>
      <c r="L2456">
        <v>0</v>
      </c>
      <c r="M2456">
        <v>18.309999999999999</v>
      </c>
      <c r="N2456">
        <v>0</v>
      </c>
      <c r="O2456">
        <v>0</v>
      </c>
      <c r="P2456">
        <v>5751</v>
      </c>
      <c r="Q2456">
        <v>1478</v>
      </c>
      <c r="R2456">
        <v>155</v>
      </c>
      <c r="S2456">
        <v>3343</v>
      </c>
      <c r="T2456">
        <v>0</v>
      </c>
      <c r="U2456">
        <v>775</v>
      </c>
      <c r="V2456" s="1">
        <f t="shared" si="114"/>
        <v>0.3009</v>
      </c>
      <c r="W2456" s="1">
        <f t="shared" si="115"/>
        <v>0</v>
      </c>
      <c r="X2456" s="1">
        <f t="shared" si="116"/>
        <v>0</v>
      </c>
    </row>
    <row r="2457" spans="1:24" x14ac:dyDescent="0.25">
      <c r="A2457">
        <v>2007</v>
      </c>
      <c r="B2457">
        <v>9</v>
      </c>
      <c r="C2457" t="s">
        <v>39</v>
      </c>
      <c r="D2457" t="str">
        <f>_xlfn.XLOOKUP(C2457,'Carrier Name Rename'!A:A,'Carrier Name Rename'!B:B)</f>
        <v>Frontier Airlines Inc.</v>
      </c>
      <c r="E2457" t="s">
        <v>23</v>
      </c>
      <c r="F2457" t="s">
        <v>24</v>
      </c>
      <c r="G2457">
        <v>143</v>
      </c>
      <c r="H2457">
        <v>32</v>
      </c>
      <c r="I2457">
        <v>10.25</v>
      </c>
      <c r="J2457">
        <v>0.73</v>
      </c>
      <c r="K2457">
        <v>18.760000000000002</v>
      </c>
      <c r="L2457">
        <v>0</v>
      </c>
      <c r="M2457">
        <v>2.2599999999999998</v>
      </c>
      <c r="N2457">
        <v>0</v>
      </c>
      <c r="O2457">
        <v>0</v>
      </c>
      <c r="P2457">
        <v>779</v>
      </c>
      <c r="Q2457">
        <v>265</v>
      </c>
      <c r="R2457">
        <v>11</v>
      </c>
      <c r="S2457">
        <v>457</v>
      </c>
      <c r="T2457">
        <v>0</v>
      </c>
      <c r="U2457">
        <v>46</v>
      </c>
      <c r="V2457" s="1">
        <f t="shared" si="114"/>
        <v>0.2238</v>
      </c>
      <c r="W2457" s="1">
        <f t="shared" si="115"/>
        <v>0</v>
      </c>
      <c r="X2457" s="1">
        <f t="shared" si="116"/>
        <v>0</v>
      </c>
    </row>
    <row r="2458" spans="1:24" x14ac:dyDescent="0.25">
      <c r="A2458">
        <v>2007</v>
      </c>
      <c r="B2458">
        <v>9</v>
      </c>
      <c r="C2458" t="s">
        <v>63</v>
      </c>
      <c r="D2458" t="str">
        <f>_xlfn.XLOOKUP(C2458,'Carrier Name Rename'!A:A,'Carrier Name Rename'!B:B)</f>
        <v>AirTran Airways Corporation</v>
      </c>
      <c r="E2458" t="s">
        <v>23</v>
      </c>
      <c r="F2458" t="s">
        <v>24</v>
      </c>
      <c r="G2458">
        <v>87</v>
      </c>
      <c r="H2458">
        <v>17</v>
      </c>
      <c r="I2458">
        <v>3.06</v>
      </c>
      <c r="J2458">
        <v>0</v>
      </c>
      <c r="K2458">
        <v>7.29</v>
      </c>
      <c r="L2458">
        <v>0</v>
      </c>
      <c r="M2458">
        <v>6.65</v>
      </c>
      <c r="N2458">
        <v>0</v>
      </c>
      <c r="O2458">
        <v>1</v>
      </c>
      <c r="P2458">
        <v>777</v>
      </c>
      <c r="Q2458">
        <v>159</v>
      </c>
      <c r="R2458">
        <v>0</v>
      </c>
      <c r="S2458">
        <v>186</v>
      </c>
      <c r="T2458">
        <v>0</v>
      </c>
      <c r="U2458">
        <v>432</v>
      </c>
      <c r="V2458" s="1">
        <f t="shared" si="114"/>
        <v>0.19539999999999999</v>
      </c>
      <c r="W2458" s="1">
        <f t="shared" si="115"/>
        <v>0</v>
      </c>
      <c r="X2458" s="1">
        <f t="shared" si="116"/>
        <v>1.15E-2</v>
      </c>
    </row>
    <row r="2459" spans="1:24" x14ac:dyDescent="0.25">
      <c r="A2459">
        <v>2007</v>
      </c>
      <c r="B2459">
        <v>9</v>
      </c>
      <c r="C2459" t="s">
        <v>21</v>
      </c>
      <c r="D2459" t="str">
        <f>_xlfn.XLOOKUP(C2459,'Carrier Name Rename'!A:A,'Carrier Name Rename'!B:B)</f>
        <v>Hawaiian Airlines Inc.</v>
      </c>
      <c r="E2459" t="s">
        <v>23</v>
      </c>
      <c r="F2459" t="s">
        <v>24</v>
      </c>
      <c r="G2459">
        <v>87</v>
      </c>
      <c r="H2459">
        <v>21</v>
      </c>
      <c r="I2459">
        <v>16.68</v>
      </c>
      <c r="J2459">
        <v>0</v>
      </c>
      <c r="K2459">
        <v>0</v>
      </c>
      <c r="L2459">
        <v>0</v>
      </c>
      <c r="M2459">
        <v>4.32</v>
      </c>
      <c r="N2459">
        <v>0</v>
      </c>
      <c r="O2459">
        <v>0</v>
      </c>
      <c r="P2459">
        <v>1086</v>
      </c>
      <c r="Q2459">
        <v>926</v>
      </c>
      <c r="R2459">
        <v>0</v>
      </c>
      <c r="S2459">
        <v>0</v>
      </c>
      <c r="T2459">
        <v>0</v>
      </c>
      <c r="U2459">
        <v>160</v>
      </c>
      <c r="V2459" s="1">
        <f t="shared" si="114"/>
        <v>0.2414</v>
      </c>
      <c r="W2459" s="1">
        <f t="shared" si="115"/>
        <v>0</v>
      </c>
      <c r="X2459" s="1">
        <f t="shared" si="116"/>
        <v>0</v>
      </c>
    </row>
    <row r="2460" spans="1:24" x14ac:dyDescent="0.25">
      <c r="A2460">
        <v>2007</v>
      </c>
      <c r="B2460">
        <v>9</v>
      </c>
      <c r="C2460" t="s">
        <v>67</v>
      </c>
      <c r="D2460" t="str">
        <f>_xlfn.XLOOKUP(C2460,'Carrier Name Rename'!A:A,'Carrier Name Rename'!B:B)</f>
        <v>Northwest Airlines Inc.</v>
      </c>
      <c r="E2460" t="s">
        <v>23</v>
      </c>
      <c r="F2460" t="s">
        <v>24</v>
      </c>
      <c r="G2460">
        <v>390</v>
      </c>
      <c r="H2460">
        <v>97</v>
      </c>
      <c r="I2460">
        <v>34.71</v>
      </c>
      <c r="J2460">
        <v>1.1399999999999999</v>
      </c>
      <c r="K2460">
        <v>51.61</v>
      </c>
      <c r="L2460">
        <v>0</v>
      </c>
      <c r="M2460">
        <v>9.5399999999999991</v>
      </c>
      <c r="N2460">
        <v>0</v>
      </c>
      <c r="O2460">
        <v>2</v>
      </c>
      <c r="P2460">
        <v>6258</v>
      </c>
      <c r="Q2460">
        <v>3552</v>
      </c>
      <c r="R2460">
        <v>124</v>
      </c>
      <c r="S2460">
        <v>1809</v>
      </c>
      <c r="T2460">
        <v>0</v>
      </c>
      <c r="U2460">
        <v>773</v>
      </c>
      <c r="V2460" s="1">
        <f t="shared" si="114"/>
        <v>0.2487</v>
      </c>
      <c r="W2460" s="1">
        <f t="shared" si="115"/>
        <v>0</v>
      </c>
      <c r="X2460" s="1">
        <f t="shared" si="116"/>
        <v>5.1000000000000004E-3</v>
      </c>
    </row>
    <row r="2461" spans="1:24" x14ac:dyDescent="0.25">
      <c r="A2461">
        <v>2007</v>
      </c>
      <c r="B2461">
        <v>9</v>
      </c>
      <c r="C2461" t="s">
        <v>27</v>
      </c>
      <c r="D2461" t="str">
        <f>_xlfn.XLOOKUP(C2461,'Carrier Name Rename'!A:A,'Carrier Name Rename'!B:B)</f>
        <v>SkyWest Airlines Inc.</v>
      </c>
      <c r="E2461" t="s">
        <v>23</v>
      </c>
      <c r="F2461" t="s">
        <v>24</v>
      </c>
      <c r="G2461">
        <v>388</v>
      </c>
      <c r="H2461">
        <v>42</v>
      </c>
      <c r="I2461">
        <v>26</v>
      </c>
      <c r="J2461">
        <v>2</v>
      </c>
      <c r="K2461">
        <v>6</v>
      </c>
      <c r="L2461">
        <v>0</v>
      </c>
      <c r="M2461">
        <v>8</v>
      </c>
      <c r="N2461">
        <v>2</v>
      </c>
      <c r="O2461">
        <v>1</v>
      </c>
      <c r="P2461">
        <v>1695</v>
      </c>
      <c r="Q2461">
        <v>830</v>
      </c>
      <c r="R2461">
        <v>346</v>
      </c>
      <c r="S2461">
        <v>275</v>
      </c>
      <c r="T2461">
        <v>0</v>
      </c>
      <c r="U2461">
        <v>244</v>
      </c>
      <c r="V2461" s="1">
        <f t="shared" si="114"/>
        <v>0.1082</v>
      </c>
      <c r="W2461" s="1">
        <f t="shared" si="115"/>
        <v>5.1999999999999998E-3</v>
      </c>
      <c r="X2461" s="1">
        <f t="shared" si="116"/>
        <v>2.5999999999999999E-3</v>
      </c>
    </row>
    <row r="2462" spans="1:24" x14ac:dyDescent="0.25">
      <c r="A2462">
        <v>2007</v>
      </c>
      <c r="B2462">
        <v>9</v>
      </c>
      <c r="C2462" t="s">
        <v>41</v>
      </c>
      <c r="D2462" t="str">
        <f>_xlfn.XLOOKUP(C2462,'Carrier Name Rename'!A:A,'Carrier Name Rename'!B:B)</f>
        <v>United Air Lines Inc.</v>
      </c>
      <c r="E2462" t="s">
        <v>23</v>
      </c>
      <c r="F2462" t="s">
        <v>24</v>
      </c>
      <c r="G2462">
        <v>827</v>
      </c>
      <c r="H2462">
        <v>222</v>
      </c>
      <c r="I2462">
        <v>49.68</v>
      </c>
      <c r="J2462">
        <v>1.68</v>
      </c>
      <c r="K2462">
        <v>82.8</v>
      </c>
      <c r="L2462">
        <v>0</v>
      </c>
      <c r="M2462">
        <v>87.84</v>
      </c>
      <c r="N2462">
        <v>8</v>
      </c>
      <c r="O2462">
        <v>1</v>
      </c>
      <c r="P2462">
        <v>10931</v>
      </c>
      <c r="Q2462">
        <v>2579</v>
      </c>
      <c r="R2462">
        <v>139</v>
      </c>
      <c r="S2462">
        <v>2690</v>
      </c>
      <c r="T2462">
        <v>0</v>
      </c>
      <c r="U2462">
        <v>5523</v>
      </c>
      <c r="V2462" s="1">
        <f t="shared" si="114"/>
        <v>0.26840000000000003</v>
      </c>
      <c r="W2462" s="1">
        <f t="shared" si="115"/>
        <v>9.7000000000000003E-3</v>
      </c>
      <c r="X2462" s="1">
        <f t="shared" si="116"/>
        <v>1.1999999999999999E-3</v>
      </c>
    </row>
    <row r="2463" spans="1:24" x14ac:dyDescent="0.25">
      <c r="A2463">
        <v>2007</v>
      </c>
      <c r="B2463">
        <v>9</v>
      </c>
      <c r="C2463" t="s">
        <v>61</v>
      </c>
      <c r="D2463" t="str">
        <f>_xlfn.XLOOKUP(C2463,'Carrier Name Rename'!A:A,'Carrier Name Rename'!B:B)</f>
        <v>US Airways Inc.</v>
      </c>
      <c r="E2463" t="s">
        <v>23</v>
      </c>
      <c r="F2463" t="s">
        <v>24</v>
      </c>
      <c r="G2463">
        <v>346</v>
      </c>
      <c r="H2463">
        <v>80</v>
      </c>
      <c r="I2463">
        <v>30.03</v>
      </c>
      <c r="J2463">
        <v>0</v>
      </c>
      <c r="K2463">
        <v>28.71</v>
      </c>
      <c r="L2463">
        <v>0</v>
      </c>
      <c r="M2463">
        <v>21.26</v>
      </c>
      <c r="N2463">
        <v>1</v>
      </c>
      <c r="O2463">
        <v>6</v>
      </c>
      <c r="P2463">
        <v>3461</v>
      </c>
      <c r="Q2463">
        <v>1703</v>
      </c>
      <c r="R2463">
        <v>0</v>
      </c>
      <c r="S2463">
        <v>1056</v>
      </c>
      <c r="T2463">
        <v>0</v>
      </c>
      <c r="U2463">
        <v>702</v>
      </c>
      <c r="V2463" s="1">
        <f t="shared" si="114"/>
        <v>0.23119999999999999</v>
      </c>
      <c r="W2463" s="1">
        <f t="shared" si="115"/>
        <v>2.8999999999999998E-3</v>
      </c>
      <c r="X2463" s="1">
        <f t="shared" si="116"/>
        <v>1.7299999999999999E-2</v>
      </c>
    </row>
    <row r="2464" spans="1:24" x14ac:dyDescent="0.25">
      <c r="A2464">
        <v>2007</v>
      </c>
      <c r="B2464">
        <v>9</v>
      </c>
      <c r="C2464" t="s">
        <v>43</v>
      </c>
      <c r="D2464" t="str">
        <f>_xlfn.XLOOKUP(C2464,'Carrier Name Rename'!A:A,'Carrier Name Rename'!B:B)</f>
        <v>Southwest Airlines Co.</v>
      </c>
      <c r="E2464" t="s">
        <v>23</v>
      </c>
      <c r="F2464" t="s">
        <v>24</v>
      </c>
      <c r="G2464">
        <v>1193</v>
      </c>
      <c r="H2464">
        <v>207</v>
      </c>
      <c r="I2464">
        <v>53.03</v>
      </c>
      <c r="J2464">
        <v>3.4</v>
      </c>
      <c r="K2464">
        <v>49.02</v>
      </c>
      <c r="L2464">
        <v>2.42</v>
      </c>
      <c r="M2464">
        <v>99.13</v>
      </c>
      <c r="N2464">
        <v>1</v>
      </c>
      <c r="O2464">
        <v>1</v>
      </c>
      <c r="P2464">
        <v>7701</v>
      </c>
      <c r="Q2464">
        <v>1797</v>
      </c>
      <c r="R2464">
        <v>177</v>
      </c>
      <c r="S2464">
        <v>1526</v>
      </c>
      <c r="T2464">
        <v>69</v>
      </c>
      <c r="U2464">
        <v>4132</v>
      </c>
      <c r="V2464" s="1">
        <f t="shared" si="114"/>
        <v>0.17349999999999999</v>
      </c>
      <c r="W2464" s="1">
        <f t="shared" si="115"/>
        <v>8.0000000000000004E-4</v>
      </c>
      <c r="X2464" s="1">
        <f t="shared" si="116"/>
        <v>8.0000000000000004E-4</v>
      </c>
    </row>
    <row r="2465" spans="1:24" x14ac:dyDescent="0.25">
      <c r="A2465">
        <v>2007</v>
      </c>
      <c r="B2465">
        <v>9</v>
      </c>
      <c r="C2465" t="s">
        <v>69</v>
      </c>
      <c r="D2465" t="str">
        <f>_xlfn.XLOOKUP(C2465,'Carrier Name Rename'!A:A,'Carrier Name Rename'!B:B)</f>
        <v>ExpressJet Airlines Inc.</v>
      </c>
      <c r="E2465" t="s">
        <v>23</v>
      </c>
      <c r="F2465" t="s">
        <v>24</v>
      </c>
      <c r="G2465">
        <v>111</v>
      </c>
      <c r="H2465">
        <v>36</v>
      </c>
      <c r="I2465">
        <v>9.07</v>
      </c>
      <c r="J2465">
        <v>0</v>
      </c>
      <c r="K2465">
        <v>14.48</v>
      </c>
      <c r="L2465">
        <v>0.94</v>
      </c>
      <c r="M2465">
        <v>11.5</v>
      </c>
      <c r="N2465">
        <v>0</v>
      </c>
      <c r="O2465">
        <v>2</v>
      </c>
      <c r="P2465">
        <v>1102</v>
      </c>
      <c r="Q2465">
        <v>232</v>
      </c>
      <c r="R2465">
        <v>0</v>
      </c>
      <c r="S2465">
        <v>378</v>
      </c>
      <c r="T2465">
        <v>33</v>
      </c>
      <c r="U2465">
        <v>459</v>
      </c>
      <c r="V2465" s="1">
        <f t="shared" si="114"/>
        <v>0.32429999999999998</v>
      </c>
      <c r="W2465" s="1">
        <f t="shared" si="115"/>
        <v>0</v>
      </c>
      <c r="X2465" s="1">
        <f t="shared" si="116"/>
        <v>1.7999999999999999E-2</v>
      </c>
    </row>
    <row r="2466" spans="1:24" x14ac:dyDescent="0.25">
      <c r="A2466">
        <v>2007</v>
      </c>
      <c r="B2466">
        <v>8</v>
      </c>
      <c r="C2466" t="s">
        <v>31</v>
      </c>
      <c r="D2466" t="str">
        <f>_xlfn.XLOOKUP(C2466,'Carrier Name Rename'!A:A,'Carrier Name Rename'!B:B)</f>
        <v>American Airlines Inc.</v>
      </c>
      <c r="E2466" t="s">
        <v>23</v>
      </c>
      <c r="F2466" t="s">
        <v>24</v>
      </c>
      <c r="G2466">
        <v>523</v>
      </c>
      <c r="H2466">
        <v>165</v>
      </c>
      <c r="I2466">
        <v>64.39</v>
      </c>
      <c r="J2466">
        <v>13.71</v>
      </c>
      <c r="K2466">
        <v>47.49</v>
      </c>
      <c r="L2466">
        <v>0</v>
      </c>
      <c r="M2466">
        <v>39.409999999999997</v>
      </c>
      <c r="N2466">
        <v>5</v>
      </c>
      <c r="O2466">
        <v>0</v>
      </c>
      <c r="P2466">
        <v>10674</v>
      </c>
      <c r="Q2466">
        <v>4456</v>
      </c>
      <c r="R2466">
        <v>890</v>
      </c>
      <c r="S2466">
        <v>2094</v>
      </c>
      <c r="T2466">
        <v>0</v>
      </c>
      <c r="U2466">
        <v>3234</v>
      </c>
      <c r="V2466" s="1">
        <f t="shared" si="114"/>
        <v>0.3155</v>
      </c>
      <c r="W2466" s="1">
        <f t="shared" si="115"/>
        <v>9.5999999999999992E-3</v>
      </c>
      <c r="X2466" s="1">
        <f t="shared" si="116"/>
        <v>0</v>
      </c>
    </row>
    <row r="2467" spans="1:24" x14ac:dyDescent="0.25">
      <c r="A2467">
        <v>2007</v>
      </c>
      <c r="B2467">
        <v>8</v>
      </c>
      <c r="C2467" t="s">
        <v>33</v>
      </c>
      <c r="D2467" t="str">
        <f>_xlfn.XLOOKUP(C2467,'Carrier Name Rename'!A:A,'Carrier Name Rename'!B:B)</f>
        <v>Alaska Airlines Inc.</v>
      </c>
      <c r="E2467" t="s">
        <v>23</v>
      </c>
      <c r="F2467" t="s">
        <v>24</v>
      </c>
      <c r="G2467">
        <v>4524</v>
      </c>
      <c r="H2467">
        <v>1357</v>
      </c>
      <c r="I2467">
        <v>351.74</v>
      </c>
      <c r="J2467">
        <v>7.05</v>
      </c>
      <c r="K2467">
        <v>299.95</v>
      </c>
      <c r="L2467">
        <v>7.19</v>
      </c>
      <c r="M2467">
        <v>691.08</v>
      </c>
      <c r="N2467">
        <v>74</v>
      </c>
      <c r="O2467">
        <v>10</v>
      </c>
      <c r="P2467">
        <v>76092</v>
      </c>
      <c r="Q2467">
        <v>23678</v>
      </c>
      <c r="R2467">
        <v>522</v>
      </c>
      <c r="S2467">
        <v>9850</v>
      </c>
      <c r="T2467">
        <v>390</v>
      </c>
      <c r="U2467">
        <v>41652</v>
      </c>
      <c r="V2467" s="1">
        <f t="shared" si="114"/>
        <v>0.3</v>
      </c>
      <c r="W2467" s="1">
        <f t="shared" si="115"/>
        <v>1.6400000000000001E-2</v>
      </c>
      <c r="X2467" s="1">
        <f t="shared" si="116"/>
        <v>2.2000000000000001E-3</v>
      </c>
    </row>
    <row r="2468" spans="1:24" x14ac:dyDescent="0.25">
      <c r="A2468">
        <v>2007</v>
      </c>
      <c r="B2468">
        <v>8</v>
      </c>
      <c r="C2468" t="s">
        <v>35</v>
      </c>
      <c r="D2468" t="str">
        <f>_xlfn.XLOOKUP(C2468,'Carrier Name Rename'!A:A,'Carrier Name Rename'!B:B)</f>
        <v>JetBlue Airways</v>
      </c>
      <c r="E2468" t="s">
        <v>23</v>
      </c>
      <c r="F2468" t="s">
        <v>24</v>
      </c>
      <c r="G2468">
        <v>93</v>
      </c>
      <c r="H2468">
        <v>51</v>
      </c>
      <c r="I2468">
        <v>10.53</v>
      </c>
      <c r="J2468">
        <v>0.84</v>
      </c>
      <c r="K2468">
        <v>31.62</v>
      </c>
      <c r="L2468">
        <v>0</v>
      </c>
      <c r="M2468">
        <v>8.01</v>
      </c>
      <c r="N2468">
        <v>0</v>
      </c>
      <c r="O2468">
        <v>0</v>
      </c>
      <c r="P2468">
        <v>3033</v>
      </c>
      <c r="Q2468">
        <v>655</v>
      </c>
      <c r="R2468">
        <v>171</v>
      </c>
      <c r="S2468">
        <v>1582</v>
      </c>
      <c r="T2468">
        <v>0</v>
      </c>
      <c r="U2468">
        <v>625</v>
      </c>
      <c r="V2468" s="1">
        <f t="shared" si="114"/>
        <v>0.5484</v>
      </c>
      <c r="W2468" s="1">
        <f t="shared" si="115"/>
        <v>0</v>
      </c>
      <c r="X2468" s="1">
        <f t="shared" si="116"/>
        <v>0</v>
      </c>
    </row>
    <row r="2469" spans="1:24" x14ac:dyDescent="0.25">
      <c r="A2469">
        <v>2007</v>
      </c>
      <c r="B2469">
        <v>8</v>
      </c>
      <c r="C2469" t="s">
        <v>65</v>
      </c>
      <c r="D2469" t="str">
        <f>_xlfn.XLOOKUP(C2469,'Carrier Name Rename'!A:A,'Carrier Name Rename'!B:B)</f>
        <v>Continental Air Lines Inc.</v>
      </c>
      <c r="E2469" t="s">
        <v>23</v>
      </c>
      <c r="F2469" t="s">
        <v>24</v>
      </c>
      <c r="G2469">
        <v>496</v>
      </c>
      <c r="H2469">
        <v>159</v>
      </c>
      <c r="I2469">
        <v>40.840000000000003</v>
      </c>
      <c r="J2469">
        <v>8.9499999999999993</v>
      </c>
      <c r="K2469">
        <v>70.86</v>
      </c>
      <c r="L2469">
        <v>2.78</v>
      </c>
      <c r="M2469">
        <v>35.57</v>
      </c>
      <c r="N2469">
        <v>1</v>
      </c>
      <c r="O2469">
        <v>1</v>
      </c>
      <c r="P2469">
        <v>8506</v>
      </c>
      <c r="Q2469">
        <v>2207</v>
      </c>
      <c r="R2469">
        <v>659</v>
      </c>
      <c r="S2469">
        <v>2454</v>
      </c>
      <c r="T2469">
        <v>58</v>
      </c>
      <c r="U2469">
        <v>3128</v>
      </c>
      <c r="V2469" s="1">
        <f t="shared" si="114"/>
        <v>0.3206</v>
      </c>
      <c r="W2469" s="1">
        <f t="shared" si="115"/>
        <v>2E-3</v>
      </c>
      <c r="X2469" s="1">
        <f t="shared" si="116"/>
        <v>2E-3</v>
      </c>
    </row>
    <row r="2470" spans="1:24" x14ac:dyDescent="0.25">
      <c r="A2470">
        <v>2007</v>
      </c>
      <c r="B2470">
        <v>8</v>
      </c>
      <c r="C2470" t="s">
        <v>37</v>
      </c>
      <c r="D2470" t="str">
        <f>_xlfn.XLOOKUP(C2470,'Carrier Name Rename'!A:A,'Carrier Name Rename'!B:B)</f>
        <v>Delta Air Lines Inc.</v>
      </c>
      <c r="E2470" t="s">
        <v>23</v>
      </c>
      <c r="F2470" t="s">
        <v>24</v>
      </c>
      <c r="G2470">
        <v>594</v>
      </c>
      <c r="H2470">
        <v>267</v>
      </c>
      <c r="I2470">
        <v>74.62</v>
      </c>
      <c r="J2470">
        <v>2.12</v>
      </c>
      <c r="K2470">
        <v>132.69999999999999</v>
      </c>
      <c r="L2470">
        <v>0</v>
      </c>
      <c r="M2470">
        <v>57.56</v>
      </c>
      <c r="N2470">
        <v>1</v>
      </c>
      <c r="O2470">
        <v>3</v>
      </c>
      <c r="P2470">
        <v>14826</v>
      </c>
      <c r="Q2470">
        <v>4700</v>
      </c>
      <c r="R2470">
        <v>212</v>
      </c>
      <c r="S2470">
        <v>5622</v>
      </c>
      <c r="T2470">
        <v>0</v>
      </c>
      <c r="U2470">
        <v>4292</v>
      </c>
      <c r="V2470" s="1">
        <f t="shared" si="114"/>
        <v>0.44950000000000001</v>
      </c>
      <c r="W2470" s="1">
        <f t="shared" si="115"/>
        <v>1.6999999999999999E-3</v>
      </c>
      <c r="X2470" s="1">
        <f t="shared" si="116"/>
        <v>5.1000000000000004E-3</v>
      </c>
    </row>
    <row r="2471" spans="1:24" x14ac:dyDescent="0.25">
      <c r="A2471">
        <v>2007</v>
      </c>
      <c r="B2471">
        <v>8</v>
      </c>
      <c r="C2471" t="s">
        <v>39</v>
      </c>
      <c r="D2471" t="str">
        <f>_xlfn.XLOOKUP(C2471,'Carrier Name Rename'!A:A,'Carrier Name Rename'!B:B)</f>
        <v>Frontier Airlines Inc.</v>
      </c>
      <c r="E2471" t="s">
        <v>23</v>
      </c>
      <c r="F2471" t="s">
        <v>24</v>
      </c>
      <c r="G2471">
        <v>139</v>
      </c>
      <c r="H2471">
        <v>43</v>
      </c>
      <c r="I2471">
        <v>16.47</v>
      </c>
      <c r="J2471">
        <v>2.89</v>
      </c>
      <c r="K2471">
        <v>18.32</v>
      </c>
      <c r="L2471">
        <v>0</v>
      </c>
      <c r="M2471">
        <v>5.32</v>
      </c>
      <c r="N2471">
        <v>0</v>
      </c>
      <c r="O2471">
        <v>0</v>
      </c>
      <c r="P2471">
        <v>1243</v>
      </c>
      <c r="Q2471">
        <v>526</v>
      </c>
      <c r="R2471">
        <v>81</v>
      </c>
      <c r="S2471">
        <v>489</v>
      </c>
      <c r="T2471">
        <v>0</v>
      </c>
      <c r="U2471">
        <v>147</v>
      </c>
      <c r="V2471" s="1">
        <f t="shared" si="114"/>
        <v>0.30940000000000001</v>
      </c>
      <c r="W2471" s="1">
        <f t="shared" si="115"/>
        <v>0</v>
      </c>
      <c r="X2471" s="1">
        <f t="shared" si="116"/>
        <v>0</v>
      </c>
    </row>
    <row r="2472" spans="1:24" x14ac:dyDescent="0.25">
      <c r="A2472">
        <v>2007</v>
      </c>
      <c r="B2472">
        <v>8</v>
      </c>
      <c r="C2472" t="s">
        <v>63</v>
      </c>
      <c r="D2472" t="str">
        <f>_xlfn.XLOOKUP(C2472,'Carrier Name Rename'!A:A,'Carrier Name Rename'!B:B)</f>
        <v>AirTran Airways Corporation</v>
      </c>
      <c r="E2472" t="s">
        <v>23</v>
      </c>
      <c r="F2472" t="s">
        <v>24</v>
      </c>
      <c r="G2472">
        <v>115</v>
      </c>
      <c r="H2472">
        <v>57</v>
      </c>
      <c r="I2472">
        <v>24.72</v>
      </c>
      <c r="J2472">
        <v>1</v>
      </c>
      <c r="K2472">
        <v>15.43</v>
      </c>
      <c r="L2472">
        <v>0</v>
      </c>
      <c r="M2472">
        <v>15.85</v>
      </c>
      <c r="N2472">
        <v>4</v>
      </c>
      <c r="O2472">
        <v>1</v>
      </c>
      <c r="P2472">
        <v>3280</v>
      </c>
      <c r="Q2472">
        <v>1101</v>
      </c>
      <c r="R2472">
        <v>17</v>
      </c>
      <c r="S2472">
        <v>698</v>
      </c>
      <c r="T2472">
        <v>0</v>
      </c>
      <c r="U2472">
        <v>1464</v>
      </c>
      <c r="V2472" s="1">
        <f t="shared" si="114"/>
        <v>0.49569999999999997</v>
      </c>
      <c r="W2472" s="1">
        <f t="shared" si="115"/>
        <v>3.4799999999999998E-2</v>
      </c>
      <c r="X2472" s="1">
        <f t="shared" si="116"/>
        <v>8.6999999999999994E-3</v>
      </c>
    </row>
    <row r="2473" spans="1:24" x14ac:dyDescent="0.25">
      <c r="A2473">
        <v>2007</v>
      </c>
      <c r="B2473">
        <v>8</v>
      </c>
      <c r="C2473" t="s">
        <v>21</v>
      </c>
      <c r="D2473" t="str">
        <f>_xlfn.XLOOKUP(C2473,'Carrier Name Rename'!A:A,'Carrier Name Rename'!B:B)</f>
        <v>Hawaiian Airlines Inc.</v>
      </c>
      <c r="E2473" t="s">
        <v>23</v>
      </c>
      <c r="F2473" t="s">
        <v>24</v>
      </c>
      <c r="G2473">
        <v>93</v>
      </c>
      <c r="H2473">
        <v>15</v>
      </c>
      <c r="I2473">
        <v>12.68</v>
      </c>
      <c r="J2473">
        <v>0</v>
      </c>
      <c r="K2473">
        <v>0</v>
      </c>
      <c r="L2473">
        <v>0</v>
      </c>
      <c r="M2473">
        <v>2.3199999999999998</v>
      </c>
      <c r="N2473">
        <v>0</v>
      </c>
      <c r="O2473">
        <v>0</v>
      </c>
      <c r="P2473">
        <v>889</v>
      </c>
      <c r="Q2473">
        <v>781</v>
      </c>
      <c r="R2473">
        <v>0</v>
      </c>
      <c r="S2473">
        <v>0</v>
      </c>
      <c r="T2473">
        <v>0</v>
      </c>
      <c r="U2473">
        <v>108</v>
      </c>
      <c r="V2473" s="1">
        <f t="shared" si="114"/>
        <v>0.1613</v>
      </c>
      <c r="W2473" s="1">
        <f t="shared" si="115"/>
        <v>0</v>
      </c>
      <c r="X2473" s="1">
        <f t="shared" si="116"/>
        <v>0</v>
      </c>
    </row>
    <row r="2474" spans="1:24" x14ac:dyDescent="0.25">
      <c r="A2474">
        <v>2007</v>
      </c>
      <c r="B2474">
        <v>8</v>
      </c>
      <c r="C2474" t="s">
        <v>67</v>
      </c>
      <c r="D2474" t="str">
        <f>_xlfn.XLOOKUP(C2474,'Carrier Name Rename'!A:A,'Carrier Name Rename'!B:B)</f>
        <v>Northwest Airlines Inc.</v>
      </c>
      <c r="E2474" t="s">
        <v>23</v>
      </c>
      <c r="F2474" t="s">
        <v>24</v>
      </c>
      <c r="G2474">
        <v>501</v>
      </c>
      <c r="H2474">
        <v>202</v>
      </c>
      <c r="I2474">
        <v>63.56</v>
      </c>
      <c r="J2474">
        <v>3.13</v>
      </c>
      <c r="K2474">
        <v>106.68</v>
      </c>
      <c r="L2474">
        <v>0</v>
      </c>
      <c r="M2474">
        <v>28.63</v>
      </c>
      <c r="N2474">
        <v>1</v>
      </c>
      <c r="O2474">
        <v>1</v>
      </c>
      <c r="P2474">
        <v>8583</v>
      </c>
      <c r="Q2474">
        <v>3329</v>
      </c>
      <c r="R2474">
        <v>241</v>
      </c>
      <c r="S2474">
        <v>3266</v>
      </c>
      <c r="T2474">
        <v>0</v>
      </c>
      <c r="U2474">
        <v>1747</v>
      </c>
      <c r="V2474" s="1">
        <f t="shared" si="114"/>
        <v>0.4032</v>
      </c>
      <c r="W2474" s="1">
        <f t="shared" si="115"/>
        <v>2E-3</v>
      </c>
      <c r="X2474" s="1">
        <f t="shared" si="116"/>
        <v>2E-3</v>
      </c>
    </row>
    <row r="2475" spans="1:24" x14ac:dyDescent="0.25">
      <c r="A2475">
        <v>2007</v>
      </c>
      <c r="B2475">
        <v>8</v>
      </c>
      <c r="C2475" t="s">
        <v>27</v>
      </c>
      <c r="D2475" t="str">
        <f>_xlfn.XLOOKUP(C2475,'Carrier Name Rename'!A:A,'Carrier Name Rename'!B:B)</f>
        <v>SkyWest Airlines Inc.</v>
      </c>
      <c r="E2475" t="s">
        <v>23</v>
      </c>
      <c r="F2475" t="s">
        <v>24</v>
      </c>
      <c r="G2475">
        <v>451</v>
      </c>
      <c r="H2475">
        <v>51</v>
      </c>
      <c r="I2475">
        <v>41</v>
      </c>
      <c r="J2475">
        <v>0</v>
      </c>
      <c r="K2475">
        <v>2</v>
      </c>
      <c r="L2475">
        <v>1</v>
      </c>
      <c r="M2475">
        <v>7</v>
      </c>
      <c r="N2475">
        <v>1</v>
      </c>
      <c r="O2475">
        <v>0</v>
      </c>
      <c r="P2475">
        <v>2080</v>
      </c>
      <c r="Q2475">
        <v>1795</v>
      </c>
      <c r="R2475">
        <v>0</v>
      </c>
      <c r="S2475">
        <v>62</v>
      </c>
      <c r="T2475">
        <v>16</v>
      </c>
      <c r="U2475">
        <v>207</v>
      </c>
      <c r="V2475" s="1">
        <f t="shared" si="114"/>
        <v>0.11310000000000001</v>
      </c>
      <c r="W2475" s="1">
        <f t="shared" si="115"/>
        <v>2.2000000000000001E-3</v>
      </c>
      <c r="X2475" s="1">
        <f t="shared" si="116"/>
        <v>0</v>
      </c>
    </row>
    <row r="2476" spans="1:24" x14ac:dyDescent="0.25">
      <c r="A2476">
        <v>2007</v>
      </c>
      <c r="B2476">
        <v>8</v>
      </c>
      <c r="C2476" t="s">
        <v>41</v>
      </c>
      <c r="D2476" t="str">
        <f>_xlfn.XLOOKUP(C2476,'Carrier Name Rename'!A:A,'Carrier Name Rename'!B:B)</f>
        <v>United Air Lines Inc.</v>
      </c>
      <c r="E2476" t="s">
        <v>23</v>
      </c>
      <c r="F2476" t="s">
        <v>24</v>
      </c>
      <c r="G2476">
        <v>901</v>
      </c>
      <c r="H2476">
        <v>340</v>
      </c>
      <c r="I2476">
        <v>77.599999999999994</v>
      </c>
      <c r="J2476">
        <v>9.8699999999999992</v>
      </c>
      <c r="K2476">
        <v>103.61</v>
      </c>
      <c r="L2476">
        <v>0</v>
      </c>
      <c r="M2476">
        <v>148.91</v>
      </c>
      <c r="N2476">
        <v>12</v>
      </c>
      <c r="O2476">
        <v>2</v>
      </c>
      <c r="P2476">
        <v>21307</v>
      </c>
      <c r="Q2476">
        <v>5644</v>
      </c>
      <c r="R2476">
        <v>774</v>
      </c>
      <c r="S2476">
        <v>3929</v>
      </c>
      <c r="T2476">
        <v>0</v>
      </c>
      <c r="U2476">
        <v>10960</v>
      </c>
      <c r="V2476" s="1">
        <f t="shared" si="114"/>
        <v>0.37740000000000001</v>
      </c>
      <c r="W2476" s="1">
        <f t="shared" si="115"/>
        <v>1.3299999999999999E-2</v>
      </c>
      <c r="X2476" s="1">
        <f t="shared" si="116"/>
        <v>2.2000000000000001E-3</v>
      </c>
    </row>
    <row r="2477" spans="1:24" x14ac:dyDescent="0.25">
      <c r="A2477">
        <v>2007</v>
      </c>
      <c r="B2477">
        <v>8</v>
      </c>
      <c r="C2477" t="s">
        <v>61</v>
      </c>
      <c r="D2477" t="str">
        <f>_xlfn.XLOOKUP(C2477,'Carrier Name Rename'!A:A,'Carrier Name Rename'!B:B)</f>
        <v>US Airways Inc.</v>
      </c>
      <c r="E2477" t="s">
        <v>23</v>
      </c>
      <c r="F2477" t="s">
        <v>24</v>
      </c>
      <c r="G2477">
        <v>383</v>
      </c>
      <c r="H2477">
        <v>139</v>
      </c>
      <c r="I2477">
        <v>56.44</v>
      </c>
      <c r="J2477">
        <v>2.7</v>
      </c>
      <c r="K2477">
        <v>48.47</v>
      </c>
      <c r="L2477">
        <v>0.2</v>
      </c>
      <c r="M2477">
        <v>31.19</v>
      </c>
      <c r="N2477">
        <v>2</v>
      </c>
      <c r="O2477">
        <v>1</v>
      </c>
      <c r="P2477">
        <v>6535</v>
      </c>
      <c r="Q2477">
        <v>2386</v>
      </c>
      <c r="R2477">
        <v>144</v>
      </c>
      <c r="S2477">
        <v>2020</v>
      </c>
      <c r="T2477">
        <v>6</v>
      </c>
      <c r="U2477">
        <v>1979</v>
      </c>
      <c r="V2477" s="1">
        <f t="shared" si="114"/>
        <v>0.3629</v>
      </c>
      <c r="W2477" s="1">
        <f t="shared" si="115"/>
        <v>5.1999999999999998E-3</v>
      </c>
      <c r="X2477" s="1">
        <f t="shared" si="116"/>
        <v>2.5999999999999999E-3</v>
      </c>
    </row>
    <row r="2478" spans="1:24" x14ac:dyDescent="0.25">
      <c r="A2478">
        <v>2007</v>
      </c>
      <c r="B2478">
        <v>8</v>
      </c>
      <c r="C2478" t="s">
        <v>43</v>
      </c>
      <c r="D2478" t="str">
        <f>_xlfn.XLOOKUP(C2478,'Carrier Name Rename'!A:A,'Carrier Name Rename'!B:B)</f>
        <v>Southwest Airlines Co.</v>
      </c>
      <c r="E2478" t="s">
        <v>23</v>
      </c>
      <c r="F2478" t="s">
        <v>24</v>
      </c>
      <c r="G2478">
        <v>1247</v>
      </c>
      <c r="H2478">
        <v>236</v>
      </c>
      <c r="I2478">
        <v>71.42</v>
      </c>
      <c r="J2478">
        <v>2.87</v>
      </c>
      <c r="K2478">
        <v>31.8</v>
      </c>
      <c r="L2478">
        <v>3.06</v>
      </c>
      <c r="M2478">
        <v>126.86</v>
      </c>
      <c r="N2478">
        <v>2</v>
      </c>
      <c r="O2478">
        <v>0</v>
      </c>
      <c r="P2478">
        <v>10193</v>
      </c>
      <c r="Q2478">
        <v>2623</v>
      </c>
      <c r="R2478">
        <v>213</v>
      </c>
      <c r="S2478">
        <v>1027</v>
      </c>
      <c r="T2478">
        <v>70</v>
      </c>
      <c r="U2478">
        <v>6260</v>
      </c>
      <c r="V2478" s="1">
        <f t="shared" si="114"/>
        <v>0.1893</v>
      </c>
      <c r="W2478" s="1">
        <f t="shared" si="115"/>
        <v>1.6000000000000001E-3</v>
      </c>
      <c r="X2478" s="1">
        <f t="shared" si="116"/>
        <v>0</v>
      </c>
    </row>
    <row r="2479" spans="1:24" x14ac:dyDescent="0.25">
      <c r="A2479">
        <v>2007</v>
      </c>
      <c r="B2479">
        <v>8</v>
      </c>
      <c r="C2479" t="s">
        <v>69</v>
      </c>
      <c r="D2479" t="str">
        <f>_xlfn.XLOOKUP(C2479,'Carrier Name Rename'!A:A,'Carrier Name Rename'!B:B)</f>
        <v>ExpressJet Airlines Inc.</v>
      </c>
      <c r="E2479" t="s">
        <v>23</v>
      </c>
      <c r="F2479" t="s">
        <v>24</v>
      </c>
      <c r="G2479">
        <v>53</v>
      </c>
      <c r="H2479">
        <v>10</v>
      </c>
      <c r="I2479">
        <v>3.04</v>
      </c>
      <c r="J2479">
        <v>0</v>
      </c>
      <c r="K2479">
        <v>2.25</v>
      </c>
      <c r="L2479">
        <v>0.48</v>
      </c>
      <c r="M2479">
        <v>4.2300000000000004</v>
      </c>
      <c r="N2479">
        <v>0</v>
      </c>
      <c r="O2479">
        <v>0</v>
      </c>
      <c r="P2479">
        <v>278</v>
      </c>
      <c r="Q2479">
        <v>66</v>
      </c>
      <c r="R2479">
        <v>0</v>
      </c>
      <c r="S2479">
        <v>78</v>
      </c>
      <c r="T2479">
        <v>10</v>
      </c>
      <c r="U2479">
        <v>124</v>
      </c>
      <c r="V2479" s="1">
        <f t="shared" si="114"/>
        <v>0.18870000000000001</v>
      </c>
      <c r="W2479" s="1">
        <f t="shared" si="115"/>
        <v>0</v>
      </c>
      <c r="X2479" s="1">
        <f t="shared" si="116"/>
        <v>0</v>
      </c>
    </row>
    <row r="2480" spans="1:24" x14ac:dyDescent="0.25">
      <c r="A2480">
        <v>2007</v>
      </c>
      <c r="B2480">
        <v>8</v>
      </c>
      <c r="C2480" t="s">
        <v>71</v>
      </c>
      <c r="D2480" t="str">
        <f>_xlfn.XLOOKUP(C2480,'Carrier Name Rename'!A:A,'Carrier Name Rename'!B:B)</f>
        <v>Mesa Airlines Inc.</v>
      </c>
      <c r="E2480" t="s">
        <v>23</v>
      </c>
      <c r="F2480" t="s">
        <v>24</v>
      </c>
      <c r="G2480">
        <v>17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 s="1">
        <f t="shared" si="114"/>
        <v>0</v>
      </c>
      <c r="W2480" s="1">
        <f t="shared" si="115"/>
        <v>0</v>
      </c>
      <c r="X2480" s="1">
        <f t="shared" si="116"/>
        <v>0</v>
      </c>
    </row>
    <row r="2481" spans="1:24" x14ac:dyDescent="0.25">
      <c r="A2481">
        <v>2007</v>
      </c>
      <c r="B2481">
        <v>7</v>
      </c>
      <c r="C2481" t="s">
        <v>31</v>
      </c>
      <c r="D2481" t="str">
        <f>_xlfn.XLOOKUP(C2481,'Carrier Name Rename'!A:A,'Carrier Name Rename'!B:B)</f>
        <v>American Airlines Inc.</v>
      </c>
      <c r="E2481" t="s">
        <v>23</v>
      </c>
      <c r="F2481" t="s">
        <v>24</v>
      </c>
      <c r="G2481">
        <v>522</v>
      </c>
      <c r="H2481">
        <v>145</v>
      </c>
      <c r="I2481">
        <v>58.48</v>
      </c>
      <c r="J2481">
        <v>22.26</v>
      </c>
      <c r="K2481">
        <v>24.43</v>
      </c>
      <c r="L2481">
        <v>0</v>
      </c>
      <c r="M2481">
        <v>39.83</v>
      </c>
      <c r="N2481">
        <v>6</v>
      </c>
      <c r="O2481">
        <v>0</v>
      </c>
      <c r="P2481">
        <v>10245</v>
      </c>
      <c r="Q2481">
        <v>3946</v>
      </c>
      <c r="R2481">
        <v>1749</v>
      </c>
      <c r="S2481">
        <v>1162</v>
      </c>
      <c r="T2481">
        <v>0</v>
      </c>
      <c r="U2481">
        <v>3388</v>
      </c>
      <c r="V2481" s="1">
        <f t="shared" si="114"/>
        <v>0.27779999999999999</v>
      </c>
      <c r="W2481" s="1">
        <f t="shared" si="115"/>
        <v>1.15E-2</v>
      </c>
      <c r="X2481" s="1">
        <f t="shared" si="116"/>
        <v>0</v>
      </c>
    </row>
    <row r="2482" spans="1:24" x14ac:dyDescent="0.25">
      <c r="A2482">
        <v>2007</v>
      </c>
      <c r="B2482">
        <v>7</v>
      </c>
      <c r="C2482" t="s">
        <v>33</v>
      </c>
      <c r="D2482" t="str">
        <f>_xlfn.XLOOKUP(C2482,'Carrier Name Rename'!A:A,'Carrier Name Rename'!B:B)</f>
        <v>Alaska Airlines Inc.</v>
      </c>
      <c r="E2482" t="s">
        <v>23</v>
      </c>
      <c r="F2482" t="s">
        <v>24</v>
      </c>
      <c r="G2482">
        <v>4534</v>
      </c>
      <c r="H2482">
        <v>1361</v>
      </c>
      <c r="I2482">
        <v>372.05</v>
      </c>
      <c r="J2482">
        <v>13.11</v>
      </c>
      <c r="K2482">
        <v>294.68</v>
      </c>
      <c r="L2482">
        <v>10.96</v>
      </c>
      <c r="M2482">
        <v>670.2</v>
      </c>
      <c r="N2482">
        <v>55</v>
      </c>
      <c r="O2482">
        <v>5</v>
      </c>
      <c r="P2482">
        <v>71856</v>
      </c>
      <c r="Q2482">
        <v>20528</v>
      </c>
      <c r="R2482">
        <v>824</v>
      </c>
      <c r="S2482">
        <v>9756</v>
      </c>
      <c r="T2482">
        <v>413</v>
      </c>
      <c r="U2482">
        <v>40335</v>
      </c>
      <c r="V2482" s="1">
        <f t="shared" si="114"/>
        <v>0.30020000000000002</v>
      </c>
      <c r="W2482" s="1">
        <f t="shared" si="115"/>
        <v>1.21E-2</v>
      </c>
      <c r="X2482" s="1">
        <f t="shared" si="116"/>
        <v>1.1000000000000001E-3</v>
      </c>
    </row>
    <row r="2483" spans="1:24" x14ac:dyDescent="0.25">
      <c r="A2483">
        <v>2007</v>
      </c>
      <c r="B2483">
        <v>7</v>
      </c>
      <c r="C2483" t="s">
        <v>35</v>
      </c>
      <c r="D2483" t="str">
        <f>_xlfn.XLOOKUP(C2483,'Carrier Name Rename'!A:A,'Carrier Name Rename'!B:B)</f>
        <v>JetBlue Airways</v>
      </c>
      <c r="E2483" t="s">
        <v>23</v>
      </c>
      <c r="F2483" t="s">
        <v>24</v>
      </c>
      <c r="G2483">
        <v>93</v>
      </c>
      <c r="H2483">
        <v>37</v>
      </c>
      <c r="I2483">
        <v>5.85</v>
      </c>
      <c r="J2483">
        <v>0.62</v>
      </c>
      <c r="K2483">
        <v>21.01</v>
      </c>
      <c r="L2483">
        <v>0.71</v>
      </c>
      <c r="M2483">
        <v>8.82</v>
      </c>
      <c r="N2483">
        <v>0</v>
      </c>
      <c r="O2483">
        <v>0</v>
      </c>
      <c r="P2483">
        <v>2865</v>
      </c>
      <c r="Q2483">
        <v>593</v>
      </c>
      <c r="R2483">
        <v>32</v>
      </c>
      <c r="S2483">
        <v>1124</v>
      </c>
      <c r="T2483">
        <v>17</v>
      </c>
      <c r="U2483">
        <v>1099</v>
      </c>
      <c r="V2483" s="1">
        <f t="shared" si="114"/>
        <v>0.39779999999999999</v>
      </c>
      <c r="W2483" s="1">
        <f t="shared" si="115"/>
        <v>0</v>
      </c>
      <c r="X2483" s="1">
        <f t="shared" si="116"/>
        <v>0</v>
      </c>
    </row>
    <row r="2484" spans="1:24" x14ac:dyDescent="0.25">
      <c r="A2484">
        <v>2007</v>
      </c>
      <c r="B2484">
        <v>7</v>
      </c>
      <c r="C2484" t="s">
        <v>65</v>
      </c>
      <c r="D2484" t="str">
        <f>_xlfn.XLOOKUP(C2484,'Carrier Name Rename'!A:A,'Carrier Name Rename'!B:B)</f>
        <v>Continental Air Lines Inc.</v>
      </c>
      <c r="E2484" t="s">
        <v>23</v>
      </c>
      <c r="F2484" t="s">
        <v>24</v>
      </c>
      <c r="G2484">
        <v>493</v>
      </c>
      <c r="H2484">
        <v>129</v>
      </c>
      <c r="I2484">
        <v>38.729999999999997</v>
      </c>
      <c r="J2484">
        <v>5.2</v>
      </c>
      <c r="K2484">
        <v>37.08</v>
      </c>
      <c r="L2484">
        <v>1.4</v>
      </c>
      <c r="M2484">
        <v>46.58</v>
      </c>
      <c r="N2484">
        <v>1</v>
      </c>
      <c r="O2484">
        <v>0</v>
      </c>
      <c r="P2484">
        <v>8110</v>
      </c>
      <c r="Q2484">
        <v>2066</v>
      </c>
      <c r="R2484">
        <v>249</v>
      </c>
      <c r="S2484">
        <v>1805</v>
      </c>
      <c r="T2484">
        <v>33</v>
      </c>
      <c r="U2484">
        <v>3957</v>
      </c>
      <c r="V2484" s="1">
        <f t="shared" si="114"/>
        <v>0.26169999999999999</v>
      </c>
      <c r="W2484" s="1">
        <f t="shared" si="115"/>
        <v>2E-3</v>
      </c>
      <c r="X2484" s="1">
        <f t="shared" si="116"/>
        <v>0</v>
      </c>
    </row>
    <row r="2485" spans="1:24" x14ac:dyDescent="0.25">
      <c r="A2485">
        <v>2007</v>
      </c>
      <c r="B2485">
        <v>7</v>
      </c>
      <c r="C2485" t="s">
        <v>37</v>
      </c>
      <c r="D2485" t="str">
        <f>_xlfn.XLOOKUP(C2485,'Carrier Name Rename'!A:A,'Carrier Name Rename'!B:B)</f>
        <v>Delta Air Lines Inc.</v>
      </c>
      <c r="E2485" t="s">
        <v>23</v>
      </c>
      <c r="F2485" t="s">
        <v>24</v>
      </c>
      <c r="G2485">
        <v>613</v>
      </c>
      <c r="H2485">
        <v>245</v>
      </c>
      <c r="I2485">
        <v>77.010000000000005</v>
      </c>
      <c r="J2485">
        <v>6.47</v>
      </c>
      <c r="K2485">
        <v>91.87</v>
      </c>
      <c r="L2485">
        <v>0.24</v>
      </c>
      <c r="M2485">
        <v>69.41</v>
      </c>
      <c r="N2485">
        <v>1</v>
      </c>
      <c r="O2485">
        <v>2</v>
      </c>
      <c r="P2485">
        <v>14189</v>
      </c>
      <c r="Q2485">
        <v>5163</v>
      </c>
      <c r="R2485">
        <v>531</v>
      </c>
      <c r="S2485">
        <v>3935</v>
      </c>
      <c r="T2485">
        <v>31</v>
      </c>
      <c r="U2485">
        <v>4529</v>
      </c>
      <c r="V2485" s="1">
        <f t="shared" si="114"/>
        <v>0.3997</v>
      </c>
      <c r="W2485" s="1">
        <f t="shared" si="115"/>
        <v>1.6000000000000001E-3</v>
      </c>
      <c r="X2485" s="1">
        <f t="shared" si="116"/>
        <v>3.3E-3</v>
      </c>
    </row>
    <row r="2486" spans="1:24" x14ac:dyDescent="0.25">
      <c r="A2486">
        <v>2007</v>
      </c>
      <c r="B2486">
        <v>7</v>
      </c>
      <c r="C2486" t="s">
        <v>39</v>
      </c>
      <c r="D2486" t="str">
        <f>_xlfn.XLOOKUP(C2486,'Carrier Name Rename'!A:A,'Carrier Name Rename'!B:B)</f>
        <v>Frontier Airlines Inc.</v>
      </c>
      <c r="E2486" t="s">
        <v>23</v>
      </c>
      <c r="F2486" t="s">
        <v>24</v>
      </c>
      <c r="G2486">
        <v>154</v>
      </c>
      <c r="H2486">
        <v>47</v>
      </c>
      <c r="I2486">
        <v>19.47</v>
      </c>
      <c r="J2486">
        <v>2.44</v>
      </c>
      <c r="K2486">
        <v>17.28</v>
      </c>
      <c r="L2486">
        <v>0</v>
      </c>
      <c r="M2486">
        <v>7.81</v>
      </c>
      <c r="N2486">
        <v>0</v>
      </c>
      <c r="O2486">
        <v>0</v>
      </c>
      <c r="P2486">
        <v>1998</v>
      </c>
      <c r="Q2486">
        <v>858</v>
      </c>
      <c r="R2486">
        <v>103</v>
      </c>
      <c r="S2486">
        <v>745</v>
      </c>
      <c r="T2486">
        <v>0</v>
      </c>
      <c r="U2486">
        <v>292</v>
      </c>
      <c r="V2486" s="1">
        <f t="shared" si="114"/>
        <v>0.30520000000000003</v>
      </c>
      <c r="W2486" s="1">
        <f t="shared" si="115"/>
        <v>0</v>
      </c>
      <c r="X2486" s="1">
        <f t="shared" si="116"/>
        <v>0</v>
      </c>
    </row>
    <row r="2487" spans="1:24" x14ac:dyDescent="0.25">
      <c r="A2487">
        <v>2007</v>
      </c>
      <c r="B2487">
        <v>7</v>
      </c>
      <c r="C2487" t="s">
        <v>63</v>
      </c>
      <c r="D2487" t="str">
        <f>_xlfn.XLOOKUP(C2487,'Carrier Name Rename'!A:A,'Carrier Name Rename'!B:B)</f>
        <v>AirTran Airways Corporation</v>
      </c>
      <c r="E2487" t="s">
        <v>23</v>
      </c>
      <c r="F2487" t="s">
        <v>24</v>
      </c>
      <c r="G2487">
        <v>115</v>
      </c>
      <c r="H2487">
        <v>46</v>
      </c>
      <c r="I2487">
        <v>15.54</v>
      </c>
      <c r="J2487">
        <v>0</v>
      </c>
      <c r="K2487">
        <v>8.27</v>
      </c>
      <c r="L2487">
        <v>0</v>
      </c>
      <c r="M2487">
        <v>22.2</v>
      </c>
      <c r="N2487">
        <v>0</v>
      </c>
      <c r="O2487">
        <v>1</v>
      </c>
      <c r="P2487">
        <v>2828</v>
      </c>
      <c r="Q2487">
        <v>661</v>
      </c>
      <c r="R2487">
        <v>0</v>
      </c>
      <c r="S2487">
        <v>341</v>
      </c>
      <c r="T2487">
        <v>0</v>
      </c>
      <c r="U2487">
        <v>1826</v>
      </c>
      <c r="V2487" s="1">
        <f t="shared" si="114"/>
        <v>0.4</v>
      </c>
      <c r="W2487" s="1">
        <f t="shared" si="115"/>
        <v>0</v>
      </c>
      <c r="X2487" s="1">
        <f t="shared" si="116"/>
        <v>8.6999999999999994E-3</v>
      </c>
    </row>
    <row r="2488" spans="1:24" x14ac:dyDescent="0.25">
      <c r="A2488">
        <v>2007</v>
      </c>
      <c r="B2488">
        <v>7</v>
      </c>
      <c r="C2488" t="s">
        <v>21</v>
      </c>
      <c r="D2488" t="str">
        <f>_xlfn.XLOOKUP(C2488,'Carrier Name Rename'!A:A,'Carrier Name Rename'!B:B)</f>
        <v>Hawaiian Airlines Inc.</v>
      </c>
      <c r="E2488" t="s">
        <v>23</v>
      </c>
      <c r="F2488" t="s">
        <v>24</v>
      </c>
      <c r="G2488">
        <v>93</v>
      </c>
      <c r="H2488">
        <v>22</v>
      </c>
      <c r="I2488">
        <v>17.95</v>
      </c>
      <c r="J2488">
        <v>0</v>
      </c>
      <c r="K2488">
        <v>0</v>
      </c>
      <c r="L2488">
        <v>0</v>
      </c>
      <c r="M2488">
        <v>4.05</v>
      </c>
      <c r="N2488">
        <v>0</v>
      </c>
      <c r="O2488">
        <v>0</v>
      </c>
      <c r="P2488">
        <v>1093</v>
      </c>
      <c r="Q2488">
        <v>911</v>
      </c>
      <c r="R2488">
        <v>0</v>
      </c>
      <c r="S2488">
        <v>0</v>
      </c>
      <c r="T2488">
        <v>0</v>
      </c>
      <c r="U2488">
        <v>182</v>
      </c>
      <c r="V2488" s="1">
        <f t="shared" si="114"/>
        <v>0.2366</v>
      </c>
      <c r="W2488" s="1">
        <f t="shared" si="115"/>
        <v>0</v>
      </c>
      <c r="X2488" s="1">
        <f t="shared" si="116"/>
        <v>0</v>
      </c>
    </row>
    <row r="2489" spans="1:24" x14ac:dyDescent="0.25">
      <c r="A2489">
        <v>2007</v>
      </c>
      <c r="B2489">
        <v>7</v>
      </c>
      <c r="C2489" t="s">
        <v>67</v>
      </c>
      <c r="D2489" t="str">
        <f>_xlfn.XLOOKUP(C2489,'Carrier Name Rename'!A:A,'Carrier Name Rename'!B:B)</f>
        <v>Northwest Airlines Inc.</v>
      </c>
      <c r="E2489" t="s">
        <v>23</v>
      </c>
      <c r="F2489" t="s">
        <v>24</v>
      </c>
      <c r="G2489">
        <v>582</v>
      </c>
      <c r="H2489">
        <v>144</v>
      </c>
      <c r="I2489">
        <v>76.34</v>
      </c>
      <c r="J2489">
        <v>4.0599999999999996</v>
      </c>
      <c r="K2489">
        <v>39.979999999999997</v>
      </c>
      <c r="L2489">
        <v>0.88</v>
      </c>
      <c r="M2489">
        <v>22.74</v>
      </c>
      <c r="N2489">
        <v>9</v>
      </c>
      <c r="O2489">
        <v>0</v>
      </c>
      <c r="P2489">
        <v>8494</v>
      </c>
      <c r="Q2489">
        <v>4738</v>
      </c>
      <c r="R2489">
        <v>291</v>
      </c>
      <c r="S2489">
        <v>1332</v>
      </c>
      <c r="T2489">
        <v>22</v>
      </c>
      <c r="U2489">
        <v>2111</v>
      </c>
      <c r="V2489" s="1">
        <f t="shared" si="114"/>
        <v>0.24740000000000001</v>
      </c>
      <c r="W2489" s="1">
        <f t="shared" si="115"/>
        <v>1.55E-2</v>
      </c>
      <c r="X2489" s="1">
        <f t="shared" si="116"/>
        <v>0</v>
      </c>
    </row>
    <row r="2490" spans="1:24" x14ac:dyDescent="0.25">
      <c r="A2490">
        <v>2007</v>
      </c>
      <c r="B2490">
        <v>7</v>
      </c>
      <c r="C2490" t="s">
        <v>27</v>
      </c>
      <c r="D2490" t="str">
        <f>_xlfn.XLOOKUP(C2490,'Carrier Name Rename'!A:A,'Carrier Name Rename'!B:B)</f>
        <v>SkyWest Airlines Inc.</v>
      </c>
      <c r="E2490" t="s">
        <v>23</v>
      </c>
      <c r="F2490" t="s">
        <v>24</v>
      </c>
      <c r="G2490">
        <v>437</v>
      </c>
      <c r="H2490">
        <v>43</v>
      </c>
      <c r="I2490">
        <v>26</v>
      </c>
      <c r="J2490">
        <v>0</v>
      </c>
      <c r="K2490">
        <v>5</v>
      </c>
      <c r="L2490">
        <v>0</v>
      </c>
      <c r="M2490">
        <v>12</v>
      </c>
      <c r="N2490">
        <v>0</v>
      </c>
      <c r="O2490">
        <v>0</v>
      </c>
      <c r="P2490">
        <v>1326</v>
      </c>
      <c r="Q2490">
        <v>606</v>
      </c>
      <c r="R2490">
        <v>0</v>
      </c>
      <c r="S2490">
        <v>131</v>
      </c>
      <c r="T2490">
        <v>0</v>
      </c>
      <c r="U2490">
        <v>589</v>
      </c>
      <c r="V2490" s="1">
        <f t="shared" si="114"/>
        <v>9.8400000000000001E-2</v>
      </c>
      <c r="W2490" s="1">
        <f t="shared" si="115"/>
        <v>0</v>
      </c>
      <c r="X2490" s="1">
        <f t="shared" si="116"/>
        <v>0</v>
      </c>
    </row>
    <row r="2491" spans="1:24" x14ac:dyDescent="0.25">
      <c r="A2491">
        <v>2007</v>
      </c>
      <c r="B2491">
        <v>7</v>
      </c>
      <c r="C2491" t="s">
        <v>41</v>
      </c>
      <c r="D2491" t="str">
        <f>_xlfn.XLOOKUP(C2491,'Carrier Name Rename'!A:A,'Carrier Name Rename'!B:B)</f>
        <v>United Air Lines Inc.</v>
      </c>
      <c r="E2491" t="s">
        <v>23</v>
      </c>
      <c r="F2491" t="s">
        <v>24</v>
      </c>
      <c r="G2491">
        <v>896</v>
      </c>
      <c r="H2491">
        <v>255</v>
      </c>
      <c r="I2491">
        <v>59.6</v>
      </c>
      <c r="J2491">
        <v>6.91</v>
      </c>
      <c r="K2491">
        <v>58.14</v>
      </c>
      <c r="L2491">
        <v>0</v>
      </c>
      <c r="M2491">
        <v>130.35</v>
      </c>
      <c r="N2491">
        <v>12</v>
      </c>
      <c r="O2491">
        <v>0</v>
      </c>
      <c r="P2491">
        <v>15154</v>
      </c>
      <c r="Q2491">
        <v>3306</v>
      </c>
      <c r="R2491">
        <v>594</v>
      </c>
      <c r="S2491">
        <v>2383</v>
      </c>
      <c r="T2491">
        <v>0</v>
      </c>
      <c r="U2491">
        <v>8871</v>
      </c>
      <c r="V2491" s="1">
        <f t="shared" si="114"/>
        <v>0.28460000000000002</v>
      </c>
      <c r="W2491" s="1">
        <f t="shared" si="115"/>
        <v>1.34E-2</v>
      </c>
      <c r="X2491" s="1">
        <f t="shared" si="116"/>
        <v>0</v>
      </c>
    </row>
    <row r="2492" spans="1:24" x14ac:dyDescent="0.25">
      <c r="A2492">
        <v>2007</v>
      </c>
      <c r="B2492">
        <v>7</v>
      </c>
      <c r="C2492" t="s">
        <v>61</v>
      </c>
      <c r="D2492" t="str">
        <f>_xlfn.XLOOKUP(C2492,'Carrier Name Rename'!A:A,'Carrier Name Rename'!B:B)</f>
        <v>US Airways Inc.</v>
      </c>
      <c r="E2492" t="s">
        <v>23</v>
      </c>
      <c r="F2492" t="s">
        <v>24</v>
      </c>
      <c r="G2492">
        <v>408</v>
      </c>
      <c r="H2492">
        <v>113</v>
      </c>
      <c r="I2492">
        <v>50.96</v>
      </c>
      <c r="J2492">
        <v>3.28</v>
      </c>
      <c r="K2492">
        <v>23.63</v>
      </c>
      <c r="L2492">
        <v>1.66</v>
      </c>
      <c r="M2492">
        <v>33.47</v>
      </c>
      <c r="N2492">
        <v>2</v>
      </c>
      <c r="O2492">
        <v>0</v>
      </c>
      <c r="P2492">
        <v>6601</v>
      </c>
      <c r="Q2492">
        <v>3036</v>
      </c>
      <c r="R2492">
        <v>282</v>
      </c>
      <c r="S2492">
        <v>962</v>
      </c>
      <c r="T2492">
        <v>53</v>
      </c>
      <c r="U2492">
        <v>2268</v>
      </c>
      <c r="V2492" s="1">
        <f t="shared" si="114"/>
        <v>0.27700000000000002</v>
      </c>
      <c r="W2492" s="1">
        <f t="shared" si="115"/>
        <v>4.8999999999999998E-3</v>
      </c>
      <c r="X2492" s="1">
        <f t="shared" si="116"/>
        <v>0</v>
      </c>
    </row>
    <row r="2493" spans="1:24" x14ac:dyDescent="0.25">
      <c r="A2493">
        <v>2007</v>
      </c>
      <c r="B2493">
        <v>7</v>
      </c>
      <c r="C2493" t="s">
        <v>43</v>
      </c>
      <c r="D2493" t="str">
        <f>_xlfn.XLOOKUP(C2493,'Carrier Name Rename'!A:A,'Carrier Name Rename'!B:B)</f>
        <v>Southwest Airlines Co.</v>
      </c>
      <c r="E2493" t="s">
        <v>23</v>
      </c>
      <c r="F2493" t="s">
        <v>24</v>
      </c>
      <c r="G2493">
        <v>1241</v>
      </c>
      <c r="H2493">
        <v>212</v>
      </c>
      <c r="I2493">
        <v>57.07</v>
      </c>
      <c r="J2493">
        <v>1.71</v>
      </c>
      <c r="K2493">
        <v>19.059999999999999</v>
      </c>
      <c r="L2493">
        <v>1.73</v>
      </c>
      <c r="M2493">
        <v>132.44</v>
      </c>
      <c r="N2493">
        <v>0</v>
      </c>
      <c r="O2493">
        <v>2</v>
      </c>
      <c r="P2493">
        <v>10113</v>
      </c>
      <c r="Q2493">
        <v>2116</v>
      </c>
      <c r="R2493">
        <v>228</v>
      </c>
      <c r="S2493">
        <v>690</v>
      </c>
      <c r="T2493">
        <v>49</v>
      </c>
      <c r="U2493">
        <v>7030</v>
      </c>
      <c r="V2493" s="1">
        <f t="shared" si="114"/>
        <v>0.17080000000000001</v>
      </c>
      <c r="W2493" s="1">
        <f t="shared" si="115"/>
        <v>0</v>
      </c>
      <c r="X2493" s="1">
        <f t="shared" si="116"/>
        <v>1.6000000000000001E-3</v>
      </c>
    </row>
    <row r="2494" spans="1:24" x14ac:dyDescent="0.25">
      <c r="A2494">
        <v>2007</v>
      </c>
      <c r="B2494">
        <v>7</v>
      </c>
      <c r="C2494" t="s">
        <v>69</v>
      </c>
      <c r="D2494" t="str">
        <f>_xlfn.XLOOKUP(C2494,'Carrier Name Rename'!A:A,'Carrier Name Rename'!B:B)</f>
        <v>ExpressJet Airlines Inc.</v>
      </c>
      <c r="E2494" t="s">
        <v>23</v>
      </c>
      <c r="F2494" t="s">
        <v>24</v>
      </c>
      <c r="G2494">
        <v>31</v>
      </c>
      <c r="H2494">
        <v>8</v>
      </c>
      <c r="I2494">
        <v>5.0199999999999996</v>
      </c>
      <c r="J2494">
        <v>0</v>
      </c>
      <c r="K2494">
        <v>0.28000000000000003</v>
      </c>
      <c r="L2494">
        <v>0</v>
      </c>
      <c r="M2494">
        <v>2.7</v>
      </c>
      <c r="N2494">
        <v>0</v>
      </c>
      <c r="O2494">
        <v>0</v>
      </c>
      <c r="P2494">
        <v>549</v>
      </c>
      <c r="Q2494">
        <v>294</v>
      </c>
      <c r="R2494">
        <v>0</v>
      </c>
      <c r="S2494">
        <v>24</v>
      </c>
      <c r="T2494">
        <v>0</v>
      </c>
      <c r="U2494">
        <v>231</v>
      </c>
      <c r="V2494" s="1">
        <f t="shared" si="114"/>
        <v>0.2581</v>
      </c>
      <c r="W2494" s="1">
        <f t="shared" si="115"/>
        <v>0</v>
      </c>
      <c r="X2494" s="1">
        <f t="shared" si="116"/>
        <v>0</v>
      </c>
    </row>
    <row r="2495" spans="1:24" x14ac:dyDescent="0.25">
      <c r="A2495">
        <v>2007</v>
      </c>
      <c r="B2495">
        <v>7</v>
      </c>
      <c r="C2495" t="s">
        <v>71</v>
      </c>
      <c r="D2495" t="str">
        <f>_xlfn.XLOOKUP(C2495,'Carrier Name Rename'!A:A,'Carrier Name Rename'!B:B)</f>
        <v>Mesa Airlines Inc.</v>
      </c>
      <c r="E2495" t="s">
        <v>23</v>
      </c>
      <c r="F2495" t="s">
        <v>24</v>
      </c>
      <c r="G2495">
        <v>24</v>
      </c>
      <c r="H2495">
        <v>3</v>
      </c>
      <c r="I2495">
        <v>2</v>
      </c>
      <c r="J2495">
        <v>0</v>
      </c>
      <c r="K2495">
        <v>0</v>
      </c>
      <c r="L2495">
        <v>0</v>
      </c>
      <c r="M2495">
        <v>1</v>
      </c>
      <c r="N2495">
        <v>0</v>
      </c>
      <c r="O2495">
        <v>0</v>
      </c>
      <c r="P2495">
        <v>77</v>
      </c>
      <c r="Q2495">
        <v>37</v>
      </c>
      <c r="R2495">
        <v>0</v>
      </c>
      <c r="S2495">
        <v>0</v>
      </c>
      <c r="T2495">
        <v>0</v>
      </c>
      <c r="U2495">
        <v>40</v>
      </c>
      <c r="V2495" s="1">
        <f t="shared" si="114"/>
        <v>0.125</v>
      </c>
      <c r="W2495" s="1">
        <f t="shared" si="115"/>
        <v>0</v>
      </c>
      <c r="X2495" s="1">
        <f t="shared" si="116"/>
        <v>0</v>
      </c>
    </row>
    <row r="2496" spans="1:24" x14ac:dyDescent="0.25">
      <c r="A2496">
        <v>2007</v>
      </c>
      <c r="B2496">
        <v>6</v>
      </c>
      <c r="C2496" t="s">
        <v>31</v>
      </c>
      <c r="D2496" t="str">
        <f>_xlfn.XLOOKUP(C2496,'Carrier Name Rename'!A:A,'Carrier Name Rename'!B:B)</f>
        <v>American Airlines Inc.</v>
      </c>
      <c r="E2496" t="s">
        <v>23</v>
      </c>
      <c r="F2496" t="s">
        <v>24</v>
      </c>
      <c r="G2496">
        <v>504</v>
      </c>
      <c r="H2496">
        <v>207</v>
      </c>
      <c r="I2496">
        <v>57.86</v>
      </c>
      <c r="J2496">
        <v>33.700000000000003</v>
      </c>
      <c r="K2496">
        <v>52.71</v>
      </c>
      <c r="L2496">
        <v>0</v>
      </c>
      <c r="M2496">
        <v>62.73</v>
      </c>
      <c r="N2496">
        <v>11</v>
      </c>
      <c r="O2496">
        <v>1</v>
      </c>
      <c r="P2496">
        <v>13567</v>
      </c>
      <c r="Q2496">
        <v>3612</v>
      </c>
      <c r="R2496">
        <v>2547</v>
      </c>
      <c r="S2496">
        <v>2341</v>
      </c>
      <c r="T2496">
        <v>0</v>
      </c>
      <c r="U2496">
        <v>5067</v>
      </c>
      <c r="V2496" s="1">
        <f t="shared" si="114"/>
        <v>0.41070000000000001</v>
      </c>
      <c r="W2496" s="1">
        <f t="shared" si="115"/>
        <v>2.18E-2</v>
      </c>
      <c r="X2496" s="1">
        <f t="shared" si="116"/>
        <v>2E-3</v>
      </c>
    </row>
    <row r="2497" spans="1:24" x14ac:dyDescent="0.25">
      <c r="A2497">
        <v>2007</v>
      </c>
      <c r="B2497">
        <v>6</v>
      </c>
      <c r="C2497" t="s">
        <v>33</v>
      </c>
      <c r="D2497" t="str">
        <f>_xlfn.XLOOKUP(C2497,'Carrier Name Rename'!A:A,'Carrier Name Rename'!B:B)</f>
        <v>Alaska Airlines Inc.</v>
      </c>
      <c r="E2497" t="s">
        <v>23</v>
      </c>
      <c r="F2497" t="s">
        <v>24</v>
      </c>
      <c r="G2497">
        <v>4379</v>
      </c>
      <c r="H2497">
        <v>1393</v>
      </c>
      <c r="I2497">
        <v>333.13</v>
      </c>
      <c r="J2497">
        <v>10.51</v>
      </c>
      <c r="K2497">
        <v>459.82</v>
      </c>
      <c r="L2497">
        <v>10.81</v>
      </c>
      <c r="M2497">
        <v>578.72</v>
      </c>
      <c r="N2497">
        <v>56</v>
      </c>
      <c r="O2497">
        <v>7</v>
      </c>
      <c r="P2497">
        <v>74838</v>
      </c>
      <c r="Q2497">
        <v>20331</v>
      </c>
      <c r="R2497">
        <v>1244</v>
      </c>
      <c r="S2497">
        <v>15271</v>
      </c>
      <c r="T2497">
        <v>279</v>
      </c>
      <c r="U2497">
        <v>37713</v>
      </c>
      <c r="V2497" s="1">
        <f t="shared" si="114"/>
        <v>0.31809999999999999</v>
      </c>
      <c r="W2497" s="1">
        <f t="shared" si="115"/>
        <v>1.2800000000000001E-2</v>
      </c>
      <c r="X2497" s="1">
        <f t="shared" si="116"/>
        <v>1.6000000000000001E-3</v>
      </c>
    </row>
    <row r="2498" spans="1:24" x14ac:dyDescent="0.25">
      <c r="A2498">
        <v>2007</v>
      </c>
      <c r="B2498">
        <v>6</v>
      </c>
      <c r="C2498" t="s">
        <v>35</v>
      </c>
      <c r="D2498" t="str">
        <f>_xlfn.XLOOKUP(C2498,'Carrier Name Rename'!A:A,'Carrier Name Rename'!B:B)</f>
        <v>JetBlue Airways</v>
      </c>
      <c r="E2498" t="s">
        <v>23</v>
      </c>
      <c r="F2498" t="s">
        <v>24</v>
      </c>
      <c r="G2498">
        <v>90</v>
      </c>
      <c r="H2498">
        <v>46</v>
      </c>
      <c r="I2498">
        <v>14.07</v>
      </c>
      <c r="J2498">
        <v>0</v>
      </c>
      <c r="K2498">
        <v>19.79</v>
      </c>
      <c r="L2498">
        <v>0</v>
      </c>
      <c r="M2498">
        <v>12.13</v>
      </c>
      <c r="N2498">
        <v>1</v>
      </c>
      <c r="O2498">
        <v>0</v>
      </c>
      <c r="P2498">
        <v>3386</v>
      </c>
      <c r="Q2498">
        <v>755</v>
      </c>
      <c r="R2498">
        <v>0</v>
      </c>
      <c r="S2498">
        <v>1909</v>
      </c>
      <c r="T2498">
        <v>0</v>
      </c>
      <c r="U2498">
        <v>722</v>
      </c>
      <c r="V2498" s="1">
        <f t="shared" si="114"/>
        <v>0.5111</v>
      </c>
      <c r="W2498" s="1">
        <f t="shared" si="115"/>
        <v>1.11E-2</v>
      </c>
      <c r="X2498" s="1">
        <f t="shared" si="116"/>
        <v>0</v>
      </c>
    </row>
    <row r="2499" spans="1:24" x14ac:dyDescent="0.25">
      <c r="A2499">
        <v>2007</v>
      </c>
      <c r="B2499">
        <v>6</v>
      </c>
      <c r="C2499" t="s">
        <v>65</v>
      </c>
      <c r="D2499" t="str">
        <f>_xlfn.XLOOKUP(C2499,'Carrier Name Rename'!A:A,'Carrier Name Rename'!B:B)</f>
        <v>Continental Air Lines Inc.</v>
      </c>
      <c r="E2499" t="s">
        <v>23</v>
      </c>
      <c r="F2499" t="s">
        <v>24</v>
      </c>
      <c r="G2499">
        <v>467</v>
      </c>
      <c r="H2499">
        <v>145</v>
      </c>
      <c r="I2499">
        <v>38.909999999999997</v>
      </c>
      <c r="J2499">
        <v>9.67</v>
      </c>
      <c r="K2499">
        <v>60.87</v>
      </c>
      <c r="L2499">
        <v>0</v>
      </c>
      <c r="M2499">
        <v>35.549999999999997</v>
      </c>
      <c r="N2499">
        <v>0</v>
      </c>
      <c r="O2499">
        <v>0</v>
      </c>
      <c r="P2499">
        <v>9053</v>
      </c>
      <c r="Q2499">
        <v>2040</v>
      </c>
      <c r="R2499">
        <v>557</v>
      </c>
      <c r="S2499">
        <v>2970</v>
      </c>
      <c r="T2499">
        <v>0</v>
      </c>
      <c r="U2499">
        <v>3486</v>
      </c>
      <c r="V2499" s="1">
        <f t="shared" ref="V2499:V2562" si="117">ROUND(H2499/G2499,4)</f>
        <v>0.3105</v>
      </c>
      <c r="W2499" s="1">
        <f t="shared" ref="W2499:W2562" si="118">ROUND(N2499/G2499,4)</f>
        <v>0</v>
      </c>
      <c r="X2499" s="1">
        <f t="shared" ref="X2499:X2562" si="119">ROUND(O2499/G2499,4)</f>
        <v>0</v>
      </c>
    </row>
    <row r="2500" spans="1:24" x14ac:dyDescent="0.25">
      <c r="A2500">
        <v>2007</v>
      </c>
      <c r="B2500">
        <v>6</v>
      </c>
      <c r="C2500" t="s">
        <v>37</v>
      </c>
      <c r="D2500" t="str">
        <f>_xlfn.XLOOKUP(C2500,'Carrier Name Rename'!A:A,'Carrier Name Rename'!B:B)</f>
        <v>Delta Air Lines Inc.</v>
      </c>
      <c r="E2500" t="s">
        <v>23</v>
      </c>
      <c r="F2500" t="s">
        <v>24</v>
      </c>
      <c r="G2500">
        <v>516</v>
      </c>
      <c r="H2500">
        <v>219</v>
      </c>
      <c r="I2500">
        <v>69.5</v>
      </c>
      <c r="J2500">
        <v>6.61</v>
      </c>
      <c r="K2500">
        <v>102.65</v>
      </c>
      <c r="L2500">
        <v>0</v>
      </c>
      <c r="M2500">
        <v>40.24</v>
      </c>
      <c r="N2500">
        <v>4</v>
      </c>
      <c r="O2500">
        <v>0</v>
      </c>
      <c r="P2500">
        <v>12768</v>
      </c>
      <c r="Q2500">
        <v>4789</v>
      </c>
      <c r="R2500">
        <v>201</v>
      </c>
      <c r="S2500">
        <v>5371</v>
      </c>
      <c r="T2500">
        <v>0</v>
      </c>
      <c r="U2500">
        <v>2407</v>
      </c>
      <c r="V2500" s="1">
        <f t="shared" si="117"/>
        <v>0.4244</v>
      </c>
      <c r="W2500" s="1">
        <f t="shared" si="118"/>
        <v>7.7999999999999996E-3</v>
      </c>
      <c r="X2500" s="1">
        <f t="shared" si="119"/>
        <v>0</v>
      </c>
    </row>
    <row r="2501" spans="1:24" x14ac:dyDescent="0.25">
      <c r="A2501">
        <v>2007</v>
      </c>
      <c r="B2501">
        <v>6</v>
      </c>
      <c r="C2501" t="s">
        <v>39</v>
      </c>
      <c r="D2501" t="str">
        <f>_xlfn.XLOOKUP(C2501,'Carrier Name Rename'!A:A,'Carrier Name Rename'!B:B)</f>
        <v>Frontier Airlines Inc.</v>
      </c>
      <c r="E2501" t="s">
        <v>23</v>
      </c>
      <c r="F2501" t="s">
        <v>24</v>
      </c>
      <c r="G2501">
        <v>125</v>
      </c>
      <c r="H2501">
        <v>52</v>
      </c>
      <c r="I2501">
        <v>17.329999999999998</v>
      </c>
      <c r="J2501">
        <v>2.98</v>
      </c>
      <c r="K2501">
        <v>25.42</v>
      </c>
      <c r="L2501">
        <v>0</v>
      </c>
      <c r="M2501">
        <v>6.27</v>
      </c>
      <c r="N2501">
        <v>0</v>
      </c>
      <c r="O2501">
        <v>0</v>
      </c>
      <c r="P2501">
        <v>2101</v>
      </c>
      <c r="Q2501">
        <v>536</v>
      </c>
      <c r="R2501">
        <v>281</v>
      </c>
      <c r="S2501">
        <v>950</v>
      </c>
      <c r="T2501">
        <v>0</v>
      </c>
      <c r="U2501">
        <v>334</v>
      </c>
      <c r="V2501" s="1">
        <f t="shared" si="117"/>
        <v>0.41599999999999998</v>
      </c>
      <c r="W2501" s="1">
        <f t="shared" si="118"/>
        <v>0</v>
      </c>
      <c r="X2501" s="1">
        <f t="shared" si="119"/>
        <v>0</v>
      </c>
    </row>
    <row r="2502" spans="1:24" x14ac:dyDescent="0.25">
      <c r="A2502">
        <v>2007</v>
      </c>
      <c r="B2502">
        <v>6</v>
      </c>
      <c r="C2502" t="s">
        <v>63</v>
      </c>
      <c r="D2502" t="str">
        <f>_xlfn.XLOOKUP(C2502,'Carrier Name Rename'!A:A,'Carrier Name Rename'!B:B)</f>
        <v>AirTran Airways Corporation</v>
      </c>
      <c r="E2502" t="s">
        <v>23</v>
      </c>
      <c r="F2502" t="s">
        <v>24</v>
      </c>
      <c r="G2502">
        <v>106</v>
      </c>
      <c r="H2502">
        <v>47</v>
      </c>
      <c r="I2502">
        <v>10.29</v>
      </c>
      <c r="J2502">
        <v>1</v>
      </c>
      <c r="K2502">
        <v>15.38</v>
      </c>
      <c r="L2502">
        <v>0</v>
      </c>
      <c r="M2502">
        <v>20.34</v>
      </c>
      <c r="N2502">
        <v>0</v>
      </c>
      <c r="O2502">
        <v>0</v>
      </c>
      <c r="P2502">
        <v>2951</v>
      </c>
      <c r="Q2502">
        <v>270</v>
      </c>
      <c r="R2502">
        <v>130</v>
      </c>
      <c r="S2502">
        <v>720</v>
      </c>
      <c r="T2502">
        <v>0</v>
      </c>
      <c r="U2502">
        <v>1831</v>
      </c>
      <c r="V2502" s="1">
        <f t="shared" si="117"/>
        <v>0.44340000000000002</v>
      </c>
      <c r="W2502" s="1">
        <f t="shared" si="118"/>
        <v>0</v>
      </c>
      <c r="X2502" s="1">
        <f t="shared" si="119"/>
        <v>0</v>
      </c>
    </row>
    <row r="2503" spans="1:24" x14ac:dyDescent="0.25">
      <c r="A2503">
        <v>2007</v>
      </c>
      <c r="B2503">
        <v>6</v>
      </c>
      <c r="C2503" t="s">
        <v>21</v>
      </c>
      <c r="D2503" t="str">
        <f>_xlfn.XLOOKUP(C2503,'Carrier Name Rename'!A:A,'Carrier Name Rename'!B:B)</f>
        <v>Hawaiian Airlines Inc.</v>
      </c>
      <c r="E2503" t="s">
        <v>23</v>
      </c>
      <c r="F2503" t="s">
        <v>24</v>
      </c>
      <c r="G2503">
        <v>78</v>
      </c>
      <c r="H2503">
        <v>10</v>
      </c>
      <c r="I2503">
        <v>5.86</v>
      </c>
      <c r="J2503">
        <v>0</v>
      </c>
      <c r="K2503">
        <v>0</v>
      </c>
      <c r="L2503">
        <v>0</v>
      </c>
      <c r="M2503">
        <v>4.1399999999999997</v>
      </c>
      <c r="N2503">
        <v>0</v>
      </c>
      <c r="O2503">
        <v>0</v>
      </c>
      <c r="P2503">
        <v>935</v>
      </c>
      <c r="Q2503">
        <v>619</v>
      </c>
      <c r="R2503">
        <v>0</v>
      </c>
      <c r="S2503">
        <v>0</v>
      </c>
      <c r="T2503">
        <v>0</v>
      </c>
      <c r="U2503">
        <v>316</v>
      </c>
      <c r="V2503" s="1">
        <f t="shared" si="117"/>
        <v>0.12820000000000001</v>
      </c>
      <c r="W2503" s="1">
        <f t="shared" si="118"/>
        <v>0</v>
      </c>
      <c r="X2503" s="1">
        <f t="shared" si="119"/>
        <v>0</v>
      </c>
    </row>
    <row r="2504" spans="1:24" x14ac:dyDescent="0.25">
      <c r="A2504">
        <v>2007</v>
      </c>
      <c r="B2504">
        <v>6</v>
      </c>
      <c r="C2504" t="s">
        <v>67</v>
      </c>
      <c r="D2504" t="str">
        <f>_xlfn.XLOOKUP(C2504,'Carrier Name Rename'!A:A,'Carrier Name Rename'!B:B)</f>
        <v>Northwest Airlines Inc.</v>
      </c>
      <c r="E2504" t="s">
        <v>23</v>
      </c>
      <c r="F2504" t="s">
        <v>24</v>
      </c>
      <c r="G2504">
        <v>534</v>
      </c>
      <c r="H2504">
        <v>153</v>
      </c>
      <c r="I2504">
        <v>69.17</v>
      </c>
      <c r="J2504">
        <v>0.56000000000000005</v>
      </c>
      <c r="K2504">
        <v>60.95</v>
      </c>
      <c r="L2504">
        <v>0</v>
      </c>
      <c r="M2504">
        <v>22.31</v>
      </c>
      <c r="N2504">
        <v>9</v>
      </c>
      <c r="O2504">
        <v>0</v>
      </c>
      <c r="P2504">
        <v>6897</v>
      </c>
      <c r="Q2504">
        <v>3898</v>
      </c>
      <c r="R2504">
        <v>71</v>
      </c>
      <c r="S2504">
        <v>1819</v>
      </c>
      <c r="T2504">
        <v>0</v>
      </c>
      <c r="U2504">
        <v>1109</v>
      </c>
      <c r="V2504" s="1">
        <f t="shared" si="117"/>
        <v>0.28649999999999998</v>
      </c>
      <c r="W2504" s="1">
        <f t="shared" si="118"/>
        <v>1.6899999999999998E-2</v>
      </c>
      <c r="X2504" s="1">
        <f t="shared" si="119"/>
        <v>0</v>
      </c>
    </row>
    <row r="2505" spans="1:24" x14ac:dyDescent="0.25">
      <c r="A2505">
        <v>2007</v>
      </c>
      <c r="B2505">
        <v>6</v>
      </c>
      <c r="C2505" t="s">
        <v>27</v>
      </c>
      <c r="D2505" t="str">
        <f>_xlfn.XLOOKUP(C2505,'Carrier Name Rename'!A:A,'Carrier Name Rename'!B:B)</f>
        <v>SkyWest Airlines Inc.</v>
      </c>
      <c r="E2505" t="s">
        <v>23</v>
      </c>
      <c r="F2505" t="s">
        <v>24</v>
      </c>
      <c r="G2505">
        <v>441</v>
      </c>
      <c r="H2505">
        <v>46</v>
      </c>
      <c r="I2505">
        <v>38</v>
      </c>
      <c r="J2505">
        <v>0</v>
      </c>
      <c r="K2505">
        <v>0</v>
      </c>
      <c r="L2505">
        <v>2</v>
      </c>
      <c r="M2505">
        <v>6</v>
      </c>
      <c r="N2505">
        <v>1</v>
      </c>
      <c r="O2505">
        <v>1</v>
      </c>
      <c r="P2505">
        <v>1457</v>
      </c>
      <c r="Q2505">
        <v>1130</v>
      </c>
      <c r="R2505">
        <v>0</v>
      </c>
      <c r="S2505">
        <v>0</v>
      </c>
      <c r="T2505">
        <v>54</v>
      </c>
      <c r="U2505">
        <v>273</v>
      </c>
      <c r="V2505" s="1">
        <f t="shared" si="117"/>
        <v>0.1043</v>
      </c>
      <c r="W2505" s="1">
        <f t="shared" si="118"/>
        <v>2.3E-3</v>
      </c>
      <c r="X2505" s="1">
        <f t="shared" si="119"/>
        <v>2.3E-3</v>
      </c>
    </row>
    <row r="2506" spans="1:24" x14ac:dyDescent="0.25">
      <c r="A2506">
        <v>2007</v>
      </c>
      <c r="B2506">
        <v>6</v>
      </c>
      <c r="C2506" t="s">
        <v>41</v>
      </c>
      <c r="D2506" t="str">
        <f>_xlfn.XLOOKUP(C2506,'Carrier Name Rename'!A:A,'Carrier Name Rename'!B:B)</f>
        <v>United Air Lines Inc.</v>
      </c>
      <c r="E2506" t="s">
        <v>23</v>
      </c>
      <c r="F2506" t="s">
        <v>24</v>
      </c>
      <c r="G2506">
        <v>867</v>
      </c>
      <c r="H2506">
        <v>303</v>
      </c>
      <c r="I2506">
        <v>67.7</v>
      </c>
      <c r="J2506">
        <v>5.92</v>
      </c>
      <c r="K2506">
        <v>97.16</v>
      </c>
      <c r="L2506">
        <v>0</v>
      </c>
      <c r="M2506">
        <v>132.22</v>
      </c>
      <c r="N2506">
        <v>11</v>
      </c>
      <c r="O2506">
        <v>0</v>
      </c>
      <c r="P2506">
        <v>19021</v>
      </c>
      <c r="Q2506">
        <v>4713</v>
      </c>
      <c r="R2506">
        <v>513</v>
      </c>
      <c r="S2506">
        <v>3342</v>
      </c>
      <c r="T2506">
        <v>0</v>
      </c>
      <c r="U2506">
        <v>10453</v>
      </c>
      <c r="V2506" s="1">
        <f t="shared" si="117"/>
        <v>0.34949999999999998</v>
      </c>
      <c r="W2506" s="1">
        <f t="shared" si="118"/>
        <v>1.2699999999999999E-2</v>
      </c>
      <c r="X2506" s="1">
        <f t="shared" si="119"/>
        <v>0</v>
      </c>
    </row>
    <row r="2507" spans="1:24" x14ac:dyDescent="0.25">
      <c r="A2507">
        <v>2007</v>
      </c>
      <c r="B2507">
        <v>6</v>
      </c>
      <c r="C2507" t="s">
        <v>61</v>
      </c>
      <c r="D2507" t="str">
        <f>_xlfn.XLOOKUP(C2507,'Carrier Name Rename'!A:A,'Carrier Name Rename'!B:B)</f>
        <v>US Airways Inc.</v>
      </c>
      <c r="E2507" t="s">
        <v>23</v>
      </c>
      <c r="F2507" t="s">
        <v>24</v>
      </c>
      <c r="G2507">
        <v>428</v>
      </c>
      <c r="H2507">
        <v>165</v>
      </c>
      <c r="I2507">
        <v>78.17</v>
      </c>
      <c r="J2507">
        <v>2.0499999999999998</v>
      </c>
      <c r="K2507">
        <v>42.99</v>
      </c>
      <c r="L2507">
        <v>1.46</v>
      </c>
      <c r="M2507">
        <v>40.33</v>
      </c>
      <c r="N2507">
        <v>6</v>
      </c>
      <c r="O2507">
        <v>1</v>
      </c>
      <c r="P2507">
        <v>9656</v>
      </c>
      <c r="Q2507">
        <v>4328</v>
      </c>
      <c r="R2507">
        <v>261</v>
      </c>
      <c r="S2507">
        <v>2137</v>
      </c>
      <c r="T2507">
        <v>39</v>
      </c>
      <c r="U2507">
        <v>2891</v>
      </c>
      <c r="V2507" s="1">
        <f t="shared" si="117"/>
        <v>0.38550000000000001</v>
      </c>
      <c r="W2507" s="1">
        <f t="shared" si="118"/>
        <v>1.4E-2</v>
      </c>
      <c r="X2507" s="1">
        <f t="shared" si="119"/>
        <v>2.3E-3</v>
      </c>
    </row>
    <row r="2508" spans="1:24" x14ac:dyDescent="0.25">
      <c r="A2508">
        <v>2007</v>
      </c>
      <c r="B2508">
        <v>6</v>
      </c>
      <c r="C2508" t="s">
        <v>43</v>
      </c>
      <c r="D2508" t="str">
        <f>_xlfn.XLOOKUP(C2508,'Carrier Name Rename'!A:A,'Carrier Name Rename'!B:B)</f>
        <v>Southwest Airlines Co.</v>
      </c>
      <c r="E2508" t="s">
        <v>23</v>
      </c>
      <c r="F2508" t="s">
        <v>24</v>
      </c>
      <c r="G2508">
        <v>1199</v>
      </c>
      <c r="H2508">
        <v>262</v>
      </c>
      <c r="I2508">
        <v>60.46</v>
      </c>
      <c r="J2508">
        <v>1.26</v>
      </c>
      <c r="K2508">
        <v>36.26</v>
      </c>
      <c r="L2508">
        <v>0.7</v>
      </c>
      <c r="M2508">
        <v>163.32</v>
      </c>
      <c r="N2508">
        <v>0</v>
      </c>
      <c r="O2508">
        <v>0</v>
      </c>
      <c r="P2508">
        <v>11090</v>
      </c>
      <c r="Q2508">
        <v>1983</v>
      </c>
      <c r="R2508">
        <v>49</v>
      </c>
      <c r="S2508">
        <v>1112</v>
      </c>
      <c r="T2508">
        <v>19</v>
      </c>
      <c r="U2508">
        <v>7927</v>
      </c>
      <c r="V2508" s="1">
        <f t="shared" si="117"/>
        <v>0.2185</v>
      </c>
      <c r="W2508" s="1">
        <f t="shared" si="118"/>
        <v>0</v>
      </c>
      <c r="X2508" s="1">
        <f t="shared" si="119"/>
        <v>0</v>
      </c>
    </row>
    <row r="2509" spans="1:24" x14ac:dyDescent="0.25">
      <c r="A2509">
        <v>2007</v>
      </c>
      <c r="B2509">
        <v>6</v>
      </c>
      <c r="C2509" t="s">
        <v>69</v>
      </c>
      <c r="D2509" t="str">
        <f>_xlfn.XLOOKUP(C2509,'Carrier Name Rename'!A:A,'Carrier Name Rename'!B:B)</f>
        <v>ExpressJet Airlines Inc.</v>
      </c>
      <c r="E2509" t="s">
        <v>23</v>
      </c>
      <c r="F2509" t="s">
        <v>24</v>
      </c>
      <c r="G2509">
        <v>24</v>
      </c>
      <c r="H2509">
        <v>4</v>
      </c>
      <c r="I2509">
        <v>1.22</v>
      </c>
      <c r="J2509">
        <v>0</v>
      </c>
      <c r="K2509">
        <v>0.25</v>
      </c>
      <c r="L2509">
        <v>0</v>
      </c>
      <c r="M2509">
        <v>2.5299999999999998</v>
      </c>
      <c r="N2509">
        <v>0</v>
      </c>
      <c r="O2509">
        <v>0</v>
      </c>
      <c r="P2509">
        <v>310</v>
      </c>
      <c r="Q2509">
        <v>169</v>
      </c>
      <c r="R2509">
        <v>0</v>
      </c>
      <c r="S2509">
        <v>11</v>
      </c>
      <c r="T2509">
        <v>0</v>
      </c>
      <c r="U2509">
        <v>130</v>
      </c>
      <c r="V2509" s="1">
        <f t="shared" si="117"/>
        <v>0.16669999999999999</v>
      </c>
      <c r="W2509" s="1">
        <f t="shared" si="118"/>
        <v>0</v>
      </c>
      <c r="X2509" s="1">
        <f t="shared" si="119"/>
        <v>0</v>
      </c>
    </row>
    <row r="2510" spans="1:24" x14ac:dyDescent="0.25">
      <c r="A2510">
        <v>2007</v>
      </c>
      <c r="B2510">
        <v>6</v>
      </c>
      <c r="C2510" t="s">
        <v>71</v>
      </c>
      <c r="D2510" t="str">
        <f>_xlfn.XLOOKUP(C2510,'Carrier Name Rename'!A:A,'Carrier Name Rename'!B:B)</f>
        <v>Mesa Airlines Inc.</v>
      </c>
      <c r="E2510" t="s">
        <v>23</v>
      </c>
      <c r="F2510" t="s">
        <v>24</v>
      </c>
      <c r="G2510">
        <v>1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 s="1">
        <f t="shared" si="117"/>
        <v>0</v>
      </c>
      <c r="W2510" s="1">
        <f t="shared" si="118"/>
        <v>0</v>
      </c>
      <c r="X2510" s="1">
        <f t="shared" si="119"/>
        <v>0</v>
      </c>
    </row>
    <row r="2511" spans="1:24" x14ac:dyDescent="0.25">
      <c r="A2511">
        <v>2007</v>
      </c>
      <c r="B2511">
        <v>5</v>
      </c>
      <c r="C2511" t="s">
        <v>31</v>
      </c>
      <c r="D2511" t="str">
        <f>_xlfn.XLOOKUP(C2511,'Carrier Name Rename'!A:A,'Carrier Name Rename'!B:B)</f>
        <v>American Airlines Inc.</v>
      </c>
      <c r="E2511" t="s">
        <v>23</v>
      </c>
      <c r="F2511" t="s">
        <v>24</v>
      </c>
      <c r="G2511">
        <v>523</v>
      </c>
      <c r="H2511">
        <v>125</v>
      </c>
      <c r="I2511">
        <v>43.95</v>
      </c>
      <c r="J2511">
        <v>15.09</v>
      </c>
      <c r="K2511">
        <v>26.89</v>
      </c>
      <c r="L2511">
        <v>0</v>
      </c>
      <c r="M2511">
        <v>39.07</v>
      </c>
      <c r="N2511">
        <v>3</v>
      </c>
      <c r="O2511">
        <v>0</v>
      </c>
      <c r="P2511">
        <v>7780</v>
      </c>
      <c r="Q2511">
        <v>2534</v>
      </c>
      <c r="R2511">
        <v>1156</v>
      </c>
      <c r="S2511">
        <v>1689</v>
      </c>
      <c r="T2511">
        <v>0</v>
      </c>
      <c r="U2511">
        <v>2401</v>
      </c>
      <c r="V2511" s="1">
        <f t="shared" si="117"/>
        <v>0.23899999999999999</v>
      </c>
      <c r="W2511" s="1">
        <f t="shared" si="118"/>
        <v>5.7000000000000002E-3</v>
      </c>
      <c r="X2511" s="1">
        <f t="shared" si="119"/>
        <v>0</v>
      </c>
    </row>
    <row r="2512" spans="1:24" x14ac:dyDescent="0.25">
      <c r="A2512">
        <v>2007</v>
      </c>
      <c r="B2512">
        <v>5</v>
      </c>
      <c r="C2512" t="s">
        <v>33</v>
      </c>
      <c r="D2512" t="str">
        <f>_xlfn.XLOOKUP(C2512,'Carrier Name Rename'!A:A,'Carrier Name Rename'!B:B)</f>
        <v>Alaska Airlines Inc.</v>
      </c>
      <c r="E2512" t="s">
        <v>23</v>
      </c>
      <c r="F2512" t="s">
        <v>24</v>
      </c>
      <c r="G2512">
        <v>4413</v>
      </c>
      <c r="H2512">
        <v>1141</v>
      </c>
      <c r="I2512">
        <v>265.83999999999997</v>
      </c>
      <c r="J2512">
        <v>5.33</v>
      </c>
      <c r="K2512">
        <v>443.98</v>
      </c>
      <c r="L2512">
        <v>7.68</v>
      </c>
      <c r="M2512">
        <v>418.17</v>
      </c>
      <c r="N2512">
        <v>42</v>
      </c>
      <c r="O2512">
        <v>6</v>
      </c>
      <c r="P2512">
        <v>57015</v>
      </c>
      <c r="Q2512">
        <v>17673</v>
      </c>
      <c r="R2512">
        <v>184</v>
      </c>
      <c r="S2512">
        <v>13641</v>
      </c>
      <c r="T2512">
        <v>200</v>
      </c>
      <c r="U2512">
        <v>25317</v>
      </c>
      <c r="V2512" s="1">
        <f t="shared" si="117"/>
        <v>0.2586</v>
      </c>
      <c r="W2512" s="1">
        <f t="shared" si="118"/>
        <v>9.4999999999999998E-3</v>
      </c>
      <c r="X2512" s="1">
        <f t="shared" si="119"/>
        <v>1.4E-3</v>
      </c>
    </row>
    <row r="2513" spans="1:24" x14ac:dyDescent="0.25">
      <c r="A2513">
        <v>2007</v>
      </c>
      <c r="B2513">
        <v>5</v>
      </c>
      <c r="C2513" t="s">
        <v>35</v>
      </c>
      <c r="D2513" t="str">
        <f>_xlfn.XLOOKUP(C2513,'Carrier Name Rename'!A:A,'Carrier Name Rename'!B:B)</f>
        <v>JetBlue Airways</v>
      </c>
      <c r="E2513" t="s">
        <v>23</v>
      </c>
      <c r="F2513" t="s">
        <v>24</v>
      </c>
      <c r="G2513">
        <v>93</v>
      </c>
      <c r="H2513">
        <v>22</v>
      </c>
      <c r="I2513">
        <v>4.3099999999999996</v>
      </c>
      <c r="J2513">
        <v>0.18</v>
      </c>
      <c r="K2513">
        <v>10.97</v>
      </c>
      <c r="L2513">
        <v>0</v>
      </c>
      <c r="M2513">
        <v>6.54</v>
      </c>
      <c r="N2513">
        <v>0</v>
      </c>
      <c r="O2513">
        <v>0</v>
      </c>
      <c r="P2513">
        <v>1023</v>
      </c>
      <c r="Q2513">
        <v>152</v>
      </c>
      <c r="R2513">
        <v>15</v>
      </c>
      <c r="S2513">
        <v>348</v>
      </c>
      <c r="T2513">
        <v>0</v>
      </c>
      <c r="U2513">
        <v>508</v>
      </c>
      <c r="V2513" s="1">
        <f t="shared" si="117"/>
        <v>0.2366</v>
      </c>
      <c r="W2513" s="1">
        <f t="shared" si="118"/>
        <v>0</v>
      </c>
      <c r="X2513" s="1">
        <f t="shared" si="119"/>
        <v>0</v>
      </c>
    </row>
    <row r="2514" spans="1:24" x14ac:dyDescent="0.25">
      <c r="A2514">
        <v>2007</v>
      </c>
      <c r="B2514">
        <v>5</v>
      </c>
      <c r="C2514" t="s">
        <v>65</v>
      </c>
      <c r="D2514" t="str">
        <f>_xlfn.XLOOKUP(C2514,'Carrier Name Rename'!A:A,'Carrier Name Rename'!B:B)</f>
        <v>Continental Air Lines Inc.</v>
      </c>
      <c r="E2514" t="s">
        <v>23</v>
      </c>
      <c r="F2514" t="s">
        <v>24</v>
      </c>
      <c r="G2514">
        <v>425</v>
      </c>
      <c r="H2514">
        <v>123</v>
      </c>
      <c r="I2514">
        <v>34.81</v>
      </c>
      <c r="J2514">
        <v>6.94</v>
      </c>
      <c r="K2514">
        <v>41.85</v>
      </c>
      <c r="L2514">
        <v>0.45</v>
      </c>
      <c r="M2514">
        <v>38.96</v>
      </c>
      <c r="N2514">
        <v>0</v>
      </c>
      <c r="O2514">
        <v>0</v>
      </c>
      <c r="P2514">
        <v>7468</v>
      </c>
      <c r="Q2514">
        <v>2410</v>
      </c>
      <c r="R2514">
        <v>320</v>
      </c>
      <c r="S2514">
        <v>1901</v>
      </c>
      <c r="T2514">
        <v>28</v>
      </c>
      <c r="U2514">
        <v>2809</v>
      </c>
      <c r="V2514" s="1">
        <f t="shared" si="117"/>
        <v>0.28939999999999999</v>
      </c>
      <c r="W2514" s="1">
        <f t="shared" si="118"/>
        <v>0</v>
      </c>
      <c r="X2514" s="1">
        <f t="shared" si="119"/>
        <v>0</v>
      </c>
    </row>
    <row r="2515" spans="1:24" x14ac:dyDescent="0.25">
      <c r="A2515">
        <v>2007</v>
      </c>
      <c r="B2515">
        <v>5</v>
      </c>
      <c r="C2515" t="s">
        <v>37</v>
      </c>
      <c r="D2515" t="str">
        <f>_xlfn.XLOOKUP(C2515,'Carrier Name Rename'!A:A,'Carrier Name Rename'!B:B)</f>
        <v>Delta Air Lines Inc.</v>
      </c>
      <c r="E2515" t="s">
        <v>23</v>
      </c>
      <c r="F2515" t="s">
        <v>24</v>
      </c>
      <c r="G2515">
        <v>452</v>
      </c>
      <c r="H2515">
        <v>80</v>
      </c>
      <c r="I2515">
        <v>31.15</v>
      </c>
      <c r="J2515">
        <v>1.64</v>
      </c>
      <c r="K2515">
        <v>33.39</v>
      </c>
      <c r="L2515">
        <v>0</v>
      </c>
      <c r="M2515">
        <v>13.83</v>
      </c>
      <c r="N2515">
        <v>0</v>
      </c>
      <c r="O2515">
        <v>0</v>
      </c>
      <c r="P2515">
        <v>3640</v>
      </c>
      <c r="Q2515">
        <v>1789</v>
      </c>
      <c r="R2515">
        <v>47</v>
      </c>
      <c r="S2515">
        <v>1170</v>
      </c>
      <c r="T2515">
        <v>0</v>
      </c>
      <c r="U2515">
        <v>634</v>
      </c>
      <c r="V2515" s="1">
        <f t="shared" si="117"/>
        <v>0.17699999999999999</v>
      </c>
      <c r="W2515" s="1">
        <f t="shared" si="118"/>
        <v>0</v>
      </c>
      <c r="X2515" s="1">
        <f t="shared" si="119"/>
        <v>0</v>
      </c>
    </row>
    <row r="2516" spans="1:24" x14ac:dyDescent="0.25">
      <c r="A2516">
        <v>2007</v>
      </c>
      <c r="B2516">
        <v>5</v>
      </c>
      <c r="C2516" t="s">
        <v>39</v>
      </c>
      <c r="D2516" t="str">
        <f>_xlfn.XLOOKUP(C2516,'Carrier Name Rename'!A:A,'Carrier Name Rename'!B:B)</f>
        <v>Frontier Airlines Inc.</v>
      </c>
      <c r="E2516" t="s">
        <v>23</v>
      </c>
      <c r="F2516" t="s">
        <v>24</v>
      </c>
      <c r="G2516">
        <v>124</v>
      </c>
      <c r="H2516">
        <v>42</v>
      </c>
      <c r="I2516">
        <v>19.399999999999999</v>
      </c>
      <c r="J2516">
        <v>0.89</v>
      </c>
      <c r="K2516">
        <v>17.38</v>
      </c>
      <c r="L2516">
        <v>0</v>
      </c>
      <c r="M2516">
        <v>4.33</v>
      </c>
      <c r="N2516">
        <v>0</v>
      </c>
      <c r="O2516">
        <v>0</v>
      </c>
      <c r="P2516">
        <v>1790</v>
      </c>
      <c r="Q2516">
        <v>704</v>
      </c>
      <c r="R2516">
        <v>69</v>
      </c>
      <c r="S2516">
        <v>623</v>
      </c>
      <c r="T2516">
        <v>0</v>
      </c>
      <c r="U2516">
        <v>394</v>
      </c>
      <c r="V2516" s="1">
        <f t="shared" si="117"/>
        <v>0.3387</v>
      </c>
      <c r="W2516" s="1">
        <f t="shared" si="118"/>
        <v>0</v>
      </c>
      <c r="X2516" s="1">
        <f t="shared" si="119"/>
        <v>0</v>
      </c>
    </row>
    <row r="2517" spans="1:24" x14ac:dyDescent="0.25">
      <c r="A2517">
        <v>2007</v>
      </c>
      <c r="B2517">
        <v>5</v>
      </c>
      <c r="C2517" t="s">
        <v>63</v>
      </c>
      <c r="D2517" t="str">
        <f>_xlfn.XLOOKUP(C2517,'Carrier Name Rename'!A:A,'Carrier Name Rename'!B:B)</f>
        <v>AirTran Airways Corporation</v>
      </c>
      <c r="E2517" t="s">
        <v>23</v>
      </c>
      <c r="F2517" t="s">
        <v>24</v>
      </c>
      <c r="G2517">
        <v>45</v>
      </c>
      <c r="H2517">
        <v>6</v>
      </c>
      <c r="I2517">
        <v>2.81</v>
      </c>
      <c r="J2517">
        <v>0.08</v>
      </c>
      <c r="K2517">
        <v>2.57</v>
      </c>
      <c r="L2517">
        <v>0</v>
      </c>
      <c r="M2517">
        <v>0.55000000000000004</v>
      </c>
      <c r="N2517">
        <v>0</v>
      </c>
      <c r="O2517">
        <v>0</v>
      </c>
      <c r="P2517">
        <v>183</v>
      </c>
      <c r="Q2517">
        <v>92</v>
      </c>
      <c r="R2517">
        <v>3</v>
      </c>
      <c r="S2517">
        <v>76</v>
      </c>
      <c r="T2517">
        <v>0</v>
      </c>
      <c r="U2517">
        <v>12</v>
      </c>
      <c r="V2517" s="1">
        <f t="shared" si="117"/>
        <v>0.1333</v>
      </c>
      <c r="W2517" s="1">
        <f t="shared" si="118"/>
        <v>0</v>
      </c>
      <c r="X2517" s="1">
        <f t="shared" si="119"/>
        <v>0</v>
      </c>
    </row>
    <row r="2518" spans="1:24" x14ac:dyDescent="0.25">
      <c r="A2518">
        <v>2007</v>
      </c>
      <c r="B2518">
        <v>5</v>
      </c>
      <c r="C2518" t="s">
        <v>21</v>
      </c>
      <c r="D2518" t="str">
        <f>_xlfn.XLOOKUP(C2518,'Carrier Name Rename'!A:A,'Carrier Name Rename'!B:B)</f>
        <v>Hawaiian Airlines Inc.</v>
      </c>
      <c r="E2518" t="s">
        <v>23</v>
      </c>
      <c r="F2518" t="s">
        <v>24</v>
      </c>
      <c r="G2518">
        <v>76</v>
      </c>
      <c r="H2518">
        <v>8</v>
      </c>
      <c r="I2518">
        <v>5.86</v>
      </c>
      <c r="J2518">
        <v>0</v>
      </c>
      <c r="K2518">
        <v>0</v>
      </c>
      <c r="L2518">
        <v>0</v>
      </c>
      <c r="M2518">
        <v>2.14</v>
      </c>
      <c r="N2518">
        <v>0</v>
      </c>
      <c r="O2518">
        <v>0</v>
      </c>
      <c r="P2518">
        <v>423</v>
      </c>
      <c r="Q2518">
        <v>377</v>
      </c>
      <c r="R2518">
        <v>0</v>
      </c>
      <c r="S2518">
        <v>0</v>
      </c>
      <c r="T2518">
        <v>0</v>
      </c>
      <c r="U2518">
        <v>46</v>
      </c>
      <c r="V2518" s="1">
        <f t="shared" si="117"/>
        <v>0.1053</v>
      </c>
      <c r="W2518" s="1">
        <f t="shared" si="118"/>
        <v>0</v>
      </c>
      <c r="X2518" s="1">
        <f t="shared" si="119"/>
        <v>0</v>
      </c>
    </row>
    <row r="2519" spans="1:24" x14ac:dyDescent="0.25">
      <c r="A2519">
        <v>2007</v>
      </c>
      <c r="B2519">
        <v>5</v>
      </c>
      <c r="C2519" t="s">
        <v>67</v>
      </c>
      <c r="D2519" t="str">
        <f>_xlfn.XLOOKUP(C2519,'Carrier Name Rename'!A:A,'Carrier Name Rename'!B:B)</f>
        <v>Northwest Airlines Inc.</v>
      </c>
      <c r="E2519" t="s">
        <v>23</v>
      </c>
      <c r="F2519" t="s">
        <v>24</v>
      </c>
      <c r="G2519">
        <v>403</v>
      </c>
      <c r="H2519">
        <v>95</v>
      </c>
      <c r="I2519">
        <v>42.71</v>
      </c>
      <c r="J2519">
        <v>0.74</v>
      </c>
      <c r="K2519">
        <v>36.369999999999997</v>
      </c>
      <c r="L2519">
        <v>1</v>
      </c>
      <c r="M2519">
        <v>14.19</v>
      </c>
      <c r="N2519">
        <v>1</v>
      </c>
      <c r="O2519">
        <v>0</v>
      </c>
      <c r="P2519">
        <v>3714</v>
      </c>
      <c r="Q2519">
        <v>1850</v>
      </c>
      <c r="R2519">
        <v>70</v>
      </c>
      <c r="S2519">
        <v>964</v>
      </c>
      <c r="T2519">
        <v>18</v>
      </c>
      <c r="U2519">
        <v>812</v>
      </c>
      <c r="V2519" s="1">
        <f t="shared" si="117"/>
        <v>0.23569999999999999</v>
      </c>
      <c r="W2519" s="1">
        <f t="shared" si="118"/>
        <v>2.5000000000000001E-3</v>
      </c>
      <c r="X2519" s="1">
        <f t="shared" si="119"/>
        <v>0</v>
      </c>
    </row>
    <row r="2520" spans="1:24" x14ac:dyDescent="0.25">
      <c r="A2520">
        <v>2007</v>
      </c>
      <c r="B2520">
        <v>5</v>
      </c>
      <c r="C2520" t="s">
        <v>27</v>
      </c>
      <c r="D2520" t="str">
        <f>_xlfn.XLOOKUP(C2520,'Carrier Name Rename'!A:A,'Carrier Name Rename'!B:B)</f>
        <v>SkyWest Airlines Inc.</v>
      </c>
      <c r="E2520" t="s">
        <v>23</v>
      </c>
      <c r="F2520" t="s">
        <v>24</v>
      </c>
      <c r="G2520">
        <v>435</v>
      </c>
      <c r="H2520">
        <v>26</v>
      </c>
      <c r="I2520">
        <v>17</v>
      </c>
      <c r="J2520">
        <v>0</v>
      </c>
      <c r="K2520">
        <v>1</v>
      </c>
      <c r="L2520">
        <v>0</v>
      </c>
      <c r="M2520">
        <v>8</v>
      </c>
      <c r="N2520">
        <v>3</v>
      </c>
      <c r="O2520">
        <v>0</v>
      </c>
      <c r="P2520">
        <v>1136</v>
      </c>
      <c r="Q2520">
        <v>772</v>
      </c>
      <c r="R2520">
        <v>0</v>
      </c>
      <c r="S2520">
        <v>18</v>
      </c>
      <c r="T2520">
        <v>0</v>
      </c>
      <c r="U2520">
        <v>346</v>
      </c>
      <c r="V2520" s="1">
        <f t="shared" si="117"/>
        <v>5.9799999999999999E-2</v>
      </c>
      <c r="W2520" s="1">
        <f t="shared" si="118"/>
        <v>6.8999999999999999E-3</v>
      </c>
      <c r="X2520" s="1">
        <f t="shared" si="119"/>
        <v>0</v>
      </c>
    </row>
    <row r="2521" spans="1:24" x14ac:dyDescent="0.25">
      <c r="A2521">
        <v>2007</v>
      </c>
      <c r="B2521">
        <v>5</v>
      </c>
      <c r="C2521" t="s">
        <v>41</v>
      </c>
      <c r="D2521" t="str">
        <f>_xlfn.XLOOKUP(C2521,'Carrier Name Rename'!A:A,'Carrier Name Rename'!B:B)</f>
        <v>United Air Lines Inc.</v>
      </c>
      <c r="E2521" t="s">
        <v>23</v>
      </c>
      <c r="F2521" t="s">
        <v>24</v>
      </c>
      <c r="G2521">
        <v>895</v>
      </c>
      <c r="H2521">
        <v>249</v>
      </c>
      <c r="I2521">
        <v>55.3</v>
      </c>
      <c r="J2521">
        <v>9.52</v>
      </c>
      <c r="K2521">
        <v>85.16</v>
      </c>
      <c r="L2521">
        <v>0</v>
      </c>
      <c r="M2521">
        <v>99.01</v>
      </c>
      <c r="N2521">
        <v>7</v>
      </c>
      <c r="O2521">
        <v>1</v>
      </c>
      <c r="P2521">
        <v>12181</v>
      </c>
      <c r="Q2521">
        <v>2625</v>
      </c>
      <c r="R2521">
        <v>627</v>
      </c>
      <c r="S2521">
        <v>2526</v>
      </c>
      <c r="T2521">
        <v>0</v>
      </c>
      <c r="U2521">
        <v>6403</v>
      </c>
      <c r="V2521" s="1">
        <f t="shared" si="117"/>
        <v>0.2782</v>
      </c>
      <c r="W2521" s="1">
        <f t="shared" si="118"/>
        <v>7.7999999999999996E-3</v>
      </c>
      <c r="X2521" s="1">
        <f t="shared" si="119"/>
        <v>1.1000000000000001E-3</v>
      </c>
    </row>
    <row r="2522" spans="1:24" x14ac:dyDescent="0.25">
      <c r="A2522">
        <v>2007</v>
      </c>
      <c r="B2522">
        <v>5</v>
      </c>
      <c r="C2522" t="s">
        <v>61</v>
      </c>
      <c r="D2522" t="str">
        <f>_xlfn.XLOOKUP(C2522,'Carrier Name Rename'!A:A,'Carrier Name Rename'!B:B)</f>
        <v>US Airways Inc.</v>
      </c>
      <c r="E2522" t="s">
        <v>23</v>
      </c>
      <c r="F2522" t="s">
        <v>24</v>
      </c>
      <c r="G2522">
        <v>310</v>
      </c>
      <c r="H2522">
        <v>93</v>
      </c>
      <c r="I2522">
        <v>35.25</v>
      </c>
      <c r="J2522">
        <v>0.68</v>
      </c>
      <c r="K2522">
        <v>36.21</v>
      </c>
      <c r="L2522">
        <v>0</v>
      </c>
      <c r="M2522">
        <v>20.86</v>
      </c>
      <c r="N2522">
        <v>2</v>
      </c>
      <c r="O2522">
        <v>0</v>
      </c>
      <c r="P2522">
        <v>4279</v>
      </c>
      <c r="Q2522">
        <v>1693</v>
      </c>
      <c r="R2522">
        <v>34</v>
      </c>
      <c r="S2522">
        <v>1111</v>
      </c>
      <c r="T2522">
        <v>0</v>
      </c>
      <c r="U2522">
        <v>1441</v>
      </c>
      <c r="V2522" s="1">
        <f t="shared" si="117"/>
        <v>0.3</v>
      </c>
      <c r="W2522" s="1">
        <f t="shared" si="118"/>
        <v>6.4999999999999997E-3</v>
      </c>
      <c r="X2522" s="1">
        <f t="shared" si="119"/>
        <v>0</v>
      </c>
    </row>
    <row r="2523" spans="1:24" x14ac:dyDescent="0.25">
      <c r="A2523">
        <v>2007</v>
      </c>
      <c r="B2523">
        <v>5</v>
      </c>
      <c r="C2523" t="s">
        <v>43</v>
      </c>
      <c r="D2523" t="str">
        <f>_xlfn.XLOOKUP(C2523,'Carrier Name Rename'!A:A,'Carrier Name Rename'!B:B)</f>
        <v>Southwest Airlines Co.</v>
      </c>
      <c r="E2523" t="s">
        <v>23</v>
      </c>
      <c r="F2523" t="s">
        <v>24</v>
      </c>
      <c r="G2523">
        <v>1207</v>
      </c>
      <c r="H2523">
        <v>187</v>
      </c>
      <c r="I2523">
        <v>47.49</v>
      </c>
      <c r="J2523">
        <v>0</v>
      </c>
      <c r="K2523">
        <v>37.71</v>
      </c>
      <c r="L2523">
        <v>0.02</v>
      </c>
      <c r="M2523">
        <v>101.78</v>
      </c>
      <c r="N2523">
        <v>3</v>
      </c>
      <c r="O2523">
        <v>0</v>
      </c>
      <c r="P2523">
        <v>6997</v>
      </c>
      <c r="Q2523">
        <v>1601</v>
      </c>
      <c r="R2523">
        <v>0</v>
      </c>
      <c r="S2523">
        <v>964</v>
      </c>
      <c r="T2523">
        <v>1</v>
      </c>
      <c r="U2523">
        <v>4431</v>
      </c>
      <c r="V2523" s="1">
        <f t="shared" si="117"/>
        <v>0.15490000000000001</v>
      </c>
      <c r="W2523" s="1">
        <f t="shared" si="118"/>
        <v>2.5000000000000001E-3</v>
      </c>
      <c r="X2523" s="1">
        <f t="shared" si="119"/>
        <v>0</v>
      </c>
    </row>
    <row r="2524" spans="1:24" x14ac:dyDescent="0.25">
      <c r="A2524">
        <v>2007</v>
      </c>
      <c r="B2524">
        <v>5</v>
      </c>
      <c r="C2524" t="s">
        <v>71</v>
      </c>
      <c r="D2524" t="str">
        <f>_xlfn.XLOOKUP(C2524,'Carrier Name Rename'!A:A,'Carrier Name Rename'!B:B)</f>
        <v>Mesa Airlines Inc.</v>
      </c>
      <c r="E2524" t="s">
        <v>23</v>
      </c>
      <c r="F2524" t="s">
        <v>24</v>
      </c>
      <c r="G2524">
        <v>31</v>
      </c>
      <c r="H2524">
        <v>4</v>
      </c>
      <c r="I2524">
        <v>2</v>
      </c>
      <c r="J2524">
        <v>0</v>
      </c>
      <c r="K2524">
        <v>2</v>
      </c>
      <c r="L2524">
        <v>0</v>
      </c>
      <c r="M2524">
        <v>0</v>
      </c>
      <c r="N2524">
        <v>0</v>
      </c>
      <c r="O2524">
        <v>0</v>
      </c>
      <c r="P2524">
        <v>97</v>
      </c>
      <c r="Q2524">
        <v>60</v>
      </c>
      <c r="R2524">
        <v>0</v>
      </c>
      <c r="S2524">
        <v>37</v>
      </c>
      <c r="T2524">
        <v>0</v>
      </c>
      <c r="U2524">
        <v>0</v>
      </c>
      <c r="V2524" s="1">
        <f t="shared" si="117"/>
        <v>0.129</v>
      </c>
      <c r="W2524" s="1">
        <f t="shared" si="118"/>
        <v>0</v>
      </c>
      <c r="X2524" s="1">
        <f t="shared" si="119"/>
        <v>0</v>
      </c>
    </row>
    <row r="2525" spans="1:24" x14ac:dyDescent="0.25">
      <c r="A2525">
        <v>2007</v>
      </c>
      <c r="B2525">
        <v>4</v>
      </c>
      <c r="C2525" t="s">
        <v>31</v>
      </c>
      <c r="D2525" t="str">
        <f>_xlfn.XLOOKUP(C2525,'Carrier Name Rename'!A:A,'Carrier Name Rename'!B:B)</f>
        <v>American Airlines Inc.</v>
      </c>
      <c r="E2525" t="s">
        <v>23</v>
      </c>
      <c r="F2525" t="s">
        <v>24</v>
      </c>
      <c r="G2525">
        <v>490</v>
      </c>
      <c r="H2525">
        <v>152</v>
      </c>
      <c r="I2525">
        <v>57.47</v>
      </c>
      <c r="J2525">
        <v>7.61</v>
      </c>
      <c r="K2525">
        <v>46.46</v>
      </c>
      <c r="L2525">
        <v>0</v>
      </c>
      <c r="M2525">
        <v>40.450000000000003</v>
      </c>
      <c r="N2525">
        <v>9</v>
      </c>
      <c r="O2525">
        <v>0</v>
      </c>
      <c r="P2525">
        <v>9013</v>
      </c>
      <c r="Q2525">
        <v>3117</v>
      </c>
      <c r="R2525">
        <v>536</v>
      </c>
      <c r="S2525">
        <v>1830</v>
      </c>
      <c r="T2525">
        <v>0</v>
      </c>
      <c r="U2525">
        <v>3530</v>
      </c>
      <c r="V2525" s="1">
        <f t="shared" si="117"/>
        <v>0.31019999999999998</v>
      </c>
      <c r="W2525" s="1">
        <f t="shared" si="118"/>
        <v>1.84E-2</v>
      </c>
      <c r="X2525" s="1">
        <f t="shared" si="119"/>
        <v>0</v>
      </c>
    </row>
    <row r="2526" spans="1:24" x14ac:dyDescent="0.25">
      <c r="A2526">
        <v>2007</v>
      </c>
      <c r="B2526">
        <v>4</v>
      </c>
      <c r="C2526" t="s">
        <v>33</v>
      </c>
      <c r="D2526" t="str">
        <f>_xlfn.XLOOKUP(C2526,'Carrier Name Rename'!A:A,'Carrier Name Rename'!B:B)</f>
        <v>Alaska Airlines Inc.</v>
      </c>
      <c r="E2526" t="s">
        <v>23</v>
      </c>
      <c r="F2526" t="s">
        <v>24</v>
      </c>
      <c r="G2526">
        <v>3897</v>
      </c>
      <c r="H2526">
        <v>822</v>
      </c>
      <c r="I2526">
        <v>210.8</v>
      </c>
      <c r="J2526">
        <v>9.85</v>
      </c>
      <c r="K2526">
        <v>282.55</v>
      </c>
      <c r="L2526">
        <v>9.31</v>
      </c>
      <c r="M2526">
        <v>309.48</v>
      </c>
      <c r="N2526">
        <v>62</v>
      </c>
      <c r="O2526">
        <v>9</v>
      </c>
      <c r="P2526">
        <v>44439</v>
      </c>
      <c r="Q2526">
        <v>14601</v>
      </c>
      <c r="R2526">
        <v>493</v>
      </c>
      <c r="S2526">
        <v>8403</v>
      </c>
      <c r="T2526">
        <v>236</v>
      </c>
      <c r="U2526">
        <v>20706</v>
      </c>
      <c r="V2526" s="1">
        <f t="shared" si="117"/>
        <v>0.2109</v>
      </c>
      <c r="W2526" s="1">
        <f t="shared" si="118"/>
        <v>1.5900000000000001E-2</v>
      </c>
      <c r="X2526" s="1">
        <f t="shared" si="119"/>
        <v>2.3E-3</v>
      </c>
    </row>
    <row r="2527" spans="1:24" x14ac:dyDescent="0.25">
      <c r="A2527">
        <v>2007</v>
      </c>
      <c r="B2527">
        <v>4</v>
      </c>
      <c r="C2527" t="s">
        <v>35</v>
      </c>
      <c r="D2527" t="str">
        <f>_xlfn.XLOOKUP(C2527,'Carrier Name Rename'!A:A,'Carrier Name Rename'!B:B)</f>
        <v>JetBlue Airways</v>
      </c>
      <c r="E2527" t="s">
        <v>23</v>
      </c>
      <c r="F2527" t="s">
        <v>24</v>
      </c>
      <c r="G2527">
        <v>60</v>
      </c>
      <c r="H2527">
        <v>11</v>
      </c>
      <c r="I2527">
        <v>1.08</v>
      </c>
      <c r="J2527">
        <v>0</v>
      </c>
      <c r="K2527">
        <v>5.05</v>
      </c>
      <c r="L2527">
        <v>0</v>
      </c>
      <c r="M2527">
        <v>4.87</v>
      </c>
      <c r="N2527">
        <v>1</v>
      </c>
      <c r="O2527">
        <v>0</v>
      </c>
      <c r="P2527">
        <v>394</v>
      </c>
      <c r="Q2527">
        <v>39</v>
      </c>
      <c r="R2527">
        <v>0</v>
      </c>
      <c r="S2527">
        <v>133</v>
      </c>
      <c r="T2527">
        <v>0</v>
      </c>
      <c r="U2527">
        <v>222</v>
      </c>
      <c r="V2527" s="1">
        <f t="shared" si="117"/>
        <v>0.18329999999999999</v>
      </c>
      <c r="W2527" s="1">
        <f t="shared" si="118"/>
        <v>1.67E-2</v>
      </c>
      <c r="X2527" s="1">
        <f t="shared" si="119"/>
        <v>0</v>
      </c>
    </row>
    <row r="2528" spans="1:24" x14ac:dyDescent="0.25">
      <c r="A2528">
        <v>2007</v>
      </c>
      <c r="B2528">
        <v>4</v>
      </c>
      <c r="C2528" t="s">
        <v>65</v>
      </c>
      <c r="D2528" t="str">
        <f>_xlfn.XLOOKUP(C2528,'Carrier Name Rename'!A:A,'Carrier Name Rename'!B:B)</f>
        <v>Continental Air Lines Inc.</v>
      </c>
      <c r="E2528" t="s">
        <v>23</v>
      </c>
      <c r="F2528" t="s">
        <v>24</v>
      </c>
      <c r="G2528">
        <v>348</v>
      </c>
      <c r="H2528">
        <v>89</v>
      </c>
      <c r="I2528">
        <v>25.51</v>
      </c>
      <c r="J2528">
        <v>2.2999999999999998</v>
      </c>
      <c r="K2528">
        <v>41.71</v>
      </c>
      <c r="L2528">
        <v>2.94</v>
      </c>
      <c r="M2528">
        <v>16.55</v>
      </c>
      <c r="N2528">
        <v>0</v>
      </c>
      <c r="O2528">
        <v>0</v>
      </c>
      <c r="P2528">
        <v>3950</v>
      </c>
      <c r="Q2528">
        <v>1236</v>
      </c>
      <c r="R2528">
        <v>167</v>
      </c>
      <c r="S2528">
        <v>1352</v>
      </c>
      <c r="T2528">
        <v>91</v>
      </c>
      <c r="U2528">
        <v>1104</v>
      </c>
      <c r="V2528" s="1">
        <f t="shared" si="117"/>
        <v>0.25569999999999998</v>
      </c>
      <c r="W2528" s="1">
        <f t="shared" si="118"/>
        <v>0</v>
      </c>
      <c r="X2528" s="1">
        <f t="shared" si="119"/>
        <v>0</v>
      </c>
    </row>
    <row r="2529" spans="1:24" x14ac:dyDescent="0.25">
      <c r="A2529">
        <v>2007</v>
      </c>
      <c r="B2529">
        <v>4</v>
      </c>
      <c r="C2529" t="s">
        <v>37</v>
      </c>
      <c r="D2529" t="str">
        <f>_xlfn.XLOOKUP(C2529,'Carrier Name Rename'!A:A,'Carrier Name Rename'!B:B)</f>
        <v>Delta Air Lines Inc.</v>
      </c>
      <c r="E2529" t="s">
        <v>23</v>
      </c>
      <c r="F2529" t="s">
        <v>24</v>
      </c>
      <c r="G2529">
        <v>411</v>
      </c>
      <c r="H2529">
        <v>102</v>
      </c>
      <c r="I2529">
        <v>32.07</v>
      </c>
      <c r="J2529">
        <v>1.62</v>
      </c>
      <c r="K2529">
        <v>47.78</v>
      </c>
      <c r="L2529">
        <v>0.85</v>
      </c>
      <c r="M2529">
        <v>19.68</v>
      </c>
      <c r="N2529">
        <v>1</v>
      </c>
      <c r="O2529">
        <v>0</v>
      </c>
      <c r="P2529">
        <v>4835</v>
      </c>
      <c r="Q2529">
        <v>1604</v>
      </c>
      <c r="R2529">
        <v>45</v>
      </c>
      <c r="S2529">
        <v>1847</v>
      </c>
      <c r="T2529">
        <v>119</v>
      </c>
      <c r="U2529">
        <v>1220</v>
      </c>
      <c r="V2529" s="1">
        <f t="shared" si="117"/>
        <v>0.2482</v>
      </c>
      <c r="W2529" s="1">
        <f t="shared" si="118"/>
        <v>2.3999999999999998E-3</v>
      </c>
      <c r="X2529" s="1">
        <f t="shared" si="119"/>
        <v>0</v>
      </c>
    </row>
    <row r="2530" spans="1:24" x14ac:dyDescent="0.25">
      <c r="A2530">
        <v>2007</v>
      </c>
      <c r="B2530">
        <v>4</v>
      </c>
      <c r="C2530" t="s">
        <v>39</v>
      </c>
      <c r="D2530" t="str">
        <f>_xlfn.XLOOKUP(C2530,'Carrier Name Rename'!A:A,'Carrier Name Rename'!B:B)</f>
        <v>Frontier Airlines Inc.</v>
      </c>
      <c r="E2530" t="s">
        <v>23</v>
      </c>
      <c r="F2530" t="s">
        <v>24</v>
      </c>
      <c r="G2530">
        <v>107</v>
      </c>
      <c r="H2530">
        <v>21</v>
      </c>
      <c r="I2530">
        <v>8.2799999999999994</v>
      </c>
      <c r="J2530">
        <v>0</v>
      </c>
      <c r="K2530">
        <v>10.199999999999999</v>
      </c>
      <c r="L2530">
        <v>0</v>
      </c>
      <c r="M2530">
        <v>2.52</v>
      </c>
      <c r="N2530">
        <v>0</v>
      </c>
      <c r="O2530">
        <v>0</v>
      </c>
      <c r="P2530">
        <v>855</v>
      </c>
      <c r="Q2530">
        <v>311</v>
      </c>
      <c r="R2530">
        <v>0</v>
      </c>
      <c r="S2530">
        <v>412</v>
      </c>
      <c r="T2530">
        <v>0</v>
      </c>
      <c r="U2530">
        <v>132</v>
      </c>
      <c r="V2530" s="1">
        <f t="shared" si="117"/>
        <v>0.1963</v>
      </c>
      <c r="W2530" s="1">
        <f t="shared" si="118"/>
        <v>0</v>
      </c>
      <c r="X2530" s="1">
        <f t="shared" si="119"/>
        <v>0</v>
      </c>
    </row>
    <row r="2531" spans="1:24" x14ac:dyDescent="0.25">
      <c r="A2531">
        <v>2007</v>
      </c>
      <c r="B2531">
        <v>4</v>
      </c>
      <c r="C2531" t="s">
        <v>21</v>
      </c>
      <c r="D2531" t="str">
        <f>_xlfn.XLOOKUP(C2531,'Carrier Name Rename'!A:A,'Carrier Name Rename'!B:B)</f>
        <v>Hawaiian Airlines Inc.</v>
      </c>
      <c r="E2531" t="s">
        <v>23</v>
      </c>
      <c r="F2531" t="s">
        <v>24</v>
      </c>
      <c r="G2531">
        <v>72</v>
      </c>
      <c r="H2531">
        <v>21</v>
      </c>
      <c r="I2531">
        <v>17.68</v>
      </c>
      <c r="J2531">
        <v>0</v>
      </c>
      <c r="K2531">
        <v>0.28000000000000003</v>
      </c>
      <c r="L2531">
        <v>0</v>
      </c>
      <c r="M2531">
        <v>3.04</v>
      </c>
      <c r="N2531">
        <v>0</v>
      </c>
      <c r="O2531">
        <v>0</v>
      </c>
      <c r="P2531">
        <v>2294</v>
      </c>
      <c r="Q2531">
        <v>1812</v>
      </c>
      <c r="R2531">
        <v>0</v>
      </c>
      <c r="S2531">
        <v>5</v>
      </c>
      <c r="T2531">
        <v>0</v>
      </c>
      <c r="U2531">
        <v>477</v>
      </c>
      <c r="V2531" s="1">
        <f t="shared" si="117"/>
        <v>0.29170000000000001</v>
      </c>
      <c r="W2531" s="1">
        <f t="shared" si="118"/>
        <v>0</v>
      </c>
      <c r="X2531" s="1">
        <f t="shared" si="119"/>
        <v>0</v>
      </c>
    </row>
    <row r="2532" spans="1:24" x14ac:dyDescent="0.25">
      <c r="A2532">
        <v>2007</v>
      </c>
      <c r="B2532">
        <v>4</v>
      </c>
      <c r="C2532" t="s">
        <v>67</v>
      </c>
      <c r="D2532" t="str">
        <f>_xlfn.XLOOKUP(C2532,'Carrier Name Rename'!A:A,'Carrier Name Rename'!B:B)</f>
        <v>Northwest Airlines Inc.</v>
      </c>
      <c r="E2532" t="s">
        <v>23</v>
      </c>
      <c r="F2532" t="s">
        <v>24</v>
      </c>
      <c r="G2532">
        <v>374</v>
      </c>
      <c r="H2532">
        <v>94</v>
      </c>
      <c r="I2532">
        <v>45.38</v>
      </c>
      <c r="J2532">
        <v>0.62</v>
      </c>
      <c r="K2532">
        <v>34.200000000000003</v>
      </c>
      <c r="L2532">
        <v>0</v>
      </c>
      <c r="M2532">
        <v>13.81</v>
      </c>
      <c r="N2532">
        <v>1</v>
      </c>
      <c r="O2532">
        <v>1</v>
      </c>
      <c r="P2532">
        <v>4243</v>
      </c>
      <c r="Q2532">
        <v>2539</v>
      </c>
      <c r="R2532">
        <v>20</v>
      </c>
      <c r="S2532">
        <v>969</v>
      </c>
      <c r="T2532">
        <v>0</v>
      </c>
      <c r="U2532">
        <v>715</v>
      </c>
      <c r="V2532" s="1">
        <f t="shared" si="117"/>
        <v>0.25130000000000002</v>
      </c>
      <c r="W2532" s="1">
        <f t="shared" si="118"/>
        <v>2.7000000000000001E-3</v>
      </c>
      <c r="X2532" s="1">
        <f t="shared" si="119"/>
        <v>2.7000000000000001E-3</v>
      </c>
    </row>
    <row r="2533" spans="1:24" x14ac:dyDescent="0.25">
      <c r="A2533">
        <v>2007</v>
      </c>
      <c r="B2533">
        <v>4</v>
      </c>
      <c r="C2533" t="s">
        <v>27</v>
      </c>
      <c r="D2533" t="str">
        <f>_xlfn.XLOOKUP(C2533,'Carrier Name Rename'!A:A,'Carrier Name Rename'!B:B)</f>
        <v>SkyWest Airlines Inc.</v>
      </c>
      <c r="E2533" t="s">
        <v>23</v>
      </c>
      <c r="F2533" t="s">
        <v>24</v>
      </c>
      <c r="G2533">
        <v>431</v>
      </c>
      <c r="H2533">
        <v>37</v>
      </c>
      <c r="I2533">
        <v>27</v>
      </c>
      <c r="J2533">
        <v>0</v>
      </c>
      <c r="K2533">
        <v>2</v>
      </c>
      <c r="L2533">
        <v>1</v>
      </c>
      <c r="M2533">
        <v>7</v>
      </c>
      <c r="N2533">
        <v>3</v>
      </c>
      <c r="O2533">
        <v>0</v>
      </c>
      <c r="P2533">
        <v>1240</v>
      </c>
      <c r="Q2533">
        <v>963</v>
      </c>
      <c r="R2533">
        <v>0</v>
      </c>
      <c r="S2533">
        <v>37</v>
      </c>
      <c r="T2533">
        <v>33</v>
      </c>
      <c r="U2533">
        <v>207</v>
      </c>
      <c r="V2533" s="1">
        <f t="shared" si="117"/>
        <v>8.5800000000000001E-2</v>
      </c>
      <c r="W2533" s="1">
        <f t="shared" si="118"/>
        <v>7.0000000000000001E-3</v>
      </c>
      <c r="X2533" s="1">
        <f t="shared" si="119"/>
        <v>0</v>
      </c>
    </row>
    <row r="2534" spans="1:24" x14ac:dyDescent="0.25">
      <c r="A2534">
        <v>2007</v>
      </c>
      <c r="B2534">
        <v>4</v>
      </c>
      <c r="C2534" t="s">
        <v>41</v>
      </c>
      <c r="D2534" t="str">
        <f>_xlfn.XLOOKUP(C2534,'Carrier Name Rename'!A:A,'Carrier Name Rename'!B:B)</f>
        <v>United Air Lines Inc.</v>
      </c>
      <c r="E2534" t="s">
        <v>23</v>
      </c>
      <c r="F2534" t="s">
        <v>24</v>
      </c>
      <c r="G2534">
        <v>866</v>
      </c>
      <c r="H2534">
        <v>235</v>
      </c>
      <c r="I2534">
        <v>60.99</v>
      </c>
      <c r="J2534">
        <v>4.5199999999999996</v>
      </c>
      <c r="K2534">
        <v>63.09</v>
      </c>
      <c r="L2534">
        <v>0</v>
      </c>
      <c r="M2534">
        <v>106.4</v>
      </c>
      <c r="N2534">
        <v>14</v>
      </c>
      <c r="O2534">
        <v>1</v>
      </c>
      <c r="P2534">
        <v>13103</v>
      </c>
      <c r="Q2534">
        <v>2956</v>
      </c>
      <c r="R2534">
        <v>388</v>
      </c>
      <c r="S2534">
        <v>2047</v>
      </c>
      <c r="T2534">
        <v>0</v>
      </c>
      <c r="U2534">
        <v>7712</v>
      </c>
      <c r="V2534" s="1">
        <f t="shared" si="117"/>
        <v>0.27139999999999997</v>
      </c>
      <c r="W2534" s="1">
        <f t="shared" si="118"/>
        <v>1.6199999999999999E-2</v>
      </c>
      <c r="X2534" s="1">
        <f t="shared" si="119"/>
        <v>1.1999999999999999E-3</v>
      </c>
    </row>
    <row r="2535" spans="1:24" x14ac:dyDescent="0.25">
      <c r="A2535">
        <v>2007</v>
      </c>
      <c r="B2535">
        <v>4</v>
      </c>
      <c r="C2535" t="s">
        <v>61</v>
      </c>
      <c r="D2535" t="str">
        <f>_xlfn.XLOOKUP(C2535,'Carrier Name Rename'!A:A,'Carrier Name Rename'!B:B)</f>
        <v>US Airways Inc.</v>
      </c>
      <c r="E2535" t="s">
        <v>23</v>
      </c>
      <c r="F2535" t="s">
        <v>24</v>
      </c>
      <c r="G2535">
        <v>278</v>
      </c>
      <c r="H2535">
        <v>107</v>
      </c>
      <c r="I2535">
        <v>51.23</v>
      </c>
      <c r="J2535">
        <v>0.27</v>
      </c>
      <c r="K2535">
        <v>31.37</v>
      </c>
      <c r="L2535">
        <v>0</v>
      </c>
      <c r="M2535">
        <v>24.13</v>
      </c>
      <c r="N2535">
        <v>1</v>
      </c>
      <c r="O2535">
        <v>0</v>
      </c>
      <c r="P2535">
        <v>4757</v>
      </c>
      <c r="Q2535">
        <v>2420</v>
      </c>
      <c r="R2535">
        <v>6</v>
      </c>
      <c r="S2535">
        <v>1022</v>
      </c>
      <c r="T2535">
        <v>0</v>
      </c>
      <c r="U2535">
        <v>1309</v>
      </c>
      <c r="V2535" s="1">
        <f t="shared" si="117"/>
        <v>0.38490000000000002</v>
      </c>
      <c r="W2535" s="1">
        <f t="shared" si="118"/>
        <v>3.5999999999999999E-3</v>
      </c>
      <c r="X2535" s="1">
        <f t="shared" si="119"/>
        <v>0</v>
      </c>
    </row>
    <row r="2536" spans="1:24" x14ac:dyDescent="0.25">
      <c r="A2536">
        <v>2007</v>
      </c>
      <c r="B2536">
        <v>4</v>
      </c>
      <c r="C2536" t="s">
        <v>43</v>
      </c>
      <c r="D2536" t="str">
        <f>_xlfn.XLOOKUP(C2536,'Carrier Name Rename'!A:A,'Carrier Name Rename'!B:B)</f>
        <v>Southwest Airlines Co.</v>
      </c>
      <c r="E2536" t="s">
        <v>23</v>
      </c>
      <c r="F2536" t="s">
        <v>24</v>
      </c>
      <c r="G2536">
        <v>1179</v>
      </c>
      <c r="H2536">
        <v>170</v>
      </c>
      <c r="I2536">
        <v>49.74</v>
      </c>
      <c r="J2536">
        <v>0.13</v>
      </c>
      <c r="K2536">
        <v>26.18</v>
      </c>
      <c r="L2536">
        <v>1.36</v>
      </c>
      <c r="M2536">
        <v>92.59</v>
      </c>
      <c r="N2536">
        <v>0</v>
      </c>
      <c r="O2536">
        <v>1</v>
      </c>
      <c r="P2536">
        <v>7393</v>
      </c>
      <c r="Q2536">
        <v>1703</v>
      </c>
      <c r="R2536">
        <v>13</v>
      </c>
      <c r="S2536">
        <v>879</v>
      </c>
      <c r="T2536">
        <v>36</v>
      </c>
      <c r="U2536">
        <v>4762</v>
      </c>
      <c r="V2536" s="1">
        <f t="shared" si="117"/>
        <v>0.14419999999999999</v>
      </c>
      <c r="W2536" s="1">
        <f t="shared" si="118"/>
        <v>0</v>
      </c>
      <c r="X2536" s="1">
        <f t="shared" si="119"/>
        <v>8.0000000000000004E-4</v>
      </c>
    </row>
    <row r="2537" spans="1:24" x14ac:dyDescent="0.25">
      <c r="A2537">
        <v>2007</v>
      </c>
      <c r="B2537">
        <v>4</v>
      </c>
      <c r="C2537" t="s">
        <v>71</v>
      </c>
      <c r="D2537" t="str">
        <f>_xlfn.XLOOKUP(C2537,'Carrier Name Rename'!A:A,'Carrier Name Rename'!B:B)</f>
        <v>Mesa Airlines Inc.</v>
      </c>
      <c r="E2537" t="s">
        <v>23</v>
      </c>
      <c r="F2537" t="s">
        <v>24</v>
      </c>
      <c r="G2537">
        <v>46</v>
      </c>
      <c r="H2537">
        <v>10</v>
      </c>
      <c r="I2537">
        <v>5</v>
      </c>
      <c r="J2537">
        <v>0</v>
      </c>
      <c r="K2537">
        <v>3</v>
      </c>
      <c r="L2537">
        <v>0</v>
      </c>
      <c r="M2537">
        <v>2</v>
      </c>
      <c r="N2537">
        <v>0</v>
      </c>
      <c r="O2537">
        <v>0</v>
      </c>
      <c r="P2537">
        <v>609</v>
      </c>
      <c r="Q2537">
        <v>280</v>
      </c>
      <c r="R2537">
        <v>0</v>
      </c>
      <c r="S2537">
        <v>65</v>
      </c>
      <c r="T2537">
        <v>0</v>
      </c>
      <c r="U2537">
        <v>264</v>
      </c>
      <c r="V2537" s="1">
        <f t="shared" si="117"/>
        <v>0.21740000000000001</v>
      </c>
      <c r="W2537" s="1">
        <f t="shared" si="118"/>
        <v>0</v>
      </c>
      <c r="X2537" s="1">
        <f t="shared" si="119"/>
        <v>0</v>
      </c>
    </row>
    <row r="2538" spans="1:24" x14ac:dyDescent="0.25">
      <c r="A2538">
        <v>2007</v>
      </c>
      <c r="B2538">
        <v>3</v>
      </c>
      <c r="C2538" t="s">
        <v>31</v>
      </c>
      <c r="D2538" t="str">
        <f>_xlfn.XLOOKUP(C2538,'Carrier Name Rename'!A:A,'Carrier Name Rename'!B:B)</f>
        <v>American Airlines Inc.</v>
      </c>
      <c r="E2538" t="s">
        <v>23</v>
      </c>
      <c r="F2538" t="s">
        <v>24</v>
      </c>
      <c r="G2538">
        <v>471</v>
      </c>
      <c r="H2538">
        <v>126</v>
      </c>
      <c r="I2538">
        <v>54.86</v>
      </c>
      <c r="J2538">
        <v>10.14</v>
      </c>
      <c r="K2538">
        <v>30.51</v>
      </c>
      <c r="L2538">
        <v>0</v>
      </c>
      <c r="M2538">
        <v>30.49</v>
      </c>
      <c r="N2538">
        <v>12</v>
      </c>
      <c r="O2538">
        <v>1</v>
      </c>
      <c r="P2538">
        <v>7594</v>
      </c>
      <c r="Q2538">
        <v>3439</v>
      </c>
      <c r="R2538">
        <v>660</v>
      </c>
      <c r="S2538">
        <v>1152</v>
      </c>
      <c r="T2538">
        <v>0</v>
      </c>
      <c r="U2538">
        <v>2343</v>
      </c>
      <c r="V2538" s="1">
        <f t="shared" si="117"/>
        <v>0.26750000000000002</v>
      </c>
      <c r="W2538" s="1">
        <f t="shared" si="118"/>
        <v>2.5499999999999998E-2</v>
      </c>
      <c r="X2538" s="1">
        <f t="shared" si="119"/>
        <v>2.0999999999999999E-3</v>
      </c>
    </row>
    <row r="2539" spans="1:24" x14ac:dyDescent="0.25">
      <c r="A2539">
        <v>2007</v>
      </c>
      <c r="B2539">
        <v>3</v>
      </c>
      <c r="C2539" t="s">
        <v>33</v>
      </c>
      <c r="D2539" t="str">
        <f>_xlfn.XLOOKUP(C2539,'Carrier Name Rename'!A:A,'Carrier Name Rename'!B:B)</f>
        <v>Alaska Airlines Inc.</v>
      </c>
      <c r="E2539" t="s">
        <v>23</v>
      </c>
      <c r="F2539" t="s">
        <v>24</v>
      </c>
      <c r="G2539">
        <v>3908</v>
      </c>
      <c r="H2539">
        <v>1016</v>
      </c>
      <c r="I2539">
        <v>244.1</v>
      </c>
      <c r="J2539">
        <v>8.81</v>
      </c>
      <c r="K2539">
        <v>350.17</v>
      </c>
      <c r="L2539">
        <v>8.18</v>
      </c>
      <c r="M2539">
        <v>404.74</v>
      </c>
      <c r="N2539">
        <v>66</v>
      </c>
      <c r="O2539">
        <v>6</v>
      </c>
      <c r="P2539">
        <v>59225</v>
      </c>
      <c r="Q2539">
        <v>19930</v>
      </c>
      <c r="R2539">
        <v>690</v>
      </c>
      <c r="S2539">
        <v>10856</v>
      </c>
      <c r="T2539">
        <v>527</v>
      </c>
      <c r="U2539">
        <v>27222</v>
      </c>
      <c r="V2539" s="1">
        <f t="shared" si="117"/>
        <v>0.26</v>
      </c>
      <c r="W2539" s="1">
        <f t="shared" si="118"/>
        <v>1.6899999999999998E-2</v>
      </c>
      <c r="X2539" s="1">
        <f t="shared" si="119"/>
        <v>1.5E-3</v>
      </c>
    </row>
    <row r="2540" spans="1:24" x14ac:dyDescent="0.25">
      <c r="A2540">
        <v>2007</v>
      </c>
      <c r="B2540">
        <v>3</v>
      </c>
      <c r="C2540" t="s">
        <v>35</v>
      </c>
      <c r="D2540" t="str">
        <f>_xlfn.XLOOKUP(C2540,'Carrier Name Rename'!A:A,'Carrier Name Rename'!B:B)</f>
        <v>JetBlue Airways</v>
      </c>
      <c r="E2540" t="s">
        <v>23</v>
      </c>
      <c r="F2540" t="s">
        <v>24</v>
      </c>
      <c r="G2540">
        <v>62</v>
      </c>
      <c r="H2540">
        <v>25</v>
      </c>
      <c r="I2540">
        <v>3.49</v>
      </c>
      <c r="J2540">
        <v>0.76</v>
      </c>
      <c r="K2540">
        <v>9.9600000000000009</v>
      </c>
      <c r="L2540">
        <v>0.06</v>
      </c>
      <c r="M2540">
        <v>10.74</v>
      </c>
      <c r="N2540">
        <v>1</v>
      </c>
      <c r="O2540">
        <v>0</v>
      </c>
      <c r="P2540">
        <v>1140</v>
      </c>
      <c r="Q2540">
        <v>109</v>
      </c>
      <c r="R2540">
        <v>68</v>
      </c>
      <c r="S2540">
        <v>319</v>
      </c>
      <c r="T2540">
        <v>5</v>
      </c>
      <c r="U2540">
        <v>639</v>
      </c>
      <c r="V2540" s="1">
        <f t="shared" si="117"/>
        <v>0.4032</v>
      </c>
      <c r="W2540" s="1">
        <f t="shared" si="118"/>
        <v>1.61E-2</v>
      </c>
      <c r="X2540" s="1">
        <f t="shared" si="119"/>
        <v>0</v>
      </c>
    </row>
    <row r="2541" spans="1:24" x14ac:dyDescent="0.25">
      <c r="A2541">
        <v>2007</v>
      </c>
      <c r="B2541">
        <v>3</v>
      </c>
      <c r="C2541" t="s">
        <v>65</v>
      </c>
      <c r="D2541" t="str">
        <f>_xlfn.XLOOKUP(C2541,'Carrier Name Rename'!A:A,'Carrier Name Rename'!B:B)</f>
        <v>Continental Air Lines Inc.</v>
      </c>
      <c r="E2541" t="s">
        <v>23</v>
      </c>
      <c r="F2541" t="s">
        <v>24</v>
      </c>
      <c r="G2541">
        <v>357</v>
      </c>
      <c r="H2541">
        <v>111</v>
      </c>
      <c r="I2541">
        <v>32.5</v>
      </c>
      <c r="J2541">
        <v>9.07</v>
      </c>
      <c r="K2541">
        <v>47.62</v>
      </c>
      <c r="L2541">
        <v>2.3199999999999998</v>
      </c>
      <c r="M2541">
        <v>19.489999999999998</v>
      </c>
      <c r="N2541">
        <v>5</v>
      </c>
      <c r="O2541">
        <v>2</v>
      </c>
      <c r="P2541">
        <v>5464</v>
      </c>
      <c r="Q2541">
        <v>1368</v>
      </c>
      <c r="R2541">
        <v>601</v>
      </c>
      <c r="S2541">
        <v>1752</v>
      </c>
      <c r="T2541">
        <v>69</v>
      </c>
      <c r="U2541">
        <v>1674</v>
      </c>
      <c r="V2541" s="1">
        <f t="shared" si="117"/>
        <v>0.31090000000000001</v>
      </c>
      <c r="W2541" s="1">
        <f t="shared" si="118"/>
        <v>1.4E-2</v>
      </c>
      <c r="X2541" s="1">
        <f t="shared" si="119"/>
        <v>5.5999999999999999E-3</v>
      </c>
    </row>
    <row r="2542" spans="1:24" x14ac:dyDescent="0.25">
      <c r="A2542">
        <v>2007</v>
      </c>
      <c r="B2542">
        <v>3</v>
      </c>
      <c r="C2542" t="s">
        <v>37</v>
      </c>
      <c r="D2542" t="str">
        <f>_xlfn.XLOOKUP(C2542,'Carrier Name Rename'!A:A,'Carrier Name Rename'!B:B)</f>
        <v>Delta Air Lines Inc.</v>
      </c>
      <c r="E2542" t="s">
        <v>23</v>
      </c>
      <c r="F2542" t="s">
        <v>24</v>
      </c>
      <c r="G2542">
        <v>403</v>
      </c>
      <c r="H2542">
        <v>98</v>
      </c>
      <c r="I2542">
        <v>27.63</v>
      </c>
      <c r="J2542">
        <v>1.45</v>
      </c>
      <c r="K2542">
        <v>48.67</v>
      </c>
      <c r="L2542">
        <v>0.72</v>
      </c>
      <c r="M2542">
        <v>19.53</v>
      </c>
      <c r="N2542">
        <v>5</v>
      </c>
      <c r="O2542">
        <v>0</v>
      </c>
      <c r="P2542">
        <v>3933</v>
      </c>
      <c r="Q2542">
        <v>1137</v>
      </c>
      <c r="R2542">
        <v>66</v>
      </c>
      <c r="S2542">
        <v>1616</v>
      </c>
      <c r="T2542">
        <v>13</v>
      </c>
      <c r="U2542">
        <v>1101</v>
      </c>
      <c r="V2542" s="1">
        <f t="shared" si="117"/>
        <v>0.2432</v>
      </c>
      <c r="W2542" s="1">
        <f t="shared" si="118"/>
        <v>1.24E-2</v>
      </c>
      <c r="X2542" s="1">
        <f t="shared" si="119"/>
        <v>0</v>
      </c>
    </row>
    <row r="2543" spans="1:24" x14ac:dyDescent="0.25">
      <c r="A2543">
        <v>2007</v>
      </c>
      <c r="B2543">
        <v>3</v>
      </c>
      <c r="C2543" t="s">
        <v>39</v>
      </c>
      <c r="D2543" t="str">
        <f>_xlfn.XLOOKUP(C2543,'Carrier Name Rename'!A:A,'Carrier Name Rename'!B:B)</f>
        <v>Frontier Airlines Inc.</v>
      </c>
      <c r="E2543" t="s">
        <v>23</v>
      </c>
      <c r="F2543" t="s">
        <v>24</v>
      </c>
      <c r="G2543">
        <v>90</v>
      </c>
      <c r="H2543">
        <v>22</v>
      </c>
      <c r="I2543">
        <v>10.039999999999999</v>
      </c>
      <c r="J2543">
        <v>0</v>
      </c>
      <c r="K2543">
        <v>9.0500000000000007</v>
      </c>
      <c r="L2543">
        <v>0</v>
      </c>
      <c r="M2543">
        <v>2.91</v>
      </c>
      <c r="N2543">
        <v>0</v>
      </c>
      <c r="O2543">
        <v>0</v>
      </c>
      <c r="P2543">
        <v>976</v>
      </c>
      <c r="Q2543">
        <v>608</v>
      </c>
      <c r="R2543">
        <v>0</v>
      </c>
      <c r="S2543">
        <v>235</v>
      </c>
      <c r="T2543">
        <v>0</v>
      </c>
      <c r="U2543">
        <v>133</v>
      </c>
      <c r="V2543" s="1">
        <f t="shared" si="117"/>
        <v>0.24440000000000001</v>
      </c>
      <c r="W2543" s="1">
        <f t="shared" si="118"/>
        <v>0</v>
      </c>
      <c r="X2543" s="1">
        <f t="shared" si="119"/>
        <v>0</v>
      </c>
    </row>
    <row r="2544" spans="1:24" x14ac:dyDescent="0.25">
      <c r="A2544">
        <v>2007</v>
      </c>
      <c r="B2544">
        <v>3</v>
      </c>
      <c r="C2544" t="s">
        <v>21</v>
      </c>
      <c r="D2544" t="str">
        <f>_xlfn.XLOOKUP(C2544,'Carrier Name Rename'!A:A,'Carrier Name Rename'!B:B)</f>
        <v>Hawaiian Airlines Inc.</v>
      </c>
      <c r="E2544" t="s">
        <v>23</v>
      </c>
      <c r="F2544" t="s">
        <v>24</v>
      </c>
      <c r="G2544">
        <v>76</v>
      </c>
      <c r="H2544">
        <v>15</v>
      </c>
      <c r="I2544">
        <v>11.44</v>
      </c>
      <c r="J2544">
        <v>0</v>
      </c>
      <c r="K2544">
        <v>0</v>
      </c>
      <c r="L2544">
        <v>0</v>
      </c>
      <c r="M2544">
        <v>3.56</v>
      </c>
      <c r="N2544">
        <v>0</v>
      </c>
      <c r="O2544">
        <v>0</v>
      </c>
      <c r="P2544">
        <v>525</v>
      </c>
      <c r="Q2544">
        <v>366</v>
      </c>
      <c r="R2544">
        <v>0</v>
      </c>
      <c r="S2544">
        <v>0</v>
      </c>
      <c r="T2544">
        <v>0</v>
      </c>
      <c r="U2544">
        <v>159</v>
      </c>
      <c r="V2544" s="1">
        <f t="shared" si="117"/>
        <v>0.19739999999999999</v>
      </c>
      <c r="W2544" s="1">
        <f t="shared" si="118"/>
        <v>0</v>
      </c>
      <c r="X2544" s="1">
        <f t="shared" si="119"/>
        <v>0</v>
      </c>
    </row>
    <row r="2545" spans="1:24" x14ac:dyDescent="0.25">
      <c r="A2545">
        <v>2007</v>
      </c>
      <c r="B2545">
        <v>3</v>
      </c>
      <c r="C2545" t="s">
        <v>67</v>
      </c>
      <c r="D2545" t="str">
        <f>_xlfn.XLOOKUP(C2545,'Carrier Name Rename'!A:A,'Carrier Name Rename'!B:B)</f>
        <v>Northwest Airlines Inc.</v>
      </c>
      <c r="E2545" t="s">
        <v>23</v>
      </c>
      <c r="F2545" t="s">
        <v>24</v>
      </c>
      <c r="G2545">
        <v>341</v>
      </c>
      <c r="H2545">
        <v>144</v>
      </c>
      <c r="I2545">
        <v>57.54</v>
      </c>
      <c r="J2545">
        <v>0</v>
      </c>
      <c r="K2545">
        <v>66.33</v>
      </c>
      <c r="L2545">
        <v>0</v>
      </c>
      <c r="M2545">
        <v>20.13</v>
      </c>
      <c r="N2545">
        <v>1</v>
      </c>
      <c r="O2545">
        <v>1</v>
      </c>
      <c r="P2545">
        <v>6875</v>
      </c>
      <c r="Q2545">
        <v>3421</v>
      </c>
      <c r="R2545">
        <v>0</v>
      </c>
      <c r="S2545">
        <v>2148</v>
      </c>
      <c r="T2545">
        <v>0</v>
      </c>
      <c r="U2545">
        <v>1306</v>
      </c>
      <c r="V2545" s="1">
        <f t="shared" si="117"/>
        <v>0.42230000000000001</v>
      </c>
      <c r="W2545" s="1">
        <f t="shared" si="118"/>
        <v>2.8999999999999998E-3</v>
      </c>
      <c r="X2545" s="1">
        <f t="shared" si="119"/>
        <v>2.8999999999999998E-3</v>
      </c>
    </row>
    <row r="2546" spans="1:24" x14ac:dyDescent="0.25">
      <c r="A2546">
        <v>2007</v>
      </c>
      <c r="B2546">
        <v>3</v>
      </c>
      <c r="C2546" t="s">
        <v>27</v>
      </c>
      <c r="D2546" t="str">
        <f>_xlfn.XLOOKUP(C2546,'Carrier Name Rename'!A:A,'Carrier Name Rename'!B:B)</f>
        <v>SkyWest Airlines Inc.</v>
      </c>
      <c r="E2546" t="s">
        <v>23</v>
      </c>
      <c r="F2546" t="s">
        <v>24</v>
      </c>
      <c r="G2546">
        <v>467</v>
      </c>
      <c r="H2546">
        <v>78</v>
      </c>
      <c r="I2546">
        <v>60</v>
      </c>
      <c r="J2546">
        <v>1</v>
      </c>
      <c r="K2546">
        <v>0</v>
      </c>
      <c r="L2546">
        <v>0</v>
      </c>
      <c r="M2546">
        <v>17</v>
      </c>
      <c r="N2546">
        <v>2</v>
      </c>
      <c r="O2546">
        <v>0</v>
      </c>
      <c r="P2546">
        <v>3097</v>
      </c>
      <c r="Q2546">
        <v>2175</v>
      </c>
      <c r="R2546">
        <v>169</v>
      </c>
      <c r="S2546">
        <v>0</v>
      </c>
      <c r="T2546">
        <v>0</v>
      </c>
      <c r="U2546">
        <v>753</v>
      </c>
      <c r="V2546" s="1">
        <f t="shared" si="117"/>
        <v>0.16700000000000001</v>
      </c>
      <c r="W2546" s="1">
        <f t="shared" si="118"/>
        <v>4.3E-3</v>
      </c>
      <c r="X2546" s="1">
        <f t="shared" si="119"/>
        <v>0</v>
      </c>
    </row>
    <row r="2547" spans="1:24" x14ac:dyDescent="0.25">
      <c r="A2547">
        <v>2007</v>
      </c>
      <c r="B2547">
        <v>3</v>
      </c>
      <c r="C2547" t="s">
        <v>41</v>
      </c>
      <c r="D2547" t="str">
        <f>_xlfn.XLOOKUP(C2547,'Carrier Name Rename'!A:A,'Carrier Name Rename'!B:B)</f>
        <v>United Air Lines Inc.</v>
      </c>
      <c r="E2547" t="s">
        <v>23</v>
      </c>
      <c r="F2547" t="s">
        <v>24</v>
      </c>
      <c r="G2547">
        <v>892</v>
      </c>
      <c r="H2547">
        <v>256</v>
      </c>
      <c r="I2547">
        <v>55.35</v>
      </c>
      <c r="J2547">
        <v>1.43</v>
      </c>
      <c r="K2547">
        <v>94.01</v>
      </c>
      <c r="L2547">
        <v>0</v>
      </c>
      <c r="M2547">
        <v>105.21</v>
      </c>
      <c r="N2547">
        <v>7</v>
      </c>
      <c r="O2547">
        <v>0</v>
      </c>
      <c r="P2547">
        <v>14598</v>
      </c>
      <c r="Q2547">
        <v>3455</v>
      </c>
      <c r="R2547">
        <v>355</v>
      </c>
      <c r="S2547">
        <v>3031</v>
      </c>
      <c r="T2547">
        <v>0</v>
      </c>
      <c r="U2547">
        <v>7757</v>
      </c>
      <c r="V2547" s="1">
        <f t="shared" si="117"/>
        <v>0.28699999999999998</v>
      </c>
      <c r="W2547" s="1">
        <f t="shared" si="118"/>
        <v>7.7999999999999996E-3</v>
      </c>
      <c r="X2547" s="1">
        <f t="shared" si="119"/>
        <v>0</v>
      </c>
    </row>
    <row r="2548" spans="1:24" x14ac:dyDescent="0.25">
      <c r="A2548">
        <v>2007</v>
      </c>
      <c r="B2548">
        <v>3</v>
      </c>
      <c r="C2548" t="s">
        <v>61</v>
      </c>
      <c r="D2548" t="str">
        <f>_xlfn.XLOOKUP(C2548,'Carrier Name Rename'!A:A,'Carrier Name Rename'!B:B)</f>
        <v>US Airways Inc.</v>
      </c>
      <c r="E2548" t="s">
        <v>23</v>
      </c>
      <c r="F2548" t="s">
        <v>24</v>
      </c>
      <c r="G2548">
        <v>274</v>
      </c>
      <c r="H2548">
        <v>111</v>
      </c>
      <c r="I2548">
        <v>44.49</v>
      </c>
      <c r="J2548">
        <v>0.72</v>
      </c>
      <c r="K2548">
        <v>37.4</v>
      </c>
      <c r="L2548">
        <v>1.24</v>
      </c>
      <c r="M2548">
        <v>27.16</v>
      </c>
      <c r="N2548">
        <v>2</v>
      </c>
      <c r="O2548">
        <v>1</v>
      </c>
      <c r="P2548">
        <v>5587</v>
      </c>
      <c r="Q2548">
        <v>2329</v>
      </c>
      <c r="R2548">
        <v>139</v>
      </c>
      <c r="S2548">
        <v>1306</v>
      </c>
      <c r="T2548">
        <v>34</v>
      </c>
      <c r="U2548">
        <v>1779</v>
      </c>
      <c r="V2548" s="1">
        <f t="shared" si="117"/>
        <v>0.40510000000000002</v>
      </c>
      <c r="W2548" s="1">
        <f t="shared" si="118"/>
        <v>7.3000000000000001E-3</v>
      </c>
      <c r="X2548" s="1">
        <f t="shared" si="119"/>
        <v>3.5999999999999999E-3</v>
      </c>
    </row>
    <row r="2549" spans="1:24" x14ac:dyDescent="0.25">
      <c r="A2549">
        <v>2007</v>
      </c>
      <c r="B2549">
        <v>3</v>
      </c>
      <c r="C2549" t="s">
        <v>43</v>
      </c>
      <c r="D2549" t="str">
        <f>_xlfn.XLOOKUP(C2549,'Carrier Name Rename'!A:A,'Carrier Name Rename'!B:B)</f>
        <v>Southwest Airlines Co.</v>
      </c>
      <c r="E2549" t="s">
        <v>23</v>
      </c>
      <c r="F2549" t="s">
        <v>24</v>
      </c>
      <c r="G2549">
        <v>1200</v>
      </c>
      <c r="H2549">
        <v>185</v>
      </c>
      <c r="I2549">
        <v>47.47</v>
      </c>
      <c r="J2549">
        <v>1.61</v>
      </c>
      <c r="K2549">
        <v>45.55</v>
      </c>
      <c r="L2549">
        <v>1.57</v>
      </c>
      <c r="M2549">
        <v>88.81</v>
      </c>
      <c r="N2549">
        <v>2</v>
      </c>
      <c r="O2549">
        <v>0</v>
      </c>
      <c r="P2549">
        <v>7575</v>
      </c>
      <c r="Q2549">
        <v>1633</v>
      </c>
      <c r="R2549">
        <v>82</v>
      </c>
      <c r="S2549">
        <v>1265</v>
      </c>
      <c r="T2549">
        <v>33</v>
      </c>
      <c r="U2549">
        <v>4562</v>
      </c>
      <c r="V2549" s="1">
        <f t="shared" si="117"/>
        <v>0.1542</v>
      </c>
      <c r="W2549" s="1">
        <f t="shared" si="118"/>
        <v>1.6999999999999999E-3</v>
      </c>
      <c r="X2549" s="1">
        <f t="shared" si="119"/>
        <v>0</v>
      </c>
    </row>
    <row r="2550" spans="1:24" x14ac:dyDescent="0.25">
      <c r="A2550">
        <v>2007</v>
      </c>
      <c r="B2550">
        <v>3</v>
      </c>
      <c r="C2550" t="s">
        <v>71</v>
      </c>
      <c r="D2550" t="str">
        <f>_xlfn.XLOOKUP(C2550,'Carrier Name Rename'!A:A,'Carrier Name Rename'!B:B)</f>
        <v>Mesa Airlines Inc.</v>
      </c>
      <c r="E2550" t="s">
        <v>23</v>
      </c>
      <c r="F2550" t="s">
        <v>24</v>
      </c>
      <c r="G2550">
        <v>62</v>
      </c>
      <c r="H2550">
        <v>16</v>
      </c>
      <c r="I2550">
        <v>11</v>
      </c>
      <c r="J2550">
        <v>0</v>
      </c>
      <c r="K2550">
        <v>5</v>
      </c>
      <c r="L2550">
        <v>0</v>
      </c>
      <c r="M2550">
        <v>0</v>
      </c>
      <c r="N2550">
        <v>0</v>
      </c>
      <c r="O2550">
        <v>1</v>
      </c>
      <c r="P2550">
        <v>1073</v>
      </c>
      <c r="Q2550">
        <v>973</v>
      </c>
      <c r="R2550">
        <v>0</v>
      </c>
      <c r="S2550">
        <v>100</v>
      </c>
      <c r="T2550">
        <v>0</v>
      </c>
      <c r="U2550">
        <v>0</v>
      </c>
      <c r="V2550" s="1">
        <f t="shared" si="117"/>
        <v>0.2581</v>
      </c>
      <c r="W2550" s="1">
        <f t="shared" si="118"/>
        <v>0</v>
      </c>
      <c r="X2550" s="1">
        <f t="shared" si="119"/>
        <v>1.61E-2</v>
      </c>
    </row>
    <row r="2551" spans="1:24" x14ac:dyDescent="0.25">
      <c r="A2551">
        <v>2007</v>
      </c>
      <c r="B2551">
        <v>2</v>
      </c>
      <c r="C2551" t="s">
        <v>31</v>
      </c>
      <c r="D2551" t="str">
        <f>_xlfn.XLOOKUP(C2551,'Carrier Name Rename'!A:A,'Carrier Name Rename'!B:B)</f>
        <v>American Airlines Inc.</v>
      </c>
      <c r="E2551" t="s">
        <v>23</v>
      </c>
      <c r="F2551" t="s">
        <v>24</v>
      </c>
      <c r="G2551">
        <v>428</v>
      </c>
      <c r="H2551">
        <v>172</v>
      </c>
      <c r="I2551">
        <v>50.79</v>
      </c>
      <c r="J2551">
        <v>26.42</v>
      </c>
      <c r="K2551">
        <v>59.14</v>
      </c>
      <c r="L2551">
        <v>0.92</v>
      </c>
      <c r="M2551">
        <v>34.729999999999997</v>
      </c>
      <c r="N2551">
        <v>24</v>
      </c>
      <c r="O2551">
        <v>0</v>
      </c>
      <c r="P2551">
        <v>9694</v>
      </c>
      <c r="Q2551">
        <v>3333</v>
      </c>
      <c r="R2551">
        <v>1725</v>
      </c>
      <c r="S2551">
        <v>2375</v>
      </c>
      <c r="T2551">
        <v>47</v>
      </c>
      <c r="U2551">
        <v>2214</v>
      </c>
      <c r="V2551" s="1">
        <f t="shared" si="117"/>
        <v>0.40189999999999998</v>
      </c>
      <c r="W2551" s="1">
        <f t="shared" si="118"/>
        <v>5.6099999999999997E-2</v>
      </c>
      <c r="X2551" s="1">
        <f t="shared" si="119"/>
        <v>0</v>
      </c>
    </row>
    <row r="2552" spans="1:24" x14ac:dyDescent="0.25">
      <c r="A2552">
        <v>2007</v>
      </c>
      <c r="B2552">
        <v>2</v>
      </c>
      <c r="C2552" t="s">
        <v>33</v>
      </c>
      <c r="D2552" t="str">
        <f>_xlfn.XLOOKUP(C2552,'Carrier Name Rename'!A:A,'Carrier Name Rename'!B:B)</f>
        <v>Alaska Airlines Inc.</v>
      </c>
      <c r="E2552" t="s">
        <v>23</v>
      </c>
      <c r="F2552" t="s">
        <v>24</v>
      </c>
      <c r="G2552">
        <v>3529</v>
      </c>
      <c r="H2552">
        <v>915</v>
      </c>
      <c r="I2552">
        <v>206.24</v>
      </c>
      <c r="J2552">
        <v>21.9</v>
      </c>
      <c r="K2552">
        <v>322.76</v>
      </c>
      <c r="L2552">
        <v>9.2799999999999994</v>
      </c>
      <c r="M2552">
        <v>354.82</v>
      </c>
      <c r="N2552">
        <v>77</v>
      </c>
      <c r="O2552">
        <v>6</v>
      </c>
      <c r="P2552">
        <v>49579</v>
      </c>
      <c r="Q2552">
        <v>14144</v>
      </c>
      <c r="R2552">
        <v>940</v>
      </c>
      <c r="S2552">
        <v>10095</v>
      </c>
      <c r="T2552">
        <v>311</v>
      </c>
      <c r="U2552">
        <v>24089</v>
      </c>
      <c r="V2552" s="1">
        <f t="shared" si="117"/>
        <v>0.25929999999999997</v>
      </c>
      <c r="W2552" s="1">
        <f t="shared" si="118"/>
        <v>2.18E-2</v>
      </c>
      <c r="X2552" s="1">
        <f t="shared" si="119"/>
        <v>1.6999999999999999E-3</v>
      </c>
    </row>
    <row r="2553" spans="1:24" x14ac:dyDescent="0.25">
      <c r="A2553">
        <v>2007</v>
      </c>
      <c r="B2553">
        <v>2</v>
      </c>
      <c r="C2553" t="s">
        <v>35</v>
      </c>
      <c r="D2553" t="str">
        <f>_xlfn.XLOOKUP(C2553,'Carrier Name Rename'!A:A,'Carrier Name Rename'!B:B)</f>
        <v>JetBlue Airways</v>
      </c>
      <c r="E2553" t="s">
        <v>23</v>
      </c>
      <c r="F2553" t="s">
        <v>24</v>
      </c>
      <c r="G2553">
        <v>56</v>
      </c>
      <c r="H2553">
        <v>20</v>
      </c>
      <c r="I2553">
        <v>4.08</v>
      </c>
      <c r="J2553">
        <v>0.48</v>
      </c>
      <c r="K2553">
        <v>8.5299999999999994</v>
      </c>
      <c r="L2553">
        <v>0.04</v>
      </c>
      <c r="M2553">
        <v>6.86</v>
      </c>
      <c r="N2553">
        <v>1</v>
      </c>
      <c r="O2553">
        <v>1</v>
      </c>
      <c r="P2553">
        <v>1587</v>
      </c>
      <c r="Q2553">
        <v>245</v>
      </c>
      <c r="R2553">
        <v>216</v>
      </c>
      <c r="S2553">
        <v>589</v>
      </c>
      <c r="T2553">
        <v>1</v>
      </c>
      <c r="U2553">
        <v>536</v>
      </c>
      <c r="V2553" s="1">
        <f t="shared" si="117"/>
        <v>0.35709999999999997</v>
      </c>
      <c r="W2553" s="1">
        <f t="shared" si="118"/>
        <v>1.7899999999999999E-2</v>
      </c>
      <c r="X2553" s="1">
        <f t="shared" si="119"/>
        <v>1.7899999999999999E-2</v>
      </c>
    </row>
    <row r="2554" spans="1:24" x14ac:dyDescent="0.25">
      <c r="A2554">
        <v>2007</v>
      </c>
      <c r="B2554">
        <v>2</v>
      </c>
      <c r="C2554" t="s">
        <v>65</v>
      </c>
      <c r="D2554" t="str">
        <f>_xlfn.XLOOKUP(C2554,'Carrier Name Rename'!A:A,'Carrier Name Rename'!B:B)</f>
        <v>Continental Air Lines Inc.</v>
      </c>
      <c r="E2554" t="s">
        <v>23</v>
      </c>
      <c r="F2554" t="s">
        <v>24</v>
      </c>
      <c r="G2554">
        <v>281</v>
      </c>
      <c r="H2554">
        <v>86</v>
      </c>
      <c r="I2554">
        <v>21.84</v>
      </c>
      <c r="J2554">
        <v>3.48</v>
      </c>
      <c r="K2554">
        <v>46.42</v>
      </c>
      <c r="L2554">
        <v>0.22</v>
      </c>
      <c r="M2554">
        <v>14.05</v>
      </c>
      <c r="N2554">
        <v>1</v>
      </c>
      <c r="O2554">
        <v>0</v>
      </c>
      <c r="P2554">
        <v>4178</v>
      </c>
      <c r="Q2554">
        <v>1166</v>
      </c>
      <c r="R2554">
        <v>437</v>
      </c>
      <c r="S2554">
        <v>1647</v>
      </c>
      <c r="T2554">
        <v>8</v>
      </c>
      <c r="U2554">
        <v>920</v>
      </c>
      <c r="V2554" s="1">
        <f t="shared" si="117"/>
        <v>0.30599999999999999</v>
      </c>
      <c r="W2554" s="1">
        <f t="shared" si="118"/>
        <v>3.5999999999999999E-3</v>
      </c>
      <c r="X2554" s="1">
        <f t="shared" si="119"/>
        <v>0</v>
      </c>
    </row>
    <row r="2555" spans="1:24" x14ac:dyDescent="0.25">
      <c r="A2555">
        <v>2007</v>
      </c>
      <c r="B2555">
        <v>2</v>
      </c>
      <c r="C2555" t="s">
        <v>37</v>
      </c>
      <c r="D2555" t="str">
        <f>_xlfn.XLOOKUP(C2555,'Carrier Name Rename'!A:A,'Carrier Name Rename'!B:B)</f>
        <v>Delta Air Lines Inc.</v>
      </c>
      <c r="E2555" t="s">
        <v>23</v>
      </c>
      <c r="F2555" t="s">
        <v>24</v>
      </c>
      <c r="G2555">
        <v>342</v>
      </c>
      <c r="H2555">
        <v>99</v>
      </c>
      <c r="I2555">
        <v>37.53</v>
      </c>
      <c r="J2555">
        <v>5.23</v>
      </c>
      <c r="K2555">
        <v>45.6</v>
      </c>
      <c r="L2555">
        <v>0</v>
      </c>
      <c r="M2555">
        <v>10.65</v>
      </c>
      <c r="N2555">
        <v>4</v>
      </c>
      <c r="O2555">
        <v>1</v>
      </c>
      <c r="P2555">
        <v>3494</v>
      </c>
      <c r="Q2555">
        <v>1402</v>
      </c>
      <c r="R2555">
        <v>331</v>
      </c>
      <c r="S2555">
        <v>1304</v>
      </c>
      <c r="T2555">
        <v>0</v>
      </c>
      <c r="U2555">
        <v>457</v>
      </c>
      <c r="V2555" s="1">
        <f t="shared" si="117"/>
        <v>0.28949999999999998</v>
      </c>
      <c r="W2555" s="1">
        <f t="shared" si="118"/>
        <v>1.17E-2</v>
      </c>
      <c r="X2555" s="1">
        <f t="shared" si="119"/>
        <v>2.8999999999999998E-3</v>
      </c>
    </row>
    <row r="2556" spans="1:24" x14ac:dyDescent="0.25">
      <c r="A2556">
        <v>2007</v>
      </c>
      <c r="B2556">
        <v>2</v>
      </c>
      <c r="C2556" t="s">
        <v>39</v>
      </c>
      <c r="D2556" t="str">
        <f>_xlfn.XLOOKUP(C2556,'Carrier Name Rename'!A:A,'Carrier Name Rename'!B:B)</f>
        <v>Frontier Airlines Inc.</v>
      </c>
      <c r="E2556" t="s">
        <v>23</v>
      </c>
      <c r="F2556" t="s">
        <v>24</v>
      </c>
      <c r="G2556">
        <v>108</v>
      </c>
      <c r="H2556">
        <v>43</v>
      </c>
      <c r="I2556">
        <v>16.920000000000002</v>
      </c>
      <c r="J2556">
        <v>0</v>
      </c>
      <c r="K2556">
        <v>20.28</v>
      </c>
      <c r="L2556">
        <v>0</v>
      </c>
      <c r="M2556">
        <v>5.8</v>
      </c>
      <c r="N2556">
        <v>0</v>
      </c>
      <c r="O2556">
        <v>0</v>
      </c>
      <c r="P2556">
        <v>1692</v>
      </c>
      <c r="Q2556">
        <v>647</v>
      </c>
      <c r="R2556">
        <v>0</v>
      </c>
      <c r="S2556">
        <v>773</v>
      </c>
      <c r="T2556">
        <v>0</v>
      </c>
      <c r="U2556">
        <v>272</v>
      </c>
      <c r="V2556" s="1">
        <f t="shared" si="117"/>
        <v>0.39810000000000001</v>
      </c>
      <c r="W2556" s="1">
        <f t="shared" si="118"/>
        <v>0</v>
      </c>
      <c r="X2556" s="1">
        <f t="shared" si="119"/>
        <v>0</v>
      </c>
    </row>
    <row r="2557" spans="1:24" x14ac:dyDescent="0.25">
      <c r="A2557">
        <v>2007</v>
      </c>
      <c r="B2557">
        <v>2</v>
      </c>
      <c r="C2557" t="s">
        <v>21</v>
      </c>
      <c r="D2557" t="str">
        <f>_xlfn.XLOOKUP(C2557,'Carrier Name Rename'!A:A,'Carrier Name Rename'!B:B)</f>
        <v>Hawaiian Airlines Inc.</v>
      </c>
      <c r="E2557" t="s">
        <v>23</v>
      </c>
      <c r="F2557" t="s">
        <v>24</v>
      </c>
      <c r="G2557">
        <v>68</v>
      </c>
      <c r="H2557">
        <v>14</v>
      </c>
      <c r="I2557">
        <v>9.1199999999999992</v>
      </c>
      <c r="J2557">
        <v>0.78</v>
      </c>
      <c r="K2557">
        <v>0.66</v>
      </c>
      <c r="L2557">
        <v>0</v>
      </c>
      <c r="M2557">
        <v>3.44</v>
      </c>
      <c r="N2557">
        <v>0</v>
      </c>
      <c r="O2557">
        <v>0</v>
      </c>
      <c r="P2557">
        <v>395</v>
      </c>
      <c r="Q2557">
        <v>264</v>
      </c>
      <c r="R2557">
        <v>18</v>
      </c>
      <c r="S2557">
        <v>23</v>
      </c>
      <c r="T2557">
        <v>0</v>
      </c>
      <c r="U2557">
        <v>90</v>
      </c>
      <c r="V2557" s="1">
        <f t="shared" si="117"/>
        <v>0.2059</v>
      </c>
      <c r="W2557" s="1">
        <f t="shared" si="118"/>
        <v>0</v>
      </c>
      <c r="X2557" s="1">
        <f t="shared" si="119"/>
        <v>0</v>
      </c>
    </row>
    <row r="2558" spans="1:24" x14ac:dyDescent="0.25">
      <c r="A2558">
        <v>2007</v>
      </c>
      <c r="B2558">
        <v>2</v>
      </c>
      <c r="C2558" t="s">
        <v>67</v>
      </c>
      <c r="D2558" t="str">
        <f>_xlfn.XLOOKUP(C2558,'Carrier Name Rename'!A:A,'Carrier Name Rename'!B:B)</f>
        <v>Northwest Airlines Inc.</v>
      </c>
      <c r="E2558" t="s">
        <v>23</v>
      </c>
      <c r="F2558" t="s">
        <v>24</v>
      </c>
      <c r="G2558">
        <v>308</v>
      </c>
      <c r="H2558">
        <v>148</v>
      </c>
      <c r="I2558">
        <v>53.4</v>
      </c>
      <c r="J2558">
        <v>0.54</v>
      </c>
      <c r="K2558">
        <v>72.37</v>
      </c>
      <c r="L2558">
        <v>0</v>
      </c>
      <c r="M2558">
        <v>21.69</v>
      </c>
      <c r="N2558">
        <v>2</v>
      </c>
      <c r="O2558">
        <v>2</v>
      </c>
      <c r="P2558">
        <v>7709</v>
      </c>
      <c r="Q2558">
        <v>3326</v>
      </c>
      <c r="R2558">
        <v>41</v>
      </c>
      <c r="S2558">
        <v>2874</v>
      </c>
      <c r="T2558">
        <v>0</v>
      </c>
      <c r="U2558">
        <v>1468</v>
      </c>
      <c r="V2558" s="1">
        <f t="shared" si="117"/>
        <v>0.48049999999999998</v>
      </c>
      <c r="W2558" s="1">
        <f t="shared" si="118"/>
        <v>6.4999999999999997E-3</v>
      </c>
      <c r="X2558" s="1">
        <f t="shared" si="119"/>
        <v>6.4999999999999997E-3</v>
      </c>
    </row>
    <row r="2559" spans="1:24" x14ac:dyDescent="0.25">
      <c r="A2559">
        <v>2007</v>
      </c>
      <c r="B2559">
        <v>2</v>
      </c>
      <c r="C2559" t="s">
        <v>27</v>
      </c>
      <c r="D2559" t="str">
        <f>_xlfn.XLOOKUP(C2559,'Carrier Name Rename'!A:A,'Carrier Name Rename'!B:B)</f>
        <v>SkyWest Airlines Inc.</v>
      </c>
      <c r="E2559" t="s">
        <v>23</v>
      </c>
      <c r="F2559" t="s">
        <v>24</v>
      </c>
      <c r="G2559">
        <v>422</v>
      </c>
      <c r="H2559">
        <v>84</v>
      </c>
      <c r="I2559">
        <v>55</v>
      </c>
      <c r="J2559">
        <v>4</v>
      </c>
      <c r="K2559">
        <v>2</v>
      </c>
      <c r="L2559">
        <v>1</v>
      </c>
      <c r="M2559">
        <v>22</v>
      </c>
      <c r="N2559">
        <v>22</v>
      </c>
      <c r="O2559">
        <v>2</v>
      </c>
      <c r="P2559">
        <v>3779</v>
      </c>
      <c r="Q2559">
        <v>2155</v>
      </c>
      <c r="R2559">
        <v>138</v>
      </c>
      <c r="S2559">
        <v>39</v>
      </c>
      <c r="T2559">
        <v>46</v>
      </c>
      <c r="U2559">
        <v>1401</v>
      </c>
      <c r="V2559" s="1">
        <f t="shared" si="117"/>
        <v>0.1991</v>
      </c>
      <c r="W2559" s="1">
        <f t="shared" si="118"/>
        <v>5.21E-2</v>
      </c>
      <c r="X2559" s="1">
        <f t="shared" si="119"/>
        <v>4.7000000000000002E-3</v>
      </c>
    </row>
    <row r="2560" spans="1:24" x14ac:dyDescent="0.25">
      <c r="A2560">
        <v>2007</v>
      </c>
      <c r="B2560">
        <v>2</v>
      </c>
      <c r="C2560" t="s">
        <v>41</v>
      </c>
      <c r="D2560" t="str">
        <f>_xlfn.XLOOKUP(C2560,'Carrier Name Rename'!A:A,'Carrier Name Rename'!B:B)</f>
        <v>United Air Lines Inc.</v>
      </c>
      <c r="E2560" t="s">
        <v>23</v>
      </c>
      <c r="F2560" t="s">
        <v>24</v>
      </c>
      <c r="G2560">
        <v>794</v>
      </c>
      <c r="H2560">
        <v>305</v>
      </c>
      <c r="I2560">
        <v>71.37</v>
      </c>
      <c r="J2560">
        <v>7.28</v>
      </c>
      <c r="K2560">
        <v>109.62</v>
      </c>
      <c r="L2560">
        <v>0</v>
      </c>
      <c r="M2560">
        <v>116.74</v>
      </c>
      <c r="N2560">
        <v>20</v>
      </c>
      <c r="O2560">
        <v>0</v>
      </c>
      <c r="P2560">
        <v>17085</v>
      </c>
      <c r="Q2560">
        <v>4113</v>
      </c>
      <c r="R2560">
        <v>876</v>
      </c>
      <c r="S2560">
        <v>3917</v>
      </c>
      <c r="T2560">
        <v>0</v>
      </c>
      <c r="U2560">
        <v>8179</v>
      </c>
      <c r="V2560" s="1">
        <f t="shared" si="117"/>
        <v>0.3841</v>
      </c>
      <c r="W2560" s="1">
        <f t="shared" si="118"/>
        <v>2.52E-2</v>
      </c>
      <c r="X2560" s="1">
        <f t="shared" si="119"/>
        <v>0</v>
      </c>
    </row>
    <row r="2561" spans="1:24" x14ac:dyDescent="0.25">
      <c r="A2561">
        <v>2007</v>
      </c>
      <c r="B2561">
        <v>2</v>
      </c>
      <c r="C2561" t="s">
        <v>61</v>
      </c>
      <c r="D2561" t="str">
        <f>_xlfn.XLOOKUP(C2561,'Carrier Name Rename'!A:A,'Carrier Name Rename'!B:B)</f>
        <v>US Airways Inc.</v>
      </c>
      <c r="E2561" t="s">
        <v>23</v>
      </c>
      <c r="F2561" t="s">
        <v>24</v>
      </c>
      <c r="G2561">
        <v>248</v>
      </c>
      <c r="H2561">
        <v>98</v>
      </c>
      <c r="I2561">
        <v>37.630000000000003</v>
      </c>
      <c r="J2561">
        <v>1.7</v>
      </c>
      <c r="K2561">
        <v>32.25</v>
      </c>
      <c r="L2561">
        <v>0.72</v>
      </c>
      <c r="M2561">
        <v>25.69</v>
      </c>
      <c r="N2561">
        <v>1</v>
      </c>
      <c r="O2561">
        <v>4</v>
      </c>
      <c r="P2561">
        <v>4597</v>
      </c>
      <c r="Q2561">
        <v>1629</v>
      </c>
      <c r="R2561">
        <v>134</v>
      </c>
      <c r="S2561">
        <v>1178</v>
      </c>
      <c r="T2561">
        <v>22</v>
      </c>
      <c r="U2561">
        <v>1634</v>
      </c>
      <c r="V2561" s="1">
        <f t="shared" si="117"/>
        <v>0.3952</v>
      </c>
      <c r="W2561" s="1">
        <f t="shared" si="118"/>
        <v>4.0000000000000001E-3</v>
      </c>
      <c r="X2561" s="1">
        <f t="shared" si="119"/>
        <v>1.61E-2</v>
      </c>
    </row>
    <row r="2562" spans="1:24" x14ac:dyDescent="0.25">
      <c r="A2562">
        <v>2007</v>
      </c>
      <c r="B2562">
        <v>2</v>
      </c>
      <c r="C2562" t="s">
        <v>43</v>
      </c>
      <c r="D2562" t="str">
        <f>_xlfn.XLOOKUP(C2562,'Carrier Name Rename'!A:A,'Carrier Name Rename'!B:B)</f>
        <v>Southwest Airlines Co.</v>
      </c>
      <c r="E2562" t="s">
        <v>23</v>
      </c>
      <c r="F2562" t="s">
        <v>24</v>
      </c>
      <c r="G2562">
        <v>1080</v>
      </c>
      <c r="H2562">
        <v>245</v>
      </c>
      <c r="I2562">
        <v>57.08</v>
      </c>
      <c r="J2562">
        <v>4.96</v>
      </c>
      <c r="K2562">
        <v>43.2</v>
      </c>
      <c r="L2562">
        <v>1.37</v>
      </c>
      <c r="M2562">
        <v>138.4</v>
      </c>
      <c r="N2562">
        <v>3</v>
      </c>
      <c r="O2562">
        <v>1</v>
      </c>
      <c r="P2562">
        <v>11131</v>
      </c>
      <c r="Q2562">
        <v>2462</v>
      </c>
      <c r="R2562">
        <v>410</v>
      </c>
      <c r="S2562">
        <v>1296</v>
      </c>
      <c r="T2562">
        <v>38</v>
      </c>
      <c r="U2562">
        <v>6925</v>
      </c>
      <c r="V2562" s="1">
        <f t="shared" si="117"/>
        <v>0.22689999999999999</v>
      </c>
      <c r="W2562" s="1">
        <f t="shared" si="118"/>
        <v>2.8E-3</v>
      </c>
      <c r="X2562" s="1">
        <f t="shared" si="119"/>
        <v>8.9999999999999998E-4</v>
      </c>
    </row>
    <row r="2563" spans="1:24" x14ac:dyDescent="0.25">
      <c r="A2563">
        <v>2007</v>
      </c>
      <c r="B2563">
        <v>2</v>
      </c>
      <c r="C2563" t="s">
        <v>71</v>
      </c>
      <c r="D2563" t="str">
        <f>_xlfn.XLOOKUP(C2563,'Carrier Name Rename'!A:A,'Carrier Name Rename'!B:B)</f>
        <v>Mesa Airlines Inc.</v>
      </c>
      <c r="E2563" t="s">
        <v>23</v>
      </c>
      <c r="F2563" t="s">
        <v>24</v>
      </c>
      <c r="G2563">
        <v>56</v>
      </c>
      <c r="H2563">
        <v>15</v>
      </c>
      <c r="I2563">
        <v>8</v>
      </c>
      <c r="J2563">
        <v>0</v>
      </c>
      <c r="K2563">
        <v>7</v>
      </c>
      <c r="L2563">
        <v>0</v>
      </c>
      <c r="M2563">
        <v>0</v>
      </c>
      <c r="N2563">
        <v>1</v>
      </c>
      <c r="O2563">
        <v>0</v>
      </c>
      <c r="P2563">
        <v>573</v>
      </c>
      <c r="Q2563">
        <v>397</v>
      </c>
      <c r="R2563">
        <v>0</v>
      </c>
      <c r="S2563">
        <v>176</v>
      </c>
      <c r="T2563">
        <v>0</v>
      </c>
      <c r="U2563">
        <v>0</v>
      </c>
      <c r="V2563" s="1">
        <f t="shared" ref="V2563:V2626" si="120">ROUND(H2563/G2563,4)</f>
        <v>0.26790000000000003</v>
      </c>
      <c r="W2563" s="1">
        <f t="shared" ref="W2563:W2626" si="121">ROUND(N2563/G2563,4)</f>
        <v>1.7899999999999999E-2</v>
      </c>
      <c r="X2563" s="1">
        <f t="shared" ref="X2563:X2626" si="122">ROUND(O2563/G2563,4)</f>
        <v>0</v>
      </c>
    </row>
    <row r="2564" spans="1:24" x14ac:dyDescent="0.25">
      <c r="A2564">
        <v>2007</v>
      </c>
      <c r="B2564">
        <v>1</v>
      </c>
      <c r="C2564" t="s">
        <v>31</v>
      </c>
      <c r="D2564" t="str">
        <f>_xlfn.XLOOKUP(C2564,'Carrier Name Rename'!A:A,'Carrier Name Rename'!B:B)</f>
        <v>American Airlines Inc.</v>
      </c>
      <c r="E2564" t="s">
        <v>23</v>
      </c>
      <c r="F2564" t="s">
        <v>24</v>
      </c>
      <c r="G2564">
        <v>475</v>
      </c>
      <c r="H2564">
        <v>159</v>
      </c>
      <c r="I2564">
        <v>57.53</v>
      </c>
      <c r="J2564">
        <v>23.98</v>
      </c>
      <c r="K2564">
        <v>41.86</v>
      </c>
      <c r="L2564">
        <v>0</v>
      </c>
      <c r="M2564">
        <v>35.619999999999997</v>
      </c>
      <c r="N2564">
        <v>17</v>
      </c>
      <c r="O2564">
        <v>1</v>
      </c>
      <c r="P2564">
        <v>9572</v>
      </c>
      <c r="Q2564">
        <v>3682</v>
      </c>
      <c r="R2564">
        <v>1734</v>
      </c>
      <c r="S2564">
        <v>1741</v>
      </c>
      <c r="T2564">
        <v>0</v>
      </c>
      <c r="U2564">
        <v>2415</v>
      </c>
      <c r="V2564" s="1">
        <f t="shared" si="120"/>
        <v>0.3347</v>
      </c>
      <c r="W2564" s="1">
        <f t="shared" si="121"/>
        <v>3.5799999999999998E-2</v>
      </c>
      <c r="X2564" s="1">
        <f t="shared" si="122"/>
        <v>2.0999999999999999E-3</v>
      </c>
    </row>
    <row r="2565" spans="1:24" x14ac:dyDescent="0.25">
      <c r="A2565">
        <v>2007</v>
      </c>
      <c r="B2565">
        <v>1</v>
      </c>
      <c r="C2565" t="s">
        <v>33</v>
      </c>
      <c r="D2565" t="str">
        <f>_xlfn.XLOOKUP(C2565,'Carrier Name Rename'!A:A,'Carrier Name Rename'!B:B)</f>
        <v>Alaska Airlines Inc.</v>
      </c>
      <c r="E2565" t="s">
        <v>23</v>
      </c>
      <c r="F2565" t="s">
        <v>24</v>
      </c>
      <c r="G2565">
        <v>3821</v>
      </c>
      <c r="H2565">
        <v>994</v>
      </c>
      <c r="I2565">
        <v>214.88</v>
      </c>
      <c r="J2565">
        <v>12.96</v>
      </c>
      <c r="K2565">
        <v>316.23</v>
      </c>
      <c r="L2565">
        <v>4.3899999999999997</v>
      </c>
      <c r="M2565">
        <v>445.53</v>
      </c>
      <c r="N2565">
        <v>103</v>
      </c>
      <c r="O2565">
        <v>16</v>
      </c>
      <c r="P2565">
        <v>53412</v>
      </c>
      <c r="Q2565">
        <v>12918</v>
      </c>
      <c r="R2565">
        <v>559</v>
      </c>
      <c r="S2565">
        <v>11470</v>
      </c>
      <c r="T2565">
        <v>129</v>
      </c>
      <c r="U2565">
        <v>28336</v>
      </c>
      <c r="V2565" s="1">
        <f t="shared" si="120"/>
        <v>0.2601</v>
      </c>
      <c r="W2565" s="1">
        <f t="shared" si="121"/>
        <v>2.7E-2</v>
      </c>
      <c r="X2565" s="1">
        <f t="shared" si="122"/>
        <v>4.1999999999999997E-3</v>
      </c>
    </row>
    <row r="2566" spans="1:24" x14ac:dyDescent="0.25">
      <c r="A2566">
        <v>2007</v>
      </c>
      <c r="B2566">
        <v>1</v>
      </c>
      <c r="C2566" t="s">
        <v>35</v>
      </c>
      <c r="D2566" t="str">
        <f>_xlfn.XLOOKUP(C2566,'Carrier Name Rename'!A:A,'Carrier Name Rename'!B:B)</f>
        <v>JetBlue Airways</v>
      </c>
      <c r="E2566" t="s">
        <v>23</v>
      </c>
      <c r="F2566" t="s">
        <v>24</v>
      </c>
      <c r="G2566">
        <v>62</v>
      </c>
      <c r="H2566">
        <v>16</v>
      </c>
      <c r="I2566">
        <v>5.54</v>
      </c>
      <c r="J2566">
        <v>0</v>
      </c>
      <c r="K2566">
        <v>7.56</v>
      </c>
      <c r="L2566">
        <v>0.16</v>
      </c>
      <c r="M2566">
        <v>2.74</v>
      </c>
      <c r="N2566">
        <v>0</v>
      </c>
      <c r="O2566">
        <v>1</v>
      </c>
      <c r="P2566">
        <v>681</v>
      </c>
      <c r="Q2566">
        <v>172</v>
      </c>
      <c r="R2566">
        <v>0</v>
      </c>
      <c r="S2566">
        <v>375</v>
      </c>
      <c r="T2566">
        <v>8</v>
      </c>
      <c r="U2566">
        <v>126</v>
      </c>
      <c r="V2566" s="1">
        <f t="shared" si="120"/>
        <v>0.2581</v>
      </c>
      <c r="W2566" s="1">
        <f t="shared" si="121"/>
        <v>0</v>
      </c>
      <c r="X2566" s="1">
        <f t="shared" si="122"/>
        <v>1.61E-2</v>
      </c>
    </row>
    <row r="2567" spans="1:24" x14ac:dyDescent="0.25">
      <c r="A2567">
        <v>2007</v>
      </c>
      <c r="B2567">
        <v>1</v>
      </c>
      <c r="C2567" t="s">
        <v>65</v>
      </c>
      <c r="D2567" t="str">
        <f>_xlfn.XLOOKUP(C2567,'Carrier Name Rename'!A:A,'Carrier Name Rename'!B:B)</f>
        <v>Continental Air Lines Inc.</v>
      </c>
      <c r="E2567" t="s">
        <v>23</v>
      </c>
      <c r="F2567" t="s">
        <v>24</v>
      </c>
      <c r="G2567">
        <v>317</v>
      </c>
      <c r="H2567">
        <v>97</v>
      </c>
      <c r="I2567">
        <v>24.84</v>
      </c>
      <c r="J2567">
        <v>1.92</v>
      </c>
      <c r="K2567">
        <v>43.31</v>
      </c>
      <c r="L2567">
        <v>5.04</v>
      </c>
      <c r="M2567">
        <v>21.88</v>
      </c>
      <c r="N2567">
        <v>0</v>
      </c>
      <c r="O2567">
        <v>0</v>
      </c>
      <c r="P2567">
        <v>4915</v>
      </c>
      <c r="Q2567">
        <v>1431</v>
      </c>
      <c r="R2567">
        <v>89</v>
      </c>
      <c r="S2567">
        <v>1771</v>
      </c>
      <c r="T2567">
        <v>163</v>
      </c>
      <c r="U2567">
        <v>1461</v>
      </c>
      <c r="V2567" s="1">
        <f t="shared" si="120"/>
        <v>0.30599999999999999</v>
      </c>
      <c r="W2567" s="1">
        <f t="shared" si="121"/>
        <v>0</v>
      </c>
      <c r="X2567" s="1">
        <f t="shared" si="122"/>
        <v>0</v>
      </c>
    </row>
    <row r="2568" spans="1:24" x14ac:dyDescent="0.25">
      <c r="A2568">
        <v>2007</v>
      </c>
      <c r="B2568">
        <v>1</v>
      </c>
      <c r="C2568" t="s">
        <v>37</v>
      </c>
      <c r="D2568" t="str">
        <f>_xlfn.XLOOKUP(C2568,'Carrier Name Rename'!A:A,'Carrier Name Rename'!B:B)</f>
        <v>Delta Air Lines Inc.</v>
      </c>
      <c r="E2568" t="s">
        <v>23</v>
      </c>
      <c r="F2568" t="s">
        <v>24</v>
      </c>
      <c r="G2568">
        <v>371</v>
      </c>
      <c r="H2568">
        <v>114</v>
      </c>
      <c r="I2568">
        <v>33.130000000000003</v>
      </c>
      <c r="J2568">
        <v>3.07</v>
      </c>
      <c r="K2568">
        <v>58.2</v>
      </c>
      <c r="L2568">
        <v>0.66</v>
      </c>
      <c r="M2568">
        <v>18.95</v>
      </c>
      <c r="N2568">
        <v>2</v>
      </c>
      <c r="O2568">
        <v>1</v>
      </c>
      <c r="P2568">
        <v>4644</v>
      </c>
      <c r="Q2568">
        <v>1373</v>
      </c>
      <c r="R2568">
        <v>192</v>
      </c>
      <c r="S2568">
        <v>2060</v>
      </c>
      <c r="T2568">
        <v>35</v>
      </c>
      <c r="U2568">
        <v>984</v>
      </c>
      <c r="V2568" s="1">
        <f t="shared" si="120"/>
        <v>0.30730000000000002</v>
      </c>
      <c r="W2568" s="1">
        <f t="shared" si="121"/>
        <v>5.4000000000000003E-3</v>
      </c>
      <c r="X2568" s="1">
        <f t="shared" si="122"/>
        <v>2.7000000000000001E-3</v>
      </c>
    </row>
    <row r="2569" spans="1:24" x14ac:dyDescent="0.25">
      <c r="A2569">
        <v>2007</v>
      </c>
      <c r="B2569">
        <v>1</v>
      </c>
      <c r="C2569" t="s">
        <v>39</v>
      </c>
      <c r="D2569" t="str">
        <f>_xlfn.XLOOKUP(C2569,'Carrier Name Rename'!A:A,'Carrier Name Rename'!B:B)</f>
        <v>Frontier Airlines Inc.</v>
      </c>
      <c r="E2569" t="s">
        <v>23</v>
      </c>
      <c r="F2569" t="s">
        <v>24</v>
      </c>
      <c r="G2569">
        <v>118</v>
      </c>
      <c r="H2569">
        <v>46</v>
      </c>
      <c r="I2569">
        <v>13.79</v>
      </c>
      <c r="J2569">
        <v>1.81</v>
      </c>
      <c r="K2569">
        <v>22.75</v>
      </c>
      <c r="L2569">
        <v>0</v>
      </c>
      <c r="M2569">
        <v>7.65</v>
      </c>
      <c r="N2569">
        <v>0</v>
      </c>
      <c r="O2569">
        <v>0</v>
      </c>
      <c r="P2569">
        <v>2156</v>
      </c>
      <c r="Q2569">
        <v>499</v>
      </c>
      <c r="R2569">
        <v>111</v>
      </c>
      <c r="S2569">
        <v>978</v>
      </c>
      <c r="T2569">
        <v>0</v>
      </c>
      <c r="U2569">
        <v>568</v>
      </c>
      <c r="V2569" s="1">
        <f t="shared" si="120"/>
        <v>0.38979999999999998</v>
      </c>
      <c r="W2569" s="1">
        <f t="shared" si="121"/>
        <v>0</v>
      </c>
      <c r="X2569" s="1">
        <f t="shared" si="122"/>
        <v>0</v>
      </c>
    </row>
    <row r="2570" spans="1:24" x14ac:dyDescent="0.25">
      <c r="A2570">
        <v>2007</v>
      </c>
      <c r="B2570">
        <v>1</v>
      </c>
      <c r="C2570" t="s">
        <v>21</v>
      </c>
      <c r="D2570" t="str">
        <f>_xlfn.XLOOKUP(C2570,'Carrier Name Rename'!A:A,'Carrier Name Rename'!B:B)</f>
        <v>Hawaiian Airlines Inc.</v>
      </c>
      <c r="E2570" t="s">
        <v>23</v>
      </c>
      <c r="F2570" t="s">
        <v>24</v>
      </c>
      <c r="G2570">
        <v>74</v>
      </c>
      <c r="H2570">
        <v>20</v>
      </c>
      <c r="I2570">
        <v>9.1199999999999992</v>
      </c>
      <c r="J2570">
        <v>0</v>
      </c>
      <c r="K2570">
        <v>0</v>
      </c>
      <c r="L2570">
        <v>0</v>
      </c>
      <c r="M2570">
        <v>10.88</v>
      </c>
      <c r="N2570">
        <v>0</v>
      </c>
      <c r="O2570">
        <v>0</v>
      </c>
      <c r="P2570">
        <v>1237</v>
      </c>
      <c r="Q2570">
        <v>475</v>
      </c>
      <c r="R2570">
        <v>0</v>
      </c>
      <c r="S2570">
        <v>0</v>
      </c>
      <c r="T2570">
        <v>0</v>
      </c>
      <c r="U2570">
        <v>762</v>
      </c>
      <c r="V2570" s="1">
        <f t="shared" si="120"/>
        <v>0.27029999999999998</v>
      </c>
      <c r="W2570" s="1">
        <f t="shared" si="121"/>
        <v>0</v>
      </c>
      <c r="X2570" s="1">
        <f t="shared" si="122"/>
        <v>0</v>
      </c>
    </row>
    <row r="2571" spans="1:24" x14ac:dyDescent="0.25">
      <c r="A2571">
        <v>2007</v>
      </c>
      <c r="B2571">
        <v>1</v>
      </c>
      <c r="C2571" t="s">
        <v>67</v>
      </c>
      <c r="D2571" t="str">
        <f>_xlfn.XLOOKUP(C2571,'Carrier Name Rename'!A:A,'Carrier Name Rename'!B:B)</f>
        <v>Northwest Airlines Inc.</v>
      </c>
      <c r="E2571" t="s">
        <v>23</v>
      </c>
      <c r="F2571" t="s">
        <v>24</v>
      </c>
      <c r="G2571">
        <v>350</v>
      </c>
      <c r="H2571">
        <v>98</v>
      </c>
      <c r="I2571">
        <v>34.799999999999997</v>
      </c>
      <c r="J2571">
        <v>0.5</v>
      </c>
      <c r="K2571">
        <v>53.73</v>
      </c>
      <c r="L2571">
        <v>1</v>
      </c>
      <c r="M2571">
        <v>7.96</v>
      </c>
      <c r="N2571">
        <v>2</v>
      </c>
      <c r="O2571">
        <v>1</v>
      </c>
      <c r="P2571">
        <v>3707</v>
      </c>
      <c r="Q2571">
        <v>1554</v>
      </c>
      <c r="R2571">
        <v>31</v>
      </c>
      <c r="S2571">
        <v>1646</v>
      </c>
      <c r="T2571">
        <v>29</v>
      </c>
      <c r="U2571">
        <v>447</v>
      </c>
      <c r="V2571" s="1">
        <f t="shared" si="120"/>
        <v>0.28000000000000003</v>
      </c>
      <c r="W2571" s="1">
        <f t="shared" si="121"/>
        <v>5.7000000000000002E-3</v>
      </c>
      <c r="X2571" s="1">
        <f t="shared" si="122"/>
        <v>2.8999999999999998E-3</v>
      </c>
    </row>
    <row r="2572" spans="1:24" x14ac:dyDescent="0.25">
      <c r="A2572">
        <v>2007</v>
      </c>
      <c r="B2572">
        <v>1</v>
      </c>
      <c r="C2572" t="s">
        <v>27</v>
      </c>
      <c r="D2572" t="str">
        <f>_xlfn.XLOOKUP(C2572,'Carrier Name Rename'!A:A,'Carrier Name Rename'!B:B)</f>
        <v>SkyWest Airlines Inc.</v>
      </c>
      <c r="E2572" t="s">
        <v>23</v>
      </c>
      <c r="F2572" t="s">
        <v>24</v>
      </c>
      <c r="G2572">
        <v>470</v>
      </c>
      <c r="H2572">
        <v>152</v>
      </c>
      <c r="I2572">
        <v>83</v>
      </c>
      <c r="J2572">
        <v>9</v>
      </c>
      <c r="K2572">
        <v>11</v>
      </c>
      <c r="L2572">
        <v>2</v>
      </c>
      <c r="M2572">
        <v>47</v>
      </c>
      <c r="N2572">
        <v>16</v>
      </c>
      <c r="O2572">
        <v>3</v>
      </c>
      <c r="P2572">
        <v>8525</v>
      </c>
      <c r="Q2572">
        <v>3497</v>
      </c>
      <c r="R2572">
        <v>906</v>
      </c>
      <c r="S2572">
        <v>742</v>
      </c>
      <c r="T2572">
        <v>95</v>
      </c>
      <c r="U2572">
        <v>3285</v>
      </c>
      <c r="V2572" s="1">
        <f t="shared" si="120"/>
        <v>0.32340000000000002</v>
      </c>
      <c r="W2572" s="1">
        <f t="shared" si="121"/>
        <v>3.4000000000000002E-2</v>
      </c>
      <c r="X2572" s="1">
        <f t="shared" si="122"/>
        <v>6.4000000000000003E-3</v>
      </c>
    </row>
    <row r="2573" spans="1:24" x14ac:dyDescent="0.25">
      <c r="A2573">
        <v>2007</v>
      </c>
      <c r="B2573">
        <v>1</v>
      </c>
      <c r="C2573" t="s">
        <v>41</v>
      </c>
      <c r="D2573" t="str">
        <f>_xlfn.XLOOKUP(C2573,'Carrier Name Rename'!A:A,'Carrier Name Rename'!B:B)</f>
        <v>United Air Lines Inc.</v>
      </c>
      <c r="E2573" t="s">
        <v>23</v>
      </c>
      <c r="F2573" t="s">
        <v>24</v>
      </c>
      <c r="G2573">
        <v>887</v>
      </c>
      <c r="H2573">
        <v>247</v>
      </c>
      <c r="I2573">
        <v>49.19</v>
      </c>
      <c r="J2573">
        <v>3.13</v>
      </c>
      <c r="K2573">
        <v>112.68</v>
      </c>
      <c r="L2573">
        <v>0</v>
      </c>
      <c r="M2573">
        <v>82</v>
      </c>
      <c r="N2573">
        <v>13</v>
      </c>
      <c r="O2573">
        <v>0</v>
      </c>
      <c r="P2573">
        <v>11225</v>
      </c>
      <c r="Q2573">
        <v>2218</v>
      </c>
      <c r="R2573">
        <v>360</v>
      </c>
      <c r="S2573">
        <v>3609</v>
      </c>
      <c r="T2573">
        <v>0</v>
      </c>
      <c r="U2573">
        <v>5038</v>
      </c>
      <c r="V2573" s="1">
        <f t="shared" si="120"/>
        <v>0.27850000000000003</v>
      </c>
      <c r="W2573" s="1">
        <f t="shared" si="121"/>
        <v>1.47E-2</v>
      </c>
      <c r="X2573" s="1">
        <f t="shared" si="122"/>
        <v>0</v>
      </c>
    </row>
    <row r="2574" spans="1:24" x14ac:dyDescent="0.25">
      <c r="A2574">
        <v>2007</v>
      </c>
      <c r="B2574">
        <v>1</v>
      </c>
      <c r="C2574" t="s">
        <v>61</v>
      </c>
      <c r="D2574" t="str">
        <f>_xlfn.XLOOKUP(C2574,'Carrier Name Rename'!A:A,'Carrier Name Rename'!B:B)</f>
        <v>US Airways Inc.</v>
      </c>
      <c r="E2574" t="s">
        <v>23</v>
      </c>
      <c r="F2574" t="s">
        <v>24</v>
      </c>
      <c r="G2574">
        <v>292</v>
      </c>
      <c r="H2574">
        <v>103</v>
      </c>
      <c r="I2574">
        <v>40.15</v>
      </c>
      <c r="J2574">
        <v>0</v>
      </c>
      <c r="K2574">
        <v>45.58</v>
      </c>
      <c r="L2574">
        <v>0.56999999999999995</v>
      </c>
      <c r="M2574">
        <v>16.7</v>
      </c>
      <c r="N2574">
        <v>2</v>
      </c>
      <c r="O2574">
        <v>8</v>
      </c>
      <c r="P2574">
        <v>3808</v>
      </c>
      <c r="Q2574">
        <v>1558</v>
      </c>
      <c r="R2574">
        <v>0</v>
      </c>
      <c r="S2574">
        <v>1350</v>
      </c>
      <c r="T2574">
        <v>13</v>
      </c>
      <c r="U2574">
        <v>887</v>
      </c>
      <c r="V2574" s="1">
        <f t="shared" si="120"/>
        <v>0.35270000000000001</v>
      </c>
      <c r="W2574" s="1">
        <f t="shared" si="121"/>
        <v>6.7999999999999996E-3</v>
      </c>
      <c r="X2574" s="1">
        <f t="shared" si="122"/>
        <v>2.7400000000000001E-2</v>
      </c>
    </row>
    <row r="2575" spans="1:24" x14ac:dyDescent="0.25">
      <c r="A2575">
        <v>2007</v>
      </c>
      <c r="B2575">
        <v>1</v>
      </c>
      <c r="C2575" t="s">
        <v>43</v>
      </c>
      <c r="D2575" t="str">
        <f>_xlfn.XLOOKUP(C2575,'Carrier Name Rename'!A:A,'Carrier Name Rename'!B:B)</f>
        <v>Southwest Airlines Co.</v>
      </c>
      <c r="E2575" t="s">
        <v>23</v>
      </c>
      <c r="F2575" t="s">
        <v>24</v>
      </c>
      <c r="G2575">
        <v>1198</v>
      </c>
      <c r="H2575">
        <v>227</v>
      </c>
      <c r="I2575">
        <v>51.01</v>
      </c>
      <c r="J2575">
        <v>5.23</v>
      </c>
      <c r="K2575">
        <v>57.87</v>
      </c>
      <c r="L2575">
        <v>1.45</v>
      </c>
      <c r="M2575">
        <v>111.44</v>
      </c>
      <c r="N2575">
        <v>6</v>
      </c>
      <c r="O2575">
        <v>0</v>
      </c>
      <c r="P2575">
        <v>8333</v>
      </c>
      <c r="Q2575">
        <v>1555</v>
      </c>
      <c r="R2575">
        <v>291</v>
      </c>
      <c r="S2575">
        <v>1719</v>
      </c>
      <c r="T2575">
        <v>54</v>
      </c>
      <c r="U2575">
        <v>4714</v>
      </c>
      <c r="V2575" s="1">
        <f t="shared" si="120"/>
        <v>0.1895</v>
      </c>
      <c r="W2575" s="1">
        <f t="shared" si="121"/>
        <v>5.0000000000000001E-3</v>
      </c>
      <c r="X2575" s="1">
        <f t="shared" si="122"/>
        <v>0</v>
      </c>
    </row>
    <row r="2576" spans="1:24" x14ac:dyDescent="0.25">
      <c r="A2576">
        <v>2007</v>
      </c>
      <c r="B2576">
        <v>1</v>
      </c>
      <c r="C2576" t="s">
        <v>71</v>
      </c>
      <c r="D2576" t="str">
        <f>_xlfn.XLOOKUP(C2576,'Carrier Name Rename'!A:A,'Carrier Name Rename'!B:B)</f>
        <v>Mesa Airlines Inc.</v>
      </c>
      <c r="E2576" t="s">
        <v>23</v>
      </c>
      <c r="F2576" t="s">
        <v>24</v>
      </c>
      <c r="G2576">
        <v>57</v>
      </c>
      <c r="H2576">
        <v>17</v>
      </c>
      <c r="I2576">
        <v>5</v>
      </c>
      <c r="J2576">
        <v>1</v>
      </c>
      <c r="K2576">
        <v>10</v>
      </c>
      <c r="L2576">
        <v>0</v>
      </c>
      <c r="M2576">
        <v>1</v>
      </c>
      <c r="N2576">
        <v>0</v>
      </c>
      <c r="O2576">
        <v>0</v>
      </c>
      <c r="P2576">
        <v>916</v>
      </c>
      <c r="Q2576">
        <v>316</v>
      </c>
      <c r="R2576">
        <v>123</v>
      </c>
      <c r="S2576">
        <v>342</v>
      </c>
      <c r="T2576">
        <v>0</v>
      </c>
      <c r="U2576">
        <v>135</v>
      </c>
      <c r="V2576" s="1">
        <f t="shared" si="120"/>
        <v>0.29820000000000002</v>
      </c>
      <c r="W2576" s="1">
        <f t="shared" si="121"/>
        <v>0</v>
      </c>
      <c r="X2576" s="1">
        <f t="shared" si="122"/>
        <v>0</v>
      </c>
    </row>
    <row r="2577" spans="1:24" x14ac:dyDescent="0.25">
      <c r="A2577">
        <v>2006</v>
      </c>
      <c r="B2577">
        <v>12</v>
      </c>
      <c r="C2577" t="s">
        <v>31</v>
      </c>
      <c r="D2577" t="str">
        <f>_xlfn.XLOOKUP(C2577,'Carrier Name Rename'!A:A,'Carrier Name Rename'!B:B)</f>
        <v>American Airlines Inc.</v>
      </c>
      <c r="E2577" t="s">
        <v>23</v>
      </c>
      <c r="F2577" t="s">
        <v>24</v>
      </c>
      <c r="G2577">
        <v>487</v>
      </c>
      <c r="H2577">
        <v>157</v>
      </c>
      <c r="I2577">
        <v>48.98</v>
      </c>
      <c r="J2577">
        <v>6.63</v>
      </c>
      <c r="K2577">
        <v>60.58</v>
      </c>
      <c r="L2577">
        <v>0</v>
      </c>
      <c r="M2577">
        <v>40.82</v>
      </c>
      <c r="N2577">
        <v>25</v>
      </c>
      <c r="O2577">
        <v>3</v>
      </c>
      <c r="P2577">
        <v>9381</v>
      </c>
      <c r="Q2577">
        <v>2987</v>
      </c>
      <c r="R2577">
        <v>659</v>
      </c>
      <c r="S2577">
        <v>2598</v>
      </c>
      <c r="T2577">
        <v>0</v>
      </c>
      <c r="U2577">
        <v>3137</v>
      </c>
      <c r="V2577" s="1">
        <f t="shared" si="120"/>
        <v>0.32240000000000002</v>
      </c>
      <c r="W2577" s="1">
        <f t="shared" si="121"/>
        <v>5.1299999999999998E-2</v>
      </c>
      <c r="X2577" s="1">
        <f t="shared" si="122"/>
        <v>6.1999999999999998E-3</v>
      </c>
    </row>
    <row r="2578" spans="1:24" x14ac:dyDescent="0.25">
      <c r="A2578">
        <v>2006</v>
      </c>
      <c r="B2578">
        <v>12</v>
      </c>
      <c r="C2578" t="s">
        <v>33</v>
      </c>
      <c r="D2578" t="str">
        <f>_xlfn.XLOOKUP(C2578,'Carrier Name Rename'!A:A,'Carrier Name Rename'!B:B)</f>
        <v>Alaska Airlines Inc.</v>
      </c>
      <c r="E2578" t="s">
        <v>23</v>
      </c>
      <c r="F2578" t="s">
        <v>24</v>
      </c>
      <c r="G2578">
        <v>3902</v>
      </c>
      <c r="H2578">
        <v>1232</v>
      </c>
      <c r="I2578">
        <v>247.08</v>
      </c>
      <c r="J2578">
        <v>13.64</v>
      </c>
      <c r="K2578">
        <v>398.46</v>
      </c>
      <c r="L2578">
        <v>6.75</v>
      </c>
      <c r="M2578">
        <v>566.05999999999995</v>
      </c>
      <c r="N2578">
        <v>91</v>
      </c>
      <c r="O2578">
        <v>24</v>
      </c>
      <c r="P2578">
        <v>73496</v>
      </c>
      <c r="Q2578">
        <v>16647</v>
      </c>
      <c r="R2578">
        <v>999</v>
      </c>
      <c r="S2578">
        <v>17313</v>
      </c>
      <c r="T2578">
        <v>198</v>
      </c>
      <c r="U2578">
        <v>38339</v>
      </c>
      <c r="V2578" s="1">
        <f t="shared" si="120"/>
        <v>0.31569999999999998</v>
      </c>
      <c r="W2578" s="1">
        <f t="shared" si="121"/>
        <v>2.3300000000000001E-2</v>
      </c>
      <c r="X2578" s="1">
        <f t="shared" si="122"/>
        <v>6.1999999999999998E-3</v>
      </c>
    </row>
    <row r="2579" spans="1:24" x14ac:dyDescent="0.25">
      <c r="A2579">
        <v>2006</v>
      </c>
      <c r="B2579">
        <v>12</v>
      </c>
      <c r="C2579" t="s">
        <v>35</v>
      </c>
      <c r="D2579" t="str">
        <f>_xlfn.XLOOKUP(C2579,'Carrier Name Rename'!A:A,'Carrier Name Rename'!B:B)</f>
        <v>JetBlue Airways</v>
      </c>
      <c r="E2579" t="s">
        <v>23</v>
      </c>
      <c r="F2579" t="s">
        <v>24</v>
      </c>
      <c r="G2579">
        <v>62</v>
      </c>
      <c r="H2579">
        <v>26</v>
      </c>
      <c r="I2579">
        <v>7.69</v>
      </c>
      <c r="J2579">
        <v>0</v>
      </c>
      <c r="K2579">
        <v>12.2</v>
      </c>
      <c r="L2579">
        <v>0</v>
      </c>
      <c r="M2579">
        <v>6.11</v>
      </c>
      <c r="N2579">
        <v>0</v>
      </c>
      <c r="O2579">
        <v>0</v>
      </c>
      <c r="P2579">
        <v>1231</v>
      </c>
      <c r="Q2579">
        <v>371</v>
      </c>
      <c r="R2579">
        <v>0</v>
      </c>
      <c r="S2579">
        <v>579</v>
      </c>
      <c r="T2579">
        <v>0</v>
      </c>
      <c r="U2579">
        <v>281</v>
      </c>
      <c r="V2579" s="1">
        <f t="shared" si="120"/>
        <v>0.4194</v>
      </c>
      <c r="W2579" s="1">
        <f t="shared" si="121"/>
        <v>0</v>
      </c>
      <c r="X2579" s="1">
        <f t="shared" si="122"/>
        <v>0</v>
      </c>
    </row>
    <row r="2580" spans="1:24" x14ac:dyDescent="0.25">
      <c r="A2580">
        <v>2006</v>
      </c>
      <c r="B2580">
        <v>12</v>
      </c>
      <c r="C2580" t="s">
        <v>65</v>
      </c>
      <c r="D2580" t="str">
        <f>_xlfn.XLOOKUP(C2580,'Carrier Name Rename'!A:A,'Carrier Name Rename'!B:B)</f>
        <v>Continental Air Lines Inc.</v>
      </c>
      <c r="E2580" t="s">
        <v>23</v>
      </c>
      <c r="F2580" t="s">
        <v>24</v>
      </c>
      <c r="G2580">
        <v>411</v>
      </c>
      <c r="H2580">
        <v>142</v>
      </c>
      <c r="I2580">
        <v>28.68</v>
      </c>
      <c r="J2580">
        <v>0.86</v>
      </c>
      <c r="K2580">
        <v>76.150000000000006</v>
      </c>
      <c r="L2580">
        <v>4.3899999999999997</v>
      </c>
      <c r="M2580">
        <v>31.92</v>
      </c>
      <c r="N2580">
        <v>0</v>
      </c>
      <c r="O2580">
        <v>2</v>
      </c>
      <c r="P2580">
        <v>6871</v>
      </c>
      <c r="Q2580">
        <v>1456</v>
      </c>
      <c r="R2580">
        <v>69</v>
      </c>
      <c r="S2580">
        <v>3036</v>
      </c>
      <c r="T2580">
        <v>142</v>
      </c>
      <c r="U2580">
        <v>2168</v>
      </c>
      <c r="V2580" s="1">
        <f t="shared" si="120"/>
        <v>0.34549999999999997</v>
      </c>
      <c r="W2580" s="1">
        <f t="shared" si="121"/>
        <v>0</v>
      </c>
      <c r="X2580" s="1">
        <f t="shared" si="122"/>
        <v>4.8999999999999998E-3</v>
      </c>
    </row>
    <row r="2581" spans="1:24" x14ac:dyDescent="0.25">
      <c r="A2581">
        <v>2006</v>
      </c>
      <c r="B2581">
        <v>12</v>
      </c>
      <c r="C2581" t="s">
        <v>37</v>
      </c>
      <c r="D2581" t="str">
        <f>_xlfn.XLOOKUP(C2581,'Carrier Name Rename'!A:A,'Carrier Name Rename'!B:B)</f>
        <v>Delta Air Lines Inc.</v>
      </c>
      <c r="E2581" t="s">
        <v>23</v>
      </c>
      <c r="F2581" t="s">
        <v>24</v>
      </c>
      <c r="G2581">
        <v>391</v>
      </c>
      <c r="H2581">
        <v>105</v>
      </c>
      <c r="I2581">
        <v>40.520000000000003</v>
      </c>
      <c r="J2581">
        <v>2.84</v>
      </c>
      <c r="K2581">
        <v>50.03</v>
      </c>
      <c r="L2581">
        <v>0.39</v>
      </c>
      <c r="M2581">
        <v>11.22</v>
      </c>
      <c r="N2581">
        <v>0</v>
      </c>
      <c r="O2581">
        <v>1</v>
      </c>
      <c r="P2581">
        <v>5898</v>
      </c>
      <c r="Q2581">
        <v>2597</v>
      </c>
      <c r="R2581">
        <v>277</v>
      </c>
      <c r="S2581">
        <v>2207</v>
      </c>
      <c r="T2581">
        <v>30</v>
      </c>
      <c r="U2581">
        <v>787</v>
      </c>
      <c r="V2581" s="1">
        <f t="shared" si="120"/>
        <v>0.26850000000000002</v>
      </c>
      <c r="W2581" s="1">
        <f t="shared" si="121"/>
        <v>0</v>
      </c>
      <c r="X2581" s="1">
        <f t="shared" si="122"/>
        <v>2.5999999999999999E-3</v>
      </c>
    </row>
    <row r="2582" spans="1:24" x14ac:dyDescent="0.25">
      <c r="A2582">
        <v>2006</v>
      </c>
      <c r="B2582">
        <v>12</v>
      </c>
      <c r="C2582" t="s">
        <v>39</v>
      </c>
      <c r="D2582" t="str">
        <f>_xlfn.XLOOKUP(C2582,'Carrier Name Rename'!A:A,'Carrier Name Rename'!B:B)</f>
        <v>Frontier Airlines Inc.</v>
      </c>
      <c r="E2582" t="s">
        <v>23</v>
      </c>
      <c r="F2582" t="s">
        <v>24</v>
      </c>
      <c r="G2582">
        <v>119</v>
      </c>
      <c r="H2582">
        <v>40</v>
      </c>
      <c r="I2582">
        <v>9.9600000000000009</v>
      </c>
      <c r="J2582">
        <v>4.1399999999999997</v>
      </c>
      <c r="K2582">
        <v>19.63</v>
      </c>
      <c r="L2582">
        <v>0</v>
      </c>
      <c r="M2582">
        <v>6.27</v>
      </c>
      <c r="N2582">
        <v>12</v>
      </c>
      <c r="O2582">
        <v>0</v>
      </c>
      <c r="P2582">
        <v>1853</v>
      </c>
      <c r="Q2582">
        <v>381</v>
      </c>
      <c r="R2582">
        <v>248</v>
      </c>
      <c r="S2582">
        <v>870</v>
      </c>
      <c r="T2582">
        <v>0</v>
      </c>
      <c r="U2582">
        <v>354</v>
      </c>
      <c r="V2582" s="1">
        <f t="shared" si="120"/>
        <v>0.33610000000000001</v>
      </c>
      <c r="W2582" s="1">
        <f t="shared" si="121"/>
        <v>0.1008</v>
      </c>
      <c r="X2582" s="1">
        <f t="shared" si="122"/>
        <v>0</v>
      </c>
    </row>
    <row r="2583" spans="1:24" x14ac:dyDescent="0.25">
      <c r="A2583">
        <v>2006</v>
      </c>
      <c r="B2583">
        <v>12</v>
      </c>
      <c r="C2583" t="s">
        <v>21</v>
      </c>
      <c r="D2583" t="str">
        <f>_xlfn.XLOOKUP(C2583,'Carrier Name Rename'!A:A,'Carrier Name Rename'!B:B)</f>
        <v>Hawaiian Airlines Inc.</v>
      </c>
      <c r="E2583" t="s">
        <v>23</v>
      </c>
      <c r="F2583" t="s">
        <v>24</v>
      </c>
      <c r="G2583">
        <v>74</v>
      </c>
      <c r="H2583">
        <v>28</v>
      </c>
      <c r="I2583">
        <v>15.47</v>
      </c>
      <c r="J2583">
        <v>0</v>
      </c>
      <c r="K2583">
        <v>0</v>
      </c>
      <c r="L2583">
        <v>0</v>
      </c>
      <c r="M2583">
        <v>12.53</v>
      </c>
      <c r="N2583">
        <v>3</v>
      </c>
      <c r="O2583">
        <v>0</v>
      </c>
      <c r="P2583">
        <v>2742</v>
      </c>
      <c r="Q2583">
        <v>1890</v>
      </c>
      <c r="R2583">
        <v>0</v>
      </c>
      <c r="S2583">
        <v>0</v>
      </c>
      <c r="T2583">
        <v>0</v>
      </c>
      <c r="U2583">
        <v>852</v>
      </c>
      <c r="V2583" s="1">
        <f t="shared" si="120"/>
        <v>0.37840000000000001</v>
      </c>
      <c r="W2583" s="1">
        <f t="shared" si="121"/>
        <v>4.0500000000000001E-2</v>
      </c>
      <c r="X2583" s="1">
        <f t="shared" si="122"/>
        <v>0</v>
      </c>
    </row>
    <row r="2584" spans="1:24" x14ac:dyDescent="0.25">
      <c r="A2584">
        <v>2006</v>
      </c>
      <c r="B2584">
        <v>12</v>
      </c>
      <c r="C2584" t="s">
        <v>67</v>
      </c>
      <c r="D2584" t="str">
        <f>_xlfn.XLOOKUP(C2584,'Carrier Name Rename'!A:A,'Carrier Name Rename'!B:B)</f>
        <v>Northwest Airlines Inc.</v>
      </c>
      <c r="E2584" t="s">
        <v>23</v>
      </c>
      <c r="F2584" t="s">
        <v>24</v>
      </c>
      <c r="G2584">
        <v>400</v>
      </c>
      <c r="H2584">
        <v>154</v>
      </c>
      <c r="I2584">
        <v>61.25</v>
      </c>
      <c r="J2584">
        <v>3.33</v>
      </c>
      <c r="K2584">
        <v>72.11</v>
      </c>
      <c r="L2584">
        <v>0</v>
      </c>
      <c r="M2584">
        <v>17.32</v>
      </c>
      <c r="N2584">
        <v>3</v>
      </c>
      <c r="O2584">
        <v>0</v>
      </c>
      <c r="P2584">
        <v>6936</v>
      </c>
      <c r="Q2584">
        <v>3177</v>
      </c>
      <c r="R2584">
        <v>233</v>
      </c>
      <c r="S2584">
        <v>2505</v>
      </c>
      <c r="T2584">
        <v>0</v>
      </c>
      <c r="U2584">
        <v>1021</v>
      </c>
      <c r="V2584" s="1">
        <f t="shared" si="120"/>
        <v>0.38500000000000001</v>
      </c>
      <c r="W2584" s="1">
        <f t="shared" si="121"/>
        <v>7.4999999999999997E-3</v>
      </c>
      <c r="X2584" s="1">
        <f t="shared" si="122"/>
        <v>0</v>
      </c>
    </row>
    <row r="2585" spans="1:24" x14ac:dyDescent="0.25">
      <c r="A2585">
        <v>2006</v>
      </c>
      <c r="B2585">
        <v>12</v>
      </c>
      <c r="C2585" t="s">
        <v>27</v>
      </c>
      <c r="D2585" t="str">
        <f>_xlfn.XLOOKUP(C2585,'Carrier Name Rename'!A:A,'Carrier Name Rename'!B:B)</f>
        <v>SkyWest Airlines Inc.</v>
      </c>
      <c r="E2585" t="s">
        <v>23</v>
      </c>
      <c r="F2585" t="s">
        <v>24</v>
      </c>
      <c r="G2585">
        <v>460</v>
      </c>
      <c r="H2585">
        <v>161</v>
      </c>
      <c r="I2585">
        <v>100</v>
      </c>
      <c r="J2585">
        <v>4</v>
      </c>
      <c r="K2585">
        <v>9</v>
      </c>
      <c r="L2585">
        <v>1</v>
      </c>
      <c r="M2585">
        <v>47</v>
      </c>
      <c r="N2585">
        <v>25</v>
      </c>
      <c r="O2585">
        <v>0</v>
      </c>
      <c r="P2585">
        <v>6909</v>
      </c>
      <c r="Q2585">
        <v>3335</v>
      </c>
      <c r="R2585">
        <v>194</v>
      </c>
      <c r="S2585">
        <v>471</v>
      </c>
      <c r="T2585">
        <v>38</v>
      </c>
      <c r="U2585">
        <v>2871</v>
      </c>
      <c r="V2585" s="1">
        <f t="shared" si="120"/>
        <v>0.35</v>
      </c>
      <c r="W2585" s="1">
        <f t="shared" si="121"/>
        <v>5.4300000000000001E-2</v>
      </c>
      <c r="X2585" s="1">
        <f t="shared" si="122"/>
        <v>0</v>
      </c>
    </row>
    <row r="2586" spans="1:24" x14ac:dyDescent="0.25">
      <c r="A2586">
        <v>2006</v>
      </c>
      <c r="B2586">
        <v>12</v>
      </c>
      <c r="C2586" t="s">
        <v>41</v>
      </c>
      <c r="D2586" t="str">
        <f>_xlfn.XLOOKUP(C2586,'Carrier Name Rename'!A:A,'Carrier Name Rename'!B:B)</f>
        <v>United Air Lines Inc.</v>
      </c>
      <c r="E2586" t="s">
        <v>23</v>
      </c>
      <c r="F2586" t="s">
        <v>24</v>
      </c>
      <c r="G2586">
        <v>890</v>
      </c>
      <c r="H2586">
        <v>297</v>
      </c>
      <c r="I2586">
        <v>75.87</v>
      </c>
      <c r="J2586">
        <v>6</v>
      </c>
      <c r="K2586">
        <v>107.01</v>
      </c>
      <c r="L2586">
        <v>0</v>
      </c>
      <c r="M2586">
        <v>108.11</v>
      </c>
      <c r="N2586">
        <v>28</v>
      </c>
      <c r="O2586">
        <v>7</v>
      </c>
      <c r="P2586">
        <v>15559</v>
      </c>
      <c r="Q2586">
        <v>3917</v>
      </c>
      <c r="R2586">
        <v>289</v>
      </c>
      <c r="S2586">
        <v>4425</v>
      </c>
      <c r="T2586">
        <v>0</v>
      </c>
      <c r="U2586">
        <v>6928</v>
      </c>
      <c r="V2586" s="1">
        <f t="shared" si="120"/>
        <v>0.3337</v>
      </c>
      <c r="W2586" s="1">
        <f t="shared" si="121"/>
        <v>3.15E-2</v>
      </c>
      <c r="X2586" s="1">
        <f t="shared" si="122"/>
        <v>7.9000000000000008E-3</v>
      </c>
    </row>
    <row r="2587" spans="1:24" x14ac:dyDescent="0.25">
      <c r="A2587">
        <v>2006</v>
      </c>
      <c r="B2587">
        <v>12</v>
      </c>
      <c r="C2587" t="s">
        <v>61</v>
      </c>
      <c r="D2587" t="str">
        <f>_xlfn.XLOOKUP(C2587,'Carrier Name Rename'!A:A,'Carrier Name Rename'!B:B)</f>
        <v>US Airways Inc.</v>
      </c>
      <c r="E2587" t="s">
        <v>23</v>
      </c>
      <c r="F2587" t="s">
        <v>24</v>
      </c>
      <c r="G2587">
        <v>367</v>
      </c>
      <c r="H2587">
        <v>132</v>
      </c>
      <c r="I2587">
        <v>47.05</v>
      </c>
      <c r="J2587">
        <v>0.38</v>
      </c>
      <c r="K2587">
        <v>52.44</v>
      </c>
      <c r="L2587">
        <v>0.65</v>
      </c>
      <c r="M2587">
        <v>31.48</v>
      </c>
      <c r="N2587">
        <v>4</v>
      </c>
      <c r="O2587">
        <v>1</v>
      </c>
      <c r="P2587">
        <v>5947</v>
      </c>
      <c r="Q2587">
        <v>2098</v>
      </c>
      <c r="R2587">
        <v>48</v>
      </c>
      <c r="S2587">
        <v>1773</v>
      </c>
      <c r="T2587">
        <v>11</v>
      </c>
      <c r="U2587">
        <v>2017</v>
      </c>
      <c r="V2587" s="1">
        <f t="shared" si="120"/>
        <v>0.35970000000000002</v>
      </c>
      <c r="W2587" s="1">
        <f t="shared" si="121"/>
        <v>1.09E-2</v>
      </c>
      <c r="X2587" s="1">
        <f t="shared" si="122"/>
        <v>2.7000000000000001E-3</v>
      </c>
    </row>
    <row r="2588" spans="1:24" x14ac:dyDescent="0.25">
      <c r="A2588">
        <v>2006</v>
      </c>
      <c r="B2588">
        <v>12</v>
      </c>
      <c r="C2588" t="s">
        <v>43</v>
      </c>
      <c r="D2588" t="str">
        <f>_xlfn.XLOOKUP(C2588,'Carrier Name Rename'!A:A,'Carrier Name Rename'!B:B)</f>
        <v>Southwest Airlines Co.</v>
      </c>
      <c r="E2588" t="s">
        <v>23</v>
      </c>
      <c r="F2588" t="s">
        <v>24</v>
      </c>
      <c r="G2588">
        <v>1186</v>
      </c>
      <c r="H2588">
        <v>314</v>
      </c>
      <c r="I2588">
        <v>81.14</v>
      </c>
      <c r="J2588">
        <v>11.03</v>
      </c>
      <c r="K2588">
        <v>57.52</v>
      </c>
      <c r="L2588">
        <v>6.37</v>
      </c>
      <c r="M2588">
        <v>157.94</v>
      </c>
      <c r="N2588">
        <v>12</v>
      </c>
      <c r="O2588">
        <v>4</v>
      </c>
      <c r="P2588">
        <v>15776</v>
      </c>
      <c r="Q2588">
        <v>3275</v>
      </c>
      <c r="R2588">
        <v>948</v>
      </c>
      <c r="S2588">
        <v>2583</v>
      </c>
      <c r="T2588">
        <v>176</v>
      </c>
      <c r="U2588">
        <v>8794</v>
      </c>
      <c r="V2588" s="1">
        <f t="shared" si="120"/>
        <v>0.26479999999999998</v>
      </c>
      <c r="W2588" s="1">
        <f t="shared" si="121"/>
        <v>1.01E-2</v>
      </c>
      <c r="X2588" s="1">
        <f t="shared" si="122"/>
        <v>3.3999999999999998E-3</v>
      </c>
    </row>
    <row r="2589" spans="1:24" x14ac:dyDescent="0.25">
      <c r="A2589">
        <v>2006</v>
      </c>
      <c r="B2589">
        <v>12</v>
      </c>
      <c r="C2589" t="s">
        <v>71</v>
      </c>
      <c r="D2589" t="str">
        <f>_xlfn.XLOOKUP(C2589,'Carrier Name Rename'!A:A,'Carrier Name Rename'!B:B)</f>
        <v>Mesa Airlines Inc.</v>
      </c>
      <c r="E2589" t="s">
        <v>23</v>
      </c>
      <c r="F2589" t="s">
        <v>24</v>
      </c>
      <c r="G2589">
        <v>17</v>
      </c>
      <c r="H2589">
        <v>8</v>
      </c>
      <c r="I2589">
        <v>5</v>
      </c>
      <c r="J2589">
        <v>1</v>
      </c>
      <c r="K2589">
        <v>2</v>
      </c>
      <c r="L2589">
        <v>0</v>
      </c>
      <c r="M2589">
        <v>0</v>
      </c>
      <c r="N2589">
        <v>0</v>
      </c>
      <c r="O2589">
        <v>0</v>
      </c>
      <c r="P2589">
        <v>316</v>
      </c>
      <c r="Q2589">
        <v>230</v>
      </c>
      <c r="R2589">
        <v>39</v>
      </c>
      <c r="S2589">
        <v>47</v>
      </c>
      <c r="T2589">
        <v>0</v>
      </c>
      <c r="U2589">
        <v>0</v>
      </c>
      <c r="V2589" s="1">
        <f t="shared" si="120"/>
        <v>0.47060000000000002</v>
      </c>
      <c r="W2589" s="1">
        <f t="shared" si="121"/>
        <v>0</v>
      </c>
      <c r="X2589" s="1">
        <f t="shared" si="122"/>
        <v>0</v>
      </c>
    </row>
    <row r="2590" spans="1:24" x14ac:dyDescent="0.25">
      <c r="A2590">
        <v>2006</v>
      </c>
      <c r="B2590">
        <v>11</v>
      </c>
      <c r="C2590" t="s">
        <v>31</v>
      </c>
      <c r="D2590" t="str">
        <f>_xlfn.XLOOKUP(C2590,'Carrier Name Rename'!A:A,'Carrier Name Rename'!B:B)</f>
        <v>American Airlines Inc.</v>
      </c>
      <c r="E2590" t="s">
        <v>23</v>
      </c>
      <c r="F2590" t="s">
        <v>24</v>
      </c>
      <c r="G2590">
        <v>493</v>
      </c>
      <c r="H2590">
        <v>150</v>
      </c>
      <c r="I2590">
        <v>41.52</v>
      </c>
      <c r="J2590">
        <v>7.2</v>
      </c>
      <c r="K2590">
        <v>69.69</v>
      </c>
      <c r="L2590">
        <v>0</v>
      </c>
      <c r="M2590">
        <v>31.59</v>
      </c>
      <c r="N2590">
        <v>10</v>
      </c>
      <c r="O2590">
        <v>0</v>
      </c>
      <c r="P2590">
        <v>8563</v>
      </c>
      <c r="Q2590">
        <v>2625</v>
      </c>
      <c r="R2590">
        <v>497</v>
      </c>
      <c r="S2590">
        <v>2995</v>
      </c>
      <c r="T2590">
        <v>0</v>
      </c>
      <c r="U2590">
        <v>2446</v>
      </c>
      <c r="V2590" s="1">
        <f t="shared" si="120"/>
        <v>0.30430000000000001</v>
      </c>
      <c r="W2590" s="1">
        <f t="shared" si="121"/>
        <v>2.0299999999999999E-2</v>
      </c>
      <c r="X2590" s="1">
        <f t="shared" si="122"/>
        <v>0</v>
      </c>
    </row>
    <row r="2591" spans="1:24" x14ac:dyDescent="0.25">
      <c r="A2591">
        <v>2006</v>
      </c>
      <c r="B2591">
        <v>11</v>
      </c>
      <c r="C2591" t="s">
        <v>33</v>
      </c>
      <c r="D2591" t="str">
        <f>_xlfn.XLOOKUP(C2591,'Carrier Name Rename'!A:A,'Carrier Name Rename'!B:B)</f>
        <v>Alaska Airlines Inc.</v>
      </c>
      <c r="E2591" t="s">
        <v>23</v>
      </c>
      <c r="F2591" t="s">
        <v>24</v>
      </c>
      <c r="G2591">
        <v>3764</v>
      </c>
      <c r="H2591">
        <v>1073</v>
      </c>
      <c r="I2591">
        <v>222.75</v>
      </c>
      <c r="J2591">
        <v>14.86</v>
      </c>
      <c r="K2591">
        <v>362.67</v>
      </c>
      <c r="L2591">
        <v>2.89</v>
      </c>
      <c r="M2591">
        <v>469.82</v>
      </c>
      <c r="N2591">
        <v>76</v>
      </c>
      <c r="O2591">
        <v>14</v>
      </c>
      <c r="P2591">
        <v>63960</v>
      </c>
      <c r="Q2591">
        <v>15343</v>
      </c>
      <c r="R2591">
        <v>1311</v>
      </c>
      <c r="S2591">
        <v>13752</v>
      </c>
      <c r="T2591">
        <v>94</v>
      </c>
      <c r="U2591">
        <v>33460</v>
      </c>
      <c r="V2591" s="1">
        <f t="shared" si="120"/>
        <v>0.28510000000000002</v>
      </c>
      <c r="W2591" s="1">
        <f t="shared" si="121"/>
        <v>2.0199999999999999E-2</v>
      </c>
      <c r="X2591" s="1">
        <f t="shared" si="122"/>
        <v>3.7000000000000002E-3</v>
      </c>
    </row>
    <row r="2592" spans="1:24" x14ac:dyDescent="0.25">
      <c r="A2592">
        <v>2006</v>
      </c>
      <c r="B2592">
        <v>11</v>
      </c>
      <c r="C2592" t="s">
        <v>35</v>
      </c>
      <c r="D2592" t="str">
        <f>_xlfn.XLOOKUP(C2592,'Carrier Name Rename'!A:A,'Carrier Name Rename'!B:B)</f>
        <v>JetBlue Airways</v>
      </c>
      <c r="E2592" t="s">
        <v>23</v>
      </c>
      <c r="F2592" t="s">
        <v>24</v>
      </c>
      <c r="G2592">
        <v>59</v>
      </c>
      <c r="H2592">
        <v>26</v>
      </c>
      <c r="I2592">
        <v>2.23</v>
      </c>
      <c r="J2592">
        <v>0</v>
      </c>
      <c r="K2592">
        <v>18.149999999999999</v>
      </c>
      <c r="L2592">
        <v>0</v>
      </c>
      <c r="M2592">
        <v>5.62</v>
      </c>
      <c r="N2592">
        <v>0</v>
      </c>
      <c r="O2592">
        <v>2</v>
      </c>
      <c r="P2592">
        <v>962</v>
      </c>
      <c r="Q2592">
        <v>49</v>
      </c>
      <c r="R2592">
        <v>0</v>
      </c>
      <c r="S2592">
        <v>587</v>
      </c>
      <c r="T2592">
        <v>0</v>
      </c>
      <c r="U2592">
        <v>326</v>
      </c>
      <c r="V2592" s="1">
        <f t="shared" si="120"/>
        <v>0.44069999999999998</v>
      </c>
      <c r="W2592" s="1">
        <f t="shared" si="121"/>
        <v>0</v>
      </c>
      <c r="X2592" s="1">
        <f t="shared" si="122"/>
        <v>3.39E-2</v>
      </c>
    </row>
    <row r="2593" spans="1:24" x14ac:dyDescent="0.25">
      <c r="A2593">
        <v>2006</v>
      </c>
      <c r="B2593">
        <v>11</v>
      </c>
      <c r="C2593" t="s">
        <v>65</v>
      </c>
      <c r="D2593" t="str">
        <f>_xlfn.XLOOKUP(C2593,'Carrier Name Rename'!A:A,'Carrier Name Rename'!B:B)</f>
        <v>Continental Air Lines Inc.</v>
      </c>
      <c r="E2593" t="s">
        <v>23</v>
      </c>
      <c r="F2593" t="s">
        <v>24</v>
      </c>
      <c r="G2593">
        <v>321</v>
      </c>
      <c r="H2593">
        <v>100</v>
      </c>
      <c r="I2593">
        <v>20.96</v>
      </c>
      <c r="J2593">
        <v>1.7</v>
      </c>
      <c r="K2593">
        <v>56.38</v>
      </c>
      <c r="L2593">
        <v>2.66</v>
      </c>
      <c r="M2593">
        <v>18.3</v>
      </c>
      <c r="N2593">
        <v>1</v>
      </c>
      <c r="O2593">
        <v>5</v>
      </c>
      <c r="P2593">
        <v>4337</v>
      </c>
      <c r="Q2593">
        <v>821</v>
      </c>
      <c r="R2593">
        <v>57</v>
      </c>
      <c r="S2593">
        <v>2299</v>
      </c>
      <c r="T2593">
        <v>76</v>
      </c>
      <c r="U2593">
        <v>1084</v>
      </c>
      <c r="V2593" s="1">
        <f t="shared" si="120"/>
        <v>0.3115</v>
      </c>
      <c r="W2593" s="1">
        <f t="shared" si="121"/>
        <v>3.0999999999999999E-3</v>
      </c>
      <c r="X2593" s="1">
        <f t="shared" si="122"/>
        <v>1.5599999999999999E-2</v>
      </c>
    </row>
    <row r="2594" spans="1:24" x14ac:dyDescent="0.25">
      <c r="A2594">
        <v>2006</v>
      </c>
      <c r="B2594">
        <v>11</v>
      </c>
      <c r="C2594" t="s">
        <v>37</v>
      </c>
      <c r="D2594" t="str">
        <f>_xlfn.XLOOKUP(C2594,'Carrier Name Rename'!A:A,'Carrier Name Rename'!B:B)</f>
        <v>Delta Air Lines Inc.</v>
      </c>
      <c r="E2594" t="s">
        <v>23</v>
      </c>
      <c r="F2594" t="s">
        <v>24</v>
      </c>
      <c r="G2594">
        <v>388</v>
      </c>
      <c r="H2594">
        <v>156</v>
      </c>
      <c r="I2594">
        <v>36.380000000000003</v>
      </c>
      <c r="J2594">
        <v>2.3199999999999998</v>
      </c>
      <c r="K2594">
        <v>101.44</v>
      </c>
      <c r="L2594">
        <v>0</v>
      </c>
      <c r="M2594">
        <v>15.86</v>
      </c>
      <c r="N2594">
        <v>1</v>
      </c>
      <c r="O2594">
        <v>0</v>
      </c>
      <c r="P2594">
        <v>6224</v>
      </c>
      <c r="Q2594">
        <v>1899</v>
      </c>
      <c r="R2594">
        <v>115</v>
      </c>
      <c r="S2594">
        <v>3502</v>
      </c>
      <c r="T2594">
        <v>0</v>
      </c>
      <c r="U2594">
        <v>708</v>
      </c>
      <c r="V2594" s="1">
        <f t="shared" si="120"/>
        <v>0.40210000000000001</v>
      </c>
      <c r="W2594" s="1">
        <f t="shared" si="121"/>
        <v>2.5999999999999999E-3</v>
      </c>
      <c r="X2594" s="1">
        <f t="shared" si="122"/>
        <v>0</v>
      </c>
    </row>
    <row r="2595" spans="1:24" x14ac:dyDescent="0.25">
      <c r="A2595">
        <v>2006</v>
      </c>
      <c r="B2595">
        <v>11</v>
      </c>
      <c r="C2595" t="s">
        <v>39</v>
      </c>
      <c r="D2595" t="str">
        <f>_xlfn.XLOOKUP(C2595,'Carrier Name Rename'!A:A,'Carrier Name Rename'!B:B)</f>
        <v>Frontier Airlines Inc.</v>
      </c>
      <c r="E2595" t="s">
        <v>23</v>
      </c>
      <c r="F2595" t="s">
        <v>24</v>
      </c>
      <c r="G2595">
        <v>117</v>
      </c>
      <c r="H2595">
        <v>44</v>
      </c>
      <c r="I2595">
        <v>16.11</v>
      </c>
      <c r="J2595">
        <v>0.55000000000000004</v>
      </c>
      <c r="K2595">
        <v>26.17</v>
      </c>
      <c r="L2595">
        <v>0</v>
      </c>
      <c r="M2595">
        <v>1.17</v>
      </c>
      <c r="N2595">
        <v>0</v>
      </c>
      <c r="O2595">
        <v>0</v>
      </c>
      <c r="P2595">
        <v>1587</v>
      </c>
      <c r="Q2595">
        <v>763</v>
      </c>
      <c r="R2595">
        <v>12</v>
      </c>
      <c r="S2595">
        <v>780</v>
      </c>
      <c r="T2595">
        <v>0</v>
      </c>
      <c r="U2595">
        <v>32</v>
      </c>
      <c r="V2595" s="1">
        <f t="shared" si="120"/>
        <v>0.37609999999999999</v>
      </c>
      <c r="W2595" s="1">
        <f t="shared" si="121"/>
        <v>0</v>
      </c>
      <c r="X2595" s="1">
        <f t="shared" si="122"/>
        <v>0</v>
      </c>
    </row>
    <row r="2596" spans="1:24" x14ac:dyDescent="0.25">
      <c r="A2596">
        <v>2006</v>
      </c>
      <c r="B2596">
        <v>11</v>
      </c>
      <c r="C2596" t="s">
        <v>21</v>
      </c>
      <c r="D2596" t="str">
        <f>_xlfn.XLOOKUP(C2596,'Carrier Name Rename'!A:A,'Carrier Name Rename'!B:B)</f>
        <v>Hawaiian Airlines Inc.</v>
      </c>
      <c r="E2596" t="s">
        <v>23</v>
      </c>
      <c r="F2596" t="s">
        <v>24</v>
      </c>
      <c r="G2596">
        <v>65</v>
      </c>
      <c r="H2596">
        <v>18</v>
      </c>
      <c r="I2596">
        <v>9.9499999999999993</v>
      </c>
      <c r="J2596">
        <v>0.24</v>
      </c>
      <c r="K2596">
        <v>0</v>
      </c>
      <c r="L2596">
        <v>0</v>
      </c>
      <c r="M2596">
        <v>7.82</v>
      </c>
      <c r="N2596">
        <v>1</v>
      </c>
      <c r="O2596">
        <v>0</v>
      </c>
      <c r="P2596">
        <v>1204</v>
      </c>
      <c r="Q2596">
        <v>830</v>
      </c>
      <c r="R2596">
        <v>11</v>
      </c>
      <c r="S2596">
        <v>0</v>
      </c>
      <c r="T2596">
        <v>0</v>
      </c>
      <c r="U2596">
        <v>363</v>
      </c>
      <c r="V2596" s="1">
        <f t="shared" si="120"/>
        <v>0.27689999999999998</v>
      </c>
      <c r="W2596" s="1">
        <f t="shared" si="121"/>
        <v>1.54E-2</v>
      </c>
      <c r="X2596" s="1">
        <f t="shared" si="122"/>
        <v>0</v>
      </c>
    </row>
    <row r="2597" spans="1:24" x14ac:dyDescent="0.25">
      <c r="A2597">
        <v>2006</v>
      </c>
      <c r="B2597">
        <v>11</v>
      </c>
      <c r="C2597" t="s">
        <v>67</v>
      </c>
      <c r="D2597" t="str">
        <f>_xlfn.XLOOKUP(C2597,'Carrier Name Rename'!A:A,'Carrier Name Rename'!B:B)</f>
        <v>Northwest Airlines Inc.</v>
      </c>
      <c r="E2597" t="s">
        <v>23</v>
      </c>
      <c r="F2597" t="s">
        <v>24</v>
      </c>
      <c r="G2597">
        <v>329</v>
      </c>
      <c r="H2597">
        <v>135</v>
      </c>
      <c r="I2597">
        <v>41.38</v>
      </c>
      <c r="J2597">
        <v>1.81</v>
      </c>
      <c r="K2597">
        <v>81.58</v>
      </c>
      <c r="L2597">
        <v>0</v>
      </c>
      <c r="M2597">
        <v>10.23</v>
      </c>
      <c r="N2597">
        <v>2</v>
      </c>
      <c r="O2597">
        <v>1</v>
      </c>
      <c r="P2597">
        <v>5278</v>
      </c>
      <c r="Q2597">
        <v>1935</v>
      </c>
      <c r="R2597">
        <v>152</v>
      </c>
      <c r="S2597">
        <v>2576</v>
      </c>
      <c r="T2597">
        <v>0</v>
      </c>
      <c r="U2597">
        <v>615</v>
      </c>
      <c r="V2597" s="1">
        <f t="shared" si="120"/>
        <v>0.4103</v>
      </c>
      <c r="W2597" s="1">
        <f t="shared" si="121"/>
        <v>6.1000000000000004E-3</v>
      </c>
      <c r="X2597" s="1">
        <f t="shared" si="122"/>
        <v>3.0000000000000001E-3</v>
      </c>
    </row>
    <row r="2598" spans="1:24" x14ac:dyDescent="0.25">
      <c r="A2598">
        <v>2006</v>
      </c>
      <c r="B2598">
        <v>11</v>
      </c>
      <c r="C2598" t="s">
        <v>27</v>
      </c>
      <c r="D2598" t="str">
        <f>_xlfn.XLOOKUP(C2598,'Carrier Name Rename'!A:A,'Carrier Name Rename'!B:B)</f>
        <v>SkyWest Airlines Inc.</v>
      </c>
      <c r="E2598" t="s">
        <v>23</v>
      </c>
      <c r="F2598" t="s">
        <v>24</v>
      </c>
      <c r="G2598">
        <v>422</v>
      </c>
      <c r="H2598">
        <v>118</v>
      </c>
      <c r="I2598">
        <v>60</v>
      </c>
      <c r="J2598">
        <v>2</v>
      </c>
      <c r="K2598">
        <v>23</v>
      </c>
      <c r="L2598">
        <v>1</v>
      </c>
      <c r="M2598">
        <v>32</v>
      </c>
      <c r="N2598">
        <v>6</v>
      </c>
      <c r="O2598">
        <v>4</v>
      </c>
      <c r="P2598">
        <v>6060</v>
      </c>
      <c r="Q2598">
        <v>2047</v>
      </c>
      <c r="R2598">
        <v>50</v>
      </c>
      <c r="S2598">
        <v>1425</v>
      </c>
      <c r="T2598">
        <v>47</v>
      </c>
      <c r="U2598">
        <v>2491</v>
      </c>
      <c r="V2598" s="1">
        <f t="shared" si="120"/>
        <v>0.27960000000000002</v>
      </c>
      <c r="W2598" s="1">
        <f t="shared" si="121"/>
        <v>1.4200000000000001E-2</v>
      </c>
      <c r="X2598" s="1">
        <f t="shared" si="122"/>
        <v>9.4999999999999998E-3</v>
      </c>
    </row>
    <row r="2599" spans="1:24" x14ac:dyDescent="0.25">
      <c r="A2599">
        <v>2006</v>
      </c>
      <c r="B2599">
        <v>11</v>
      </c>
      <c r="C2599" t="s">
        <v>41</v>
      </c>
      <c r="D2599" t="str">
        <f>_xlfn.XLOOKUP(C2599,'Carrier Name Rename'!A:A,'Carrier Name Rename'!B:B)</f>
        <v>United Air Lines Inc.</v>
      </c>
      <c r="E2599" t="s">
        <v>23</v>
      </c>
      <c r="F2599" t="s">
        <v>24</v>
      </c>
      <c r="G2599">
        <v>824</v>
      </c>
      <c r="H2599">
        <v>264</v>
      </c>
      <c r="I2599">
        <v>45.14</v>
      </c>
      <c r="J2599">
        <v>0.06</v>
      </c>
      <c r="K2599">
        <v>110.21</v>
      </c>
      <c r="L2599">
        <v>0</v>
      </c>
      <c r="M2599">
        <v>108.59</v>
      </c>
      <c r="N2599">
        <v>5</v>
      </c>
      <c r="O2599">
        <v>2</v>
      </c>
      <c r="P2599">
        <v>15822</v>
      </c>
      <c r="Q2599">
        <v>2868</v>
      </c>
      <c r="R2599">
        <v>8</v>
      </c>
      <c r="S2599">
        <v>4694</v>
      </c>
      <c r="T2599">
        <v>0</v>
      </c>
      <c r="U2599">
        <v>8252</v>
      </c>
      <c r="V2599" s="1">
        <f t="shared" si="120"/>
        <v>0.32040000000000002</v>
      </c>
      <c r="W2599" s="1">
        <f t="shared" si="121"/>
        <v>6.1000000000000004E-3</v>
      </c>
      <c r="X2599" s="1">
        <f t="shared" si="122"/>
        <v>2.3999999999999998E-3</v>
      </c>
    </row>
    <row r="2600" spans="1:24" x14ac:dyDescent="0.25">
      <c r="A2600">
        <v>2006</v>
      </c>
      <c r="B2600">
        <v>11</v>
      </c>
      <c r="C2600" t="s">
        <v>61</v>
      </c>
      <c r="D2600" t="str">
        <f>_xlfn.XLOOKUP(C2600,'Carrier Name Rename'!A:A,'Carrier Name Rename'!B:B)</f>
        <v>US Airways Inc.</v>
      </c>
      <c r="E2600" t="s">
        <v>23</v>
      </c>
      <c r="F2600" t="s">
        <v>24</v>
      </c>
      <c r="G2600">
        <v>348</v>
      </c>
      <c r="H2600">
        <v>137</v>
      </c>
      <c r="I2600">
        <v>36.75</v>
      </c>
      <c r="J2600">
        <v>1.23</v>
      </c>
      <c r="K2600">
        <v>72.11</v>
      </c>
      <c r="L2600">
        <v>1.23</v>
      </c>
      <c r="M2600">
        <v>25.68</v>
      </c>
      <c r="N2600">
        <v>1</v>
      </c>
      <c r="O2600">
        <v>1</v>
      </c>
      <c r="P2600">
        <v>6201</v>
      </c>
      <c r="Q2600">
        <v>1746</v>
      </c>
      <c r="R2600">
        <v>137</v>
      </c>
      <c r="S2600">
        <v>2491</v>
      </c>
      <c r="T2600">
        <v>22</v>
      </c>
      <c r="U2600">
        <v>1805</v>
      </c>
      <c r="V2600" s="1">
        <f t="shared" si="120"/>
        <v>0.39369999999999999</v>
      </c>
      <c r="W2600" s="1">
        <f t="shared" si="121"/>
        <v>2.8999999999999998E-3</v>
      </c>
      <c r="X2600" s="1">
        <f t="shared" si="122"/>
        <v>2.8999999999999998E-3</v>
      </c>
    </row>
    <row r="2601" spans="1:24" x14ac:dyDescent="0.25">
      <c r="A2601">
        <v>2006</v>
      </c>
      <c r="B2601">
        <v>11</v>
      </c>
      <c r="C2601" t="s">
        <v>43</v>
      </c>
      <c r="D2601" t="str">
        <f>_xlfn.XLOOKUP(C2601,'Carrier Name Rename'!A:A,'Carrier Name Rename'!B:B)</f>
        <v>Southwest Airlines Co.</v>
      </c>
      <c r="E2601" t="s">
        <v>23</v>
      </c>
      <c r="F2601" t="s">
        <v>24</v>
      </c>
      <c r="G2601">
        <v>1151</v>
      </c>
      <c r="H2601">
        <v>245</v>
      </c>
      <c r="I2601">
        <v>55.25</v>
      </c>
      <c r="J2601">
        <v>15.42</v>
      </c>
      <c r="K2601">
        <v>68.72</v>
      </c>
      <c r="L2601">
        <v>0.3</v>
      </c>
      <c r="M2601">
        <v>105.31</v>
      </c>
      <c r="N2601">
        <v>6</v>
      </c>
      <c r="O2601">
        <v>1</v>
      </c>
      <c r="P2601">
        <v>10544</v>
      </c>
      <c r="Q2601">
        <v>2030</v>
      </c>
      <c r="R2601">
        <v>1136</v>
      </c>
      <c r="S2601">
        <v>2617</v>
      </c>
      <c r="T2601">
        <v>7</v>
      </c>
      <c r="U2601">
        <v>4754</v>
      </c>
      <c r="V2601" s="1">
        <f t="shared" si="120"/>
        <v>0.21290000000000001</v>
      </c>
      <c r="W2601" s="1">
        <f t="shared" si="121"/>
        <v>5.1999999999999998E-3</v>
      </c>
      <c r="X2601" s="1">
        <f t="shared" si="122"/>
        <v>8.9999999999999998E-4</v>
      </c>
    </row>
    <row r="2602" spans="1:24" x14ac:dyDescent="0.25">
      <c r="A2602">
        <v>2006</v>
      </c>
      <c r="B2602">
        <v>11</v>
      </c>
      <c r="C2602" t="s">
        <v>71</v>
      </c>
      <c r="D2602" t="str">
        <f>_xlfn.XLOOKUP(C2602,'Carrier Name Rename'!A:A,'Carrier Name Rename'!B:B)</f>
        <v>Mesa Airlines Inc.</v>
      </c>
      <c r="E2602" t="s">
        <v>23</v>
      </c>
      <c r="F2602" t="s">
        <v>24</v>
      </c>
      <c r="G2602">
        <v>2</v>
      </c>
      <c r="H2602">
        <v>1</v>
      </c>
      <c r="I2602">
        <v>1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66</v>
      </c>
      <c r="Q2602">
        <v>66</v>
      </c>
      <c r="R2602">
        <v>0</v>
      </c>
      <c r="S2602">
        <v>0</v>
      </c>
      <c r="T2602">
        <v>0</v>
      </c>
      <c r="U2602">
        <v>0</v>
      </c>
      <c r="V2602" s="1">
        <f t="shared" si="120"/>
        <v>0.5</v>
      </c>
      <c r="W2602" s="1">
        <f t="shared" si="121"/>
        <v>0</v>
      </c>
      <c r="X2602" s="1">
        <f t="shared" si="122"/>
        <v>0</v>
      </c>
    </row>
    <row r="2603" spans="1:24" x14ac:dyDescent="0.25">
      <c r="A2603">
        <v>2006</v>
      </c>
      <c r="B2603">
        <v>10</v>
      </c>
      <c r="C2603" t="s">
        <v>31</v>
      </c>
      <c r="D2603" t="str">
        <f>_xlfn.XLOOKUP(C2603,'Carrier Name Rename'!A:A,'Carrier Name Rename'!B:B)</f>
        <v>American Airlines Inc.</v>
      </c>
      <c r="E2603" t="s">
        <v>23</v>
      </c>
      <c r="F2603" t="s">
        <v>24</v>
      </c>
      <c r="G2603">
        <v>515</v>
      </c>
      <c r="H2603">
        <v>116</v>
      </c>
      <c r="I2603">
        <v>30.35</v>
      </c>
      <c r="J2603">
        <v>8.74</v>
      </c>
      <c r="K2603">
        <v>43.66</v>
      </c>
      <c r="L2603">
        <v>0</v>
      </c>
      <c r="M2603">
        <v>33.26</v>
      </c>
      <c r="N2603">
        <v>4</v>
      </c>
      <c r="O2603">
        <v>4</v>
      </c>
      <c r="P2603">
        <v>6781</v>
      </c>
      <c r="Q2603">
        <v>1986</v>
      </c>
      <c r="R2603">
        <v>667</v>
      </c>
      <c r="S2603">
        <v>1414</v>
      </c>
      <c r="T2603">
        <v>0</v>
      </c>
      <c r="U2603">
        <v>2714</v>
      </c>
      <c r="V2603" s="1">
        <f t="shared" si="120"/>
        <v>0.22520000000000001</v>
      </c>
      <c r="W2603" s="1">
        <f t="shared" si="121"/>
        <v>7.7999999999999996E-3</v>
      </c>
      <c r="X2603" s="1">
        <f t="shared" si="122"/>
        <v>7.7999999999999996E-3</v>
      </c>
    </row>
    <row r="2604" spans="1:24" x14ac:dyDescent="0.25">
      <c r="A2604">
        <v>2006</v>
      </c>
      <c r="B2604">
        <v>10</v>
      </c>
      <c r="C2604" t="s">
        <v>33</v>
      </c>
      <c r="D2604" t="str">
        <f>_xlfn.XLOOKUP(C2604,'Carrier Name Rename'!A:A,'Carrier Name Rename'!B:B)</f>
        <v>Alaska Airlines Inc.</v>
      </c>
      <c r="E2604" t="s">
        <v>23</v>
      </c>
      <c r="F2604" t="s">
        <v>24</v>
      </c>
      <c r="G2604">
        <v>4210</v>
      </c>
      <c r="H2604">
        <v>814</v>
      </c>
      <c r="I2604">
        <v>165.41</v>
      </c>
      <c r="J2604">
        <v>5.31</v>
      </c>
      <c r="K2604">
        <v>294.45</v>
      </c>
      <c r="L2604">
        <v>5.36</v>
      </c>
      <c r="M2604">
        <v>343.47</v>
      </c>
      <c r="N2604">
        <v>60</v>
      </c>
      <c r="O2604">
        <v>10</v>
      </c>
      <c r="P2604">
        <v>40422</v>
      </c>
      <c r="Q2604">
        <v>10068</v>
      </c>
      <c r="R2604">
        <v>328</v>
      </c>
      <c r="S2604">
        <v>8986</v>
      </c>
      <c r="T2604">
        <v>178</v>
      </c>
      <c r="U2604">
        <v>20862</v>
      </c>
      <c r="V2604" s="1">
        <f t="shared" si="120"/>
        <v>0.1933</v>
      </c>
      <c r="W2604" s="1">
        <f t="shared" si="121"/>
        <v>1.43E-2</v>
      </c>
      <c r="X2604" s="1">
        <f t="shared" si="122"/>
        <v>2.3999999999999998E-3</v>
      </c>
    </row>
    <row r="2605" spans="1:24" x14ac:dyDescent="0.25">
      <c r="A2605">
        <v>2006</v>
      </c>
      <c r="B2605">
        <v>10</v>
      </c>
      <c r="C2605" t="s">
        <v>35</v>
      </c>
      <c r="D2605" t="str">
        <f>_xlfn.XLOOKUP(C2605,'Carrier Name Rename'!A:A,'Carrier Name Rename'!B:B)</f>
        <v>JetBlue Airways</v>
      </c>
      <c r="E2605" t="s">
        <v>23</v>
      </c>
      <c r="F2605" t="s">
        <v>24</v>
      </c>
      <c r="G2605">
        <v>62</v>
      </c>
      <c r="H2605">
        <v>27</v>
      </c>
      <c r="I2605">
        <v>5.85</v>
      </c>
      <c r="J2605">
        <v>0</v>
      </c>
      <c r="K2605">
        <v>17.7</v>
      </c>
      <c r="L2605">
        <v>0</v>
      </c>
      <c r="M2605">
        <v>3.45</v>
      </c>
      <c r="N2605">
        <v>0</v>
      </c>
      <c r="O2605">
        <v>0</v>
      </c>
      <c r="P2605">
        <v>1151</v>
      </c>
      <c r="Q2605">
        <v>320</v>
      </c>
      <c r="R2605">
        <v>0</v>
      </c>
      <c r="S2605">
        <v>636</v>
      </c>
      <c r="T2605">
        <v>0</v>
      </c>
      <c r="U2605">
        <v>195</v>
      </c>
      <c r="V2605" s="1">
        <f t="shared" si="120"/>
        <v>0.4355</v>
      </c>
      <c r="W2605" s="1">
        <f t="shared" si="121"/>
        <v>0</v>
      </c>
      <c r="X2605" s="1">
        <f t="shared" si="122"/>
        <v>0</v>
      </c>
    </row>
    <row r="2606" spans="1:24" x14ac:dyDescent="0.25">
      <c r="A2606">
        <v>2006</v>
      </c>
      <c r="B2606">
        <v>10</v>
      </c>
      <c r="C2606" t="s">
        <v>65</v>
      </c>
      <c r="D2606" t="str">
        <f>_xlfn.XLOOKUP(C2606,'Carrier Name Rename'!A:A,'Carrier Name Rename'!B:B)</f>
        <v>Continental Air Lines Inc.</v>
      </c>
      <c r="E2606" t="s">
        <v>23</v>
      </c>
      <c r="F2606" t="s">
        <v>24</v>
      </c>
      <c r="G2606">
        <v>310</v>
      </c>
      <c r="H2606">
        <v>108</v>
      </c>
      <c r="I2606">
        <v>31.64</v>
      </c>
      <c r="J2606">
        <v>7.68</v>
      </c>
      <c r="K2606">
        <v>46.52</v>
      </c>
      <c r="L2606">
        <v>0.34</v>
      </c>
      <c r="M2606">
        <v>21.82</v>
      </c>
      <c r="N2606">
        <v>1</v>
      </c>
      <c r="O2606">
        <v>0</v>
      </c>
      <c r="P2606">
        <v>8591</v>
      </c>
      <c r="Q2606">
        <v>2755</v>
      </c>
      <c r="R2606">
        <v>1175</v>
      </c>
      <c r="S2606">
        <v>1942</v>
      </c>
      <c r="T2606">
        <v>10</v>
      </c>
      <c r="U2606">
        <v>2709</v>
      </c>
      <c r="V2606" s="1">
        <f t="shared" si="120"/>
        <v>0.34839999999999999</v>
      </c>
      <c r="W2606" s="1">
        <f t="shared" si="121"/>
        <v>3.2000000000000002E-3</v>
      </c>
      <c r="X2606" s="1">
        <f t="shared" si="122"/>
        <v>0</v>
      </c>
    </row>
    <row r="2607" spans="1:24" x14ac:dyDescent="0.25">
      <c r="A2607">
        <v>2006</v>
      </c>
      <c r="B2607">
        <v>10</v>
      </c>
      <c r="C2607" t="s">
        <v>37</v>
      </c>
      <c r="D2607" t="str">
        <f>_xlfn.XLOOKUP(C2607,'Carrier Name Rename'!A:A,'Carrier Name Rename'!B:B)</f>
        <v>Delta Air Lines Inc.</v>
      </c>
      <c r="E2607" t="s">
        <v>23</v>
      </c>
      <c r="F2607" t="s">
        <v>24</v>
      </c>
      <c r="G2607">
        <v>412</v>
      </c>
      <c r="H2607">
        <v>152</v>
      </c>
      <c r="I2607">
        <v>37.99</v>
      </c>
      <c r="J2607">
        <v>2.39</v>
      </c>
      <c r="K2607">
        <v>87.09</v>
      </c>
      <c r="L2607">
        <v>0</v>
      </c>
      <c r="M2607">
        <v>24.52</v>
      </c>
      <c r="N2607">
        <v>0</v>
      </c>
      <c r="O2607">
        <v>1</v>
      </c>
      <c r="P2607">
        <v>6012</v>
      </c>
      <c r="Q2607">
        <v>1857</v>
      </c>
      <c r="R2607">
        <v>166</v>
      </c>
      <c r="S2607">
        <v>2674</v>
      </c>
      <c r="T2607">
        <v>0</v>
      </c>
      <c r="U2607">
        <v>1315</v>
      </c>
      <c r="V2607" s="1">
        <f t="shared" si="120"/>
        <v>0.36890000000000001</v>
      </c>
      <c r="W2607" s="1">
        <f t="shared" si="121"/>
        <v>0</v>
      </c>
      <c r="X2607" s="1">
        <f t="shared" si="122"/>
        <v>2.3999999999999998E-3</v>
      </c>
    </row>
    <row r="2608" spans="1:24" x14ac:dyDescent="0.25">
      <c r="A2608">
        <v>2006</v>
      </c>
      <c r="B2608">
        <v>10</v>
      </c>
      <c r="C2608" t="s">
        <v>39</v>
      </c>
      <c r="D2608" t="str">
        <f>_xlfn.XLOOKUP(C2608,'Carrier Name Rename'!A:A,'Carrier Name Rename'!B:B)</f>
        <v>Frontier Airlines Inc.</v>
      </c>
      <c r="E2608" t="s">
        <v>23</v>
      </c>
      <c r="F2608" t="s">
        <v>24</v>
      </c>
      <c r="G2608">
        <v>122</v>
      </c>
      <c r="H2608">
        <v>23</v>
      </c>
      <c r="I2608">
        <v>11.68</v>
      </c>
      <c r="J2608">
        <v>0.13</v>
      </c>
      <c r="K2608">
        <v>8.68</v>
      </c>
      <c r="L2608">
        <v>0</v>
      </c>
      <c r="M2608">
        <v>2.52</v>
      </c>
      <c r="N2608">
        <v>0</v>
      </c>
      <c r="O2608">
        <v>0</v>
      </c>
      <c r="P2608">
        <v>1031</v>
      </c>
      <c r="Q2608">
        <v>465</v>
      </c>
      <c r="R2608">
        <v>15</v>
      </c>
      <c r="S2608">
        <v>415</v>
      </c>
      <c r="T2608">
        <v>0</v>
      </c>
      <c r="U2608">
        <v>136</v>
      </c>
      <c r="V2608" s="1">
        <f t="shared" si="120"/>
        <v>0.1885</v>
      </c>
      <c r="W2608" s="1">
        <f t="shared" si="121"/>
        <v>0</v>
      </c>
      <c r="X2608" s="1">
        <f t="shared" si="122"/>
        <v>0</v>
      </c>
    </row>
    <row r="2609" spans="1:24" x14ac:dyDescent="0.25">
      <c r="A2609">
        <v>2006</v>
      </c>
      <c r="B2609">
        <v>10</v>
      </c>
      <c r="C2609" t="s">
        <v>21</v>
      </c>
      <c r="D2609" t="str">
        <f>_xlfn.XLOOKUP(C2609,'Carrier Name Rename'!A:A,'Carrier Name Rename'!B:B)</f>
        <v>Hawaiian Airlines Inc.</v>
      </c>
      <c r="E2609" t="s">
        <v>23</v>
      </c>
      <c r="F2609" t="s">
        <v>24</v>
      </c>
      <c r="G2609">
        <v>57</v>
      </c>
      <c r="H2609">
        <v>17</v>
      </c>
      <c r="I2609">
        <v>14.61</v>
      </c>
      <c r="J2609">
        <v>0</v>
      </c>
      <c r="K2609">
        <v>0</v>
      </c>
      <c r="L2609">
        <v>0</v>
      </c>
      <c r="M2609">
        <v>2.39</v>
      </c>
      <c r="N2609">
        <v>0</v>
      </c>
      <c r="O2609">
        <v>0</v>
      </c>
      <c r="P2609">
        <v>1535</v>
      </c>
      <c r="Q2609">
        <v>1470</v>
      </c>
      <c r="R2609">
        <v>0</v>
      </c>
      <c r="S2609">
        <v>0</v>
      </c>
      <c r="T2609">
        <v>0</v>
      </c>
      <c r="U2609">
        <v>65</v>
      </c>
      <c r="V2609" s="1">
        <f t="shared" si="120"/>
        <v>0.29820000000000002</v>
      </c>
      <c r="W2609" s="1">
        <f t="shared" si="121"/>
        <v>0</v>
      </c>
      <c r="X2609" s="1">
        <f t="shared" si="122"/>
        <v>0</v>
      </c>
    </row>
    <row r="2610" spans="1:24" x14ac:dyDescent="0.25">
      <c r="A2610">
        <v>2006</v>
      </c>
      <c r="B2610">
        <v>10</v>
      </c>
      <c r="C2610" t="s">
        <v>67</v>
      </c>
      <c r="D2610" t="str">
        <f>_xlfn.XLOOKUP(C2610,'Carrier Name Rename'!A:A,'Carrier Name Rename'!B:B)</f>
        <v>Northwest Airlines Inc.</v>
      </c>
      <c r="E2610" t="s">
        <v>23</v>
      </c>
      <c r="F2610" t="s">
        <v>24</v>
      </c>
      <c r="G2610">
        <v>397</v>
      </c>
      <c r="H2610">
        <v>116</v>
      </c>
      <c r="I2610">
        <v>39.81</v>
      </c>
      <c r="J2610">
        <v>1.34</v>
      </c>
      <c r="K2610">
        <v>66.040000000000006</v>
      </c>
      <c r="L2610">
        <v>0</v>
      </c>
      <c r="M2610">
        <v>8.81</v>
      </c>
      <c r="N2610">
        <v>2</v>
      </c>
      <c r="O2610">
        <v>1</v>
      </c>
      <c r="P2610">
        <v>4204</v>
      </c>
      <c r="Q2610">
        <v>1971</v>
      </c>
      <c r="R2610">
        <v>92</v>
      </c>
      <c r="S2610">
        <v>1792</v>
      </c>
      <c r="T2610">
        <v>0</v>
      </c>
      <c r="U2610">
        <v>349</v>
      </c>
      <c r="V2610" s="1">
        <f t="shared" si="120"/>
        <v>0.29220000000000002</v>
      </c>
      <c r="W2610" s="1">
        <f t="shared" si="121"/>
        <v>5.0000000000000001E-3</v>
      </c>
      <c r="X2610" s="1">
        <f t="shared" si="122"/>
        <v>2.5000000000000001E-3</v>
      </c>
    </row>
    <row r="2611" spans="1:24" x14ac:dyDescent="0.25">
      <c r="A2611">
        <v>2006</v>
      </c>
      <c r="B2611">
        <v>10</v>
      </c>
      <c r="C2611" t="s">
        <v>27</v>
      </c>
      <c r="D2611" t="str">
        <f>_xlfn.XLOOKUP(C2611,'Carrier Name Rename'!A:A,'Carrier Name Rename'!B:B)</f>
        <v>SkyWest Airlines Inc.</v>
      </c>
      <c r="E2611" t="s">
        <v>23</v>
      </c>
      <c r="F2611" t="s">
        <v>24</v>
      </c>
      <c r="G2611">
        <v>439</v>
      </c>
      <c r="H2611">
        <v>65</v>
      </c>
      <c r="I2611">
        <v>47</v>
      </c>
      <c r="J2611">
        <v>1</v>
      </c>
      <c r="K2611">
        <v>2</v>
      </c>
      <c r="L2611">
        <v>0</v>
      </c>
      <c r="M2611">
        <v>15</v>
      </c>
      <c r="N2611">
        <v>11</v>
      </c>
      <c r="O2611">
        <v>1</v>
      </c>
      <c r="P2611">
        <v>1970</v>
      </c>
      <c r="Q2611">
        <v>1307</v>
      </c>
      <c r="R2611">
        <v>32</v>
      </c>
      <c r="S2611">
        <v>68</v>
      </c>
      <c r="T2611">
        <v>0</v>
      </c>
      <c r="U2611">
        <v>563</v>
      </c>
      <c r="V2611" s="1">
        <f t="shared" si="120"/>
        <v>0.14810000000000001</v>
      </c>
      <c r="W2611" s="1">
        <f t="shared" si="121"/>
        <v>2.5100000000000001E-2</v>
      </c>
      <c r="X2611" s="1">
        <f t="shared" si="122"/>
        <v>2.3E-3</v>
      </c>
    </row>
    <row r="2612" spans="1:24" x14ac:dyDescent="0.25">
      <c r="A2612">
        <v>2006</v>
      </c>
      <c r="B2612">
        <v>10</v>
      </c>
      <c r="C2612" t="s">
        <v>41</v>
      </c>
      <c r="D2612" t="str">
        <f>_xlfn.XLOOKUP(C2612,'Carrier Name Rename'!A:A,'Carrier Name Rename'!B:B)</f>
        <v>United Air Lines Inc.</v>
      </c>
      <c r="E2612" t="s">
        <v>23</v>
      </c>
      <c r="F2612" t="s">
        <v>24</v>
      </c>
      <c r="G2612">
        <v>914</v>
      </c>
      <c r="H2612">
        <v>234</v>
      </c>
      <c r="I2612">
        <v>51.94</v>
      </c>
      <c r="J2612">
        <v>2.69</v>
      </c>
      <c r="K2612">
        <v>75.87</v>
      </c>
      <c r="L2612">
        <v>0</v>
      </c>
      <c r="M2612">
        <v>103.5</v>
      </c>
      <c r="N2612">
        <v>14</v>
      </c>
      <c r="O2612">
        <v>2</v>
      </c>
      <c r="P2612">
        <v>12090</v>
      </c>
      <c r="Q2612">
        <v>2292</v>
      </c>
      <c r="R2612">
        <v>116</v>
      </c>
      <c r="S2612">
        <v>2617</v>
      </c>
      <c r="T2612">
        <v>0</v>
      </c>
      <c r="U2612">
        <v>7065</v>
      </c>
      <c r="V2612" s="1">
        <f t="shared" si="120"/>
        <v>0.25600000000000001</v>
      </c>
      <c r="W2612" s="1">
        <f t="shared" si="121"/>
        <v>1.5299999999999999E-2</v>
      </c>
      <c r="X2612" s="1">
        <f t="shared" si="122"/>
        <v>2.2000000000000001E-3</v>
      </c>
    </row>
    <row r="2613" spans="1:24" x14ac:dyDescent="0.25">
      <c r="A2613">
        <v>2006</v>
      </c>
      <c r="B2613">
        <v>10</v>
      </c>
      <c r="C2613" t="s">
        <v>61</v>
      </c>
      <c r="D2613" t="str">
        <f>_xlfn.XLOOKUP(C2613,'Carrier Name Rename'!A:A,'Carrier Name Rename'!B:B)</f>
        <v>US Airways Inc.</v>
      </c>
      <c r="E2613" t="s">
        <v>23</v>
      </c>
      <c r="F2613" t="s">
        <v>24</v>
      </c>
      <c r="G2613">
        <v>391</v>
      </c>
      <c r="H2613">
        <v>132</v>
      </c>
      <c r="I2613">
        <v>38.18</v>
      </c>
      <c r="J2613">
        <v>0.03</v>
      </c>
      <c r="K2613">
        <v>67.14</v>
      </c>
      <c r="L2613">
        <v>0</v>
      </c>
      <c r="M2613">
        <v>26.64</v>
      </c>
      <c r="N2613">
        <v>2</v>
      </c>
      <c r="O2613">
        <v>0</v>
      </c>
      <c r="P2613">
        <v>5071</v>
      </c>
      <c r="Q2613">
        <v>1309</v>
      </c>
      <c r="R2613">
        <v>3</v>
      </c>
      <c r="S2613">
        <v>2109</v>
      </c>
      <c r="T2613">
        <v>0</v>
      </c>
      <c r="U2613">
        <v>1650</v>
      </c>
      <c r="V2613" s="1">
        <f t="shared" si="120"/>
        <v>0.33760000000000001</v>
      </c>
      <c r="W2613" s="1">
        <f t="shared" si="121"/>
        <v>5.1000000000000004E-3</v>
      </c>
      <c r="X2613" s="1">
        <f t="shared" si="122"/>
        <v>0</v>
      </c>
    </row>
    <row r="2614" spans="1:24" x14ac:dyDescent="0.25">
      <c r="A2614">
        <v>2006</v>
      </c>
      <c r="B2614">
        <v>10</v>
      </c>
      <c r="C2614" t="s">
        <v>43</v>
      </c>
      <c r="D2614" t="str">
        <f>_xlfn.XLOOKUP(C2614,'Carrier Name Rename'!A:A,'Carrier Name Rename'!B:B)</f>
        <v>Southwest Airlines Co.</v>
      </c>
      <c r="E2614" t="s">
        <v>23</v>
      </c>
      <c r="F2614" t="s">
        <v>24</v>
      </c>
      <c r="G2614">
        <v>1206</v>
      </c>
      <c r="H2614">
        <v>235</v>
      </c>
      <c r="I2614">
        <v>50.45</v>
      </c>
      <c r="J2614">
        <v>3.23</v>
      </c>
      <c r="K2614">
        <v>48.3</v>
      </c>
      <c r="L2614">
        <v>2.31</v>
      </c>
      <c r="M2614">
        <v>130.69999999999999</v>
      </c>
      <c r="N2614">
        <v>4</v>
      </c>
      <c r="O2614">
        <v>1</v>
      </c>
      <c r="P2614">
        <v>9506</v>
      </c>
      <c r="Q2614">
        <v>1886</v>
      </c>
      <c r="R2614">
        <v>140</v>
      </c>
      <c r="S2614">
        <v>1433</v>
      </c>
      <c r="T2614">
        <v>76</v>
      </c>
      <c r="U2614">
        <v>5971</v>
      </c>
      <c r="V2614" s="1">
        <f t="shared" si="120"/>
        <v>0.19489999999999999</v>
      </c>
      <c r="W2614" s="1">
        <f t="shared" si="121"/>
        <v>3.3E-3</v>
      </c>
      <c r="X2614" s="1">
        <f t="shared" si="122"/>
        <v>8.0000000000000004E-4</v>
      </c>
    </row>
    <row r="2615" spans="1:24" x14ac:dyDescent="0.25">
      <c r="A2615">
        <v>2006</v>
      </c>
      <c r="B2615">
        <v>10</v>
      </c>
      <c r="C2615" t="s">
        <v>71</v>
      </c>
      <c r="D2615" t="str">
        <f>_xlfn.XLOOKUP(C2615,'Carrier Name Rename'!A:A,'Carrier Name Rename'!B:B)</f>
        <v>Mesa Airlines Inc.</v>
      </c>
      <c r="E2615" t="s">
        <v>23</v>
      </c>
      <c r="F2615" t="s">
        <v>24</v>
      </c>
      <c r="G2615">
        <v>4</v>
      </c>
      <c r="H2615">
        <v>3</v>
      </c>
      <c r="I2615">
        <v>1</v>
      </c>
      <c r="J2615">
        <v>0</v>
      </c>
      <c r="K2615">
        <v>2</v>
      </c>
      <c r="L2615">
        <v>0</v>
      </c>
      <c r="M2615">
        <v>0</v>
      </c>
      <c r="N2615">
        <v>0</v>
      </c>
      <c r="O2615">
        <v>0</v>
      </c>
      <c r="P2615">
        <v>53</v>
      </c>
      <c r="Q2615">
        <v>19</v>
      </c>
      <c r="R2615">
        <v>0</v>
      </c>
      <c r="S2615">
        <v>34</v>
      </c>
      <c r="T2615">
        <v>0</v>
      </c>
      <c r="U2615">
        <v>0</v>
      </c>
      <c r="V2615" s="1">
        <f t="shared" si="120"/>
        <v>0.75</v>
      </c>
      <c r="W2615" s="1">
        <f t="shared" si="121"/>
        <v>0</v>
      </c>
      <c r="X2615" s="1">
        <f t="shared" si="122"/>
        <v>0</v>
      </c>
    </row>
    <row r="2616" spans="1:24" x14ac:dyDescent="0.25">
      <c r="A2616">
        <v>2006</v>
      </c>
      <c r="B2616">
        <v>9</v>
      </c>
      <c r="C2616" t="s">
        <v>31</v>
      </c>
      <c r="D2616" t="str">
        <f>_xlfn.XLOOKUP(C2616,'Carrier Name Rename'!A:A,'Carrier Name Rename'!B:B)</f>
        <v>American Airlines Inc.</v>
      </c>
      <c r="E2616" t="s">
        <v>23</v>
      </c>
      <c r="F2616" t="s">
        <v>24</v>
      </c>
      <c r="G2616">
        <v>504</v>
      </c>
      <c r="H2616">
        <v>104</v>
      </c>
      <c r="I2616">
        <v>32.94</v>
      </c>
      <c r="J2616">
        <v>9.0500000000000007</v>
      </c>
      <c r="K2616">
        <v>21.65</v>
      </c>
      <c r="L2616">
        <v>0</v>
      </c>
      <c r="M2616">
        <v>40.36</v>
      </c>
      <c r="N2616">
        <v>1</v>
      </c>
      <c r="O2616">
        <v>1</v>
      </c>
      <c r="P2616">
        <v>7317</v>
      </c>
      <c r="Q2616">
        <v>1850</v>
      </c>
      <c r="R2616">
        <v>800</v>
      </c>
      <c r="S2616">
        <v>1606</v>
      </c>
      <c r="T2616">
        <v>0</v>
      </c>
      <c r="U2616">
        <v>3061</v>
      </c>
      <c r="V2616" s="1">
        <f t="shared" si="120"/>
        <v>0.20630000000000001</v>
      </c>
      <c r="W2616" s="1">
        <f t="shared" si="121"/>
        <v>2E-3</v>
      </c>
      <c r="X2616" s="1">
        <f t="shared" si="122"/>
        <v>2E-3</v>
      </c>
    </row>
    <row r="2617" spans="1:24" x14ac:dyDescent="0.25">
      <c r="A2617">
        <v>2006</v>
      </c>
      <c r="B2617">
        <v>9</v>
      </c>
      <c r="C2617" t="s">
        <v>33</v>
      </c>
      <c r="D2617" t="str">
        <f>_xlfn.XLOOKUP(C2617,'Carrier Name Rename'!A:A,'Carrier Name Rename'!B:B)</f>
        <v>Alaska Airlines Inc.</v>
      </c>
      <c r="E2617" t="s">
        <v>23</v>
      </c>
      <c r="F2617" t="s">
        <v>24</v>
      </c>
      <c r="G2617">
        <v>4226</v>
      </c>
      <c r="H2617">
        <v>851</v>
      </c>
      <c r="I2617">
        <v>199.95</v>
      </c>
      <c r="J2617">
        <v>3.74</v>
      </c>
      <c r="K2617">
        <v>291.45</v>
      </c>
      <c r="L2617">
        <v>5.12</v>
      </c>
      <c r="M2617">
        <v>350.74</v>
      </c>
      <c r="N2617">
        <v>51</v>
      </c>
      <c r="O2617">
        <v>6</v>
      </c>
      <c r="P2617">
        <v>44135</v>
      </c>
      <c r="Q2617">
        <v>13395</v>
      </c>
      <c r="R2617">
        <v>145</v>
      </c>
      <c r="S2617">
        <v>8533</v>
      </c>
      <c r="T2617">
        <v>172</v>
      </c>
      <c r="U2617">
        <v>21890</v>
      </c>
      <c r="V2617" s="1">
        <f t="shared" si="120"/>
        <v>0.2014</v>
      </c>
      <c r="W2617" s="1">
        <f t="shared" si="121"/>
        <v>1.21E-2</v>
      </c>
      <c r="X2617" s="1">
        <f t="shared" si="122"/>
        <v>1.4E-3</v>
      </c>
    </row>
    <row r="2618" spans="1:24" x14ac:dyDescent="0.25">
      <c r="A2618">
        <v>2006</v>
      </c>
      <c r="B2618">
        <v>9</v>
      </c>
      <c r="C2618" t="s">
        <v>35</v>
      </c>
      <c r="D2618" t="str">
        <f>_xlfn.XLOOKUP(C2618,'Carrier Name Rename'!A:A,'Carrier Name Rename'!B:B)</f>
        <v>JetBlue Airways</v>
      </c>
      <c r="E2618" t="s">
        <v>23</v>
      </c>
      <c r="F2618" t="s">
        <v>24</v>
      </c>
      <c r="G2618">
        <v>65</v>
      </c>
      <c r="H2618">
        <v>12</v>
      </c>
      <c r="I2618">
        <v>5.2</v>
      </c>
      <c r="J2618">
        <v>0</v>
      </c>
      <c r="K2618">
        <v>5.88</v>
      </c>
      <c r="L2618">
        <v>0</v>
      </c>
      <c r="M2618">
        <v>0.93</v>
      </c>
      <c r="N2618">
        <v>0</v>
      </c>
      <c r="O2618">
        <v>0</v>
      </c>
      <c r="P2618">
        <v>735</v>
      </c>
      <c r="Q2618">
        <v>356</v>
      </c>
      <c r="R2618">
        <v>0</v>
      </c>
      <c r="S2618">
        <v>238</v>
      </c>
      <c r="T2618">
        <v>0</v>
      </c>
      <c r="U2618">
        <v>141</v>
      </c>
      <c r="V2618" s="1">
        <f t="shared" si="120"/>
        <v>0.18459999999999999</v>
      </c>
      <c r="W2618" s="1">
        <f t="shared" si="121"/>
        <v>0</v>
      </c>
      <c r="X2618" s="1">
        <f t="shared" si="122"/>
        <v>0</v>
      </c>
    </row>
    <row r="2619" spans="1:24" x14ac:dyDescent="0.25">
      <c r="A2619">
        <v>2006</v>
      </c>
      <c r="B2619">
        <v>9</v>
      </c>
      <c r="C2619" t="s">
        <v>65</v>
      </c>
      <c r="D2619" t="str">
        <f>_xlfn.XLOOKUP(C2619,'Carrier Name Rename'!A:A,'Carrier Name Rename'!B:B)</f>
        <v>Continental Air Lines Inc.</v>
      </c>
      <c r="E2619" t="s">
        <v>23</v>
      </c>
      <c r="F2619" t="s">
        <v>24</v>
      </c>
      <c r="G2619">
        <v>363</v>
      </c>
      <c r="H2619">
        <v>68</v>
      </c>
      <c r="I2619">
        <v>15.6</v>
      </c>
      <c r="J2619">
        <v>1.96</v>
      </c>
      <c r="K2619">
        <v>37.86</v>
      </c>
      <c r="L2619">
        <v>2.06</v>
      </c>
      <c r="M2619">
        <v>10.52</v>
      </c>
      <c r="N2619">
        <v>0</v>
      </c>
      <c r="O2619">
        <v>0</v>
      </c>
      <c r="P2619">
        <v>2704</v>
      </c>
      <c r="Q2619">
        <v>622</v>
      </c>
      <c r="R2619">
        <v>80</v>
      </c>
      <c r="S2619">
        <v>1248</v>
      </c>
      <c r="T2619">
        <v>45</v>
      </c>
      <c r="U2619">
        <v>709</v>
      </c>
      <c r="V2619" s="1">
        <f t="shared" si="120"/>
        <v>0.18729999999999999</v>
      </c>
      <c r="W2619" s="1">
        <f t="shared" si="121"/>
        <v>0</v>
      </c>
      <c r="X2619" s="1">
        <f t="shared" si="122"/>
        <v>0</v>
      </c>
    </row>
    <row r="2620" spans="1:24" x14ac:dyDescent="0.25">
      <c r="A2620">
        <v>2006</v>
      </c>
      <c r="B2620">
        <v>9</v>
      </c>
      <c r="C2620" t="s">
        <v>37</v>
      </c>
      <c r="D2620" t="str">
        <f>_xlfn.XLOOKUP(C2620,'Carrier Name Rename'!A:A,'Carrier Name Rename'!B:B)</f>
        <v>Delta Air Lines Inc.</v>
      </c>
      <c r="E2620" t="s">
        <v>23</v>
      </c>
      <c r="F2620" t="s">
        <v>24</v>
      </c>
      <c r="G2620">
        <v>410</v>
      </c>
      <c r="H2620">
        <v>134</v>
      </c>
      <c r="I2620">
        <v>52.82</v>
      </c>
      <c r="J2620">
        <v>0.64</v>
      </c>
      <c r="K2620">
        <v>56.98</v>
      </c>
      <c r="L2620">
        <v>0.37</v>
      </c>
      <c r="M2620">
        <v>23.19</v>
      </c>
      <c r="N2620">
        <v>0</v>
      </c>
      <c r="O2620">
        <v>0</v>
      </c>
      <c r="P2620">
        <v>6220</v>
      </c>
      <c r="Q2620">
        <v>2754</v>
      </c>
      <c r="R2620">
        <v>32</v>
      </c>
      <c r="S2620">
        <v>1959</v>
      </c>
      <c r="T2620">
        <v>30</v>
      </c>
      <c r="U2620">
        <v>1445</v>
      </c>
      <c r="V2620" s="1">
        <f t="shared" si="120"/>
        <v>0.32679999999999998</v>
      </c>
      <c r="W2620" s="1">
        <f t="shared" si="121"/>
        <v>0</v>
      </c>
      <c r="X2620" s="1">
        <f t="shared" si="122"/>
        <v>0</v>
      </c>
    </row>
    <row r="2621" spans="1:24" x14ac:dyDescent="0.25">
      <c r="A2621">
        <v>2006</v>
      </c>
      <c r="B2621">
        <v>9</v>
      </c>
      <c r="C2621" t="s">
        <v>39</v>
      </c>
      <c r="D2621" t="str">
        <f>_xlfn.XLOOKUP(C2621,'Carrier Name Rename'!A:A,'Carrier Name Rename'!B:B)</f>
        <v>Frontier Airlines Inc.</v>
      </c>
      <c r="E2621" t="s">
        <v>23</v>
      </c>
      <c r="F2621" t="s">
        <v>24</v>
      </c>
      <c r="G2621">
        <v>117</v>
      </c>
      <c r="H2621">
        <v>13</v>
      </c>
      <c r="I2621">
        <v>3.94</v>
      </c>
      <c r="J2621">
        <v>0.92</v>
      </c>
      <c r="K2621">
        <v>6.39</v>
      </c>
      <c r="L2621">
        <v>0</v>
      </c>
      <c r="M2621">
        <v>1.76</v>
      </c>
      <c r="N2621">
        <v>0</v>
      </c>
      <c r="O2621">
        <v>0</v>
      </c>
      <c r="P2621">
        <v>430</v>
      </c>
      <c r="Q2621">
        <v>133</v>
      </c>
      <c r="R2621">
        <v>34</v>
      </c>
      <c r="S2621">
        <v>212</v>
      </c>
      <c r="T2621">
        <v>0</v>
      </c>
      <c r="U2621">
        <v>51</v>
      </c>
      <c r="V2621" s="1">
        <f t="shared" si="120"/>
        <v>0.1111</v>
      </c>
      <c r="W2621" s="1">
        <f t="shared" si="121"/>
        <v>0</v>
      </c>
      <c r="X2621" s="1">
        <f t="shared" si="122"/>
        <v>0</v>
      </c>
    </row>
    <row r="2622" spans="1:24" x14ac:dyDescent="0.25">
      <c r="A2622">
        <v>2006</v>
      </c>
      <c r="B2622">
        <v>9</v>
      </c>
      <c r="C2622" t="s">
        <v>63</v>
      </c>
      <c r="D2622" t="str">
        <f>_xlfn.XLOOKUP(C2622,'Carrier Name Rename'!A:A,'Carrier Name Rename'!B:B)</f>
        <v>AirTran Airways Corporation</v>
      </c>
      <c r="E2622" t="s">
        <v>23</v>
      </c>
      <c r="F2622" t="s">
        <v>24</v>
      </c>
      <c r="G2622">
        <v>14</v>
      </c>
      <c r="H2622">
        <v>3</v>
      </c>
      <c r="I2622">
        <v>0.94</v>
      </c>
      <c r="J2622">
        <v>0</v>
      </c>
      <c r="K2622">
        <v>0.06</v>
      </c>
      <c r="L2622">
        <v>0</v>
      </c>
      <c r="M2622">
        <v>2</v>
      </c>
      <c r="N2622">
        <v>0</v>
      </c>
      <c r="O2622">
        <v>0</v>
      </c>
      <c r="P2622">
        <v>96</v>
      </c>
      <c r="Q2622">
        <v>29</v>
      </c>
      <c r="R2622">
        <v>0</v>
      </c>
      <c r="S2622">
        <v>2</v>
      </c>
      <c r="T2622">
        <v>0</v>
      </c>
      <c r="U2622">
        <v>65</v>
      </c>
      <c r="V2622" s="1">
        <f t="shared" si="120"/>
        <v>0.21429999999999999</v>
      </c>
      <c r="W2622" s="1">
        <f t="shared" si="121"/>
        <v>0</v>
      </c>
      <c r="X2622" s="1">
        <f t="shared" si="122"/>
        <v>0</v>
      </c>
    </row>
    <row r="2623" spans="1:24" x14ac:dyDescent="0.25">
      <c r="A2623">
        <v>2006</v>
      </c>
      <c r="B2623">
        <v>9</v>
      </c>
      <c r="C2623" t="s">
        <v>21</v>
      </c>
      <c r="D2623" t="str">
        <f>_xlfn.XLOOKUP(C2623,'Carrier Name Rename'!A:A,'Carrier Name Rename'!B:B)</f>
        <v>Hawaiian Airlines Inc.</v>
      </c>
      <c r="E2623" t="s">
        <v>23</v>
      </c>
      <c r="F2623" t="s">
        <v>24</v>
      </c>
      <c r="G2623">
        <v>47</v>
      </c>
      <c r="H2623">
        <v>5</v>
      </c>
      <c r="I2623">
        <v>4.53</v>
      </c>
      <c r="J2623">
        <v>0</v>
      </c>
      <c r="K2623">
        <v>0</v>
      </c>
      <c r="L2623">
        <v>0</v>
      </c>
      <c r="M2623">
        <v>0.47</v>
      </c>
      <c r="N2623">
        <v>0</v>
      </c>
      <c r="O2623">
        <v>0</v>
      </c>
      <c r="P2623">
        <v>197</v>
      </c>
      <c r="Q2623">
        <v>182</v>
      </c>
      <c r="R2623">
        <v>0</v>
      </c>
      <c r="S2623">
        <v>0</v>
      </c>
      <c r="T2623">
        <v>0</v>
      </c>
      <c r="U2623">
        <v>15</v>
      </c>
      <c r="V2623" s="1">
        <f t="shared" si="120"/>
        <v>0.10639999999999999</v>
      </c>
      <c r="W2623" s="1">
        <f t="shared" si="121"/>
        <v>0</v>
      </c>
      <c r="X2623" s="1">
        <f t="shared" si="122"/>
        <v>0</v>
      </c>
    </row>
    <row r="2624" spans="1:24" x14ac:dyDescent="0.25">
      <c r="A2624">
        <v>2006</v>
      </c>
      <c r="B2624">
        <v>9</v>
      </c>
      <c r="C2624" t="s">
        <v>67</v>
      </c>
      <c r="D2624" t="str">
        <f>_xlfn.XLOOKUP(C2624,'Carrier Name Rename'!A:A,'Carrier Name Rename'!B:B)</f>
        <v>Northwest Airlines Inc.</v>
      </c>
      <c r="E2624" t="s">
        <v>23</v>
      </c>
      <c r="F2624" t="s">
        <v>24</v>
      </c>
      <c r="G2624">
        <v>390</v>
      </c>
      <c r="H2624">
        <v>70</v>
      </c>
      <c r="I2624">
        <v>33.94</v>
      </c>
      <c r="J2624">
        <v>0.21</v>
      </c>
      <c r="K2624">
        <v>27.37</v>
      </c>
      <c r="L2624">
        <v>0</v>
      </c>
      <c r="M2624">
        <v>8.49</v>
      </c>
      <c r="N2624">
        <v>1</v>
      </c>
      <c r="O2624">
        <v>0</v>
      </c>
      <c r="P2624">
        <v>2706</v>
      </c>
      <c r="Q2624">
        <v>1640</v>
      </c>
      <c r="R2624">
        <v>21</v>
      </c>
      <c r="S2624">
        <v>624</v>
      </c>
      <c r="T2624">
        <v>0</v>
      </c>
      <c r="U2624">
        <v>421</v>
      </c>
      <c r="V2624" s="1">
        <f t="shared" si="120"/>
        <v>0.17949999999999999</v>
      </c>
      <c r="W2624" s="1">
        <f t="shared" si="121"/>
        <v>2.5999999999999999E-3</v>
      </c>
      <c r="X2624" s="1">
        <f t="shared" si="122"/>
        <v>0</v>
      </c>
    </row>
    <row r="2625" spans="1:24" x14ac:dyDescent="0.25">
      <c r="A2625">
        <v>2006</v>
      </c>
      <c r="B2625">
        <v>9</v>
      </c>
      <c r="C2625" t="s">
        <v>27</v>
      </c>
      <c r="D2625" t="str">
        <f>_xlfn.XLOOKUP(C2625,'Carrier Name Rename'!A:A,'Carrier Name Rename'!B:B)</f>
        <v>SkyWest Airlines Inc.</v>
      </c>
      <c r="E2625" t="s">
        <v>23</v>
      </c>
      <c r="F2625" t="s">
        <v>24</v>
      </c>
      <c r="G2625">
        <v>411</v>
      </c>
      <c r="H2625">
        <v>35</v>
      </c>
      <c r="I2625">
        <v>25</v>
      </c>
      <c r="J2625">
        <v>2</v>
      </c>
      <c r="K2625">
        <v>0</v>
      </c>
      <c r="L2625">
        <v>0</v>
      </c>
      <c r="M2625">
        <v>8</v>
      </c>
      <c r="N2625">
        <v>5</v>
      </c>
      <c r="O2625">
        <v>0</v>
      </c>
      <c r="P2625">
        <v>1382</v>
      </c>
      <c r="Q2625">
        <v>610</v>
      </c>
      <c r="R2625">
        <v>261</v>
      </c>
      <c r="S2625">
        <v>0</v>
      </c>
      <c r="T2625">
        <v>0</v>
      </c>
      <c r="U2625">
        <v>511</v>
      </c>
      <c r="V2625" s="1">
        <f t="shared" si="120"/>
        <v>8.5199999999999998E-2</v>
      </c>
      <c r="W2625" s="1">
        <f t="shared" si="121"/>
        <v>1.2200000000000001E-2</v>
      </c>
      <c r="X2625" s="1">
        <f t="shared" si="122"/>
        <v>0</v>
      </c>
    </row>
    <row r="2626" spans="1:24" x14ac:dyDescent="0.25">
      <c r="A2626">
        <v>2006</v>
      </c>
      <c r="B2626">
        <v>9</v>
      </c>
      <c r="C2626" t="s">
        <v>41</v>
      </c>
      <c r="D2626" t="str">
        <f>_xlfn.XLOOKUP(C2626,'Carrier Name Rename'!A:A,'Carrier Name Rename'!B:B)</f>
        <v>United Air Lines Inc.</v>
      </c>
      <c r="E2626" t="s">
        <v>23</v>
      </c>
      <c r="F2626" t="s">
        <v>24</v>
      </c>
      <c r="G2626">
        <v>897</v>
      </c>
      <c r="H2626">
        <v>171</v>
      </c>
      <c r="I2626">
        <v>44.34</v>
      </c>
      <c r="J2626">
        <v>4.7</v>
      </c>
      <c r="K2626">
        <v>35.6</v>
      </c>
      <c r="L2626">
        <v>0</v>
      </c>
      <c r="M2626">
        <v>86.37</v>
      </c>
      <c r="N2626">
        <v>15</v>
      </c>
      <c r="O2626">
        <v>0</v>
      </c>
      <c r="P2626">
        <v>9772</v>
      </c>
      <c r="Q2626">
        <v>2728</v>
      </c>
      <c r="R2626">
        <v>482</v>
      </c>
      <c r="S2626">
        <v>1078</v>
      </c>
      <c r="T2626">
        <v>0</v>
      </c>
      <c r="U2626">
        <v>5484</v>
      </c>
      <c r="V2626" s="1">
        <f t="shared" si="120"/>
        <v>0.19059999999999999</v>
      </c>
      <c r="W2626" s="1">
        <f t="shared" si="121"/>
        <v>1.67E-2</v>
      </c>
      <c r="X2626" s="1">
        <f t="shared" si="122"/>
        <v>0</v>
      </c>
    </row>
    <row r="2627" spans="1:24" x14ac:dyDescent="0.25">
      <c r="A2627">
        <v>2006</v>
      </c>
      <c r="B2627">
        <v>9</v>
      </c>
      <c r="C2627" t="s">
        <v>61</v>
      </c>
      <c r="D2627" t="str">
        <f>_xlfn.XLOOKUP(C2627,'Carrier Name Rename'!A:A,'Carrier Name Rename'!B:B)</f>
        <v>US Airways Inc.</v>
      </c>
      <c r="E2627" t="s">
        <v>23</v>
      </c>
      <c r="F2627" t="s">
        <v>24</v>
      </c>
      <c r="G2627">
        <v>392</v>
      </c>
      <c r="H2627">
        <v>109</v>
      </c>
      <c r="I2627">
        <v>34.24</v>
      </c>
      <c r="J2627">
        <v>0.76</v>
      </c>
      <c r="K2627">
        <v>53.32</v>
      </c>
      <c r="L2627">
        <v>0.47</v>
      </c>
      <c r="M2627">
        <v>20.21</v>
      </c>
      <c r="N2627">
        <v>0</v>
      </c>
      <c r="O2627">
        <v>1</v>
      </c>
      <c r="P2627">
        <v>5175</v>
      </c>
      <c r="Q2627">
        <v>1705</v>
      </c>
      <c r="R2627">
        <v>65</v>
      </c>
      <c r="S2627">
        <v>1772</v>
      </c>
      <c r="T2627">
        <v>14</v>
      </c>
      <c r="U2627">
        <v>1619</v>
      </c>
      <c r="V2627" s="1">
        <f t="shared" ref="V2627:V2690" si="123">ROUND(H2627/G2627,4)</f>
        <v>0.27810000000000001</v>
      </c>
      <c r="W2627" s="1">
        <f t="shared" ref="W2627:W2690" si="124">ROUND(N2627/G2627,4)</f>
        <v>0</v>
      </c>
      <c r="X2627" s="1">
        <f t="shared" ref="X2627:X2690" si="125">ROUND(O2627/G2627,4)</f>
        <v>2.5999999999999999E-3</v>
      </c>
    </row>
    <row r="2628" spans="1:24" x14ac:dyDescent="0.25">
      <c r="A2628">
        <v>2006</v>
      </c>
      <c r="B2628">
        <v>9</v>
      </c>
      <c r="C2628" t="s">
        <v>43</v>
      </c>
      <c r="D2628" t="str">
        <f>_xlfn.XLOOKUP(C2628,'Carrier Name Rename'!A:A,'Carrier Name Rename'!B:B)</f>
        <v>Southwest Airlines Co.</v>
      </c>
      <c r="E2628" t="s">
        <v>23</v>
      </c>
      <c r="F2628" t="s">
        <v>24</v>
      </c>
      <c r="G2628">
        <v>1156</v>
      </c>
      <c r="H2628">
        <v>182</v>
      </c>
      <c r="I2628">
        <v>46.46</v>
      </c>
      <c r="J2628">
        <v>1.07</v>
      </c>
      <c r="K2628">
        <v>34.18</v>
      </c>
      <c r="L2628">
        <v>1.76</v>
      </c>
      <c r="M2628">
        <v>98.53</v>
      </c>
      <c r="N2628">
        <v>1</v>
      </c>
      <c r="O2628">
        <v>0</v>
      </c>
      <c r="P2628">
        <v>8228</v>
      </c>
      <c r="Q2628">
        <v>2341</v>
      </c>
      <c r="R2628">
        <v>49</v>
      </c>
      <c r="S2628">
        <v>1036</v>
      </c>
      <c r="T2628">
        <v>74</v>
      </c>
      <c r="U2628">
        <v>4728</v>
      </c>
      <c r="V2628" s="1">
        <f t="shared" si="123"/>
        <v>0.15740000000000001</v>
      </c>
      <c r="W2628" s="1">
        <f t="shared" si="124"/>
        <v>8.9999999999999998E-4</v>
      </c>
      <c r="X2628" s="1">
        <f t="shared" si="125"/>
        <v>0</v>
      </c>
    </row>
    <row r="2629" spans="1:24" x14ac:dyDescent="0.25">
      <c r="A2629">
        <v>2006</v>
      </c>
      <c r="B2629">
        <v>9</v>
      </c>
      <c r="C2629" t="s">
        <v>71</v>
      </c>
      <c r="D2629" t="str">
        <f>_xlfn.XLOOKUP(C2629,'Carrier Name Rename'!A:A,'Carrier Name Rename'!B:B)</f>
        <v>Mesa Airlines Inc.</v>
      </c>
      <c r="E2629" t="s">
        <v>23</v>
      </c>
      <c r="F2629" t="s">
        <v>24</v>
      </c>
      <c r="G2629">
        <v>10</v>
      </c>
      <c r="H2629">
        <v>3</v>
      </c>
      <c r="I2629">
        <v>1</v>
      </c>
      <c r="J2629">
        <v>0</v>
      </c>
      <c r="K2629">
        <v>2</v>
      </c>
      <c r="L2629">
        <v>0</v>
      </c>
      <c r="M2629">
        <v>0</v>
      </c>
      <c r="N2629">
        <v>0</v>
      </c>
      <c r="O2629">
        <v>0</v>
      </c>
      <c r="P2629">
        <v>107</v>
      </c>
      <c r="Q2629">
        <v>24</v>
      </c>
      <c r="R2629">
        <v>0</v>
      </c>
      <c r="S2629">
        <v>83</v>
      </c>
      <c r="T2629">
        <v>0</v>
      </c>
      <c r="U2629">
        <v>0</v>
      </c>
      <c r="V2629" s="1">
        <f t="shared" si="123"/>
        <v>0.3</v>
      </c>
      <c r="W2629" s="1">
        <f t="shared" si="124"/>
        <v>0</v>
      </c>
      <c r="X2629" s="1">
        <f t="shared" si="125"/>
        <v>0</v>
      </c>
    </row>
    <row r="2630" spans="1:24" x14ac:dyDescent="0.25">
      <c r="A2630">
        <v>2006</v>
      </c>
      <c r="B2630">
        <v>8</v>
      </c>
      <c r="C2630" t="s">
        <v>31</v>
      </c>
      <c r="D2630" t="str">
        <f>_xlfn.XLOOKUP(C2630,'Carrier Name Rename'!A:A,'Carrier Name Rename'!B:B)</f>
        <v>American Airlines Inc.</v>
      </c>
      <c r="E2630" t="s">
        <v>23</v>
      </c>
      <c r="F2630" t="s">
        <v>24</v>
      </c>
      <c r="G2630">
        <v>588</v>
      </c>
      <c r="H2630">
        <v>181</v>
      </c>
      <c r="I2630">
        <v>63.37</v>
      </c>
      <c r="J2630">
        <v>15.19</v>
      </c>
      <c r="K2630">
        <v>54.18</v>
      </c>
      <c r="L2630">
        <v>3.06</v>
      </c>
      <c r="M2630">
        <v>45.2</v>
      </c>
      <c r="N2630">
        <v>4</v>
      </c>
      <c r="O2630">
        <v>0</v>
      </c>
      <c r="P2630">
        <v>9852</v>
      </c>
      <c r="Q2630">
        <v>3529</v>
      </c>
      <c r="R2630">
        <v>863</v>
      </c>
      <c r="S2630">
        <v>2185</v>
      </c>
      <c r="T2630">
        <v>148</v>
      </c>
      <c r="U2630">
        <v>3127</v>
      </c>
      <c r="V2630" s="1">
        <f t="shared" si="123"/>
        <v>0.30780000000000002</v>
      </c>
      <c r="W2630" s="1">
        <f t="shared" si="124"/>
        <v>6.7999999999999996E-3</v>
      </c>
      <c r="X2630" s="1">
        <f t="shared" si="125"/>
        <v>0</v>
      </c>
    </row>
    <row r="2631" spans="1:24" x14ac:dyDescent="0.25">
      <c r="A2631">
        <v>2006</v>
      </c>
      <c r="B2631">
        <v>8</v>
      </c>
      <c r="C2631" t="s">
        <v>33</v>
      </c>
      <c r="D2631" t="str">
        <f>_xlfn.XLOOKUP(C2631,'Carrier Name Rename'!A:A,'Carrier Name Rename'!B:B)</f>
        <v>Alaska Airlines Inc.</v>
      </c>
      <c r="E2631" t="s">
        <v>23</v>
      </c>
      <c r="F2631" t="s">
        <v>24</v>
      </c>
      <c r="G2631">
        <v>4618</v>
      </c>
      <c r="H2631">
        <v>1297</v>
      </c>
      <c r="I2631">
        <v>271.77</v>
      </c>
      <c r="J2631">
        <v>14.03</v>
      </c>
      <c r="K2631">
        <v>303.38</v>
      </c>
      <c r="L2631">
        <v>31.37</v>
      </c>
      <c r="M2631">
        <v>676.44</v>
      </c>
      <c r="N2631">
        <v>51</v>
      </c>
      <c r="O2631">
        <v>6</v>
      </c>
      <c r="P2631">
        <v>63389</v>
      </c>
      <c r="Q2631">
        <v>14287</v>
      </c>
      <c r="R2631">
        <v>718</v>
      </c>
      <c r="S2631">
        <v>9726</v>
      </c>
      <c r="T2631">
        <v>1318</v>
      </c>
      <c r="U2631">
        <v>37340</v>
      </c>
      <c r="V2631" s="1">
        <f t="shared" si="123"/>
        <v>0.28089999999999998</v>
      </c>
      <c r="W2631" s="1">
        <f t="shared" si="124"/>
        <v>1.0999999999999999E-2</v>
      </c>
      <c r="X2631" s="1">
        <f t="shared" si="125"/>
        <v>1.2999999999999999E-3</v>
      </c>
    </row>
    <row r="2632" spans="1:24" x14ac:dyDescent="0.25">
      <c r="A2632">
        <v>2006</v>
      </c>
      <c r="B2632">
        <v>8</v>
      </c>
      <c r="C2632" t="s">
        <v>35</v>
      </c>
      <c r="D2632" t="str">
        <f>_xlfn.XLOOKUP(C2632,'Carrier Name Rename'!A:A,'Carrier Name Rename'!B:B)</f>
        <v>JetBlue Airways</v>
      </c>
      <c r="E2632" t="s">
        <v>23</v>
      </c>
      <c r="F2632" t="s">
        <v>24</v>
      </c>
      <c r="G2632">
        <v>93</v>
      </c>
      <c r="H2632">
        <v>46</v>
      </c>
      <c r="I2632">
        <v>8.1300000000000008</v>
      </c>
      <c r="J2632">
        <v>1.04</v>
      </c>
      <c r="K2632">
        <v>24.35</v>
      </c>
      <c r="L2632">
        <v>0.27</v>
      </c>
      <c r="M2632">
        <v>12.21</v>
      </c>
      <c r="N2632">
        <v>0</v>
      </c>
      <c r="O2632">
        <v>2</v>
      </c>
      <c r="P2632">
        <v>2530</v>
      </c>
      <c r="Q2632">
        <v>439</v>
      </c>
      <c r="R2632">
        <v>329</v>
      </c>
      <c r="S2632">
        <v>936</v>
      </c>
      <c r="T2632">
        <v>6</v>
      </c>
      <c r="U2632">
        <v>820</v>
      </c>
      <c r="V2632" s="1">
        <f t="shared" si="123"/>
        <v>0.49459999999999998</v>
      </c>
      <c r="W2632" s="1">
        <f t="shared" si="124"/>
        <v>0</v>
      </c>
      <c r="X2632" s="1">
        <f t="shared" si="125"/>
        <v>2.1499999999999998E-2</v>
      </c>
    </row>
    <row r="2633" spans="1:24" x14ac:dyDescent="0.25">
      <c r="A2633">
        <v>2006</v>
      </c>
      <c r="B2633">
        <v>8</v>
      </c>
      <c r="C2633" t="s">
        <v>65</v>
      </c>
      <c r="D2633" t="str">
        <f>_xlfn.XLOOKUP(C2633,'Carrier Name Rename'!A:A,'Carrier Name Rename'!B:B)</f>
        <v>Continental Air Lines Inc.</v>
      </c>
      <c r="E2633" t="s">
        <v>23</v>
      </c>
      <c r="F2633" t="s">
        <v>24</v>
      </c>
      <c r="G2633">
        <v>501</v>
      </c>
      <c r="H2633">
        <v>154</v>
      </c>
      <c r="I2633">
        <v>35.92</v>
      </c>
      <c r="J2633">
        <v>2.75</v>
      </c>
      <c r="K2633">
        <v>70.17</v>
      </c>
      <c r="L2633">
        <v>9.4499999999999993</v>
      </c>
      <c r="M2633">
        <v>35.71</v>
      </c>
      <c r="N2633">
        <v>0</v>
      </c>
      <c r="O2633">
        <v>0</v>
      </c>
      <c r="P2633">
        <v>6500</v>
      </c>
      <c r="Q2633">
        <v>1798</v>
      </c>
      <c r="R2633">
        <v>91</v>
      </c>
      <c r="S2633">
        <v>2438</v>
      </c>
      <c r="T2633">
        <v>424</v>
      </c>
      <c r="U2633">
        <v>1749</v>
      </c>
      <c r="V2633" s="1">
        <f t="shared" si="123"/>
        <v>0.30740000000000001</v>
      </c>
      <c r="W2633" s="1">
        <f t="shared" si="124"/>
        <v>0</v>
      </c>
      <c r="X2633" s="1">
        <f t="shared" si="125"/>
        <v>0</v>
      </c>
    </row>
    <row r="2634" spans="1:24" x14ac:dyDescent="0.25">
      <c r="A2634">
        <v>2006</v>
      </c>
      <c r="B2634">
        <v>8</v>
      </c>
      <c r="C2634" t="s">
        <v>37</v>
      </c>
      <c r="D2634" t="str">
        <f>_xlfn.XLOOKUP(C2634,'Carrier Name Rename'!A:A,'Carrier Name Rename'!B:B)</f>
        <v>Delta Air Lines Inc.</v>
      </c>
      <c r="E2634" t="s">
        <v>23</v>
      </c>
      <c r="F2634" t="s">
        <v>24</v>
      </c>
      <c r="G2634">
        <v>535</v>
      </c>
      <c r="H2634">
        <v>164</v>
      </c>
      <c r="I2634">
        <v>42.74</v>
      </c>
      <c r="J2634">
        <v>5.33</v>
      </c>
      <c r="K2634">
        <v>92.27</v>
      </c>
      <c r="L2634">
        <v>0</v>
      </c>
      <c r="M2634">
        <v>23.66</v>
      </c>
      <c r="N2634">
        <v>1</v>
      </c>
      <c r="O2634">
        <v>0</v>
      </c>
      <c r="P2634">
        <v>8275</v>
      </c>
      <c r="Q2634">
        <v>2179</v>
      </c>
      <c r="R2634">
        <v>401</v>
      </c>
      <c r="S2634">
        <v>4072</v>
      </c>
      <c r="T2634">
        <v>0</v>
      </c>
      <c r="U2634">
        <v>1623</v>
      </c>
      <c r="V2634" s="1">
        <f t="shared" si="123"/>
        <v>0.30649999999999999</v>
      </c>
      <c r="W2634" s="1">
        <f t="shared" si="124"/>
        <v>1.9E-3</v>
      </c>
      <c r="X2634" s="1">
        <f t="shared" si="125"/>
        <v>0</v>
      </c>
    </row>
    <row r="2635" spans="1:24" x14ac:dyDescent="0.25">
      <c r="A2635">
        <v>2006</v>
      </c>
      <c r="B2635">
        <v>8</v>
      </c>
      <c r="C2635" t="s">
        <v>39</v>
      </c>
      <c r="D2635" t="str">
        <f>_xlfn.XLOOKUP(C2635,'Carrier Name Rename'!A:A,'Carrier Name Rename'!B:B)</f>
        <v>Frontier Airlines Inc.</v>
      </c>
      <c r="E2635" t="s">
        <v>23</v>
      </c>
      <c r="F2635" t="s">
        <v>24</v>
      </c>
      <c r="G2635">
        <v>139</v>
      </c>
      <c r="H2635">
        <v>31</v>
      </c>
      <c r="I2635">
        <v>12.04</v>
      </c>
      <c r="J2635">
        <v>1.76</v>
      </c>
      <c r="K2635">
        <v>12.07</v>
      </c>
      <c r="L2635">
        <v>0</v>
      </c>
      <c r="M2635">
        <v>5.13</v>
      </c>
      <c r="N2635">
        <v>0</v>
      </c>
      <c r="O2635">
        <v>0</v>
      </c>
      <c r="P2635">
        <v>1138</v>
      </c>
      <c r="Q2635">
        <v>380</v>
      </c>
      <c r="R2635">
        <v>135</v>
      </c>
      <c r="S2635">
        <v>419</v>
      </c>
      <c r="T2635">
        <v>0</v>
      </c>
      <c r="U2635">
        <v>204</v>
      </c>
      <c r="V2635" s="1">
        <f t="shared" si="123"/>
        <v>0.223</v>
      </c>
      <c r="W2635" s="1">
        <f t="shared" si="124"/>
        <v>0</v>
      </c>
      <c r="X2635" s="1">
        <f t="shared" si="125"/>
        <v>0</v>
      </c>
    </row>
    <row r="2636" spans="1:24" x14ac:dyDescent="0.25">
      <c r="A2636">
        <v>2006</v>
      </c>
      <c r="B2636">
        <v>8</v>
      </c>
      <c r="C2636" t="s">
        <v>63</v>
      </c>
      <c r="D2636" t="str">
        <f>_xlfn.XLOOKUP(C2636,'Carrier Name Rename'!A:A,'Carrier Name Rename'!B:B)</f>
        <v>AirTran Airways Corporation</v>
      </c>
      <c r="E2636" t="s">
        <v>23</v>
      </c>
      <c r="F2636" t="s">
        <v>24</v>
      </c>
      <c r="G2636">
        <v>87</v>
      </c>
      <c r="H2636">
        <v>50</v>
      </c>
      <c r="I2636">
        <v>19.309999999999999</v>
      </c>
      <c r="J2636">
        <v>1.56</v>
      </c>
      <c r="K2636">
        <v>18.88</v>
      </c>
      <c r="L2636">
        <v>0</v>
      </c>
      <c r="M2636">
        <v>10.24</v>
      </c>
      <c r="N2636">
        <v>0</v>
      </c>
      <c r="O2636">
        <v>0</v>
      </c>
      <c r="P2636">
        <v>2224</v>
      </c>
      <c r="Q2636">
        <v>729</v>
      </c>
      <c r="R2636">
        <v>203</v>
      </c>
      <c r="S2636">
        <v>761</v>
      </c>
      <c r="T2636">
        <v>0</v>
      </c>
      <c r="U2636">
        <v>531</v>
      </c>
      <c r="V2636" s="1">
        <f t="shared" si="123"/>
        <v>0.57469999999999999</v>
      </c>
      <c r="W2636" s="1">
        <f t="shared" si="124"/>
        <v>0</v>
      </c>
      <c r="X2636" s="1">
        <f t="shared" si="125"/>
        <v>0</v>
      </c>
    </row>
    <row r="2637" spans="1:24" x14ac:dyDescent="0.25">
      <c r="A2637">
        <v>2006</v>
      </c>
      <c r="B2637">
        <v>8</v>
      </c>
      <c r="C2637" t="s">
        <v>21</v>
      </c>
      <c r="D2637" t="str">
        <f>_xlfn.XLOOKUP(C2637,'Carrier Name Rename'!A:A,'Carrier Name Rename'!B:B)</f>
        <v>Hawaiian Airlines Inc.</v>
      </c>
      <c r="E2637" t="s">
        <v>23</v>
      </c>
      <c r="F2637" t="s">
        <v>24</v>
      </c>
      <c r="G2637">
        <v>49</v>
      </c>
      <c r="H2637">
        <v>10</v>
      </c>
      <c r="I2637">
        <v>6</v>
      </c>
      <c r="J2637">
        <v>0</v>
      </c>
      <c r="K2637">
        <v>0</v>
      </c>
      <c r="L2637">
        <v>0</v>
      </c>
      <c r="M2637">
        <v>4</v>
      </c>
      <c r="N2637">
        <v>0</v>
      </c>
      <c r="O2637">
        <v>0</v>
      </c>
      <c r="P2637">
        <v>769</v>
      </c>
      <c r="Q2637">
        <v>233</v>
      </c>
      <c r="R2637">
        <v>0</v>
      </c>
      <c r="S2637">
        <v>0</v>
      </c>
      <c r="T2637">
        <v>0</v>
      </c>
      <c r="U2637">
        <v>536</v>
      </c>
      <c r="V2637" s="1">
        <f t="shared" si="123"/>
        <v>0.2041</v>
      </c>
      <c r="W2637" s="1">
        <f t="shared" si="124"/>
        <v>0</v>
      </c>
      <c r="X2637" s="1">
        <f t="shared" si="125"/>
        <v>0</v>
      </c>
    </row>
    <row r="2638" spans="1:24" x14ac:dyDescent="0.25">
      <c r="A2638">
        <v>2006</v>
      </c>
      <c r="B2638">
        <v>8</v>
      </c>
      <c r="C2638" t="s">
        <v>67</v>
      </c>
      <c r="D2638" t="str">
        <f>_xlfn.XLOOKUP(C2638,'Carrier Name Rename'!A:A,'Carrier Name Rename'!B:B)</f>
        <v>Northwest Airlines Inc.</v>
      </c>
      <c r="E2638" t="s">
        <v>23</v>
      </c>
      <c r="F2638" t="s">
        <v>24</v>
      </c>
      <c r="G2638">
        <v>507</v>
      </c>
      <c r="H2638">
        <v>127</v>
      </c>
      <c r="I2638">
        <v>63.86</v>
      </c>
      <c r="J2638">
        <v>3.15</v>
      </c>
      <c r="K2638">
        <v>48.93</v>
      </c>
      <c r="L2638">
        <v>0.54</v>
      </c>
      <c r="M2638">
        <v>10.51</v>
      </c>
      <c r="N2638">
        <v>0</v>
      </c>
      <c r="O2638">
        <v>0</v>
      </c>
      <c r="P2638">
        <v>5177</v>
      </c>
      <c r="Q2638">
        <v>2494</v>
      </c>
      <c r="R2638">
        <v>211</v>
      </c>
      <c r="S2638">
        <v>1341</v>
      </c>
      <c r="T2638">
        <v>14</v>
      </c>
      <c r="U2638">
        <v>1117</v>
      </c>
      <c r="V2638" s="1">
        <f t="shared" si="123"/>
        <v>0.2505</v>
      </c>
      <c r="W2638" s="1">
        <f t="shared" si="124"/>
        <v>0</v>
      </c>
      <c r="X2638" s="1">
        <f t="shared" si="125"/>
        <v>0</v>
      </c>
    </row>
    <row r="2639" spans="1:24" x14ac:dyDescent="0.25">
      <c r="A2639">
        <v>2006</v>
      </c>
      <c r="B2639">
        <v>8</v>
      </c>
      <c r="C2639" t="s">
        <v>27</v>
      </c>
      <c r="D2639" t="str">
        <f>_xlfn.XLOOKUP(C2639,'Carrier Name Rename'!A:A,'Carrier Name Rename'!B:B)</f>
        <v>SkyWest Airlines Inc.</v>
      </c>
      <c r="E2639" t="s">
        <v>23</v>
      </c>
      <c r="F2639" t="s">
        <v>24</v>
      </c>
      <c r="G2639">
        <v>415</v>
      </c>
      <c r="H2639">
        <v>54</v>
      </c>
      <c r="I2639">
        <v>33</v>
      </c>
      <c r="J2639">
        <v>0</v>
      </c>
      <c r="K2639">
        <v>5</v>
      </c>
      <c r="L2639">
        <v>0</v>
      </c>
      <c r="M2639">
        <v>16</v>
      </c>
      <c r="N2639">
        <v>1</v>
      </c>
      <c r="O2639">
        <v>1</v>
      </c>
      <c r="P2639">
        <v>1686</v>
      </c>
      <c r="Q2639">
        <v>953</v>
      </c>
      <c r="R2639">
        <v>0</v>
      </c>
      <c r="S2639">
        <v>237</v>
      </c>
      <c r="T2639">
        <v>0</v>
      </c>
      <c r="U2639">
        <v>496</v>
      </c>
      <c r="V2639" s="1">
        <f t="shared" si="123"/>
        <v>0.13009999999999999</v>
      </c>
      <c r="W2639" s="1">
        <f t="shared" si="124"/>
        <v>2.3999999999999998E-3</v>
      </c>
      <c r="X2639" s="1">
        <f t="shared" si="125"/>
        <v>2.3999999999999998E-3</v>
      </c>
    </row>
    <row r="2640" spans="1:24" x14ac:dyDescent="0.25">
      <c r="A2640">
        <v>2006</v>
      </c>
      <c r="B2640">
        <v>8</v>
      </c>
      <c r="C2640" t="s">
        <v>41</v>
      </c>
      <c r="D2640" t="str">
        <f>_xlfn.XLOOKUP(C2640,'Carrier Name Rename'!A:A,'Carrier Name Rename'!B:B)</f>
        <v>United Air Lines Inc.</v>
      </c>
      <c r="E2640" t="s">
        <v>23</v>
      </c>
      <c r="F2640" t="s">
        <v>24</v>
      </c>
      <c r="G2640">
        <v>1024</v>
      </c>
      <c r="H2640">
        <v>273</v>
      </c>
      <c r="I2640">
        <v>71.38</v>
      </c>
      <c r="J2640">
        <v>9.67</v>
      </c>
      <c r="K2640">
        <v>77.430000000000007</v>
      </c>
      <c r="L2640">
        <v>0</v>
      </c>
      <c r="M2640">
        <v>114.52</v>
      </c>
      <c r="N2640">
        <v>6</v>
      </c>
      <c r="O2640">
        <v>0</v>
      </c>
      <c r="P2640">
        <v>14110</v>
      </c>
      <c r="Q2640">
        <v>3332</v>
      </c>
      <c r="R2640">
        <v>919</v>
      </c>
      <c r="S2640">
        <v>2650</v>
      </c>
      <c r="T2640">
        <v>0</v>
      </c>
      <c r="U2640">
        <v>7209</v>
      </c>
      <c r="V2640" s="1">
        <f t="shared" si="123"/>
        <v>0.2666</v>
      </c>
      <c r="W2640" s="1">
        <f t="shared" si="124"/>
        <v>5.8999999999999999E-3</v>
      </c>
      <c r="X2640" s="1">
        <f t="shared" si="125"/>
        <v>0</v>
      </c>
    </row>
    <row r="2641" spans="1:24" x14ac:dyDescent="0.25">
      <c r="A2641">
        <v>2006</v>
      </c>
      <c r="B2641">
        <v>8</v>
      </c>
      <c r="C2641" t="s">
        <v>61</v>
      </c>
      <c r="D2641" t="str">
        <f>_xlfn.XLOOKUP(C2641,'Carrier Name Rename'!A:A,'Carrier Name Rename'!B:B)</f>
        <v>US Airways Inc.</v>
      </c>
      <c r="E2641" t="s">
        <v>23</v>
      </c>
      <c r="F2641" t="s">
        <v>24</v>
      </c>
      <c r="G2641">
        <v>484</v>
      </c>
      <c r="H2641">
        <v>158</v>
      </c>
      <c r="I2641">
        <v>64.86</v>
      </c>
      <c r="J2641">
        <v>2.5</v>
      </c>
      <c r="K2641">
        <v>53.32</v>
      </c>
      <c r="L2641">
        <v>1.6</v>
      </c>
      <c r="M2641">
        <v>35.72</v>
      </c>
      <c r="N2641">
        <v>0</v>
      </c>
      <c r="O2641">
        <v>0</v>
      </c>
      <c r="P2641">
        <v>7938</v>
      </c>
      <c r="Q2641">
        <v>3094</v>
      </c>
      <c r="R2641">
        <v>281</v>
      </c>
      <c r="S2641">
        <v>2147</v>
      </c>
      <c r="T2641">
        <v>35</v>
      </c>
      <c r="U2641">
        <v>2381</v>
      </c>
      <c r="V2641" s="1">
        <f t="shared" si="123"/>
        <v>0.32640000000000002</v>
      </c>
      <c r="W2641" s="1">
        <f t="shared" si="124"/>
        <v>0</v>
      </c>
      <c r="X2641" s="1">
        <f t="shared" si="125"/>
        <v>0</v>
      </c>
    </row>
    <row r="2642" spans="1:24" x14ac:dyDescent="0.25">
      <c r="A2642">
        <v>2006</v>
      </c>
      <c r="B2642">
        <v>8</v>
      </c>
      <c r="C2642" t="s">
        <v>43</v>
      </c>
      <c r="D2642" t="str">
        <f>_xlfn.XLOOKUP(C2642,'Carrier Name Rename'!A:A,'Carrier Name Rename'!B:B)</f>
        <v>Southwest Airlines Co.</v>
      </c>
      <c r="E2642" t="s">
        <v>23</v>
      </c>
      <c r="F2642" t="s">
        <v>24</v>
      </c>
      <c r="G2642">
        <v>1212</v>
      </c>
      <c r="H2642">
        <v>223</v>
      </c>
      <c r="I2642">
        <v>62.42</v>
      </c>
      <c r="J2642">
        <v>5.92</v>
      </c>
      <c r="K2642">
        <v>33.380000000000003</v>
      </c>
      <c r="L2642">
        <v>3.2</v>
      </c>
      <c r="M2642">
        <v>118.08</v>
      </c>
      <c r="N2642">
        <v>0</v>
      </c>
      <c r="O2642">
        <v>0</v>
      </c>
      <c r="P2642">
        <v>10208</v>
      </c>
      <c r="Q2642">
        <v>2625</v>
      </c>
      <c r="R2642">
        <v>508</v>
      </c>
      <c r="S2642">
        <v>1094</v>
      </c>
      <c r="T2642">
        <v>88</v>
      </c>
      <c r="U2642">
        <v>5893</v>
      </c>
      <c r="V2642" s="1">
        <f t="shared" si="123"/>
        <v>0.184</v>
      </c>
      <c r="W2642" s="1">
        <f t="shared" si="124"/>
        <v>0</v>
      </c>
      <c r="X2642" s="1">
        <f t="shared" si="125"/>
        <v>0</v>
      </c>
    </row>
    <row r="2643" spans="1:24" x14ac:dyDescent="0.25">
      <c r="A2643">
        <v>2006</v>
      </c>
      <c r="B2643">
        <v>8</v>
      </c>
      <c r="C2643" t="s">
        <v>71</v>
      </c>
      <c r="D2643" t="str">
        <f>_xlfn.XLOOKUP(C2643,'Carrier Name Rename'!A:A,'Carrier Name Rename'!B:B)</f>
        <v>Mesa Airlines Inc.</v>
      </c>
      <c r="E2643" t="s">
        <v>23</v>
      </c>
      <c r="F2643" t="s">
        <v>24</v>
      </c>
      <c r="G2643">
        <v>35</v>
      </c>
      <c r="H2643">
        <v>3</v>
      </c>
      <c r="I2643">
        <v>2</v>
      </c>
      <c r="J2643">
        <v>0</v>
      </c>
      <c r="K2643">
        <v>1</v>
      </c>
      <c r="L2643">
        <v>0</v>
      </c>
      <c r="M2643">
        <v>0</v>
      </c>
      <c r="N2643">
        <v>0</v>
      </c>
      <c r="O2643">
        <v>1</v>
      </c>
      <c r="P2643">
        <v>218</v>
      </c>
      <c r="Q2643">
        <v>201</v>
      </c>
      <c r="R2643">
        <v>0</v>
      </c>
      <c r="S2643">
        <v>17</v>
      </c>
      <c r="T2643">
        <v>0</v>
      </c>
      <c r="U2643">
        <v>0</v>
      </c>
      <c r="V2643" s="1">
        <f t="shared" si="123"/>
        <v>8.5699999999999998E-2</v>
      </c>
      <c r="W2643" s="1">
        <f t="shared" si="124"/>
        <v>0</v>
      </c>
      <c r="X2643" s="1">
        <f t="shared" si="125"/>
        <v>2.86E-2</v>
      </c>
    </row>
    <row r="2644" spans="1:24" x14ac:dyDescent="0.25">
      <c r="A2644">
        <v>2006</v>
      </c>
      <c r="B2644">
        <v>7</v>
      </c>
      <c r="C2644" t="s">
        <v>71</v>
      </c>
      <c r="D2644" t="str">
        <f>_xlfn.XLOOKUP(C2644,'Carrier Name Rename'!A:A,'Carrier Name Rename'!B:B)</f>
        <v>Mesa Airlines Inc.</v>
      </c>
      <c r="E2644" t="s">
        <v>23</v>
      </c>
      <c r="F2644" t="s">
        <v>24</v>
      </c>
      <c r="G2644">
        <v>36</v>
      </c>
      <c r="H2644">
        <v>4</v>
      </c>
      <c r="I2644">
        <v>2</v>
      </c>
      <c r="J2644">
        <v>0</v>
      </c>
      <c r="K2644">
        <v>0</v>
      </c>
      <c r="L2644">
        <v>0</v>
      </c>
      <c r="M2644">
        <v>2</v>
      </c>
      <c r="N2644">
        <v>3</v>
      </c>
      <c r="O2644">
        <v>0</v>
      </c>
      <c r="P2644">
        <v>253</v>
      </c>
      <c r="Q2644">
        <v>39</v>
      </c>
      <c r="R2644">
        <v>0</v>
      </c>
      <c r="S2644">
        <v>0</v>
      </c>
      <c r="T2644">
        <v>0</v>
      </c>
      <c r="U2644">
        <v>214</v>
      </c>
      <c r="V2644" s="1">
        <f t="shared" si="123"/>
        <v>0.1111</v>
      </c>
      <c r="W2644" s="1">
        <f t="shared" si="124"/>
        <v>8.3299999999999999E-2</v>
      </c>
      <c r="X2644" s="1">
        <f t="shared" si="125"/>
        <v>0</v>
      </c>
    </row>
    <row r="2645" spans="1:24" x14ac:dyDescent="0.25">
      <c r="A2645">
        <v>2006</v>
      </c>
      <c r="B2645">
        <v>7</v>
      </c>
      <c r="C2645" t="s">
        <v>31</v>
      </c>
      <c r="D2645" t="str">
        <f>_xlfn.XLOOKUP(C2645,'Carrier Name Rename'!A:A,'Carrier Name Rename'!B:B)</f>
        <v>American Airlines Inc.</v>
      </c>
      <c r="E2645" t="s">
        <v>23</v>
      </c>
      <c r="F2645" t="s">
        <v>24</v>
      </c>
      <c r="G2645">
        <v>586</v>
      </c>
      <c r="H2645">
        <v>158</v>
      </c>
      <c r="I2645">
        <v>61.19</v>
      </c>
      <c r="J2645">
        <v>12.34</v>
      </c>
      <c r="K2645">
        <v>41.31</v>
      </c>
      <c r="L2645">
        <v>0</v>
      </c>
      <c r="M2645">
        <v>43.16</v>
      </c>
      <c r="N2645">
        <v>1</v>
      </c>
      <c r="O2645">
        <v>0</v>
      </c>
      <c r="P2645">
        <v>9121</v>
      </c>
      <c r="Q2645">
        <v>3375</v>
      </c>
      <c r="R2645">
        <v>748</v>
      </c>
      <c r="S2645">
        <v>2208</v>
      </c>
      <c r="T2645">
        <v>0</v>
      </c>
      <c r="U2645">
        <v>2790</v>
      </c>
      <c r="V2645" s="1">
        <f t="shared" si="123"/>
        <v>0.26960000000000001</v>
      </c>
      <c r="W2645" s="1">
        <f t="shared" si="124"/>
        <v>1.6999999999999999E-3</v>
      </c>
      <c r="X2645" s="1">
        <f t="shared" si="125"/>
        <v>0</v>
      </c>
    </row>
    <row r="2646" spans="1:24" x14ac:dyDescent="0.25">
      <c r="A2646">
        <v>2006</v>
      </c>
      <c r="B2646">
        <v>7</v>
      </c>
      <c r="C2646" t="s">
        <v>33</v>
      </c>
      <c r="D2646" t="str">
        <f>_xlfn.XLOOKUP(C2646,'Carrier Name Rename'!A:A,'Carrier Name Rename'!B:B)</f>
        <v>Alaska Airlines Inc.</v>
      </c>
      <c r="E2646" t="s">
        <v>23</v>
      </c>
      <c r="F2646" t="s">
        <v>24</v>
      </c>
      <c r="G2646">
        <v>4586</v>
      </c>
      <c r="H2646">
        <v>1314</v>
      </c>
      <c r="I2646">
        <v>296.20999999999998</v>
      </c>
      <c r="J2646">
        <v>28.48</v>
      </c>
      <c r="K2646">
        <v>273.33999999999997</v>
      </c>
      <c r="L2646">
        <v>5.89</v>
      </c>
      <c r="M2646">
        <v>710.07</v>
      </c>
      <c r="N2646">
        <v>57</v>
      </c>
      <c r="O2646">
        <v>6</v>
      </c>
      <c r="P2646">
        <v>72701</v>
      </c>
      <c r="Q2646">
        <v>18598</v>
      </c>
      <c r="R2646">
        <v>2190</v>
      </c>
      <c r="S2646">
        <v>9959</v>
      </c>
      <c r="T2646">
        <v>213</v>
      </c>
      <c r="U2646">
        <v>41741</v>
      </c>
      <c r="V2646" s="1">
        <f t="shared" si="123"/>
        <v>0.28649999999999998</v>
      </c>
      <c r="W2646" s="1">
        <f t="shared" si="124"/>
        <v>1.24E-2</v>
      </c>
      <c r="X2646" s="1">
        <f t="shared" si="125"/>
        <v>1.2999999999999999E-3</v>
      </c>
    </row>
    <row r="2647" spans="1:24" x14ac:dyDescent="0.25">
      <c r="A2647">
        <v>2006</v>
      </c>
      <c r="B2647">
        <v>7</v>
      </c>
      <c r="C2647" t="s">
        <v>35</v>
      </c>
      <c r="D2647" t="str">
        <f>_xlfn.XLOOKUP(C2647,'Carrier Name Rename'!A:A,'Carrier Name Rename'!B:B)</f>
        <v>JetBlue Airways</v>
      </c>
      <c r="E2647" t="s">
        <v>23</v>
      </c>
      <c r="F2647" t="s">
        <v>24</v>
      </c>
      <c r="G2647">
        <v>93</v>
      </c>
      <c r="H2647">
        <v>49</v>
      </c>
      <c r="I2647">
        <v>9.94</v>
      </c>
      <c r="J2647">
        <v>2.27</v>
      </c>
      <c r="K2647">
        <v>23.3</v>
      </c>
      <c r="L2647">
        <v>0</v>
      </c>
      <c r="M2647">
        <v>13.49</v>
      </c>
      <c r="N2647">
        <v>0</v>
      </c>
      <c r="O2647">
        <v>0</v>
      </c>
      <c r="P2647">
        <v>2750</v>
      </c>
      <c r="Q2647">
        <v>556</v>
      </c>
      <c r="R2647">
        <v>248</v>
      </c>
      <c r="S2647">
        <v>1183</v>
      </c>
      <c r="T2647">
        <v>0</v>
      </c>
      <c r="U2647">
        <v>763</v>
      </c>
      <c r="V2647" s="1">
        <f t="shared" si="123"/>
        <v>0.52690000000000003</v>
      </c>
      <c r="W2647" s="1">
        <f t="shared" si="124"/>
        <v>0</v>
      </c>
      <c r="X2647" s="1">
        <f t="shared" si="125"/>
        <v>0</v>
      </c>
    </row>
    <row r="2648" spans="1:24" x14ac:dyDescent="0.25">
      <c r="A2648">
        <v>2006</v>
      </c>
      <c r="B2648">
        <v>7</v>
      </c>
      <c r="C2648" t="s">
        <v>65</v>
      </c>
      <c r="D2648" t="str">
        <f>_xlfn.XLOOKUP(C2648,'Carrier Name Rename'!A:A,'Carrier Name Rename'!B:B)</f>
        <v>Continental Air Lines Inc.</v>
      </c>
      <c r="E2648" t="s">
        <v>23</v>
      </c>
      <c r="F2648" t="s">
        <v>24</v>
      </c>
      <c r="G2648">
        <v>487</v>
      </c>
      <c r="H2648">
        <v>178</v>
      </c>
      <c r="I2648">
        <v>58.01</v>
      </c>
      <c r="J2648">
        <v>11.54</v>
      </c>
      <c r="K2648">
        <v>54.94</v>
      </c>
      <c r="L2648">
        <v>0.69</v>
      </c>
      <c r="M2648">
        <v>52.83</v>
      </c>
      <c r="N2648">
        <v>0</v>
      </c>
      <c r="O2648">
        <v>0</v>
      </c>
      <c r="P2648">
        <v>10296</v>
      </c>
      <c r="Q2648">
        <v>2969</v>
      </c>
      <c r="R2648">
        <v>782</v>
      </c>
      <c r="S2648">
        <v>2620</v>
      </c>
      <c r="T2648">
        <v>19</v>
      </c>
      <c r="U2648">
        <v>3906</v>
      </c>
      <c r="V2648" s="1">
        <f t="shared" si="123"/>
        <v>0.36549999999999999</v>
      </c>
      <c r="W2648" s="1">
        <f t="shared" si="124"/>
        <v>0</v>
      </c>
      <c r="X2648" s="1">
        <f t="shared" si="125"/>
        <v>0</v>
      </c>
    </row>
    <row r="2649" spans="1:24" x14ac:dyDescent="0.25">
      <c r="A2649">
        <v>2006</v>
      </c>
      <c r="B2649">
        <v>7</v>
      </c>
      <c r="C2649" t="s">
        <v>37</v>
      </c>
      <c r="D2649" t="str">
        <f>_xlfn.XLOOKUP(C2649,'Carrier Name Rename'!A:A,'Carrier Name Rename'!B:B)</f>
        <v>Delta Air Lines Inc.</v>
      </c>
      <c r="E2649" t="s">
        <v>23</v>
      </c>
      <c r="F2649" t="s">
        <v>24</v>
      </c>
      <c r="G2649">
        <v>511</v>
      </c>
      <c r="H2649">
        <v>145</v>
      </c>
      <c r="I2649">
        <v>61.39</v>
      </c>
      <c r="J2649">
        <v>5.29</v>
      </c>
      <c r="K2649">
        <v>44.84</v>
      </c>
      <c r="L2649">
        <v>0</v>
      </c>
      <c r="M2649">
        <v>33.49</v>
      </c>
      <c r="N2649">
        <v>1</v>
      </c>
      <c r="O2649">
        <v>0</v>
      </c>
      <c r="P2649">
        <v>7197</v>
      </c>
      <c r="Q2649">
        <v>2995</v>
      </c>
      <c r="R2649">
        <v>325</v>
      </c>
      <c r="S2649">
        <v>1869</v>
      </c>
      <c r="T2649">
        <v>0</v>
      </c>
      <c r="U2649">
        <v>2008</v>
      </c>
      <c r="V2649" s="1">
        <f t="shared" si="123"/>
        <v>0.2838</v>
      </c>
      <c r="W2649" s="1">
        <f t="shared" si="124"/>
        <v>2E-3</v>
      </c>
      <c r="X2649" s="1">
        <f t="shared" si="125"/>
        <v>0</v>
      </c>
    </row>
    <row r="2650" spans="1:24" x14ac:dyDescent="0.25">
      <c r="A2650">
        <v>2006</v>
      </c>
      <c r="B2650">
        <v>7</v>
      </c>
      <c r="C2650" t="s">
        <v>39</v>
      </c>
      <c r="D2650" t="str">
        <f>_xlfn.XLOOKUP(C2650,'Carrier Name Rename'!A:A,'Carrier Name Rename'!B:B)</f>
        <v>Frontier Airlines Inc.</v>
      </c>
      <c r="E2650" t="s">
        <v>23</v>
      </c>
      <c r="F2650" t="s">
        <v>24</v>
      </c>
      <c r="G2650">
        <v>146</v>
      </c>
      <c r="H2650">
        <v>29</v>
      </c>
      <c r="I2650">
        <v>9.34</v>
      </c>
      <c r="J2650">
        <v>3.17</v>
      </c>
      <c r="K2650">
        <v>12.07</v>
      </c>
      <c r="L2650">
        <v>0</v>
      </c>
      <c r="M2650">
        <v>4.42</v>
      </c>
      <c r="N2650">
        <v>0</v>
      </c>
      <c r="O2650">
        <v>0</v>
      </c>
      <c r="P2650">
        <v>982</v>
      </c>
      <c r="Q2650">
        <v>268</v>
      </c>
      <c r="R2650">
        <v>102</v>
      </c>
      <c r="S2650">
        <v>459</v>
      </c>
      <c r="T2650">
        <v>0</v>
      </c>
      <c r="U2650">
        <v>153</v>
      </c>
      <c r="V2650" s="1">
        <f t="shared" si="123"/>
        <v>0.1986</v>
      </c>
      <c r="W2650" s="1">
        <f t="shared" si="124"/>
        <v>0</v>
      </c>
      <c r="X2650" s="1">
        <f t="shared" si="125"/>
        <v>0</v>
      </c>
    </row>
    <row r="2651" spans="1:24" x14ac:dyDescent="0.25">
      <c r="A2651">
        <v>2006</v>
      </c>
      <c r="B2651">
        <v>7</v>
      </c>
      <c r="C2651" t="s">
        <v>63</v>
      </c>
      <c r="D2651" t="str">
        <f>_xlfn.XLOOKUP(C2651,'Carrier Name Rename'!A:A,'Carrier Name Rename'!B:B)</f>
        <v>AirTran Airways Corporation</v>
      </c>
      <c r="E2651" t="s">
        <v>23</v>
      </c>
      <c r="F2651" t="s">
        <v>24</v>
      </c>
      <c r="G2651">
        <v>62</v>
      </c>
      <c r="H2651">
        <v>25</v>
      </c>
      <c r="I2651">
        <v>11.02</v>
      </c>
      <c r="J2651">
        <v>0</v>
      </c>
      <c r="K2651">
        <v>10.029999999999999</v>
      </c>
      <c r="L2651">
        <v>0</v>
      </c>
      <c r="M2651">
        <v>3.95</v>
      </c>
      <c r="N2651">
        <v>0</v>
      </c>
      <c r="O2651">
        <v>0</v>
      </c>
      <c r="P2651">
        <v>841</v>
      </c>
      <c r="Q2651">
        <v>398</v>
      </c>
      <c r="R2651">
        <v>0</v>
      </c>
      <c r="S2651">
        <v>289</v>
      </c>
      <c r="T2651">
        <v>0</v>
      </c>
      <c r="U2651">
        <v>154</v>
      </c>
      <c r="V2651" s="1">
        <f t="shared" si="123"/>
        <v>0.4032</v>
      </c>
      <c r="W2651" s="1">
        <f t="shared" si="124"/>
        <v>0</v>
      </c>
      <c r="X2651" s="1">
        <f t="shared" si="125"/>
        <v>0</v>
      </c>
    </row>
    <row r="2652" spans="1:24" x14ac:dyDescent="0.25">
      <c r="A2652">
        <v>2006</v>
      </c>
      <c r="B2652">
        <v>7</v>
      </c>
      <c r="C2652" t="s">
        <v>21</v>
      </c>
      <c r="D2652" t="str">
        <f>_xlfn.XLOOKUP(C2652,'Carrier Name Rename'!A:A,'Carrier Name Rename'!B:B)</f>
        <v>Hawaiian Airlines Inc.</v>
      </c>
      <c r="E2652" t="s">
        <v>23</v>
      </c>
      <c r="F2652" t="s">
        <v>24</v>
      </c>
      <c r="G2652">
        <v>49</v>
      </c>
      <c r="H2652">
        <v>6</v>
      </c>
      <c r="I2652">
        <v>5.41</v>
      </c>
      <c r="J2652">
        <v>0</v>
      </c>
      <c r="K2652">
        <v>0</v>
      </c>
      <c r="L2652">
        <v>0</v>
      </c>
      <c r="M2652">
        <v>0.59</v>
      </c>
      <c r="N2652">
        <v>0</v>
      </c>
      <c r="O2652">
        <v>0</v>
      </c>
      <c r="P2652">
        <v>288</v>
      </c>
      <c r="Q2652">
        <v>278</v>
      </c>
      <c r="R2652">
        <v>0</v>
      </c>
      <c r="S2652">
        <v>0</v>
      </c>
      <c r="T2652">
        <v>0</v>
      </c>
      <c r="U2652">
        <v>10</v>
      </c>
      <c r="V2652" s="1">
        <f t="shared" si="123"/>
        <v>0.12239999999999999</v>
      </c>
      <c r="W2652" s="1">
        <f t="shared" si="124"/>
        <v>0</v>
      </c>
      <c r="X2652" s="1">
        <f t="shared" si="125"/>
        <v>0</v>
      </c>
    </row>
    <row r="2653" spans="1:24" x14ac:dyDescent="0.25">
      <c r="A2653">
        <v>2006</v>
      </c>
      <c r="B2653">
        <v>7</v>
      </c>
      <c r="C2653" t="s">
        <v>67</v>
      </c>
      <c r="D2653" t="str">
        <f>_xlfn.XLOOKUP(C2653,'Carrier Name Rename'!A:A,'Carrier Name Rename'!B:B)</f>
        <v>Northwest Airlines Inc.</v>
      </c>
      <c r="E2653" t="s">
        <v>23</v>
      </c>
      <c r="F2653" t="s">
        <v>24</v>
      </c>
      <c r="G2653">
        <v>556</v>
      </c>
      <c r="H2653">
        <v>131</v>
      </c>
      <c r="I2653">
        <v>62.87</v>
      </c>
      <c r="J2653">
        <v>3.49</v>
      </c>
      <c r="K2653">
        <v>49.53</v>
      </c>
      <c r="L2653">
        <v>0</v>
      </c>
      <c r="M2653">
        <v>15.1</v>
      </c>
      <c r="N2653">
        <v>0</v>
      </c>
      <c r="O2653">
        <v>0</v>
      </c>
      <c r="P2653">
        <v>6184</v>
      </c>
      <c r="Q2653">
        <v>3730</v>
      </c>
      <c r="R2653">
        <v>174</v>
      </c>
      <c r="S2653">
        <v>1349</v>
      </c>
      <c r="T2653">
        <v>0</v>
      </c>
      <c r="U2653">
        <v>931</v>
      </c>
      <c r="V2653" s="1">
        <f t="shared" si="123"/>
        <v>0.2356</v>
      </c>
      <c r="W2653" s="1">
        <f t="shared" si="124"/>
        <v>0</v>
      </c>
      <c r="X2653" s="1">
        <f t="shared" si="125"/>
        <v>0</v>
      </c>
    </row>
    <row r="2654" spans="1:24" x14ac:dyDescent="0.25">
      <c r="A2654">
        <v>2006</v>
      </c>
      <c r="B2654">
        <v>7</v>
      </c>
      <c r="C2654" t="s">
        <v>27</v>
      </c>
      <c r="D2654" t="str">
        <f>_xlfn.XLOOKUP(C2654,'Carrier Name Rename'!A:A,'Carrier Name Rename'!B:B)</f>
        <v>SkyWest Airlines Inc.</v>
      </c>
      <c r="E2654" t="s">
        <v>23</v>
      </c>
      <c r="F2654" t="s">
        <v>24</v>
      </c>
      <c r="G2654">
        <v>404</v>
      </c>
      <c r="H2654">
        <v>56</v>
      </c>
      <c r="I2654">
        <v>34</v>
      </c>
      <c r="J2654">
        <v>1</v>
      </c>
      <c r="K2654">
        <v>1</v>
      </c>
      <c r="L2654">
        <v>1</v>
      </c>
      <c r="M2654">
        <v>19</v>
      </c>
      <c r="N2654">
        <v>5</v>
      </c>
      <c r="O2654">
        <v>0</v>
      </c>
      <c r="P2654">
        <v>1473</v>
      </c>
      <c r="Q2654">
        <v>843</v>
      </c>
      <c r="R2654">
        <v>38</v>
      </c>
      <c r="S2654">
        <v>42</v>
      </c>
      <c r="T2654">
        <v>17</v>
      </c>
      <c r="U2654">
        <v>533</v>
      </c>
      <c r="V2654" s="1">
        <f t="shared" si="123"/>
        <v>0.1386</v>
      </c>
      <c r="W2654" s="1">
        <f t="shared" si="124"/>
        <v>1.24E-2</v>
      </c>
      <c r="X2654" s="1">
        <f t="shared" si="125"/>
        <v>0</v>
      </c>
    </row>
    <row r="2655" spans="1:24" x14ac:dyDescent="0.25">
      <c r="A2655">
        <v>2006</v>
      </c>
      <c r="B2655">
        <v>7</v>
      </c>
      <c r="C2655" t="s">
        <v>41</v>
      </c>
      <c r="D2655" t="str">
        <f>_xlfn.XLOOKUP(C2655,'Carrier Name Rename'!A:A,'Carrier Name Rename'!B:B)</f>
        <v>United Air Lines Inc.</v>
      </c>
      <c r="E2655" t="s">
        <v>23</v>
      </c>
      <c r="F2655" t="s">
        <v>24</v>
      </c>
      <c r="G2655">
        <v>1019</v>
      </c>
      <c r="H2655">
        <v>253</v>
      </c>
      <c r="I2655">
        <v>78.02</v>
      </c>
      <c r="J2655">
        <v>7.14</v>
      </c>
      <c r="K2655">
        <v>41.31</v>
      </c>
      <c r="L2655">
        <v>0</v>
      </c>
      <c r="M2655">
        <v>126.53</v>
      </c>
      <c r="N2655">
        <v>14</v>
      </c>
      <c r="O2655">
        <v>0</v>
      </c>
      <c r="P2655">
        <v>16954</v>
      </c>
      <c r="Q2655">
        <v>4801</v>
      </c>
      <c r="R2655">
        <v>637</v>
      </c>
      <c r="S2655">
        <v>2028</v>
      </c>
      <c r="T2655">
        <v>0</v>
      </c>
      <c r="U2655">
        <v>9488</v>
      </c>
      <c r="V2655" s="1">
        <f t="shared" si="123"/>
        <v>0.24829999999999999</v>
      </c>
      <c r="W2655" s="1">
        <f t="shared" si="124"/>
        <v>1.37E-2</v>
      </c>
      <c r="X2655" s="1">
        <f t="shared" si="125"/>
        <v>0</v>
      </c>
    </row>
    <row r="2656" spans="1:24" x14ac:dyDescent="0.25">
      <c r="A2656">
        <v>2006</v>
      </c>
      <c r="B2656">
        <v>7</v>
      </c>
      <c r="C2656" t="s">
        <v>61</v>
      </c>
      <c r="D2656" t="str">
        <f>_xlfn.XLOOKUP(C2656,'Carrier Name Rename'!A:A,'Carrier Name Rename'!B:B)</f>
        <v>US Airways Inc.</v>
      </c>
      <c r="E2656" t="s">
        <v>23</v>
      </c>
      <c r="F2656" t="s">
        <v>24</v>
      </c>
      <c r="G2656">
        <v>481</v>
      </c>
      <c r="H2656">
        <v>156</v>
      </c>
      <c r="I2656">
        <v>75.41</v>
      </c>
      <c r="J2656">
        <v>4.8899999999999997</v>
      </c>
      <c r="K2656">
        <v>37.380000000000003</v>
      </c>
      <c r="L2656">
        <v>0</v>
      </c>
      <c r="M2656">
        <v>38.32</v>
      </c>
      <c r="N2656">
        <v>0</v>
      </c>
      <c r="O2656">
        <v>1</v>
      </c>
      <c r="P2656">
        <v>9503</v>
      </c>
      <c r="Q2656">
        <v>3792</v>
      </c>
      <c r="R2656">
        <v>630</v>
      </c>
      <c r="S2656">
        <v>1817</v>
      </c>
      <c r="T2656">
        <v>0</v>
      </c>
      <c r="U2656">
        <v>3264</v>
      </c>
      <c r="V2656" s="1">
        <f t="shared" si="123"/>
        <v>0.32429999999999998</v>
      </c>
      <c r="W2656" s="1">
        <f t="shared" si="124"/>
        <v>0</v>
      </c>
      <c r="X2656" s="1">
        <f t="shared" si="125"/>
        <v>2.0999999999999999E-3</v>
      </c>
    </row>
    <row r="2657" spans="1:24" x14ac:dyDescent="0.25">
      <c r="A2657">
        <v>2006</v>
      </c>
      <c r="B2657">
        <v>7</v>
      </c>
      <c r="C2657" t="s">
        <v>43</v>
      </c>
      <c r="D2657" t="str">
        <f>_xlfn.XLOOKUP(C2657,'Carrier Name Rename'!A:A,'Carrier Name Rename'!B:B)</f>
        <v>Southwest Airlines Co.</v>
      </c>
      <c r="E2657" t="s">
        <v>23</v>
      </c>
      <c r="F2657" t="s">
        <v>24</v>
      </c>
      <c r="G2657">
        <v>1197</v>
      </c>
      <c r="H2657">
        <v>208</v>
      </c>
      <c r="I2657">
        <v>69.44</v>
      </c>
      <c r="J2657">
        <v>3.41</v>
      </c>
      <c r="K2657">
        <v>20.04</v>
      </c>
      <c r="L2657">
        <v>0.4</v>
      </c>
      <c r="M2657">
        <v>114.72</v>
      </c>
      <c r="N2657">
        <v>0</v>
      </c>
      <c r="O2657">
        <v>1</v>
      </c>
      <c r="P2657">
        <v>9435</v>
      </c>
      <c r="Q2657">
        <v>2402</v>
      </c>
      <c r="R2657">
        <v>202</v>
      </c>
      <c r="S2657">
        <v>502</v>
      </c>
      <c r="T2657">
        <v>10</v>
      </c>
      <c r="U2657">
        <v>6319</v>
      </c>
      <c r="V2657" s="1">
        <f t="shared" si="123"/>
        <v>0.17380000000000001</v>
      </c>
      <c r="W2657" s="1">
        <f t="shared" si="124"/>
        <v>0</v>
      </c>
      <c r="X2657" s="1">
        <f t="shared" si="125"/>
        <v>8.0000000000000004E-4</v>
      </c>
    </row>
    <row r="2658" spans="1:24" x14ac:dyDescent="0.25">
      <c r="A2658">
        <v>2006</v>
      </c>
      <c r="B2658">
        <v>6</v>
      </c>
      <c r="C2658" t="s">
        <v>31</v>
      </c>
      <c r="D2658" t="str">
        <f>_xlfn.XLOOKUP(C2658,'Carrier Name Rename'!A:A,'Carrier Name Rename'!B:B)</f>
        <v>American Airlines Inc.</v>
      </c>
      <c r="E2658" t="s">
        <v>23</v>
      </c>
      <c r="F2658" t="s">
        <v>24</v>
      </c>
      <c r="G2658">
        <v>570</v>
      </c>
      <c r="H2658">
        <v>171</v>
      </c>
      <c r="I2658">
        <v>54.52</v>
      </c>
      <c r="J2658">
        <v>9.5500000000000007</v>
      </c>
      <c r="K2658">
        <v>64.97</v>
      </c>
      <c r="L2658">
        <v>0</v>
      </c>
      <c r="M2658">
        <v>41.97</v>
      </c>
      <c r="N2658">
        <v>1</v>
      </c>
      <c r="O2658">
        <v>1</v>
      </c>
      <c r="P2658">
        <v>7896</v>
      </c>
      <c r="Q2658">
        <v>2315</v>
      </c>
      <c r="R2658">
        <v>460</v>
      </c>
      <c r="S2658">
        <v>2500</v>
      </c>
      <c r="T2658">
        <v>0</v>
      </c>
      <c r="U2658">
        <v>2621</v>
      </c>
      <c r="V2658" s="1">
        <f t="shared" si="123"/>
        <v>0.3</v>
      </c>
      <c r="W2658" s="1">
        <f t="shared" si="124"/>
        <v>1.8E-3</v>
      </c>
      <c r="X2658" s="1">
        <f t="shared" si="125"/>
        <v>1.8E-3</v>
      </c>
    </row>
    <row r="2659" spans="1:24" x14ac:dyDescent="0.25">
      <c r="A2659">
        <v>2006</v>
      </c>
      <c r="B2659">
        <v>6</v>
      </c>
      <c r="C2659" t="s">
        <v>33</v>
      </c>
      <c r="D2659" t="str">
        <f>_xlfn.XLOOKUP(C2659,'Carrier Name Rename'!A:A,'Carrier Name Rename'!B:B)</f>
        <v>Alaska Airlines Inc.</v>
      </c>
      <c r="E2659" t="s">
        <v>23</v>
      </c>
      <c r="F2659" t="s">
        <v>24</v>
      </c>
      <c r="G2659">
        <v>4356</v>
      </c>
      <c r="H2659">
        <v>1135</v>
      </c>
      <c r="I2659">
        <v>220.6</v>
      </c>
      <c r="J2659">
        <v>17.48</v>
      </c>
      <c r="K2659">
        <v>366.71</v>
      </c>
      <c r="L2659">
        <v>4.68</v>
      </c>
      <c r="M2659">
        <v>525.53</v>
      </c>
      <c r="N2659">
        <v>35</v>
      </c>
      <c r="O2659">
        <v>4</v>
      </c>
      <c r="P2659">
        <v>51573</v>
      </c>
      <c r="Q2659">
        <v>12522</v>
      </c>
      <c r="R2659">
        <v>1553</v>
      </c>
      <c r="S2659">
        <v>10715</v>
      </c>
      <c r="T2659">
        <v>140</v>
      </c>
      <c r="U2659">
        <v>26643</v>
      </c>
      <c r="V2659" s="1">
        <f t="shared" si="123"/>
        <v>0.2606</v>
      </c>
      <c r="W2659" s="1">
        <f t="shared" si="124"/>
        <v>8.0000000000000002E-3</v>
      </c>
      <c r="X2659" s="1">
        <f t="shared" si="125"/>
        <v>8.9999999999999998E-4</v>
      </c>
    </row>
    <row r="2660" spans="1:24" x14ac:dyDescent="0.25">
      <c r="A2660">
        <v>2006</v>
      </c>
      <c r="B2660">
        <v>6</v>
      </c>
      <c r="C2660" t="s">
        <v>35</v>
      </c>
      <c r="D2660" t="str">
        <f>_xlfn.XLOOKUP(C2660,'Carrier Name Rename'!A:A,'Carrier Name Rename'!B:B)</f>
        <v>JetBlue Airways</v>
      </c>
      <c r="E2660" t="s">
        <v>23</v>
      </c>
      <c r="F2660" t="s">
        <v>24</v>
      </c>
      <c r="G2660">
        <v>90</v>
      </c>
      <c r="H2660">
        <v>35</v>
      </c>
      <c r="I2660">
        <v>3.05</v>
      </c>
      <c r="J2660">
        <v>1.74</v>
      </c>
      <c r="K2660">
        <v>18.100000000000001</v>
      </c>
      <c r="L2660">
        <v>0</v>
      </c>
      <c r="M2660">
        <v>12.11</v>
      </c>
      <c r="N2660">
        <v>0</v>
      </c>
      <c r="O2660">
        <v>0</v>
      </c>
      <c r="P2660">
        <v>2105</v>
      </c>
      <c r="Q2660">
        <v>151</v>
      </c>
      <c r="R2660">
        <v>192</v>
      </c>
      <c r="S2660">
        <v>760</v>
      </c>
      <c r="T2660">
        <v>0</v>
      </c>
      <c r="U2660">
        <v>1002</v>
      </c>
      <c r="V2660" s="1">
        <f t="shared" si="123"/>
        <v>0.38890000000000002</v>
      </c>
      <c r="W2660" s="1">
        <f t="shared" si="124"/>
        <v>0</v>
      </c>
      <c r="X2660" s="1">
        <f t="shared" si="125"/>
        <v>0</v>
      </c>
    </row>
    <row r="2661" spans="1:24" x14ac:dyDescent="0.25">
      <c r="A2661">
        <v>2006</v>
      </c>
      <c r="B2661">
        <v>6</v>
      </c>
      <c r="C2661" t="s">
        <v>65</v>
      </c>
      <c r="D2661" t="str">
        <f>_xlfn.XLOOKUP(C2661,'Carrier Name Rename'!A:A,'Carrier Name Rename'!B:B)</f>
        <v>Continental Air Lines Inc.</v>
      </c>
      <c r="E2661" t="s">
        <v>23</v>
      </c>
      <c r="F2661" t="s">
        <v>24</v>
      </c>
      <c r="G2661">
        <v>459</v>
      </c>
      <c r="H2661">
        <v>166</v>
      </c>
      <c r="I2661">
        <v>46.56</v>
      </c>
      <c r="J2661">
        <v>8.41</v>
      </c>
      <c r="K2661">
        <v>59.76</v>
      </c>
      <c r="L2661">
        <v>1.64</v>
      </c>
      <c r="M2661">
        <v>49.63</v>
      </c>
      <c r="N2661">
        <v>1</v>
      </c>
      <c r="O2661">
        <v>1</v>
      </c>
      <c r="P2661">
        <v>10375</v>
      </c>
      <c r="Q2661">
        <v>2535</v>
      </c>
      <c r="R2661">
        <v>790</v>
      </c>
      <c r="S2661">
        <v>2584</v>
      </c>
      <c r="T2661">
        <v>54</v>
      </c>
      <c r="U2661">
        <v>4412</v>
      </c>
      <c r="V2661" s="1">
        <f t="shared" si="123"/>
        <v>0.36170000000000002</v>
      </c>
      <c r="W2661" s="1">
        <f t="shared" si="124"/>
        <v>2.2000000000000001E-3</v>
      </c>
      <c r="X2661" s="1">
        <f t="shared" si="125"/>
        <v>2.2000000000000001E-3</v>
      </c>
    </row>
    <row r="2662" spans="1:24" x14ac:dyDescent="0.25">
      <c r="A2662">
        <v>2006</v>
      </c>
      <c r="B2662">
        <v>6</v>
      </c>
      <c r="C2662" t="s">
        <v>37</v>
      </c>
      <c r="D2662" t="str">
        <f>_xlfn.XLOOKUP(C2662,'Carrier Name Rename'!A:A,'Carrier Name Rename'!B:B)</f>
        <v>Delta Air Lines Inc.</v>
      </c>
      <c r="E2662" t="s">
        <v>23</v>
      </c>
      <c r="F2662" t="s">
        <v>24</v>
      </c>
      <c r="G2662">
        <v>497</v>
      </c>
      <c r="H2662">
        <v>158</v>
      </c>
      <c r="I2662">
        <v>46.46</v>
      </c>
      <c r="J2662">
        <v>5.41</v>
      </c>
      <c r="K2662">
        <v>62.48</v>
      </c>
      <c r="L2662">
        <v>0</v>
      </c>
      <c r="M2662">
        <v>43.66</v>
      </c>
      <c r="N2662">
        <v>3</v>
      </c>
      <c r="O2662">
        <v>0</v>
      </c>
      <c r="P2662">
        <v>7733</v>
      </c>
      <c r="Q2662">
        <v>2304</v>
      </c>
      <c r="R2662">
        <v>307</v>
      </c>
      <c r="S2662">
        <v>2314</v>
      </c>
      <c r="T2662">
        <v>0</v>
      </c>
      <c r="U2662">
        <v>2808</v>
      </c>
      <c r="V2662" s="1">
        <f t="shared" si="123"/>
        <v>0.31790000000000002</v>
      </c>
      <c r="W2662" s="1">
        <f t="shared" si="124"/>
        <v>6.0000000000000001E-3</v>
      </c>
      <c r="X2662" s="1">
        <f t="shared" si="125"/>
        <v>0</v>
      </c>
    </row>
    <row r="2663" spans="1:24" x14ac:dyDescent="0.25">
      <c r="A2663">
        <v>2006</v>
      </c>
      <c r="B2663">
        <v>6</v>
      </c>
      <c r="C2663" t="s">
        <v>39</v>
      </c>
      <c r="D2663" t="str">
        <f>_xlfn.XLOOKUP(C2663,'Carrier Name Rename'!A:A,'Carrier Name Rename'!B:B)</f>
        <v>Frontier Airlines Inc.</v>
      </c>
      <c r="E2663" t="s">
        <v>23</v>
      </c>
      <c r="F2663" t="s">
        <v>24</v>
      </c>
      <c r="G2663">
        <v>137</v>
      </c>
      <c r="H2663">
        <v>33</v>
      </c>
      <c r="I2663">
        <v>13.81</v>
      </c>
      <c r="J2663">
        <v>0.17</v>
      </c>
      <c r="K2663">
        <v>14.44</v>
      </c>
      <c r="L2663">
        <v>0</v>
      </c>
      <c r="M2663">
        <v>4.58</v>
      </c>
      <c r="N2663">
        <v>0</v>
      </c>
      <c r="O2663">
        <v>0</v>
      </c>
      <c r="P2663">
        <v>961</v>
      </c>
      <c r="Q2663">
        <v>326</v>
      </c>
      <c r="R2663">
        <v>10</v>
      </c>
      <c r="S2663">
        <v>463</v>
      </c>
      <c r="T2663">
        <v>0</v>
      </c>
      <c r="U2663">
        <v>162</v>
      </c>
      <c r="V2663" s="1">
        <f t="shared" si="123"/>
        <v>0.2409</v>
      </c>
      <c r="W2663" s="1">
        <f t="shared" si="124"/>
        <v>0</v>
      </c>
      <c r="X2663" s="1">
        <f t="shared" si="125"/>
        <v>0</v>
      </c>
    </row>
    <row r="2664" spans="1:24" x14ac:dyDescent="0.25">
      <c r="A2664">
        <v>2006</v>
      </c>
      <c r="B2664">
        <v>6</v>
      </c>
      <c r="C2664" t="s">
        <v>63</v>
      </c>
      <c r="D2664" t="str">
        <f>_xlfn.XLOOKUP(C2664,'Carrier Name Rename'!A:A,'Carrier Name Rename'!B:B)</f>
        <v>AirTran Airways Corporation</v>
      </c>
      <c r="E2664" t="s">
        <v>23</v>
      </c>
      <c r="F2664" t="s">
        <v>24</v>
      </c>
      <c r="G2664">
        <v>60</v>
      </c>
      <c r="H2664">
        <v>30</v>
      </c>
      <c r="I2664">
        <v>7.68</v>
      </c>
      <c r="J2664">
        <v>0.77</v>
      </c>
      <c r="K2664">
        <v>17.239999999999998</v>
      </c>
      <c r="L2664">
        <v>0</v>
      </c>
      <c r="M2664">
        <v>4.3099999999999996</v>
      </c>
      <c r="N2664">
        <v>0</v>
      </c>
      <c r="O2664">
        <v>0</v>
      </c>
      <c r="P2664">
        <v>1007</v>
      </c>
      <c r="Q2664">
        <v>226</v>
      </c>
      <c r="R2664">
        <v>67</v>
      </c>
      <c r="S2664">
        <v>496</v>
      </c>
      <c r="T2664">
        <v>0</v>
      </c>
      <c r="U2664">
        <v>218</v>
      </c>
      <c r="V2664" s="1">
        <f t="shared" si="123"/>
        <v>0.5</v>
      </c>
      <c r="W2664" s="1">
        <f t="shared" si="124"/>
        <v>0</v>
      </c>
      <c r="X2664" s="1">
        <f t="shared" si="125"/>
        <v>0</v>
      </c>
    </row>
    <row r="2665" spans="1:24" x14ac:dyDescent="0.25">
      <c r="A2665">
        <v>2006</v>
      </c>
      <c r="B2665">
        <v>6</v>
      </c>
      <c r="C2665" t="s">
        <v>21</v>
      </c>
      <c r="D2665" t="str">
        <f>_xlfn.XLOOKUP(C2665,'Carrier Name Rename'!A:A,'Carrier Name Rename'!B:B)</f>
        <v>Hawaiian Airlines Inc.</v>
      </c>
      <c r="E2665" t="s">
        <v>23</v>
      </c>
      <c r="F2665" t="s">
        <v>24</v>
      </c>
      <c r="G2665">
        <v>47</v>
      </c>
      <c r="H2665">
        <v>4</v>
      </c>
      <c r="I2665">
        <v>4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149</v>
      </c>
      <c r="Q2665">
        <v>149</v>
      </c>
      <c r="R2665">
        <v>0</v>
      </c>
      <c r="S2665">
        <v>0</v>
      </c>
      <c r="T2665">
        <v>0</v>
      </c>
      <c r="U2665">
        <v>0</v>
      </c>
      <c r="V2665" s="1">
        <f t="shared" si="123"/>
        <v>8.5099999999999995E-2</v>
      </c>
      <c r="W2665" s="1">
        <f t="shared" si="124"/>
        <v>0</v>
      </c>
      <c r="X2665" s="1">
        <f t="shared" si="125"/>
        <v>0</v>
      </c>
    </row>
    <row r="2666" spans="1:24" x14ac:dyDescent="0.25">
      <c r="A2666">
        <v>2006</v>
      </c>
      <c r="B2666">
        <v>6</v>
      </c>
      <c r="C2666" t="s">
        <v>67</v>
      </c>
      <c r="D2666" t="str">
        <f>_xlfn.XLOOKUP(C2666,'Carrier Name Rename'!A:A,'Carrier Name Rename'!B:B)</f>
        <v>Northwest Airlines Inc.</v>
      </c>
      <c r="E2666" t="s">
        <v>23</v>
      </c>
      <c r="F2666" t="s">
        <v>24</v>
      </c>
      <c r="G2666">
        <v>505</v>
      </c>
      <c r="H2666">
        <v>113</v>
      </c>
      <c r="I2666">
        <v>45.18</v>
      </c>
      <c r="J2666">
        <v>6.64</v>
      </c>
      <c r="K2666">
        <v>49.46</v>
      </c>
      <c r="L2666">
        <v>0.26</v>
      </c>
      <c r="M2666">
        <v>11.46</v>
      </c>
      <c r="N2666">
        <v>0</v>
      </c>
      <c r="O2666">
        <v>0</v>
      </c>
      <c r="P2666">
        <v>5690</v>
      </c>
      <c r="Q2666">
        <v>2521</v>
      </c>
      <c r="R2666">
        <v>810</v>
      </c>
      <c r="S2666">
        <v>1545</v>
      </c>
      <c r="T2666">
        <v>6</v>
      </c>
      <c r="U2666">
        <v>808</v>
      </c>
      <c r="V2666" s="1">
        <f t="shared" si="123"/>
        <v>0.2238</v>
      </c>
      <c r="W2666" s="1">
        <f t="shared" si="124"/>
        <v>0</v>
      </c>
      <c r="X2666" s="1">
        <f t="shared" si="125"/>
        <v>0</v>
      </c>
    </row>
    <row r="2667" spans="1:24" x14ac:dyDescent="0.25">
      <c r="A2667">
        <v>2006</v>
      </c>
      <c r="B2667">
        <v>6</v>
      </c>
      <c r="C2667" t="s">
        <v>27</v>
      </c>
      <c r="D2667" t="str">
        <f>_xlfn.XLOOKUP(C2667,'Carrier Name Rename'!A:A,'Carrier Name Rename'!B:B)</f>
        <v>SkyWest Airlines Inc.</v>
      </c>
      <c r="E2667" t="s">
        <v>23</v>
      </c>
      <c r="F2667" t="s">
        <v>24</v>
      </c>
      <c r="G2667">
        <v>392</v>
      </c>
      <c r="H2667">
        <v>42</v>
      </c>
      <c r="I2667">
        <v>31</v>
      </c>
      <c r="J2667">
        <v>1</v>
      </c>
      <c r="K2667">
        <v>1</v>
      </c>
      <c r="L2667">
        <v>1</v>
      </c>
      <c r="M2667">
        <v>8</v>
      </c>
      <c r="N2667">
        <v>3</v>
      </c>
      <c r="O2667">
        <v>0</v>
      </c>
      <c r="P2667">
        <v>1341</v>
      </c>
      <c r="Q2667">
        <v>974</v>
      </c>
      <c r="R2667">
        <v>130</v>
      </c>
      <c r="S2667">
        <v>18</v>
      </c>
      <c r="T2667">
        <v>43</v>
      </c>
      <c r="U2667">
        <v>176</v>
      </c>
      <c r="V2667" s="1">
        <f t="shared" si="123"/>
        <v>0.1071</v>
      </c>
      <c r="W2667" s="1">
        <f t="shared" si="124"/>
        <v>7.7000000000000002E-3</v>
      </c>
      <c r="X2667" s="1">
        <f t="shared" si="125"/>
        <v>0</v>
      </c>
    </row>
    <row r="2668" spans="1:24" x14ac:dyDescent="0.25">
      <c r="A2668">
        <v>2006</v>
      </c>
      <c r="B2668">
        <v>6</v>
      </c>
      <c r="C2668" t="s">
        <v>41</v>
      </c>
      <c r="D2668" t="str">
        <f>_xlfn.XLOOKUP(C2668,'Carrier Name Rename'!A:A,'Carrier Name Rename'!B:B)</f>
        <v>United Air Lines Inc.</v>
      </c>
      <c r="E2668" t="s">
        <v>23</v>
      </c>
      <c r="F2668" t="s">
        <v>24</v>
      </c>
      <c r="G2668">
        <v>972</v>
      </c>
      <c r="H2668">
        <v>287</v>
      </c>
      <c r="I2668">
        <v>73.150000000000006</v>
      </c>
      <c r="J2668">
        <v>8.7100000000000009</v>
      </c>
      <c r="K2668">
        <v>81.55</v>
      </c>
      <c r="L2668">
        <v>0</v>
      </c>
      <c r="M2668">
        <v>123.58</v>
      </c>
      <c r="N2668">
        <v>9</v>
      </c>
      <c r="O2668">
        <v>1</v>
      </c>
      <c r="P2668">
        <v>15905</v>
      </c>
      <c r="Q2668">
        <v>3698</v>
      </c>
      <c r="R2668">
        <v>608</v>
      </c>
      <c r="S2668">
        <v>2849</v>
      </c>
      <c r="T2668">
        <v>0</v>
      </c>
      <c r="U2668">
        <v>8750</v>
      </c>
      <c r="V2668" s="1">
        <f t="shared" si="123"/>
        <v>0.29530000000000001</v>
      </c>
      <c r="W2668" s="1">
        <f t="shared" si="124"/>
        <v>9.2999999999999992E-3</v>
      </c>
      <c r="X2668" s="1">
        <f t="shared" si="125"/>
        <v>1E-3</v>
      </c>
    </row>
    <row r="2669" spans="1:24" x14ac:dyDescent="0.25">
      <c r="A2669">
        <v>2006</v>
      </c>
      <c r="B2669">
        <v>6</v>
      </c>
      <c r="C2669" t="s">
        <v>61</v>
      </c>
      <c r="D2669" t="str">
        <f>_xlfn.XLOOKUP(C2669,'Carrier Name Rename'!A:A,'Carrier Name Rename'!B:B)</f>
        <v>US Airways Inc.</v>
      </c>
      <c r="E2669" t="s">
        <v>23</v>
      </c>
      <c r="F2669" t="s">
        <v>24</v>
      </c>
      <c r="G2669">
        <v>466</v>
      </c>
      <c r="H2669">
        <v>158</v>
      </c>
      <c r="I2669">
        <v>65.33</v>
      </c>
      <c r="J2669">
        <v>4.28</v>
      </c>
      <c r="K2669">
        <v>61.09</v>
      </c>
      <c r="L2669">
        <v>1.19</v>
      </c>
      <c r="M2669">
        <v>26.1</v>
      </c>
      <c r="N2669">
        <v>1</v>
      </c>
      <c r="O2669">
        <v>0</v>
      </c>
      <c r="P2669">
        <v>8353</v>
      </c>
      <c r="Q2669">
        <v>3356</v>
      </c>
      <c r="R2669">
        <v>312</v>
      </c>
      <c r="S2669">
        <v>2970</v>
      </c>
      <c r="T2669">
        <v>28</v>
      </c>
      <c r="U2669">
        <v>1687</v>
      </c>
      <c r="V2669" s="1">
        <f t="shared" si="123"/>
        <v>0.33910000000000001</v>
      </c>
      <c r="W2669" s="1">
        <f t="shared" si="124"/>
        <v>2.0999999999999999E-3</v>
      </c>
      <c r="X2669" s="1">
        <f t="shared" si="125"/>
        <v>0</v>
      </c>
    </row>
    <row r="2670" spans="1:24" x14ac:dyDescent="0.25">
      <c r="A2670">
        <v>2006</v>
      </c>
      <c r="B2670">
        <v>6</v>
      </c>
      <c r="C2670" t="s">
        <v>43</v>
      </c>
      <c r="D2670" t="str">
        <f>_xlfn.XLOOKUP(C2670,'Carrier Name Rename'!A:A,'Carrier Name Rename'!B:B)</f>
        <v>Southwest Airlines Co.</v>
      </c>
      <c r="E2670" t="s">
        <v>23</v>
      </c>
      <c r="F2670" t="s">
        <v>24</v>
      </c>
      <c r="G2670">
        <v>1151</v>
      </c>
      <c r="H2670">
        <v>227</v>
      </c>
      <c r="I2670">
        <v>65.819999999999993</v>
      </c>
      <c r="J2670">
        <v>1.49</v>
      </c>
      <c r="K2670">
        <v>33.409999999999997</v>
      </c>
      <c r="L2670">
        <v>0.4</v>
      </c>
      <c r="M2670">
        <v>125.88</v>
      </c>
      <c r="N2670">
        <v>0</v>
      </c>
      <c r="O2670">
        <v>0</v>
      </c>
      <c r="P2670">
        <v>9580</v>
      </c>
      <c r="Q2670">
        <v>2485</v>
      </c>
      <c r="R2670">
        <v>90</v>
      </c>
      <c r="S2670">
        <v>853</v>
      </c>
      <c r="T2670">
        <v>15</v>
      </c>
      <c r="U2670">
        <v>6137</v>
      </c>
      <c r="V2670" s="1">
        <f t="shared" si="123"/>
        <v>0.19719999999999999</v>
      </c>
      <c r="W2670" s="1">
        <f t="shared" si="124"/>
        <v>0</v>
      </c>
      <c r="X2670" s="1">
        <f t="shared" si="125"/>
        <v>0</v>
      </c>
    </row>
    <row r="2671" spans="1:24" x14ac:dyDescent="0.25">
      <c r="A2671">
        <v>2006</v>
      </c>
      <c r="B2671">
        <v>6</v>
      </c>
      <c r="C2671" t="s">
        <v>71</v>
      </c>
      <c r="D2671" t="str">
        <f>_xlfn.XLOOKUP(C2671,'Carrier Name Rename'!A:A,'Carrier Name Rename'!B:B)</f>
        <v>Mesa Airlines Inc.</v>
      </c>
      <c r="E2671" t="s">
        <v>23</v>
      </c>
      <c r="F2671" t="s">
        <v>24</v>
      </c>
      <c r="G2671">
        <v>34</v>
      </c>
      <c r="H2671">
        <v>7</v>
      </c>
      <c r="I2671">
        <v>3</v>
      </c>
      <c r="J2671">
        <v>0</v>
      </c>
      <c r="K2671">
        <v>1</v>
      </c>
      <c r="L2671">
        <v>0</v>
      </c>
      <c r="M2671">
        <v>3</v>
      </c>
      <c r="N2671">
        <v>1</v>
      </c>
      <c r="O2671">
        <v>0</v>
      </c>
      <c r="P2671">
        <v>396</v>
      </c>
      <c r="Q2671">
        <v>125</v>
      </c>
      <c r="R2671">
        <v>0</v>
      </c>
      <c r="S2671">
        <v>33</v>
      </c>
      <c r="T2671">
        <v>0</v>
      </c>
      <c r="U2671">
        <v>238</v>
      </c>
      <c r="V2671" s="1">
        <f t="shared" si="123"/>
        <v>0.2059</v>
      </c>
      <c r="W2671" s="1">
        <f t="shared" si="124"/>
        <v>2.9399999999999999E-2</v>
      </c>
      <c r="X2671" s="1">
        <f t="shared" si="125"/>
        <v>0</v>
      </c>
    </row>
    <row r="2672" spans="1:24" x14ac:dyDescent="0.25">
      <c r="A2672">
        <v>2006</v>
      </c>
      <c r="B2672">
        <v>5</v>
      </c>
      <c r="C2672" t="s">
        <v>31</v>
      </c>
      <c r="D2672" t="str">
        <f>_xlfn.XLOOKUP(C2672,'Carrier Name Rename'!A:A,'Carrier Name Rename'!B:B)</f>
        <v>American Airlines Inc.</v>
      </c>
      <c r="E2672" t="s">
        <v>23</v>
      </c>
      <c r="F2672" t="s">
        <v>24</v>
      </c>
      <c r="G2672">
        <v>589</v>
      </c>
      <c r="H2672">
        <v>143</v>
      </c>
      <c r="I2672">
        <v>44.68</v>
      </c>
      <c r="J2672">
        <v>7.39</v>
      </c>
      <c r="K2672">
        <v>53.53</v>
      </c>
      <c r="L2672">
        <v>0</v>
      </c>
      <c r="M2672">
        <v>37.39</v>
      </c>
      <c r="N2672">
        <v>1</v>
      </c>
      <c r="O2672">
        <v>1</v>
      </c>
      <c r="P2672">
        <v>7538</v>
      </c>
      <c r="Q2672">
        <v>2069</v>
      </c>
      <c r="R2672">
        <v>431</v>
      </c>
      <c r="S2672">
        <v>1931</v>
      </c>
      <c r="T2672">
        <v>0</v>
      </c>
      <c r="U2672">
        <v>3107</v>
      </c>
      <c r="V2672" s="1">
        <f t="shared" si="123"/>
        <v>0.24279999999999999</v>
      </c>
      <c r="W2672" s="1">
        <f t="shared" si="124"/>
        <v>1.6999999999999999E-3</v>
      </c>
      <c r="X2672" s="1">
        <f t="shared" si="125"/>
        <v>1.6999999999999999E-3</v>
      </c>
    </row>
    <row r="2673" spans="1:24" x14ac:dyDescent="0.25">
      <c r="A2673">
        <v>2006</v>
      </c>
      <c r="B2673">
        <v>5</v>
      </c>
      <c r="C2673" t="s">
        <v>33</v>
      </c>
      <c r="D2673" t="str">
        <f>_xlfn.XLOOKUP(C2673,'Carrier Name Rename'!A:A,'Carrier Name Rename'!B:B)</f>
        <v>Alaska Airlines Inc.</v>
      </c>
      <c r="E2673" t="s">
        <v>23</v>
      </c>
      <c r="F2673" t="s">
        <v>24</v>
      </c>
      <c r="G2673">
        <v>4216</v>
      </c>
      <c r="H2673">
        <v>715</v>
      </c>
      <c r="I2673">
        <v>218.69</v>
      </c>
      <c r="J2673">
        <v>5.0599999999999996</v>
      </c>
      <c r="K2673">
        <v>192.81</v>
      </c>
      <c r="L2673">
        <v>3.96</v>
      </c>
      <c r="M2673">
        <v>294.48</v>
      </c>
      <c r="N2673">
        <v>38</v>
      </c>
      <c r="O2673">
        <v>5</v>
      </c>
      <c r="P2673">
        <v>33382</v>
      </c>
      <c r="Q2673">
        <v>11492</v>
      </c>
      <c r="R2673">
        <v>205</v>
      </c>
      <c r="S2673">
        <v>5544</v>
      </c>
      <c r="T2673">
        <v>106</v>
      </c>
      <c r="U2673">
        <v>16035</v>
      </c>
      <c r="V2673" s="1">
        <f t="shared" si="123"/>
        <v>0.1696</v>
      </c>
      <c r="W2673" s="1">
        <f t="shared" si="124"/>
        <v>8.9999999999999993E-3</v>
      </c>
      <c r="X2673" s="1">
        <f t="shared" si="125"/>
        <v>1.1999999999999999E-3</v>
      </c>
    </row>
    <row r="2674" spans="1:24" x14ac:dyDescent="0.25">
      <c r="A2674">
        <v>2006</v>
      </c>
      <c r="B2674">
        <v>5</v>
      </c>
      <c r="C2674" t="s">
        <v>35</v>
      </c>
      <c r="D2674" t="str">
        <f>_xlfn.XLOOKUP(C2674,'Carrier Name Rename'!A:A,'Carrier Name Rename'!B:B)</f>
        <v>JetBlue Airways</v>
      </c>
      <c r="E2674" t="s">
        <v>23</v>
      </c>
      <c r="F2674" t="s">
        <v>24</v>
      </c>
      <c r="G2674">
        <v>91</v>
      </c>
      <c r="H2674">
        <v>18</v>
      </c>
      <c r="I2674">
        <v>2.06</v>
      </c>
      <c r="J2674">
        <v>1.1299999999999999</v>
      </c>
      <c r="K2674">
        <v>6.76</v>
      </c>
      <c r="L2674">
        <v>0</v>
      </c>
      <c r="M2674">
        <v>8.0500000000000007</v>
      </c>
      <c r="N2674">
        <v>0</v>
      </c>
      <c r="O2674">
        <v>1</v>
      </c>
      <c r="P2674">
        <v>673</v>
      </c>
      <c r="Q2674">
        <v>60</v>
      </c>
      <c r="R2674">
        <v>130</v>
      </c>
      <c r="S2674">
        <v>180</v>
      </c>
      <c r="T2674">
        <v>0</v>
      </c>
      <c r="U2674">
        <v>303</v>
      </c>
      <c r="V2674" s="1">
        <f t="shared" si="123"/>
        <v>0.1978</v>
      </c>
      <c r="W2674" s="1">
        <f t="shared" si="124"/>
        <v>0</v>
      </c>
      <c r="X2674" s="1">
        <f t="shared" si="125"/>
        <v>1.0999999999999999E-2</v>
      </c>
    </row>
    <row r="2675" spans="1:24" x14ac:dyDescent="0.25">
      <c r="A2675">
        <v>2006</v>
      </c>
      <c r="B2675">
        <v>5</v>
      </c>
      <c r="C2675" t="s">
        <v>65</v>
      </c>
      <c r="D2675" t="str">
        <f>_xlfn.XLOOKUP(C2675,'Carrier Name Rename'!A:A,'Carrier Name Rename'!B:B)</f>
        <v>Continental Air Lines Inc.</v>
      </c>
      <c r="E2675" t="s">
        <v>23</v>
      </c>
      <c r="F2675" t="s">
        <v>24</v>
      </c>
      <c r="G2675">
        <v>397</v>
      </c>
      <c r="H2675">
        <v>113</v>
      </c>
      <c r="I2675">
        <v>27.69</v>
      </c>
      <c r="J2675">
        <v>9.75</v>
      </c>
      <c r="K2675">
        <v>51.9</v>
      </c>
      <c r="L2675">
        <v>0.28000000000000003</v>
      </c>
      <c r="M2675">
        <v>23.39</v>
      </c>
      <c r="N2675">
        <v>0</v>
      </c>
      <c r="O2675">
        <v>0</v>
      </c>
      <c r="P2675">
        <v>5215</v>
      </c>
      <c r="Q2675">
        <v>1101</v>
      </c>
      <c r="R2675">
        <v>859</v>
      </c>
      <c r="S2675">
        <v>1586</v>
      </c>
      <c r="T2675">
        <v>9</v>
      </c>
      <c r="U2675">
        <v>1660</v>
      </c>
      <c r="V2675" s="1">
        <f t="shared" si="123"/>
        <v>0.28460000000000002</v>
      </c>
      <c r="W2675" s="1">
        <f t="shared" si="124"/>
        <v>0</v>
      </c>
      <c r="X2675" s="1">
        <f t="shared" si="125"/>
        <v>0</v>
      </c>
    </row>
    <row r="2676" spans="1:24" x14ac:dyDescent="0.25">
      <c r="A2676">
        <v>2006</v>
      </c>
      <c r="B2676">
        <v>5</v>
      </c>
      <c r="C2676" t="s">
        <v>37</v>
      </c>
      <c r="D2676" t="str">
        <f>_xlfn.XLOOKUP(C2676,'Carrier Name Rename'!A:A,'Carrier Name Rename'!B:B)</f>
        <v>Delta Air Lines Inc.</v>
      </c>
      <c r="E2676" t="s">
        <v>23</v>
      </c>
      <c r="F2676" t="s">
        <v>24</v>
      </c>
      <c r="G2676">
        <v>488</v>
      </c>
      <c r="H2676">
        <v>90</v>
      </c>
      <c r="I2676">
        <v>34.06</v>
      </c>
      <c r="J2676">
        <v>4.42</v>
      </c>
      <c r="K2676">
        <v>31.35</v>
      </c>
      <c r="L2676">
        <v>0</v>
      </c>
      <c r="M2676">
        <v>20.170000000000002</v>
      </c>
      <c r="N2676">
        <v>1</v>
      </c>
      <c r="O2676">
        <v>0</v>
      </c>
      <c r="P2676">
        <v>3425</v>
      </c>
      <c r="Q2676">
        <v>1252</v>
      </c>
      <c r="R2676">
        <v>255</v>
      </c>
      <c r="S2676">
        <v>967</v>
      </c>
      <c r="T2676">
        <v>0</v>
      </c>
      <c r="U2676">
        <v>951</v>
      </c>
      <c r="V2676" s="1">
        <f t="shared" si="123"/>
        <v>0.18440000000000001</v>
      </c>
      <c r="W2676" s="1">
        <f t="shared" si="124"/>
        <v>2E-3</v>
      </c>
      <c r="X2676" s="1">
        <f t="shared" si="125"/>
        <v>0</v>
      </c>
    </row>
    <row r="2677" spans="1:24" x14ac:dyDescent="0.25">
      <c r="A2677">
        <v>2006</v>
      </c>
      <c r="B2677">
        <v>5</v>
      </c>
      <c r="C2677" t="s">
        <v>39</v>
      </c>
      <c r="D2677" t="str">
        <f>_xlfn.XLOOKUP(C2677,'Carrier Name Rename'!A:A,'Carrier Name Rename'!B:B)</f>
        <v>Frontier Airlines Inc.</v>
      </c>
      <c r="E2677" t="s">
        <v>23</v>
      </c>
      <c r="F2677" t="s">
        <v>24</v>
      </c>
      <c r="G2677">
        <v>143</v>
      </c>
      <c r="H2677">
        <v>26</v>
      </c>
      <c r="I2677">
        <v>8.82</v>
      </c>
      <c r="J2677">
        <v>1.4</v>
      </c>
      <c r="K2677">
        <v>14.24</v>
      </c>
      <c r="L2677">
        <v>0</v>
      </c>
      <c r="M2677">
        <v>1.54</v>
      </c>
      <c r="N2677">
        <v>0</v>
      </c>
      <c r="O2677">
        <v>0</v>
      </c>
      <c r="P2677">
        <v>805</v>
      </c>
      <c r="Q2677">
        <v>278</v>
      </c>
      <c r="R2677">
        <v>73</v>
      </c>
      <c r="S2677">
        <v>413</v>
      </c>
      <c r="T2677">
        <v>0</v>
      </c>
      <c r="U2677">
        <v>41</v>
      </c>
      <c r="V2677" s="1">
        <f t="shared" si="123"/>
        <v>0.18179999999999999</v>
      </c>
      <c r="W2677" s="1">
        <f t="shared" si="124"/>
        <v>0</v>
      </c>
      <c r="X2677" s="1">
        <f t="shared" si="125"/>
        <v>0</v>
      </c>
    </row>
    <row r="2678" spans="1:24" x14ac:dyDescent="0.25">
      <c r="A2678">
        <v>2006</v>
      </c>
      <c r="B2678">
        <v>5</v>
      </c>
      <c r="C2678" t="s">
        <v>63</v>
      </c>
      <c r="D2678" t="str">
        <f>_xlfn.XLOOKUP(C2678,'Carrier Name Rename'!A:A,'Carrier Name Rename'!B:B)</f>
        <v>AirTran Airways Corporation</v>
      </c>
      <c r="E2678" t="s">
        <v>23</v>
      </c>
      <c r="F2678" t="s">
        <v>24</v>
      </c>
      <c r="G2678">
        <v>14</v>
      </c>
      <c r="H2678">
        <v>5</v>
      </c>
      <c r="I2678">
        <v>0.35</v>
      </c>
      <c r="J2678">
        <v>0</v>
      </c>
      <c r="K2678">
        <v>3.14</v>
      </c>
      <c r="L2678">
        <v>0</v>
      </c>
      <c r="M2678">
        <v>1.5</v>
      </c>
      <c r="N2678">
        <v>0</v>
      </c>
      <c r="O2678">
        <v>0</v>
      </c>
      <c r="P2678">
        <v>155</v>
      </c>
      <c r="Q2678">
        <v>6</v>
      </c>
      <c r="R2678">
        <v>0</v>
      </c>
      <c r="S2678">
        <v>85</v>
      </c>
      <c r="T2678">
        <v>0</v>
      </c>
      <c r="U2678">
        <v>64</v>
      </c>
      <c r="V2678" s="1">
        <f t="shared" si="123"/>
        <v>0.35709999999999997</v>
      </c>
      <c r="W2678" s="1">
        <f t="shared" si="124"/>
        <v>0</v>
      </c>
      <c r="X2678" s="1">
        <f t="shared" si="125"/>
        <v>0</v>
      </c>
    </row>
    <row r="2679" spans="1:24" x14ac:dyDescent="0.25">
      <c r="A2679">
        <v>2006</v>
      </c>
      <c r="B2679">
        <v>5</v>
      </c>
      <c r="C2679" t="s">
        <v>21</v>
      </c>
      <c r="D2679" t="str">
        <f>_xlfn.XLOOKUP(C2679,'Carrier Name Rename'!A:A,'Carrier Name Rename'!B:B)</f>
        <v>Hawaiian Airlines Inc.</v>
      </c>
      <c r="E2679" t="s">
        <v>23</v>
      </c>
      <c r="F2679" t="s">
        <v>24</v>
      </c>
      <c r="G2679">
        <v>49</v>
      </c>
      <c r="H2679">
        <v>15</v>
      </c>
      <c r="I2679">
        <v>13.55</v>
      </c>
      <c r="J2679">
        <v>0</v>
      </c>
      <c r="K2679">
        <v>0.24</v>
      </c>
      <c r="L2679">
        <v>0</v>
      </c>
      <c r="M2679">
        <v>1.21</v>
      </c>
      <c r="N2679">
        <v>0</v>
      </c>
      <c r="O2679">
        <v>0</v>
      </c>
      <c r="P2679">
        <v>361</v>
      </c>
      <c r="Q2679">
        <v>328</v>
      </c>
      <c r="R2679">
        <v>0</v>
      </c>
      <c r="S2679">
        <v>6</v>
      </c>
      <c r="T2679">
        <v>0</v>
      </c>
      <c r="U2679">
        <v>27</v>
      </c>
      <c r="V2679" s="1">
        <f t="shared" si="123"/>
        <v>0.30609999999999998</v>
      </c>
      <c r="W2679" s="1">
        <f t="shared" si="124"/>
        <v>0</v>
      </c>
      <c r="X2679" s="1">
        <f t="shared" si="125"/>
        <v>0</v>
      </c>
    </row>
    <row r="2680" spans="1:24" x14ac:dyDescent="0.25">
      <c r="A2680">
        <v>2006</v>
      </c>
      <c r="B2680">
        <v>5</v>
      </c>
      <c r="C2680" t="s">
        <v>67</v>
      </c>
      <c r="D2680" t="str">
        <f>_xlfn.XLOOKUP(C2680,'Carrier Name Rename'!A:A,'Carrier Name Rename'!B:B)</f>
        <v>Northwest Airlines Inc.</v>
      </c>
      <c r="E2680" t="s">
        <v>23</v>
      </c>
      <c r="F2680" t="s">
        <v>24</v>
      </c>
      <c r="G2680">
        <v>402</v>
      </c>
      <c r="H2680">
        <v>80</v>
      </c>
      <c r="I2680">
        <v>34.020000000000003</v>
      </c>
      <c r="J2680">
        <v>3.07</v>
      </c>
      <c r="K2680">
        <v>37.619999999999997</v>
      </c>
      <c r="L2680">
        <v>0</v>
      </c>
      <c r="M2680">
        <v>5.3</v>
      </c>
      <c r="N2680">
        <v>0</v>
      </c>
      <c r="O2680">
        <v>2</v>
      </c>
      <c r="P2680">
        <v>3653</v>
      </c>
      <c r="Q2680">
        <v>1903</v>
      </c>
      <c r="R2680">
        <v>583</v>
      </c>
      <c r="S2680">
        <v>889</v>
      </c>
      <c r="T2680">
        <v>0</v>
      </c>
      <c r="U2680">
        <v>278</v>
      </c>
      <c r="V2680" s="1">
        <f t="shared" si="123"/>
        <v>0.19900000000000001</v>
      </c>
      <c r="W2680" s="1">
        <f t="shared" si="124"/>
        <v>0</v>
      </c>
      <c r="X2680" s="1">
        <f t="shared" si="125"/>
        <v>5.0000000000000001E-3</v>
      </c>
    </row>
    <row r="2681" spans="1:24" x14ac:dyDescent="0.25">
      <c r="A2681">
        <v>2006</v>
      </c>
      <c r="B2681">
        <v>5</v>
      </c>
      <c r="C2681" t="s">
        <v>27</v>
      </c>
      <c r="D2681" t="str">
        <f>_xlfn.XLOOKUP(C2681,'Carrier Name Rename'!A:A,'Carrier Name Rename'!B:B)</f>
        <v>SkyWest Airlines Inc.</v>
      </c>
      <c r="E2681" t="s">
        <v>23</v>
      </c>
      <c r="F2681" t="s">
        <v>24</v>
      </c>
      <c r="G2681">
        <v>377</v>
      </c>
      <c r="H2681">
        <v>15</v>
      </c>
      <c r="I2681">
        <v>14</v>
      </c>
      <c r="J2681">
        <v>1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365</v>
      </c>
      <c r="Q2681">
        <v>318</v>
      </c>
      <c r="R2681">
        <v>47</v>
      </c>
      <c r="S2681">
        <v>0</v>
      </c>
      <c r="T2681">
        <v>0</v>
      </c>
      <c r="U2681">
        <v>0</v>
      </c>
      <c r="V2681" s="1">
        <f t="shared" si="123"/>
        <v>3.9800000000000002E-2</v>
      </c>
      <c r="W2681" s="1">
        <f t="shared" si="124"/>
        <v>0</v>
      </c>
      <c r="X2681" s="1">
        <f t="shared" si="125"/>
        <v>0</v>
      </c>
    </row>
    <row r="2682" spans="1:24" x14ac:dyDescent="0.25">
      <c r="A2682">
        <v>2006</v>
      </c>
      <c r="B2682">
        <v>5</v>
      </c>
      <c r="C2682" t="s">
        <v>41</v>
      </c>
      <c r="D2682" t="str">
        <f>_xlfn.XLOOKUP(C2682,'Carrier Name Rename'!A:A,'Carrier Name Rename'!B:B)</f>
        <v>United Air Lines Inc.</v>
      </c>
      <c r="E2682" t="s">
        <v>23</v>
      </c>
      <c r="F2682" t="s">
        <v>24</v>
      </c>
      <c r="G2682">
        <v>942</v>
      </c>
      <c r="H2682">
        <v>238</v>
      </c>
      <c r="I2682">
        <v>53.86</v>
      </c>
      <c r="J2682">
        <v>1.69</v>
      </c>
      <c r="K2682">
        <v>63.23</v>
      </c>
      <c r="L2682">
        <v>0</v>
      </c>
      <c r="M2682">
        <v>119.22</v>
      </c>
      <c r="N2682">
        <v>5</v>
      </c>
      <c r="O2682">
        <v>0</v>
      </c>
      <c r="P2682">
        <v>13920</v>
      </c>
      <c r="Q2682">
        <v>3079</v>
      </c>
      <c r="R2682">
        <v>109</v>
      </c>
      <c r="S2682">
        <v>2406</v>
      </c>
      <c r="T2682">
        <v>0</v>
      </c>
      <c r="U2682">
        <v>8326</v>
      </c>
      <c r="V2682" s="1">
        <f t="shared" si="123"/>
        <v>0.25269999999999998</v>
      </c>
      <c r="W2682" s="1">
        <f t="shared" si="124"/>
        <v>5.3E-3</v>
      </c>
      <c r="X2682" s="1">
        <f t="shared" si="125"/>
        <v>0</v>
      </c>
    </row>
    <row r="2683" spans="1:24" x14ac:dyDescent="0.25">
      <c r="A2683">
        <v>2006</v>
      </c>
      <c r="B2683">
        <v>5</v>
      </c>
      <c r="C2683" t="s">
        <v>61</v>
      </c>
      <c r="D2683" t="str">
        <f>_xlfn.XLOOKUP(C2683,'Carrier Name Rename'!A:A,'Carrier Name Rename'!B:B)</f>
        <v>US Airways Inc.</v>
      </c>
      <c r="E2683" t="s">
        <v>23</v>
      </c>
      <c r="F2683" t="s">
        <v>24</v>
      </c>
      <c r="G2683">
        <v>432</v>
      </c>
      <c r="H2683">
        <v>105</v>
      </c>
      <c r="I2683">
        <v>38.409999999999997</v>
      </c>
      <c r="J2683">
        <v>1.74</v>
      </c>
      <c r="K2683">
        <v>44.77</v>
      </c>
      <c r="L2683">
        <v>0.78</v>
      </c>
      <c r="M2683">
        <v>19.29</v>
      </c>
      <c r="N2683">
        <v>0</v>
      </c>
      <c r="O2683">
        <v>0</v>
      </c>
      <c r="P2683">
        <v>4453</v>
      </c>
      <c r="Q2683">
        <v>1644</v>
      </c>
      <c r="R2683">
        <v>92</v>
      </c>
      <c r="S2683">
        <v>1626</v>
      </c>
      <c r="T2683">
        <v>20</v>
      </c>
      <c r="U2683">
        <v>1071</v>
      </c>
      <c r="V2683" s="1">
        <f t="shared" si="123"/>
        <v>0.24310000000000001</v>
      </c>
      <c r="W2683" s="1">
        <f t="shared" si="124"/>
        <v>0</v>
      </c>
      <c r="X2683" s="1">
        <f t="shared" si="125"/>
        <v>0</v>
      </c>
    </row>
    <row r="2684" spans="1:24" x14ac:dyDescent="0.25">
      <c r="A2684">
        <v>2006</v>
      </c>
      <c r="B2684">
        <v>5</v>
      </c>
      <c r="C2684" t="s">
        <v>43</v>
      </c>
      <c r="D2684" t="str">
        <f>_xlfn.XLOOKUP(C2684,'Carrier Name Rename'!A:A,'Carrier Name Rename'!B:B)</f>
        <v>Southwest Airlines Co.</v>
      </c>
      <c r="E2684" t="s">
        <v>23</v>
      </c>
      <c r="F2684" t="s">
        <v>24</v>
      </c>
      <c r="G2684">
        <v>1143</v>
      </c>
      <c r="H2684">
        <v>132</v>
      </c>
      <c r="I2684">
        <v>37.090000000000003</v>
      </c>
      <c r="J2684">
        <v>2.61</v>
      </c>
      <c r="K2684">
        <v>17.95</v>
      </c>
      <c r="L2684">
        <v>0.28999999999999998</v>
      </c>
      <c r="M2684">
        <v>74.06</v>
      </c>
      <c r="N2684">
        <v>2</v>
      </c>
      <c r="O2684">
        <v>1</v>
      </c>
      <c r="P2684">
        <v>5595</v>
      </c>
      <c r="Q2684">
        <v>1539</v>
      </c>
      <c r="R2684">
        <v>159</v>
      </c>
      <c r="S2684">
        <v>504</v>
      </c>
      <c r="T2684">
        <v>10</v>
      </c>
      <c r="U2684">
        <v>3383</v>
      </c>
      <c r="V2684" s="1">
        <f t="shared" si="123"/>
        <v>0.11550000000000001</v>
      </c>
      <c r="W2684" s="1">
        <f t="shared" si="124"/>
        <v>1.6999999999999999E-3</v>
      </c>
      <c r="X2684" s="1">
        <f t="shared" si="125"/>
        <v>8.9999999999999998E-4</v>
      </c>
    </row>
    <row r="2685" spans="1:24" x14ac:dyDescent="0.25">
      <c r="A2685">
        <v>2006</v>
      </c>
      <c r="B2685">
        <v>5</v>
      </c>
      <c r="C2685" t="s">
        <v>71</v>
      </c>
      <c r="D2685" t="str">
        <f>_xlfn.XLOOKUP(C2685,'Carrier Name Rename'!A:A,'Carrier Name Rename'!B:B)</f>
        <v>Mesa Airlines Inc.</v>
      </c>
      <c r="E2685" t="s">
        <v>23</v>
      </c>
      <c r="F2685" t="s">
        <v>24</v>
      </c>
      <c r="G2685">
        <v>37</v>
      </c>
      <c r="H2685">
        <v>9</v>
      </c>
      <c r="I2685">
        <v>6</v>
      </c>
      <c r="J2685">
        <v>0</v>
      </c>
      <c r="K2685">
        <v>2</v>
      </c>
      <c r="L2685">
        <v>0</v>
      </c>
      <c r="M2685">
        <v>1</v>
      </c>
      <c r="N2685">
        <v>1</v>
      </c>
      <c r="O2685">
        <v>0</v>
      </c>
      <c r="P2685">
        <v>486</v>
      </c>
      <c r="Q2685">
        <v>330</v>
      </c>
      <c r="R2685">
        <v>0</v>
      </c>
      <c r="S2685">
        <v>39</v>
      </c>
      <c r="T2685">
        <v>0</v>
      </c>
      <c r="U2685">
        <v>117</v>
      </c>
      <c r="V2685" s="1">
        <f t="shared" si="123"/>
        <v>0.2432</v>
      </c>
      <c r="W2685" s="1">
        <f t="shared" si="124"/>
        <v>2.7E-2</v>
      </c>
      <c r="X2685" s="1">
        <f t="shared" si="125"/>
        <v>0</v>
      </c>
    </row>
    <row r="2686" spans="1:24" x14ac:dyDescent="0.25">
      <c r="A2686">
        <v>2006</v>
      </c>
      <c r="B2686">
        <v>4</v>
      </c>
      <c r="C2686" t="s">
        <v>31</v>
      </c>
      <c r="D2686" t="str">
        <f>_xlfn.XLOOKUP(C2686,'Carrier Name Rename'!A:A,'Carrier Name Rename'!B:B)</f>
        <v>American Airlines Inc.</v>
      </c>
      <c r="E2686" t="s">
        <v>23</v>
      </c>
      <c r="F2686" t="s">
        <v>24</v>
      </c>
      <c r="G2686">
        <v>559</v>
      </c>
      <c r="H2686">
        <v>136</v>
      </c>
      <c r="I2686">
        <v>42.72</v>
      </c>
      <c r="J2686">
        <v>5.75</v>
      </c>
      <c r="K2686">
        <v>37.42</v>
      </c>
      <c r="L2686">
        <v>0</v>
      </c>
      <c r="M2686">
        <v>50.11</v>
      </c>
      <c r="N2686">
        <v>0</v>
      </c>
      <c r="O2686">
        <v>0</v>
      </c>
      <c r="P2686">
        <v>6599</v>
      </c>
      <c r="Q2686">
        <v>2007</v>
      </c>
      <c r="R2686">
        <v>369</v>
      </c>
      <c r="S2686">
        <v>1407</v>
      </c>
      <c r="T2686">
        <v>0</v>
      </c>
      <c r="U2686">
        <v>2816</v>
      </c>
      <c r="V2686" s="1">
        <f t="shared" si="123"/>
        <v>0.24329999999999999</v>
      </c>
      <c r="W2686" s="1">
        <f t="shared" si="124"/>
        <v>0</v>
      </c>
      <c r="X2686" s="1">
        <f t="shared" si="125"/>
        <v>0</v>
      </c>
    </row>
    <row r="2687" spans="1:24" x14ac:dyDescent="0.25">
      <c r="A2687">
        <v>2006</v>
      </c>
      <c r="B2687">
        <v>4</v>
      </c>
      <c r="C2687" t="s">
        <v>33</v>
      </c>
      <c r="D2687" t="str">
        <f>_xlfn.XLOOKUP(C2687,'Carrier Name Rename'!A:A,'Carrier Name Rename'!B:B)</f>
        <v>Alaska Airlines Inc.</v>
      </c>
      <c r="E2687" t="s">
        <v>23</v>
      </c>
      <c r="F2687" t="s">
        <v>24</v>
      </c>
      <c r="G2687">
        <v>3893</v>
      </c>
      <c r="H2687">
        <v>834</v>
      </c>
      <c r="I2687">
        <v>215.12</v>
      </c>
      <c r="J2687">
        <v>2.62</v>
      </c>
      <c r="K2687">
        <v>187.78</v>
      </c>
      <c r="L2687">
        <v>5.73</v>
      </c>
      <c r="M2687">
        <v>422.75</v>
      </c>
      <c r="N2687">
        <v>37</v>
      </c>
      <c r="O2687">
        <v>2</v>
      </c>
      <c r="P2687">
        <v>45537</v>
      </c>
      <c r="Q2687">
        <v>11934</v>
      </c>
      <c r="R2687">
        <v>114</v>
      </c>
      <c r="S2687">
        <v>5789</v>
      </c>
      <c r="T2687">
        <v>347</v>
      </c>
      <c r="U2687">
        <v>27353</v>
      </c>
      <c r="V2687" s="1">
        <f t="shared" si="123"/>
        <v>0.2142</v>
      </c>
      <c r="W2687" s="1">
        <f t="shared" si="124"/>
        <v>9.4999999999999998E-3</v>
      </c>
      <c r="X2687" s="1">
        <f t="shared" si="125"/>
        <v>5.0000000000000001E-4</v>
      </c>
    </row>
    <row r="2688" spans="1:24" x14ac:dyDescent="0.25">
      <c r="A2688">
        <v>2006</v>
      </c>
      <c r="B2688">
        <v>4</v>
      </c>
      <c r="C2688" t="s">
        <v>35</v>
      </c>
      <c r="D2688" t="str">
        <f>_xlfn.XLOOKUP(C2688,'Carrier Name Rename'!A:A,'Carrier Name Rename'!B:B)</f>
        <v>JetBlue Airways</v>
      </c>
      <c r="E2688" t="s">
        <v>23</v>
      </c>
      <c r="F2688" t="s">
        <v>24</v>
      </c>
      <c r="G2688">
        <v>60</v>
      </c>
      <c r="H2688">
        <v>13</v>
      </c>
      <c r="I2688">
        <v>3.17</v>
      </c>
      <c r="J2688">
        <v>0.13</v>
      </c>
      <c r="K2688">
        <v>5.08</v>
      </c>
      <c r="L2688">
        <v>0</v>
      </c>
      <c r="M2688">
        <v>4.62</v>
      </c>
      <c r="N2688">
        <v>0</v>
      </c>
      <c r="O2688">
        <v>0</v>
      </c>
      <c r="P2688">
        <v>461</v>
      </c>
      <c r="Q2688">
        <v>89</v>
      </c>
      <c r="R2688">
        <v>14</v>
      </c>
      <c r="S2688">
        <v>201</v>
      </c>
      <c r="T2688">
        <v>0</v>
      </c>
      <c r="U2688">
        <v>157</v>
      </c>
      <c r="V2688" s="1">
        <f t="shared" si="123"/>
        <v>0.2167</v>
      </c>
      <c r="W2688" s="1">
        <f t="shared" si="124"/>
        <v>0</v>
      </c>
      <c r="X2688" s="1">
        <f t="shared" si="125"/>
        <v>0</v>
      </c>
    </row>
    <row r="2689" spans="1:24" x14ac:dyDescent="0.25">
      <c r="A2689">
        <v>2006</v>
      </c>
      <c r="B2689">
        <v>4</v>
      </c>
      <c r="C2689" t="s">
        <v>65</v>
      </c>
      <c r="D2689" t="str">
        <f>_xlfn.XLOOKUP(C2689,'Carrier Name Rename'!A:A,'Carrier Name Rename'!B:B)</f>
        <v>Continental Air Lines Inc.</v>
      </c>
      <c r="E2689" t="s">
        <v>23</v>
      </c>
      <c r="F2689" t="s">
        <v>24</v>
      </c>
      <c r="G2689">
        <v>313</v>
      </c>
      <c r="H2689">
        <v>118</v>
      </c>
      <c r="I2689">
        <v>32.659999999999997</v>
      </c>
      <c r="J2689">
        <v>3.48</v>
      </c>
      <c r="K2689">
        <v>64.48</v>
      </c>
      <c r="L2689">
        <v>1.76</v>
      </c>
      <c r="M2689">
        <v>15.62</v>
      </c>
      <c r="N2689">
        <v>0</v>
      </c>
      <c r="O2689">
        <v>0</v>
      </c>
      <c r="P2689">
        <v>4689</v>
      </c>
      <c r="Q2689">
        <v>1475</v>
      </c>
      <c r="R2689">
        <v>257</v>
      </c>
      <c r="S2689">
        <v>2002</v>
      </c>
      <c r="T2689">
        <v>34</v>
      </c>
      <c r="U2689">
        <v>921</v>
      </c>
      <c r="V2689" s="1">
        <f t="shared" si="123"/>
        <v>0.377</v>
      </c>
      <c r="W2689" s="1">
        <f t="shared" si="124"/>
        <v>0</v>
      </c>
      <c r="X2689" s="1">
        <f t="shared" si="125"/>
        <v>0</v>
      </c>
    </row>
    <row r="2690" spans="1:24" x14ac:dyDescent="0.25">
      <c r="A2690">
        <v>2006</v>
      </c>
      <c r="B2690">
        <v>4</v>
      </c>
      <c r="C2690" t="s">
        <v>37</v>
      </c>
      <c r="D2690" t="str">
        <f>_xlfn.XLOOKUP(C2690,'Carrier Name Rename'!A:A,'Carrier Name Rename'!B:B)</f>
        <v>Delta Air Lines Inc.</v>
      </c>
      <c r="E2690" t="s">
        <v>23</v>
      </c>
      <c r="F2690" t="s">
        <v>24</v>
      </c>
      <c r="G2690">
        <v>385</v>
      </c>
      <c r="H2690">
        <v>51</v>
      </c>
      <c r="I2690">
        <v>14.72</v>
      </c>
      <c r="J2690">
        <v>0.63</v>
      </c>
      <c r="K2690">
        <v>18.45</v>
      </c>
      <c r="L2690">
        <v>0</v>
      </c>
      <c r="M2690">
        <v>17.2</v>
      </c>
      <c r="N2690">
        <v>0</v>
      </c>
      <c r="O2690">
        <v>1</v>
      </c>
      <c r="P2690">
        <v>2259</v>
      </c>
      <c r="Q2690">
        <v>431</v>
      </c>
      <c r="R2690">
        <v>77</v>
      </c>
      <c r="S2690">
        <v>574</v>
      </c>
      <c r="T2690">
        <v>0</v>
      </c>
      <c r="U2690">
        <v>1177</v>
      </c>
      <c r="V2690" s="1">
        <f t="shared" si="123"/>
        <v>0.13250000000000001</v>
      </c>
      <c r="W2690" s="1">
        <f t="shared" si="124"/>
        <v>0</v>
      </c>
      <c r="X2690" s="1">
        <f t="shared" si="125"/>
        <v>2.5999999999999999E-3</v>
      </c>
    </row>
    <row r="2691" spans="1:24" x14ac:dyDescent="0.25">
      <c r="A2691">
        <v>2006</v>
      </c>
      <c r="B2691">
        <v>4</v>
      </c>
      <c r="C2691" t="s">
        <v>39</v>
      </c>
      <c r="D2691" t="str">
        <f>_xlfn.XLOOKUP(C2691,'Carrier Name Rename'!A:A,'Carrier Name Rename'!B:B)</f>
        <v>Frontier Airlines Inc.</v>
      </c>
      <c r="E2691" t="s">
        <v>23</v>
      </c>
      <c r="F2691" t="s">
        <v>24</v>
      </c>
      <c r="G2691">
        <v>95</v>
      </c>
      <c r="H2691">
        <v>21</v>
      </c>
      <c r="I2691">
        <v>9.7100000000000009</v>
      </c>
      <c r="J2691">
        <v>0.23</v>
      </c>
      <c r="K2691">
        <v>7.51</v>
      </c>
      <c r="L2691">
        <v>0</v>
      </c>
      <c r="M2691">
        <v>3.56</v>
      </c>
      <c r="N2691">
        <v>0</v>
      </c>
      <c r="O2691">
        <v>0</v>
      </c>
      <c r="P2691">
        <v>579</v>
      </c>
      <c r="Q2691">
        <v>288</v>
      </c>
      <c r="R2691">
        <v>6</v>
      </c>
      <c r="S2691">
        <v>189</v>
      </c>
      <c r="T2691">
        <v>0</v>
      </c>
      <c r="U2691">
        <v>96</v>
      </c>
      <c r="V2691" s="1">
        <f t="shared" ref="V2691:V2754" si="126">ROUND(H2691/G2691,4)</f>
        <v>0.22109999999999999</v>
      </c>
      <c r="W2691" s="1">
        <f t="shared" ref="W2691:W2754" si="127">ROUND(N2691/G2691,4)</f>
        <v>0</v>
      </c>
      <c r="X2691" s="1">
        <f t="shared" ref="X2691:X2754" si="128">ROUND(O2691/G2691,4)</f>
        <v>0</v>
      </c>
    </row>
    <row r="2692" spans="1:24" x14ac:dyDescent="0.25">
      <c r="A2692">
        <v>2006</v>
      </c>
      <c r="B2692">
        <v>4</v>
      </c>
      <c r="C2692" t="s">
        <v>21</v>
      </c>
      <c r="D2692" t="str">
        <f>_xlfn.XLOOKUP(C2692,'Carrier Name Rename'!A:A,'Carrier Name Rename'!B:B)</f>
        <v>Hawaiian Airlines Inc.</v>
      </c>
      <c r="E2692" t="s">
        <v>23</v>
      </c>
      <c r="F2692" t="s">
        <v>24</v>
      </c>
      <c r="G2692">
        <v>47</v>
      </c>
      <c r="H2692">
        <v>16</v>
      </c>
      <c r="I2692">
        <v>12.43</v>
      </c>
      <c r="J2692">
        <v>0</v>
      </c>
      <c r="K2692">
        <v>0</v>
      </c>
      <c r="L2692">
        <v>0</v>
      </c>
      <c r="M2692">
        <v>3.57</v>
      </c>
      <c r="N2692">
        <v>0</v>
      </c>
      <c r="O2692">
        <v>0</v>
      </c>
      <c r="P2692">
        <v>511</v>
      </c>
      <c r="Q2692">
        <v>383</v>
      </c>
      <c r="R2692">
        <v>0</v>
      </c>
      <c r="S2692">
        <v>0</v>
      </c>
      <c r="T2692">
        <v>0</v>
      </c>
      <c r="U2692">
        <v>128</v>
      </c>
      <c r="V2692" s="1">
        <f t="shared" si="126"/>
        <v>0.34039999999999998</v>
      </c>
      <c r="W2692" s="1">
        <f t="shared" si="127"/>
        <v>0</v>
      </c>
      <c r="X2692" s="1">
        <f t="shared" si="128"/>
        <v>0</v>
      </c>
    </row>
    <row r="2693" spans="1:24" x14ac:dyDescent="0.25">
      <c r="A2693">
        <v>2006</v>
      </c>
      <c r="B2693">
        <v>4</v>
      </c>
      <c r="C2693" t="s">
        <v>67</v>
      </c>
      <c r="D2693" t="str">
        <f>_xlfn.XLOOKUP(C2693,'Carrier Name Rename'!A:A,'Carrier Name Rename'!B:B)</f>
        <v>Northwest Airlines Inc.</v>
      </c>
      <c r="E2693" t="s">
        <v>23</v>
      </c>
      <c r="F2693" t="s">
        <v>24</v>
      </c>
      <c r="G2693">
        <v>358</v>
      </c>
      <c r="H2693">
        <v>66</v>
      </c>
      <c r="I2693">
        <v>18.86</v>
      </c>
      <c r="J2693">
        <v>1.06</v>
      </c>
      <c r="K2693">
        <v>38.03</v>
      </c>
      <c r="L2693">
        <v>0</v>
      </c>
      <c r="M2693">
        <v>8.0500000000000007</v>
      </c>
      <c r="N2693">
        <v>0</v>
      </c>
      <c r="O2693">
        <v>0</v>
      </c>
      <c r="P2693">
        <v>3009</v>
      </c>
      <c r="Q2693">
        <v>1131</v>
      </c>
      <c r="R2693">
        <v>158</v>
      </c>
      <c r="S2693">
        <v>965</v>
      </c>
      <c r="T2693">
        <v>0</v>
      </c>
      <c r="U2693">
        <v>755</v>
      </c>
      <c r="V2693" s="1">
        <f t="shared" si="126"/>
        <v>0.18440000000000001</v>
      </c>
      <c r="W2693" s="1">
        <f t="shared" si="127"/>
        <v>0</v>
      </c>
      <c r="X2693" s="1">
        <f t="shared" si="128"/>
        <v>0</v>
      </c>
    </row>
    <row r="2694" spans="1:24" x14ac:dyDescent="0.25">
      <c r="A2694">
        <v>2006</v>
      </c>
      <c r="B2694">
        <v>4</v>
      </c>
      <c r="C2694" t="s">
        <v>27</v>
      </c>
      <c r="D2694" t="str">
        <f>_xlfn.XLOOKUP(C2694,'Carrier Name Rename'!A:A,'Carrier Name Rename'!B:B)</f>
        <v>SkyWest Airlines Inc.</v>
      </c>
      <c r="E2694" t="s">
        <v>23</v>
      </c>
      <c r="F2694" t="s">
        <v>24</v>
      </c>
      <c r="G2694">
        <v>400</v>
      </c>
      <c r="H2694">
        <v>14</v>
      </c>
      <c r="I2694">
        <v>11</v>
      </c>
      <c r="J2694">
        <v>1</v>
      </c>
      <c r="K2694">
        <v>0</v>
      </c>
      <c r="L2694">
        <v>0</v>
      </c>
      <c r="M2694">
        <v>2</v>
      </c>
      <c r="N2694">
        <v>2</v>
      </c>
      <c r="O2694">
        <v>0</v>
      </c>
      <c r="P2694">
        <v>463</v>
      </c>
      <c r="Q2694">
        <v>361</v>
      </c>
      <c r="R2694">
        <v>26</v>
      </c>
      <c r="S2694">
        <v>0</v>
      </c>
      <c r="T2694">
        <v>0</v>
      </c>
      <c r="U2694">
        <v>76</v>
      </c>
      <c r="V2694" s="1">
        <f t="shared" si="126"/>
        <v>3.5000000000000003E-2</v>
      </c>
      <c r="W2694" s="1">
        <f t="shared" si="127"/>
        <v>5.0000000000000001E-3</v>
      </c>
      <c r="X2694" s="1">
        <f t="shared" si="128"/>
        <v>0</v>
      </c>
    </row>
    <row r="2695" spans="1:24" x14ac:dyDescent="0.25">
      <c r="A2695">
        <v>2006</v>
      </c>
      <c r="B2695">
        <v>4</v>
      </c>
      <c r="C2695" t="s">
        <v>41</v>
      </c>
      <c r="D2695" t="str">
        <f>_xlfn.XLOOKUP(C2695,'Carrier Name Rename'!A:A,'Carrier Name Rename'!B:B)</f>
        <v>United Air Lines Inc.</v>
      </c>
      <c r="E2695" t="s">
        <v>23</v>
      </c>
      <c r="F2695" t="s">
        <v>24</v>
      </c>
      <c r="G2695">
        <v>865</v>
      </c>
      <c r="H2695">
        <v>164</v>
      </c>
      <c r="I2695">
        <v>53.52</v>
      </c>
      <c r="J2695">
        <v>1.88</v>
      </c>
      <c r="K2695">
        <v>35.619999999999997</v>
      </c>
      <c r="L2695">
        <v>0</v>
      </c>
      <c r="M2695">
        <v>72.98</v>
      </c>
      <c r="N2695">
        <v>3</v>
      </c>
      <c r="O2695">
        <v>1</v>
      </c>
      <c r="P2695">
        <v>8729</v>
      </c>
      <c r="Q2695">
        <v>2323</v>
      </c>
      <c r="R2695">
        <v>66</v>
      </c>
      <c r="S2695">
        <v>1158</v>
      </c>
      <c r="T2695">
        <v>0</v>
      </c>
      <c r="U2695">
        <v>5182</v>
      </c>
      <c r="V2695" s="1">
        <f t="shared" si="126"/>
        <v>0.18959999999999999</v>
      </c>
      <c r="W2695" s="1">
        <f t="shared" si="127"/>
        <v>3.5000000000000001E-3</v>
      </c>
      <c r="X2695" s="1">
        <f t="shared" si="128"/>
        <v>1.1999999999999999E-3</v>
      </c>
    </row>
    <row r="2696" spans="1:24" x14ac:dyDescent="0.25">
      <c r="A2696">
        <v>2006</v>
      </c>
      <c r="B2696">
        <v>4</v>
      </c>
      <c r="C2696" t="s">
        <v>61</v>
      </c>
      <c r="D2696" t="str">
        <f>_xlfn.XLOOKUP(C2696,'Carrier Name Rename'!A:A,'Carrier Name Rename'!B:B)</f>
        <v>US Airways Inc.</v>
      </c>
      <c r="E2696" t="s">
        <v>23</v>
      </c>
      <c r="F2696" t="s">
        <v>24</v>
      </c>
      <c r="G2696">
        <v>437</v>
      </c>
      <c r="H2696">
        <v>79</v>
      </c>
      <c r="I2696">
        <v>31.9</v>
      </c>
      <c r="J2696">
        <v>1.29</v>
      </c>
      <c r="K2696">
        <v>30.32</v>
      </c>
      <c r="L2696">
        <v>0</v>
      </c>
      <c r="M2696">
        <v>15.49</v>
      </c>
      <c r="N2696">
        <v>2</v>
      </c>
      <c r="O2696">
        <v>0</v>
      </c>
      <c r="P2696">
        <v>2878</v>
      </c>
      <c r="Q2696">
        <v>1112</v>
      </c>
      <c r="R2696">
        <v>56</v>
      </c>
      <c r="S2696">
        <v>1019</v>
      </c>
      <c r="T2696">
        <v>0</v>
      </c>
      <c r="U2696">
        <v>691</v>
      </c>
      <c r="V2696" s="1">
        <f t="shared" si="126"/>
        <v>0.18079999999999999</v>
      </c>
      <c r="W2696" s="1">
        <f t="shared" si="127"/>
        <v>4.5999999999999999E-3</v>
      </c>
      <c r="X2696" s="1">
        <f t="shared" si="128"/>
        <v>0</v>
      </c>
    </row>
    <row r="2697" spans="1:24" x14ac:dyDescent="0.25">
      <c r="A2697">
        <v>2006</v>
      </c>
      <c r="B2697">
        <v>4</v>
      </c>
      <c r="C2697" t="s">
        <v>43</v>
      </c>
      <c r="D2697" t="str">
        <f>_xlfn.XLOOKUP(C2697,'Carrier Name Rename'!A:A,'Carrier Name Rename'!B:B)</f>
        <v>Southwest Airlines Co.</v>
      </c>
      <c r="E2697" t="s">
        <v>23</v>
      </c>
      <c r="F2697" t="s">
        <v>24</v>
      </c>
      <c r="G2697">
        <v>1107</v>
      </c>
      <c r="H2697">
        <v>147</v>
      </c>
      <c r="I2697">
        <v>38.29</v>
      </c>
      <c r="J2697">
        <v>1.44</v>
      </c>
      <c r="K2697">
        <v>17.21</v>
      </c>
      <c r="L2697">
        <v>0.33</v>
      </c>
      <c r="M2697">
        <v>89.73</v>
      </c>
      <c r="N2697">
        <v>0</v>
      </c>
      <c r="O2697">
        <v>1</v>
      </c>
      <c r="P2697">
        <v>5773</v>
      </c>
      <c r="Q2697">
        <v>1401</v>
      </c>
      <c r="R2697">
        <v>142</v>
      </c>
      <c r="S2697">
        <v>471</v>
      </c>
      <c r="T2697">
        <v>5</v>
      </c>
      <c r="U2697">
        <v>3754</v>
      </c>
      <c r="V2697" s="1">
        <f t="shared" si="126"/>
        <v>0.1328</v>
      </c>
      <c r="W2697" s="1">
        <f t="shared" si="127"/>
        <v>0</v>
      </c>
      <c r="X2697" s="1">
        <f t="shared" si="128"/>
        <v>8.9999999999999998E-4</v>
      </c>
    </row>
    <row r="2698" spans="1:24" x14ac:dyDescent="0.25">
      <c r="A2698">
        <v>2006</v>
      </c>
      <c r="B2698">
        <v>4</v>
      </c>
      <c r="C2698" t="s">
        <v>71</v>
      </c>
      <c r="D2698" t="str">
        <f>_xlfn.XLOOKUP(C2698,'Carrier Name Rename'!A:A,'Carrier Name Rename'!B:B)</f>
        <v>Mesa Airlines Inc.</v>
      </c>
      <c r="E2698" t="s">
        <v>23</v>
      </c>
      <c r="F2698" t="s">
        <v>24</v>
      </c>
      <c r="G2698">
        <v>5</v>
      </c>
      <c r="H2698">
        <v>1</v>
      </c>
      <c r="I2698">
        <v>1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1</v>
      </c>
      <c r="P2698">
        <v>61</v>
      </c>
      <c r="Q2698">
        <v>61</v>
      </c>
      <c r="R2698">
        <v>0</v>
      </c>
      <c r="S2698">
        <v>0</v>
      </c>
      <c r="T2698">
        <v>0</v>
      </c>
      <c r="U2698">
        <v>0</v>
      </c>
      <c r="V2698" s="1">
        <f t="shared" si="126"/>
        <v>0.2</v>
      </c>
      <c r="W2698" s="1">
        <f t="shared" si="127"/>
        <v>0</v>
      </c>
      <c r="X2698" s="1">
        <f t="shared" si="128"/>
        <v>0.2</v>
      </c>
    </row>
    <row r="2699" spans="1:24" x14ac:dyDescent="0.25">
      <c r="A2699">
        <v>2006</v>
      </c>
      <c r="B2699">
        <v>3</v>
      </c>
      <c r="C2699" t="s">
        <v>31</v>
      </c>
      <c r="D2699" t="str">
        <f>_xlfn.XLOOKUP(C2699,'Carrier Name Rename'!A:A,'Carrier Name Rename'!B:B)</f>
        <v>American Airlines Inc.</v>
      </c>
      <c r="E2699" t="s">
        <v>23</v>
      </c>
      <c r="F2699" t="s">
        <v>24</v>
      </c>
      <c r="G2699">
        <v>457</v>
      </c>
      <c r="H2699">
        <v>111</v>
      </c>
      <c r="I2699">
        <v>36.700000000000003</v>
      </c>
      <c r="J2699">
        <v>11.03</v>
      </c>
      <c r="K2699">
        <v>30.36</v>
      </c>
      <c r="L2699">
        <v>0</v>
      </c>
      <c r="M2699">
        <v>32.9</v>
      </c>
      <c r="N2699">
        <v>1</v>
      </c>
      <c r="O2699">
        <v>0</v>
      </c>
      <c r="P2699">
        <v>6668</v>
      </c>
      <c r="Q2699">
        <v>1950</v>
      </c>
      <c r="R2699">
        <v>1193</v>
      </c>
      <c r="S2699">
        <v>1150</v>
      </c>
      <c r="T2699">
        <v>0</v>
      </c>
      <c r="U2699">
        <v>2375</v>
      </c>
      <c r="V2699" s="1">
        <f t="shared" si="126"/>
        <v>0.2429</v>
      </c>
      <c r="W2699" s="1">
        <f t="shared" si="127"/>
        <v>2.2000000000000001E-3</v>
      </c>
      <c r="X2699" s="1">
        <f t="shared" si="128"/>
        <v>0</v>
      </c>
    </row>
    <row r="2700" spans="1:24" x14ac:dyDescent="0.25">
      <c r="A2700">
        <v>2006</v>
      </c>
      <c r="B2700">
        <v>3</v>
      </c>
      <c r="C2700" t="s">
        <v>33</v>
      </c>
      <c r="D2700" t="str">
        <f>_xlfn.XLOOKUP(C2700,'Carrier Name Rename'!A:A,'Carrier Name Rename'!B:B)</f>
        <v>Alaska Airlines Inc.</v>
      </c>
      <c r="E2700" t="s">
        <v>23</v>
      </c>
      <c r="F2700" t="s">
        <v>24</v>
      </c>
      <c r="G2700">
        <v>3973</v>
      </c>
      <c r="H2700">
        <v>1045</v>
      </c>
      <c r="I2700">
        <v>256.64999999999998</v>
      </c>
      <c r="J2700">
        <v>12.17</v>
      </c>
      <c r="K2700">
        <v>326.07</v>
      </c>
      <c r="L2700">
        <v>5.35</v>
      </c>
      <c r="M2700">
        <v>444.76</v>
      </c>
      <c r="N2700">
        <v>42</v>
      </c>
      <c r="O2700">
        <v>3</v>
      </c>
      <c r="P2700">
        <v>53933</v>
      </c>
      <c r="Q2700">
        <v>14961</v>
      </c>
      <c r="R2700">
        <v>769</v>
      </c>
      <c r="S2700">
        <v>9670</v>
      </c>
      <c r="T2700">
        <v>138</v>
      </c>
      <c r="U2700">
        <v>28395</v>
      </c>
      <c r="V2700" s="1">
        <f t="shared" si="126"/>
        <v>0.26300000000000001</v>
      </c>
      <c r="W2700" s="1">
        <f t="shared" si="127"/>
        <v>1.06E-2</v>
      </c>
      <c r="X2700" s="1">
        <f t="shared" si="128"/>
        <v>8.0000000000000004E-4</v>
      </c>
    </row>
    <row r="2701" spans="1:24" x14ac:dyDescent="0.25">
      <c r="A2701">
        <v>2006</v>
      </c>
      <c r="B2701">
        <v>3</v>
      </c>
      <c r="C2701" t="s">
        <v>35</v>
      </c>
      <c r="D2701" t="str">
        <f>_xlfn.XLOOKUP(C2701,'Carrier Name Rename'!A:A,'Carrier Name Rename'!B:B)</f>
        <v>JetBlue Airways</v>
      </c>
      <c r="E2701" t="s">
        <v>23</v>
      </c>
      <c r="F2701" t="s">
        <v>24</v>
      </c>
      <c r="G2701">
        <v>62</v>
      </c>
      <c r="H2701">
        <v>10</v>
      </c>
      <c r="I2701">
        <v>3.67</v>
      </c>
      <c r="J2701">
        <v>0</v>
      </c>
      <c r="K2701">
        <v>1.89</v>
      </c>
      <c r="L2701">
        <v>0</v>
      </c>
      <c r="M2701">
        <v>4.4400000000000004</v>
      </c>
      <c r="N2701">
        <v>0</v>
      </c>
      <c r="O2701">
        <v>0</v>
      </c>
      <c r="P2701">
        <v>465</v>
      </c>
      <c r="Q2701">
        <v>275</v>
      </c>
      <c r="R2701">
        <v>0</v>
      </c>
      <c r="S2701">
        <v>67</v>
      </c>
      <c r="T2701">
        <v>0</v>
      </c>
      <c r="U2701">
        <v>123</v>
      </c>
      <c r="V2701" s="1">
        <f t="shared" si="126"/>
        <v>0.1613</v>
      </c>
      <c r="W2701" s="1">
        <f t="shared" si="127"/>
        <v>0</v>
      </c>
      <c r="X2701" s="1">
        <f t="shared" si="128"/>
        <v>0</v>
      </c>
    </row>
    <row r="2702" spans="1:24" x14ac:dyDescent="0.25">
      <c r="A2702">
        <v>2006</v>
      </c>
      <c r="B2702">
        <v>3</v>
      </c>
      <c r="C2702" t="s">
        <v>65</v>
      </c>
      <c r="D2702" t="str">
        <f>_xlfn.XLOOKUP(C2702,'Carrier Name Rename'!A:A,'Carrier Name Rename'!B:B)</f>
        <v>Continental Air Lines Inc.</v>
      </c>
      <c r="E2702" t="s">
        <v>23</v>
      </c>
      <c r="F2702" t="s">
        <v>24</v>
      </c>
      <c r="G2702">
        <v>331</v>
      </c>
      <c r="H2702">
        <v>92</v>
      </c>
      <c r="I2702">
        <v>23.47</v>
      </c>
      <c r="J2702">
        <v>2.21</v>
      </c>
      <c r="K2702">
        <v>53.18</v>
      </c>
      <c r="L2702">
        <v>0.18</v>
      </c>
      <c r="M2702">
        <v>12.95</v>
      </c>
      <c r="N2702">
        <v>0</v>
      </c>
      <c r="O2702">
        <v>1</v>
      </c>
      <c r="P2702">
        <v>3546</v>
      </c>
      <c r="Q2702">
        <v>1182</v>
      </c>
      <c r="R2702">
        <v>96</v>
      </c>
      <c r="S2702">
        <v>1674</v>
      </c>
      <c r="T2702">
        <v>7</v>
      </c>
      <c r="U2702">
        <v>587</v>
      </c>
      <c r="V2702" s="1">
        <f t="shared" si="126"/>
        <v>0.27789999999999998</v>
      </c>
      <c r="W2702" s="1">
        <f t="shared" si="127"/>
        <v>0</v>
      </c>
      <c r="X2702" s="1">
        <f t="shared" si="128"/>
        <v>3.0000000000000001E-3</v>
      </c>
    </row>
    <row r="2703" spans="1:24" x14ac:dyDescent="0.25">
      <c r="A2703">
        <v>2006</v>
      </c>
      <c r="B2703">
        <v>3</v>
      </c>
      <c r="C2703" t="s">
        <v>37</v>
      </c>
      <c r="D2703" t="str">
        <f>_xlfn.XLOOKUP(C2703,'Carrier Name Rename'!A:A,'Carrier Name Rename'!B:B)</f>
        <v>Delta Air Lines Inc.</v>
      </c>
      <c r="E2703" t="s">
        <v>23</v>
      </c>
      <c r="F2703" t="s">
        <v>24</v>
      </c>
      <c r="G2703">
        <v>388</v>
      </c>
      <c r="H2703">
        <v>75</v>
      </c>
      <c r="I2703">
        <v>25.17</v>
      </c>
      <c r="J2703">
        <v>3.29</v>
      </c>
      <c r="K2703">
        <v>22.8</v>
      </c>
      <c r="L2703">
        <v>0</v>
      </c>
      <c r="M2703">
        <v>23.75</v>
      </c>
      <c r="N2703">
        <v>2</v>
      </c>
      <c r="O2703">
        <v>0</v>
      </c>
      <c r="P2703">
        <v>2986</v>
      </c>
      <c r="Q2703">
        <v>1066</v>
      </c>
      <c r="R2703">
        <v>162</v>
      </c>
      <c r="S2703">
        <v>575</v>
      </c>
      <c r="T2703">
        <v>0</v>
      </c>
      <c r="U2703">
        <v>1183</v>
      </c>
      <c r="V2703" s="1">
        <f t="shared" si="126"/>
        <v>0.1933</v>
      </c>
      <c r="W2703" s="1">
        <f t="shared" si="127"/>
        <v>5.1999999999999998E-3</v>
      </c>
      <c r="X2703" s="1">
        <f t="shared" si="128"/>
        <v>0</v>
      </c>
    </row>
    <row r="2704" spans="1:24" x14ac:dyDescent="0.25">
      <c r="A2704">
        <v>2006</v>
      </c>
      <c r="B2704">
        <v>3</v>
      </c>
      <c r="C2704" t="s">
        <v>39</v>
      </c>
      <c r="D2704" t="str">
        <f>_xlfn.XLOOKUP(C2704,'Carrier Name Rename'!A:A,'Carrier Name Rename'!B:B)</f>
        <v>Frontier Airlines Inc.</v>
      </c>
      <c r="E2704" t="s">
        <v>23</v>
      </c>
      <c r="F2704" t="s">
        <v>24</v>
      </c>
      <c r="G2704">
        <v>96</v>
      </c>
      <c r="H2704">
        <v>28</v>
      </c>
      <c r="I2704">
        <v>10.94</v>
      </c>
      <c r="J2704">
        <v>0.56999999999999995</v>
      </c>
      <c r="K2704">
        <v>12.75</v>
      </c>
      <c r="L2704">
        <v>0</v>
      </c>
      <c r="M2704">
        <v>3.75</v>
      </c>
      <c r="N2704">
        <v>0</v>
      </c>
      <c r="O2704">
        <v>1</v>
      </c>
      <c r="P2704">
        <v>1300</v>
      </c>
      <c r="Q2704">
        <v>439</v>
      </c>
      <c r="R2704">
        <v>38</v>
      </c>
      <c r="S2704">
        <v>555</v>
      </c>
      <c r="T2704">
        <v>0</v>
      </c>
      <c r="U2704">
        <v>268</v>
      </c>
      <c r="V2704" s="1">
        <f t="shared" si="126"/>
        <v>0.29170000000000001</v>
      </c>
      <c r="W2704" s="1">
        <f t="shared" si="127"/>
        <v>0</v>
      </c>
      <c r="X2704" s="1">
        <f t="shared" si="128"/>
        <v>1.04E-2</v>
      </c>
    </row>
    <row r="2705" spans="1:24" x14ac:dyDescent="0.25">
      <c r="A2705">
        <v>2006</v>
      </c>
      <c r="B2705">
        <v>3</v>
      </c>
      <c r="C2705" t="s">
        <v>21</v>
      </c>
      <c r="D2705" t="str">
        <f>_xlfn.XLOOKUP(C2705,'Carrier Name Rename'!A:A,'Carrier Name Rename'!B:B)</f>
        <v>Hawaiian Airlines Inc.</v>
      </c>
      <c r="E2705" t="s">
        <v>23</v>
      </c>
      <c r="F2705" t="s">
        <v>24</v>
      </c>
      <c r="G2705">
        <v>50</v>
      </c>
      <c r="H2705">
        <v>16</v>
      </c>
      <c r="I2705">
        <v>8.69</v>
      </c>
      <c r="J2705">
        <v>1.9</v>
      </c>
      <c r="K2705">
        <v>0.18</v>
      </c>
      <c r="L2705">
        <v>0</v>
      </c>
      <c r="M2705">
        <v>5.22</v>
      </c>
      <c r="N2705">
        <v>0</v>
      </c>
      <c r="O2705">
        <v>0</v>
      </c>
      <c r="P2705">
        <v>922</v>
      </c>
      <c r="Q2705">
        <v>298</v>
      </c>
      <c r="R2705">
        <v>203</v>
      </c>
      <c r="S2705">
        <v>4</v>
      </c>
      <c r="T2705">
        <v>0</v>
      </c>
      <c r="U2705">
        <v>417</v>
      </c>
      <c r="V2705" s="1">
        <f t="shared" si="126"/>
        <v>0.32</v>
      </c>
      <c r="W2705" s="1">
        <f t="shared" si="127"/>
        <v>0</v>
      </c>
      <c r="X2705" s="1">
        <f t="shared" si="128"/>
        <v>0</v>
      </c>
    </row>
    <row r="2706" spans="1:24" x14ac:dyDescent="0.25">
      <c r="A2706">
        <v>2006</v>
      </c>
      <c r="B2706">
        <v>3</v>
      </c>
      <c r="C2706" t="s">
        <v>67</v>
      </c>
      <c r="D2706" t="str">
        <f>_xlfn.XLOOKUP(C2706,'Carrier Name Rename'!A:A,'Carrier Name Rename'!B:B)</f>
        <v>Northwest Airlines Inc.</v>
      </c>
      <c r="E2706" t="s">
        <v>23</v>
      </c>
      <c r="F2706" t="s">
        <v>24</v>
      </c>
      <c r="G2706">
        <v>341</v>
      </c>
      <c r="H2706">
        <v>43</v>
      </c>
      <c r="I2706">
        <v>17.600000000000001</v>
      </c>
      <c r="J2706">
        <v>2.71</v>
      </c>
      <c r="K2706">
        <v>13.53</v>
      </c>
      <c r="L2706">
        <v>0</v>
      </c>
      <c r="M2706">
        <v>9.15</v>
      </c>
      <c r="N2706">
        <v>0</v>
      </c>
      <c r="O2706">
        <v>0</v>
      </c>
      <c r="P2706">
        <v>2764</v>
      </c>
      <c r="Q2706">
        <v>1073</v>
      </c>
      <c r="R2706">
        <v>234</v>
      </c>
      <c r="S2706">
        <v>663</v>
      </c>
      <c r="T2706">
        <v>0</v>
      </c>
      <c r="U2706">
        <v>794</v>
      </c>
      <c r="V2706" s="1">
        <f t="shared" si="126"/>
        <v>0.12609999999999999</v>
      </c>
      <c r="W2706" s="1">
        <f t="shared" si="127"/>
        <v>0</v>
      </c>
      <c r="X2706" s="1">
        <f t="shared" si="128"/>
        <v>0</v>
      </c>
    </row>
    <row r="2707" spans="1:24" x14ac:dyDescent="0.25">
      <c r="A2707">
        <v>2006</v>
      </c>
      <c r="B2707">
        <v>3</v>
      </c>
      <c r="C2707" t="s">
        <v>27</v>
      </c>
      <c r="D2707" t="str">
        <f>_xlfn.XLOOKUP(C2707,'Carrier Name Rename'!A:A,'Carrier Name Rename'!B:B)</f>
        <v>SkyWest Airlines Inc.</v>
      </c>
      <c r="E2707" t="s">
        <v>23</v>
      </c>
      <c r="F2707" t="s">
        <v>24</v>
      </c>
      <c r="G2707">
        <v>306</v>
      </c>
      <c r="H2707">
        <v>22</v>
      </c>
      <c r="I2707">
        <v>19</v>
      </c>
      <c r="J2707">
        <v>1</v>
      </c>
      <c r="K2707">
        <v>0</v>
      </c>
      <c r="L2707">
        <v>0</v>
      </c>
      <c r="M2707">
        <v>2</v>
      </c>
      <c r="N2707">
        <v>1</v>
      </c>
      <c r="O2707">
        <v>0</v>
      </c>
      <c r="P2707">
        <v>832</v>
      </c>
      <c r="Q2707">
        <v>680</v>
      </c>
      <c r="R2707">
        <v>116</v>
      </c>
      <c r="S2707">
        <v>0</v>
      </c>
      <c r="T2707">
        <v>0</v>
      </c>
      <c r="U2707">
        <v>36</v>
      </c>
      <c r="V2707" s="1">
        <f t="shared" si="126"/>
        <v>7.1900000000000006E-2</v>
      </c>
      <c r="W2707" s="1">
        <f t="shared" si="127"/>
        <v>3.3E-3</v>
      </c>
      <c r="X2707" s="1">
        <f t="shared" si="128"/>
        <v>0</v>
      </c>
    </row>
    <row r="2708" spans="1:24" x14ac:dyDescent="0.25">
      <c r="A2708">
        <v>2006</v>
      </c>
      <c r="B2708">
        <v>3</v>
      </c>
      <c r="C2708" t="s">
        <v>41</v>
      </c>
      <c r="D2708" t="str">
        <f>_xlfn.XLOOKUP(C2708,'Carrier Name Rename'!A:A,'Carrier Name Rename'!B:B)</f>
        <v>United Air Lines Inc.</v>
      </c>
      <c r="E2708" t="s">
        <v>23</v>
      </c>
      <c r="F2708" t="s">
        <v>24</v>
      </c>
      <c r="G2708">
        <v>890</v>
      </c>
      <c r="H2708">
        <v>247</v>
      </c>
      <c r="I2708">
        <v>62.86</v>
      </c>
      <c r="J2708">
        <v>2.31</v>
      </c>
      <c r="K2708">
        <v>50.46</v>
      </c>
      <c r="L2708">
        <v>0</v>
      </c>
      <c r="M2708">
        <v>131.37</v>
      </c>
      <c r="N2708">
        <v>12</v>
      </c>
      <c r="O2708">
        <v>0</v>
      </c>
      <c r="P2708">
        <v>14969</v>
      </c>
      <c r="Q2708">
        <v>3280</v>
      </c>
      <c r="R2708">
        <v>72</v>
      </c>
      <c r="S2708">
        <v>1724</v>
      </c>
      <c r="T2708">
        <v>0</v>
      </c>
      <c r="U2708">
        <v>9893</v>
      </c>
      <c r="V2708" s="1">
        <f t="shared" si="126"/>
        <v>0.27750000000000002</v>
      </c>
      <c r="W2708" s="1">
        <f t="shared" si="127"/>
        <v>1.35E-2</v>
      </c>
      <c r="X2708" s="1">
        <f t="shared" si="128"/>
        <v>0</v>
      </c>
    </row>
    <row r="2709" spans="1:24" x14ac:dyDescent="0.25">
      <c r="A2709">
        <v>2006</v>
      </c>
      <c r="B2709">
        <v>3</v>
      </c>
      <c r="C2709" t="s">
        <v>61</v>
      </c>
      <c r="D2709" t="str">
        <f>_xlfn.XLOOKUP(C2709,'Carrier Name Rename'!A:A,'Carrier Name Rename'!B:B)</f>
        <v>US Airways Inc.</v>
      </c>
      <c r="E2709" t="s">
        <v>23</v>
      </c>
      <c r="F2709" t="s">
        <v>24</v>
      </c>
      <c r="G2709">
        <v>368</v>
      </c>
      <c r="H2709">
        <v>57</v>
      </c>
      <c r="I2709">
        <v>25.15</v>
      </c>
      <c r="J2709">
        <v>0</v>
      </c>
      <c r="K2709">
        <v>16.37</v>
      </c>
      <c r="L2709">
        <v>0</v>
      </c>
      <c r="M2709">
        <v>15.48</v>
      </c>
      <c r="N2709">
        <v>1</v>
      </c>
      <c r="O2709">
        <v>0</v>
      </c>
      <c r="P2709">
        <v>2394</v>
      </c>
      <c r="Q2709">
        <v>1202</v>
      </c>
      <c r="R2709">
        <v>0</v>
      </c>
      <c r="S2709">
        <v>485</v>
      </c>
      <c r="T2709">
        <v>0</v>
      </c>
      <c r="U2709">
        <v>707</v>
      </c>
      <c r="V2709" s="1">
        <f t="shared" si="126"/>
        <v>0.15490000000000001</v>
      </c>
      <c r="W2709" s="1">
        <f t="shared" si="127"/>
        <v>2.7000000000000001E-3</v>
      </c>
      <c r="X2709" s="1">
        <f t="shared" si="128"/>
        <v>0</v>
      </c>
    </row>
    <row r="2710" spans="1:24" x14ac:dyDescent="0.25">
      <c r="A2710">
        <v>2006</v>
      </c>
      <c r="B2710">
        <v>3</v>
      </c>
      <c r="C2710" t="s">
        <v>43</v>
      </c>
      <c r="D2710" t="str">
        <f>_xlfn.XLOOKUP(C2710,'Carrier Name Rename'!A:A,'Carrier Name Rename'!B:B)</f>
        <v>Southwest Airlines Co.</v>
      </c>
      <c r="E2710" t="s">
        <v>23</v>
      </c>
      <c r="F2710" t="s">
        <v>24</v>
      </c>
      <c r="G2710">
        <v>1130</v>
      </c>
      <c r="H2710">
        <v>186</v>
      </c>
      <c r="I2710">
        <v>39.5</v>
      </c>
      <c r="J2710">
        <v>4.2300000000000004</v>
      </c>
      <c r="K2710">
        <v>25.42</v>
      </c>
      <c r="L2710">
        <v>0.21</v>
      </c>
      <c r="M2710">
        <v>116.62</v>
      </c>
      <c r="N2710">
        <v>0</v>
      </c>
      <c r="O2710">
        <v>2</v>
      </c>
      <c r="P2710">
        <v>7037</v>
      </c>
      <c r="Q2710">
        <v>1391</v>
      </c>
      <c r="R2710">
        <v>256</v>
      </c>
      <c r="S2710">
        <v>682</v>
      </c>
      <c r="T2710">
        <v>10</v>
      </c>
      <c r="U2710">
        <v>4698</v>
      </c>
      <c r="V2710" s="1">
        <f t="shared" si="126"/>
        <v>0.1646</v>
      </c>
      <c r="W2710" s="1">
        <f t="shared" si="127"/>
        <v>0</v>
      </c>
      <c r="X2710" s="1">
        <f t="shared" si="128"/>
        <v>1.8E-3</v>
      </c>
    </row>
    <row r="2711" spans="1:24" x14ac:dyDescent="0.25">
      <c r="A2711">
        <v>2006</v>
      </c>
      <c r="B2711">
        <v>3</v>
      </c>
      <c r="C2711" t="s">
        <v>71</v>
      </c>
      <c r="D2711" t="str">
        <f>_xlfn.XLOOKUP(C2711,'Carrier Name Rename'!A:A,'Carrier Name Rename'!B:B)</f>
        <v>Mesa Airlines Inc.</v>
      </c>
      <c r="E2711" t="s">
        <v>23</v>
      </c>
      <c r="F2711" t="s">
        <v>24</v>
      </c>
      <c r="G2711">
        <v>31</v>
      </c>
      <c r="H2711">
        <v>4</v>
      </c>
      <c r="I2711">
        <v>2</v>
      </c>
      <c r="J2711">
        <v>0</v>
      </c>
      <c r="K2711">
        <v>0</v>
      </c>
      <c r="L2711">
        <v>0</v>
      </c>
      <c r="M2711">
        <v>2</v>
      </c>
      <c r="N2711">
        <v>2</v>
      </c>
      <c r="O2711">
        <v>0</v>
      </c>
      <c r="P2711">
        <v>435</v>
      </c>
      <c r="Q2711">
        <v>150</v>
      </c>
      <c r="R2711">
        <v>0</v>
      </c>
      <c r="S2711">
        <v>0</v>
      </c>
      <c r="T2711">
        <v>0</v>
      </c>
      <c r="U2711">
        <v>285</v>
      </c>
      <c r="V2711" s="1">
        <f t="shared" si="126"/>
        <v>0.129</v>
      </c>
      <c r="W2711" s="1">
        <f t="shared" si="127"/>
        <v>6.4500000000000002E-2</v>
      </c>
      <c r="X2711" s="1">
        <f t="shared" si="128"/>
        <v>0</v>
      </c>
    </row>
    <row r="2712" spans="1:24" x14ac:dyDescent="0.25">
      <c r="A2712">
        <v>2006</v>
      </c>
      <c r="B2712">
        <v>2</v>
      </c>
      <c r="C2712" t="s">
        <v>33</v>
      </c>
      <c r="D2712" t="str">
        <f>_xlfn.XLOOKUP(C2712,'Carrier Name Rename'!A:A,'Carrier Name Rename'!B:B)</f>
        <v>Alaska Airlines Inc.</v>
      </c>
      <c r="E2712" t="s">
        <v>23</v>
      </c>
      <c r="F2712" t="s">
        <v>24</v>
      </c>
      <c r="G2712">
        <v>3545</v>
      </c>
      <c r="H2712">
        <v>991</v>
      </c>
      <c r="I2712">
        <v>257.06</v>
      </c>
      <c r="J2712">
        <v>10.27</v>
      </c>
      <c r="K2712">
        <v>351.33</v>
      </c>
      <c r="L2712">
        <v>8.64</v>
      </c>
      <c r="M2712">
        <v>363.7</v>
      </c>
      <c r="N2712">
        <v>53</v>
      </c>
      <c r="O2712">
        <v>7</v>
      </c>
      <c r="P2712">
        <v>48912</v>
      </c>
      <c r="Q2712">
        <v>15031</v>
      </c>
      <c r="R2712">
        <v>565</v>
      </c>
      <c r="S2712">
        <v>11248</v>
      </c>
      <c r="T2712">
        <v>329</v>
      </c>
      <c r="U2712">
        <v>21739</v>
      </c>
      <c r="V2712" s="1">
        <f t="shared" si="126"/>
        <v>0.27950000000000003</v>
      </c>
      <c r="W2712" s="1">
        <f t="shared" si="127"/>
        <v>1.4999999999999999E-2</v>
      </c>
      <c r="X2712" s="1">
        <f t="shared" si="128"/>
        <v>2E-3</v>
      </c>
    </row>
    <row r="2713" spans="1:24" x14ac:dyDescent="0.25">
      <c r="A2713">
        <v>2006</v>
      </c>
      <c r="B2713">
        <v>2</v>
      </c>
      <c r="C2713" t="s">
        <v>35</v>
      </c>
      <c r="D2713" t="str">
        <f>_xlfn.XLOOKUP(C2713,'Carrier Name Rename'!A:A,'Carrier Name Rename'!B:B)</f>
        <v>JetBlue Airways</v>
      </c>
      <c r="E2713" t="s">
        <v>23</v>
      </c>
      <c r="F2713" t="s">
        <v>24</v>
      </c>
      <c r="G2713">
        <v>56</v>
      </c>
      <c r="H2713">
        <v>27</v>
      </c>
      <c r="I2713">
        <v>5.58</v>
      </c>
      <c r="J2713">
        <v>0.28999999999999998</v>
      </c>
      <c r="K2713">
        <v>11.62</v>
      </c>
      <c r="L2713">
        <v>0.03</v>
      </c>
      <c r="M2713">
        <v>9.49</v>
      </c>
      <c r="N2713">
        <v>1</v>
      </c>
      <c r="O2713">
        <v>4</v>
      </c>
      <c r="P2713">
        <v>1747</v>
      </c>
      <c r="Q2713">
        <v>652</v>
      </c>
      <c r="R2713">
        <v>55</v>
      </c>
      <c r="S2713">
        <v>561</v>
      </c>
      <c r="T2713">
        <v>1</v>
      </c>
      <c r="U2713">
        <v>478</v>
      </c>
      <c r="V2713" s="1">
        <f t="shared" si="126"/>
        <v>0.48209999999999997</v>
      </c>
      <c r="W2713" s="1">
        <f t="shared" si="127"/>
        <v>1.7899999999999999E-2</v>
      </c>
      <c r="X2713" s="1">
        <f t="shared" si="128"/>
        <v>7.1400000000000005E-2</v>
      </c>
    </row>
    <row r="2714" spans="1:24" x14ac:dyDescent="0.25">
      <c r="A2714">
        <v>2006</v>
      </c>
      <c r="B2714">
        <v>2</v>
      </c>
      <c r="C2714" t="s">
        <v>65</v>
      </c>
      <c r="D2714" t="str">
        <f>_xlfn.XLOOKUP(C2714,'Carrier Name Rename'!A:A,'Carrier Name Rename'!B:B)</f>
        <v>Continental Air Lines Inc.</v>
      </c>
      <c r="E2714" t="s">
        <v>23</v>
      </c>
      <c r="F2714" t="s">
        <v>24</v>
      </c>
      <c r="G2714">
        <v>267</v>
      </c>
      <c r="H2714">
        <v>113</v>
      </c>
      <c r="I2714">
        <v>23.37</v>
      </c>
      <c r="J2714">
        <v>3.12</v>
      </c>
      <c r="K2714">
        <v>74.650000000000006</v>
      </c>
      <c r="L2714">
        <v>1.4</v>
      </c>
      <c r="M2714">
        <v>10.46</v>
      </c>
      <c r="N2714">
        <v>3</v>
      </c>
      <c r="O2714">
        <v>0</v>
      </c>
      <c r="P2714">
        <v>4095</v>
      </c>
      <c r="Q2714">
        <v>900</v>
      </c>
      <c r="R2714">
        <v>116</v>
      </c>
      <c r="S2714">
        <v>2436</v>
      </c>
      <c r="T2714">
        <v>68</v>
      </c>
      <c r="U2714">
        <v>575</v>
      </c>
      <c r="V2714" s="1">
        <f t="shared" si="126"/>
        <v>0.42320000000000002</v>
      </c>
      <c r="W2714" s="1">
        <f t="shared" si="127"/>
        <v>1.12E-2</v>
      </c>
      <c r="X2714" s="1">
        <f t="shared" si="128"/>
        <v>0</v>
      </c>
    </row>
    <row r="2715" spans="1:24" x14ac:dyDescent="0.25">
      <c r="A2715">
        <v>2006</v>
      </c>
      <c r="B2715">
        <v>2</v>
      </c>
      <c r="C2715" t="s">
        <v>37</v>
      </c>
      <c r="D2715" t="str">
        <f>_xlfn.XLOOKUP(C2715,'Carrier Name Rename'!A:A,'Carrier Name Rename'!B:B)</f>
        <v>Delta Air Lines Inc.</v>
      </c>
      <c r="E2715" t="s">
        <v>23</v>
      </c>
      <c r="F2715" t="s">
        <v>24</v>
      </c>
      <c r="G2715">
        <v>327</v>
      </c>
      <c r="H2715">
        <v>121</v>
      </c>
      <c r="I2715">
        <v>26.07</v>
      </c>
      <c r="J2715">
        <v>2.1</v>
      </c>
      <c r="K2715">
        <v>77.349999999999994</v>
      </c>
      <c r="L2715">
        <v>0</v>
      </c>
      <c r="M2715">
        <v>15.47</v>
      </c>
      <c r="N2715">
        <v>2</v>
      </c>
      <c r="O2715">
        <v>0</v>
      </c>
      <c r="P2715">
        <v>4691</v>
      </c>
      <c r="Q2715">
        <v>1380</v>
      </c>
      <c r="R2715">
        <v>100</v>
      </c>
      <c r="S2715">
        <v>2399</v>
      </c>
      <c r="T2715">
        <v>0</v>
      </c>
      <c r="U2715">
        <v>812</v>
      </c>
      <c r="V2715" s="1">
        <f t="shared" si="126"/>
        <v>0.37</v>
      </c>
      <c r="W2715" s="1">
        <f t="shared" si="127"/>
        <v>6.1000000000000004E-3</v>
      </c>
      <c r="X2715" s="1">
        <f t="shared" si="128"/>
        <v>0</v>
      </c>
    </row>
    <row r="2716" spans="1:24" x14ac:dyDescent="0.25">
      <c r="A2716">
        <v>2006</v>
      </c>
      <c r="B2716">
        <v>2</v>
      </c>
      <c r="C2716" t="s">
        <v>39</v>
      </c>
      <c r="D2716" t="str">
        <f>_xlfn.XLOOKUP(C2716,'Carrier Name Rename'!A:A,'Carrier Name Rename'!B:B)</f>
        <v>Frontier Airlines Inc.</v>
      </c>
      <c r="E2716" t="s">
        <v>23</v>
      </c>
      <c r="F2716" t="s">
        <v>24</v>
      </c>
      <c r="G2716">
        <v>108</v>
      </c>
      <c r="H2716">
        <v>55</v>
      </c>
      <c r="I2716">
        <v>23.37</v>
      </c>
      <c r="J2716">
        <v>0.55000000000000004</v>
      </c>
      <c r="K2716">
        <v>24.92</v>
      </c>
      <c r="L2716">
        <v>0</v>
      </c>
      <c r="M2716">
        <v>6.16</v>
      </c>
      <c r="N2716">
        <v>0</v>
      </c>
      <c r="O2716">
        <v>0</v>
      </c>
      <c r="P2716">
        <v>2161</v>
      </c>
      <c r="Q2716">
        <v>975</v>
      </c>
      <c r="R2716">
        <v>18</v>
      </c>
      <c r="S2716">
        <v>937</v>
      </c>
      <c r="T2716">
        <v>0</v>
      </c>
      <c r="U2716">
        <v>231</v>
      </c>
      <c r="V2716" s="1">
        <f t="shared" si="126"/>
        <v>0.50929999999999997</v>
      </c>
      <c r="W2716" s="1">
        <f t="shared" si="127"/>
        <v>0</v>
      </c>
      <c r="X2716" s="1">
        <f t="shared" si="128"/>
        <v>0</v>
      </c>
    </row>
    <row r="2717" spans="1:24" x14ac:dyDescent="0.25">
      <c r="A2717">
        <v>2006</v>
      </c>
      <c r="B2717">
        <v>2</v>
      </c>
      <c r="C2717" t="s">
        <v>21</v>
      </c>
      <c r="D2717" t="str">
        <f>_xlfn.XLOOKUP(C2717,'Carrier Name Rename'!A:A,'Carrier Name Rename'!B:B)</f>
        <v>Hawaiian Airlines Inc.</v>
      </c>
      <c r="E2717" t="s">
        <v>23</v>
      </c>
      <c r="F2717" t="s">
        <v>24</v>
      </c>
      <c r="G2717">
        <v>46</v>
      </c>
      <c r="H2717">
        <v>14</v>
      </c>
      <c r="I2717">
        <v>9.98</v>
      </c>
      <c r="J2717">
        <v>0</v>
      </c>
      <c r="K2717">
        <v>0</v>
      </c>
      <c r="L2717">
        <v>0</v>
      </c>
      <c r="M2717">
        <v>4.0199999999999996</v>
      </c>
      <c r="N2717">
        <v>0</v>
      </c>
      <c r="O2717">
        <v>0</v>
      </c>
      <c r="P2717">
        <v>593</v>
      </c>
      <c r="Q2717">
        <v>427</v>
      </c>
      <c r="R2717">
        <v>0</v>
      </c>
      <c r="S2717">
        <v>0</v>
      </c>
      <c r="T2717">
        <v>0</v>
      </c>
      <c r="U2717">
        <v>166</v>
      </c>
      <c r="V2717" s="1">
        <f t="shared" si="126"/>
        <v>0.30430000000000001</v>
      </c>
      <c r="W2717" s="1">
        <f t="shared" si="127"/>
        <v>0</v>
      </c>
      <c r="X2717" s="1">
        <f t="shared" si="128"/>
        <v>0</v>
      </c>
    </row>
    <row r="2718" spans="1:24" x14ac:dyDescent="0.25">
      <c r="A2718">
        <v>2006</v>
      </c>
      <c r="B2718">
        <v>2</v>
      </c>
      <c r="C2718" t="s">
        <v>67</v>
      </c>
      <c r="D2718" t="str">
        <f>_xlfn.XLOOKUP(C2718,'Carrier Name Rename'!A:A,'Carrier Name Rename'!B:B)</f>
        <v>Northwest Airlines Inc.</v>
      </c>
      <c r="E2718" t="s">
        <v>23</v>
      </c>
      <c r="F2718" t="s">
        <v>24</v>
      </c>
      <c r="G2718">
        <v>308</v>
      </c>
      <c r="H2718">
        <v>110</v>
      </c>
      <c r="I2718">
        <v>27.38</v>
      </c>
      <c r="J2718">
        <v>0.41</v>
      </c>
      <c r="K2718">
        <v>69.06</v>
      </c>
      <c r="L2718">
        <v>0</v>
      </c>
      <c r="M2718">
        <v>13.15</v>
      </c>
      <c r="N2718">
        <v>3</v>
      </c>
      <c r="O2718">
        <v>2</v>
      </c>
      <c r="P2718">
        <v>4339</v>
      </c>
      <c r="Q2718">
        <v>1259</v>
      </c>
      <c r="R2718">
        <v>24</v>
      </c>
      <c r="S2718">
        <v>2047</v>
      </c>
      <c r="T2718">
        <v>0</v>
      </c>
      <c r="U2718">
        <v>1009</v>
      </c>
      <c r="V2718" s="1">
        <f t="shared" si="126"/>
        <v>0.35709999999999997</v>
      </c>
      <c r="W2718" s="1">
        <f t="shared" si="127"/>
        <v>9.7000000000000003E-3</v>
      </c>
      <c r="X2718" s="1">
        <f t="shared" si="128"/>
        <v>6.4999999999999997E-3</v>
      </c>
    </row>
    <row r="2719" spans="1:24" x14ac:dyDescent="0.25">
      <c r="A2719">
        <v>2006</v>
      </c>
      <c r="B2719">
        <v>2</v>
      </c>
      <c r="C2719" t="s">
        <v>27</v>
      </c>
      <c r="D2719" t="str">
        <f>_xlfn.XLOOKUP(C2719,'Carrier Name Rename'!A:A,'Carrier Name Rename'!B:B)</f>
        <v>SkyWest Airlines Inc.</v>
      </c>
      <c r="E2719" t="s">
        <v>23</v>
      </c>
      <c r="F2719" t="s">
        <v>24</v>
      </c>
      <c r="G2719">
        <v>278</v>
      </c>
      <c r="H2719">
        <v>28</v>
      </c>
      <c r="I2719">
        <v>21</v>
      </c>
      <c r="J2719">
        <v>1</v>
      </c>
      <c r="K2719">
        <v>0</v>
      </c>
      <c r="L2719">
        <v>0</v>
      </c>
      <c r="M2719">
        <v>6</v>
      </c>
      <c r="N2719">
        <v>0</v>
      </c>
      <c r="O2719">
        <v>0</v>
      </c>
      <c r="P2719">
        <v>759</v>
      </c>
      <c r="Q2719">
        <v>525</v>
      </c>
      <c r="R2719">
        <v>72</v>
      </c>
      <c r="S2719">
        <v>0</v>
      </c>
      <c r="T2719">
        <v>0</v>
      </c>
      <c r="U2719">
        <v>162</v>
      </c>
      <c r="V2719" s="1">
        <f t="shared" si="126"/>
        <v>0.1007</v>
      </c>
      <c r="W2719" s="1">
        <f t="shared" si="127"/>
        <v>0</v>
      </c>
      <c r="X2719" s="1">
        <f t="shared" si="128"/>
        <v>0</v>
      </c>
    </row>
    <row r="2720" spans="1:24" x14ac:dyDescent="0.25">
      <c r="A2720">
        <v>2006</v>
      </c>
      <c r="B2720">
        <v>2</v>
      </c>
      <c r="C2720" t="s">
        <v>41</v>
      </c>
      <c r="D2720" t="str">
        <f>_xlfn.XLOOKUP(C2720,'Carrier Name Rename'!A:A,'Carrier Name Rename'!B:B)</f>
        <v>United Air Lines Inc.</v>
      </c>
      <c r="E2720" t="s">
        <v>23</v>
      </c>
      <c r="F2720" t="s">
        <v>24</v>
      </c>
      <c r="G2720">
        <v>793</v>
      </c>
      <c r="H2720">
        <v>260</v>
      </c>
      <c r="I2720">
        <v>70.709999999999994</v>
      </c>
      <c r="J2720">
        <v>6.06</v>
      </c>
      <c r="K2720">
        <v>92.74</v>
      </c>
      <c r="L2720">
        <v>0</v>
      </c>
      <c r="M2720">
        <v>90.5</v>
      </c>
      <c r="N2720">
        <v>6</v>
      </c>
      <c r="O2720">
        <v>0</v>
      </c>
      <c r="P2720">
        <v>14455</v>
      </c>
      <c r="Q2720">
        <v>3526</v>
      </c>
      <c r="R2720">
        <v>462</v>
      </c>
      <c r="S2720">
        <v>3088</v>
      </c>
      <c r="T2720">
        <v>0</v>
      </c>
      <c r="U2720">
        <v>7379</v>
      </c>
      <c r="V2720" s="1">
        <f t="shared" si="126"/>
        <v>0.32790000000000002</v>
      </c>
      <c r="W2720" s="1">
        <f t="shared" si="127"/>
        <v>7.6E-3</v>
      </c>
      <c r="X2720" s="1">
        <f t="shared" si="128"/>
        <v>0</v>
      </c>
    </row>
    <row r="2721" spans="1:24" x14ac:dyDescent="0.25">
      <c r="A2721">
        <v>2006</v>
      </c>
      <c r="B2721">
        <v>2</v>
      </c>
      <c r="C2721" t="s">
        <v>61</v>
      </c>
      <c r="D2721" t="str">
        <f>_xlfn.XLOOKUP(C2721,'Carrier Name Rename'!A:A,'Carrier Name Rename'!B:B)</f>
        <v>US Airways Inc.</v>
      </c>
      <c r="E2721" t="s">
        <v>23</v>
      </c>
      <c r="F2721" t="s">
        <v>24</v>
      </c>
      <c r="G2721">
        <v>326</v>
      </c>
      <c r="H2721">
        <v>97</v>
      </c>
      <c r="I2721">
        <v>34.14</v>
      </c>
      <c r="J2721">
        <v>0.66</v>
      </c>
      <c r="K2721">
        <v>48.82</v>
      </c>
      <c r="L2721">
        <v>0</v>
      </c>
      <c r="M2721">
        <v>13.38</v>
      </c>
      <c r="N2721">
        <v>2</v>
      </c>
      <c r="O2721">
        <v>1</v>
      </c>
      <c r="P2721">
        <v>3787</v>
      </c>
      <c r="Q2721">
        <v>1644</v>
      </c>
      <c r="R2721">
        <v>27</v>
      </c>
      <c r="S2721">
        <v>1565</v>
      </c>
      <c r="T2721">
        <v>0</v>
      </c>
      <c r="U2721">
        <v>551</v>
      </c>
      <c r="V2721" s="1">
        <f t="shared" si="126"/>
        <v>0.29749999999999999</v>
      </c>
      <c r="W2721" s="1">
        <f t="shared" si="127"/>
        <v>6.1000000000000004E-3</v>
      </c>
      <c r="X2721" s="1">
        <f t="shared" si="128"/>
        <v>3.0999999999999999E-3</v>
      </c>
    </row>
    <row r="2722" spans="1:24" x14ac:dyDescent="0.25">
      <c r="A2722">
        <v>2006</v>
      </c>
      <c r="B2722">
        <v>2</v>
      </c>
      <c r="C2722" t="s">
        <v>43</v>
      </c>
      <c r="D2722" t="str">
        <f>_xlfn.XLOOKUP(C2722,'Carrier Name Rename'!A:A,'Carrier Name Rename'!B:B)</f>
        <v>Southwest Airlines Co.</v>
      </c>
      <c r="E2722" t="s">
        <v>23</v>
      </c>
      <c r="F2722" t="s">
        <v>24</v>
      </c>
      <c r="G2722">
        <v>1018</v>
      </c>
      <c r="H2722">
        <v>227</v>
      </c>
      <c r="I2722">
        <v>45.33</v>
      </c>
      <c r="J2722">
        <v>4.24</v>
      </c>
      <c r="K2722">
        <v>56.02</v>
      </c>
      <c r="L2722">
        <v>0.75</v>
      </c>
      <c r="M2722">
        <v>120.66</v>
      </c>
      <c r="N2722">
        <v>1</v>
      </c>
      <c r="O2722">
        <v>2</v>
      </c>
      <c r="P2722">
        <v>8489</v>
      </c>
      <c r="Q2722">
        <v>1824</v>
      </c>
      <c r="R2722">
        <v>93</v>
      </c>
      <c r="S2722">
        <v>1696</v>
      </c>
      <c r="T2722">
        <v>27</v>
      </c>
      <c r="U2722">
        <v>4849</v>
      </c>
      <c r="V2722" s="1">
        <f t="shared" si="126"/>
        <v>0.223</v>
      </c>
      <c r="W2722" s="1">
        <f t="shared" si="127"/>
        <v>1E-3</v>
      </c>
      <c r="X2722" s="1">
        <f t="shared" si="128"/>
        <v>2E-3</v>
      </c>
    </row>
    <row r="2723" spans="1:24" x14ac:dyDescent="0.25">
      <c r="A2723">
        <v>2006</v>
      </c>
      <c r="B2723">
        <v>2</v>
      </c>
      <c r="C2723" t="s">
        <v>71</v>
      </c>
      <c r="D2723" t="str">
        <f>_xlfn.XLOOKUP(C2723,'Carrier Name Rename'!A:A,'Carrier Name Rename'!B:B)</f>
        <v>Mesa Airlines Inc.</v>
      </c>
      <c r="E2723" t="s">
        <v>23</v>
      </c>
      <c r="F2723" t="s">
        <v>24</v>
      </c>
      <c r="G2723">
        <v>28</v>
      </c>
      <c r="H2723">
        <v>3</v>
      </c>
      <c r="I2723">
        <v>0</v>
      </c>
      <c r="J2723">
        <v>0</v>
      </c>
      <c r="K2723">
        <v>0</v>
      </c>
      <c r="L2723">
        <v>0</v>
      </c>
      <c r="M2723">
        <v>3</v>
      </c>
      <c r="N2723">
        <v>0</v>
      </c>
      <c r="O2723">
        <v>0</v>
      </c>
      <c r="P2723">
        <v>251</v>
      </c>
      <c r="Q2723">
        <v>0</v>
      </c>
      <c r="R2723">
        <v>0</v>
      </c>
      <c r="S2723">
        <v>0</v>
      </c>
      <c r="T2723">
        <v>0</v>
      </c>
      <c r="U2723">
        <v>251</v>
      </c>
      <c r="V2723" s="1">
        <f t="shared" si="126"/>
        <v>0.1071</v>
      </c>
      <c r="W2723" s="1">
        <f t="shared" si="127"/>
        <v>0</v>
      </c>
      <c r="X2723" s="1">
        <f t="shared" si="128"/>
        <v>0</v>
      </c>
    </row>
    <row r="2724" spans="1:24" x14ac:dyDescent="0.25">
      <c r="A2724">
        <v>2006</v>
      </c>
      <c r="B2724">
        <v>2</v>
      </c>
      <c r="C2724" t="s">
        <v>31</v>
      </c>
      <c r="D2724" t="str">
        <f>_xlfn.XLOOKUP(C2724,'Carrier Name Rename'!A:A,'Carrier Name Rename'!B:B)</f>
        <v>American Airlines Inc.</v>
      </c>
      <c r="E2724" t="s">
        <v>23</v>
      </c>
      <c r="F2724" t="s">
        <v>24</v>
      </c>
      <c r="G2724">
        <v>411</v>
      </c>
      <c r="H2724">
        <v>142</v>
      </c>
      <c r="I2724">
        <v>34.75</v>
      </c>
      <c r="J2724">
        <v>12.1</v>
      </c>
      <c r="K2724">
        <v>78.67</v>
      </c>
      <c r="L2724">
        <v>0</v>
      </c>
      <c r="M2724">
        <v>16.47</v>
      </c>
      <c r="N2724">
        <v>4</v>
      </c>
      <c r="O2724">
        <v>0</v>
      </c>
      <c r="P2724">
        <v>6071</v>
      </c>
      <c r="Q2724">
        <v>1727</v>
      </c>
      <c r="R2724">
        <v>687</v>
      </c>
      <c r="S2724">
        <v>2426</v>
      </c>
      <c r="T2724">
        <v>0</v>
      </c>
      <c r="U2724">
        <v>1231</v>
      </c>
      <c r="V2724" s="1">
        <f t="shared" si="126"/>
        <v>0.34549999999999997</v>
      </c>
      <c r="W2724" s="1">
        <f t="shared" si="127"/>
        <v>9.7000000000000003E-3</v>
      </c>
      <c r="X2724" s="1">
        <f t="shared" si="128"/>
        <v>0</v>
      </c>
    </row>
    <row r="2725" spans="1:24" x14ac:dyDescent="0.25">
      <c r="A2725">
        <v>2006</v>
      </c>
      <c r="B2725">
        <v>1</v>
      </c>
      <c r="C2725" t="s">
        <v>31</v>
      </c>
      <c r="D2725" t="str">
        <f>_xlfn.XLOOKUP(C2725,'Carrier Name Rename'!A:A,'Carrier Name Rename'!B:B)</f>
        <v>American Airlines Inc.</v>
      </c>
      <c r="E2725" t="s">
        <v>23</v>
      </c>
      <c r="F2725" t="s">
        <v>24</v>
      </c>
      <c r="G2725">
        <v>457</v>
      </c>
      <c r="H2725">
        <v>129</v>
      </c>
      <c r="I2725">
        <v>35.64</v>
      </c>
      <c r="J2725">
        <v>10.050000000000001</v>
      </c>
      <c r="K2725">
        <v>59.28</v>
      </c>
      <c r="L2725">
        <v>0</v>
      </c>
      <c r="M2725">
        <v>24.03</v>
      </c>
      <c r="N2725">
        <v>1</v>
      </c>
      <c r="O2725">
        <v>1</v>
      </c>
      <c r="P2725">
        <v>5893</v>
      </c>
      <c r="Q2725">
        <v>1959</v>
      </c>
      <c r="R2725">
        <v>688</v>
      </c>
      <c r="S2725">
        <v>1789</v>
      </c>
      <c r="T2725">
        <v>0</v>
      </c>
      <c r="U2725">
        <v>1457</v>
      </c>
      <c r="V2725" s="1">
        <f t="shared" si="126"/>
        <v>0.2823</v>
      </c>
      <c r="W2725" s="1">
        <f t="shared" si="127"/>
        <v>2.2000000000000001E-3</v>
      </c>
      <c r="X2725" s="1">
        <f t="shared" si="128"/>
        <v>2.2000000000000001E-3</v>
      </c>
    </row>
    <row r="2726" spans="1:24" x14ac:dyDescent="0.25">
      <c r="A2726">
        <v>2006</v>
      </c>
      <c r="B2726">
        <v>1</v>
      </c>
      <c r="C2726" t="s">
        <v>33</v>
      </c>
      <c r="D2726" t="str">
        <f>_xlfn.XLOOKUP(C2726,'Carrier Name Rename'!A:A,'Carrier Name Rename'!B:B)</f>
        <v>Alaska Airlines Inc.</v>
      </c>
      <c r="E2726" t="s">
        <v>23</v>
      </c>
      <c r="F2726" t="s">
        <v>24</v>
      </c>
      <c r="G2726">
        <v>3919</v>
      </c>
      <c r="H2726">
        <v>1112</v>
      </c>
      <c r="I2726">
        <v>269.83999999999997</v>
      </c>
      <c r="J2726">
        <v>13.36</v>
      </c>
      <c r="K2726">
        <v>378.52</v>
      </c>
      <c r="L2726">
        <v>7.89</v>
      </c>
      <c r="M2726">
        <v>442.4</v>
      </c>
      <c r="N2726">
        <v>107</v>
      </c>
      <c r="O2726">
        <v>8</v>
      </c>
      <c r="P2726">
        <v>56037</v>
      </c>
      <c r="Q2726">
        <v>15634</v>
      </c>
      <c r="R2726">
        <v>702</v>
      </c>
      <c r="S2726">
        <v>11952</v>
      </c>
      <c r="T2726">
        <v>217</v>
      </c>
      <c r="U2726">
        <v>27532</v>
      </c>
      <c r="V2726" s="1">
        <f t="shared" si="126"/>
        <v>0.28370000000000001</v>
      </c>
      <c r="W2726" s="1">
        <f t="shared" si="127"/>
        <v>2.7300000000000001E-2</v>
      </c>
      <c r="X2726" s="1">
        <f t="shared" si="128"/>
        <v>2E-3</v>
      </c>
    </row>
    <row r="2727" spans="1:24" x14ac:dyDescent="0.25">
      <c r="A2727">
        <v>2006</v>
      </c>
      <c r="B2727">
        <v>1</v>
      </c>
      <c r="C2727" t="s">
        <v>35</v>
      </c>
      <c r="D2727" t="str">
        <f>_xlfn.XLOOKUP(C2727,'Carrier Name Rename'!A:A,'Carrier Name Rename'!B:B)</f>
        <v>JetBlue Airways</v>
      </c>
      <c r="E2727" t="s">
        <v>23</v>
      </c>
      <c r="F2727" t="s">
        <v>24</v>
      </c>
      <c r="G2727">
        <v>62</v>
      </c>
      <c r="H2727">
        <v>22</v>
      </c>
      <c r="I2727">
        <v>6.51</v>
      </c>
      <c r="J2727">
        <v>0</v>
      </c>
      <c r="K2727">
        <v>11.39</v>
      </c>
      <c r="L2727">
        <v>0</v>
      </c>
      <c r="M2727">
        <v>4.1100000000000003</v>
      </c>
      <c r="N2727">
        <v>0</v>
      </c>
      <c r="O2727">
        <v>1</v>
      </c>
      <c r="P2727">
        <v>997</v>
      </c>
      <c r="Q2727">
        <v>363</v>
      </c>
      <c r="R2727">
        <v>0</v>
      </c>
      <c r="S2727">
        <v>388</v>
      </c>
      <c r="T2727">
        <v>0</v>
      </c>
      <c r="U2727">
        <v>246</v>
      </c>
      <c r="V2727" s="1">
        <f t="shared" si="126"/>
        <v>0.3548</v>
      </c>
      <c r="W2727" s="1">
        <f t="shared" si="127"/>
        <v>0</v>
      </c>
      <c r="X2727" s="1">
        <f t="shared" si="128"/>
        <v>1.61E-2</v>
      </c>
    </row>
    <row r="2728" spans="1:24" x14ac:dyDescent="0.25">
      <c r="A2728">
        <v>2006</v>
      </c>
      <c r="B2728">
        <v>1</v>
      </c>
      <c r="C2728" t="s">
        <v>65</v>
      </c>
      <c r="D2728" t="str">
        <f>_xlfn.XLOOKUP(C2728,'Carrier Name Rename'!A:A,'Carrier Name Rename'!B:B)</f>
        <v>Continental Air Lines Inc.</v>
      </c>
      <c r="E2728" t="s">
        <v>23</v>
      </c>
      <c r="F2728" t="s">
        <v>24</v>
      </c>
      <c r="G2728">
        <v>310</v>
      </c>
      <c r="H2728">
        <v>90</v>
      </c>
      <c r="I2728">
        <v>24.14</v>
      </c>
      <c r="J2728">
        <v>2.79</v>
      </c>
      <c r="K2728">
        <v>49.65</v>
      </c>
      <c r="L2728">
        <v>2.31</v>
      </c>
      <c r="M2728">
        <v>11.11</v>
      </c>
      <c r="N2728">
        <v>3</v>
      </c>
      <c r="O2728">
        <v>1</v>
      </c>
      <c r="P2728">
        <v>3116</v>
      </c>
      <c r="Q2728">
        <v>815</v>
      </c>
      <c r="R2728">
        <v>193</v>
      </c>
      <c r="S2728">
        <v>1498</v>
      </c>
      <c r="T2728">
        <v>63</v>
      </c>
      <c r="U2728">
        <v>547</v>
      </c>
      <c r="V2728" s="1">
        <f t="shared" si="126"/>
        <v>0.2903</v>
      </c>
      <c r="W2728" s="1">
        <f t="shared" si="127"/>
        <v>9.7000000000000003E-3</v>
      </c>
      <c r="X2728" s="1">
        <f t="shared" si="128"/>
        <v>3.2000000000000002E-3</v>
      </c>
    </row>
    <row r="2729" spans="1:24" x14ac:dyDescent="0.25">
      <c r="A2729">
        <v>2006</v>
      </c>
      <c r="B2729">
        <v>1</v>
      </c>
      <c r="C2729" t="s">
        <v>37</v>
      </c>
      <c r="D2729" t="str">
        <f>_xlfn.XLOOKUP(C2729,'Carrier Name Rename'!A:A,'Carrier Name Rename'!B:B)</f>
        <v>Delta Air Lines Inc.</v>
      </c>
      <c r="E2729" t="s">
        <v>23</v>
      </c>
      <c r="F2729" t="s">
        <v>24</v>
      </c>
      <c r="G2729">
        <v>363</v>
      </c>
      <c r="H2729">
        <v>106</v>
      </c>
      <c r="I2729">
        <v>29.78</v>
      </c>
      <c r="J2729">
        <v>4.38</v>
      </c>
      <c r="K2729">
        <v>52.71</v>
      </c>
      <c r="L2729">
        <v>0</v>
      </c>
      <c r="M2729">
        <v>19.13</v>
      </c>
      <c r="N2729">
        <v>0</v>
      </c>
      <c r="O2729">
        <v>0</v>
      </c>
      <c r="P2729">
        <v>4077</v>
      </c>
      <c r="Q2729">
        <v>1381</v>
      </c>
      <c r="R2729">
        <v>359</v>
      </c>
      <c r="S2729">
        <v>1334</v>
      </c>
      <c r="T2729">
        <v>0</v>
      </c>
      <c r="U2729">
        <v>1003</v>
      </c>
      <c r="V2729" s="1">
        <f t="shared" si="126"/>
        <v>0.29199999999999998</v>
      </c>
      <c r="W2729" s="1">
        <f t="shared" si="127"/>
        <v>0</v>
      </c>
      <c r="X2729" s="1">
        <f t="shared" si="128"/>
        <v>0</v>
      </c>
    </row>
    <row r="2730" spans="1:24" x14ac:dyDescent="0.25">
      <c r="A2730">
        <v>2006</v>
      </c>
      <c r="B2730">
        <v>1</v>
      </c>
      <c r="C2730" t="s">
        <v>39</v>
      </c>
      <c r="D2730" t="str">
        <f>_xlfn.XLOOKUP(C2730,'Carrier Name Rename'!A:A,'Carrier Name Rename'!B:B)</f>
        <v>Frontier Airlines Inc.</v>
      </c>
      <c r="E2730" t="s">
        <v>23</v>
      </c>
      <c r="F2730" t="s">
        <v>24</v>
      </c>
      <c r="G2730">
        <v>119</v>
      </c>
      <c r="H2730">
        <v>41</v>
      </c>
      <c r="I2730">
        <v>15.44</v>
      </c>
      <c r="J2730">
        <v>0.11</v>
      </c>
      <c r="K2730">
        <v>22.09</v>
      </c>
      <c r="L2730">
        <v>0</v>
      </c>
      <c r="M2730">
        <v>3.36</v>
      </c>
      <c r="N2730">
        <v>0</v>
      </c>
      <c r="O2730">
        <v>0</v>
      </c>
      <c r="P2730">
        <v>1613</v>
      </c>
      <c r="Q2730">
        <v>761</v>
      </c>
      <c r="R2730">
        <v>4</v>
      </c>
      <c r="S2730">
        <v>763</v>
      </c>
      <c r="T2730">
        <v>0</v>
      </c>
      <c r="U2730">
        <v>85</v>
      </c>
      <c r="V2730" s="1">
        <f t="shared" si="126"/>
        <v>0.34449999999999997</v>
      </c>
      <c r="W2730" s="1">
        <f t="shared" si="127"/>
        <v>0</v>
      </c>
      <c r="X2730" s="1">
        <f t="shared" si="128"/>
        <v>0</v>
      </c>
    </row>
    <row r="2731" spans="1:24" x14ac:dyDescent="0.25">
      <c r="A2731">
        <v>2006</v>
      </c>
      <c r="B2731">
        <v>1</v>
      </c>
      <c r="C2731" t="s">
        <v>21</v>
      </c>
      <c r="D2731" t="str">
        <f>_xlfn.XLOOKUP(C2731,'Carrier Name Rename'!A:A,'Carrier Name Rename'!B:B)</f>
        <v>Hawaiian Airlines Inc.</v>
      </c>
      <c r="E2731" t="s">
        <v>23</v>
      </c>
      <c r="F2731" t="s">
        <v>24</v>
      </c>
      <c r="G2731">
        <v>51</v>
      </c>
      <c r="H2731">
        <v>8</v>
      </c>
      <c r="I2731">
        <v>6.08</v>
      </c>
      <c r="J2731">
        <v>0</v>
      </c>
      <c r="K2731">
        <v>0</v>
      </c>
      <c r="L2731">
        <v>0</v>
      </c>
      <c r="M2731">
        <v>1.92</v>
      </c>
      <c r="N2731">
        <v>0</v>
      </c>
      <c r="O2731">
        <v>0</v>
      </c>
      <c r="P2731">
        <v>276</v>
      </c>
      <c r="Q2731">
        <v>205</v>
      </c>
      <c r="R2731">
        <v>0</v>
      </c>
      <c r="S2731">
        <v>0</v>
      </c>
      <c r="T2731">
        <v>0</v>
      </c>
      <c r="U2731">
        <v>71</v>
      </c>
      <c r="V2731" s="1">
        <f t="shared" si="126"/>
        <v>0.15690000000000001</v>
      </c>
      <c r="W2731" s="1">
        <f t="shared" si="127"/>
        <v>0</v>
      </c>
      <c r="X2731" s="1">
        <f t="shared" si="128"/>
        <v>0</v>
      </c>
    </row>
    <row r="2732" spans="1:24" x14ac:dyDescent="0.25">
      <c r="A2732">
        <v>2006</v>
      </c>
      <c r="B2732">
        <v>1</v>
      </c>
      <c r="C2732" t="s">
        <v>67</v>
      </c>
      <c r="D2732" t="str">
        <f>_xlfn.XLOOKUP(C2732,'Carrier Name Rename'!A:A,'Carrier Name Rename'!B:B)</f>
        <v>Northwest Airlines Inc.</v>
      </c>
      <c r="E2732" t="s">
        <v>23</v>
      </c>
      <c r="F2732" t="s">
        <v>24</v>
      </c>
      <c r="G2732">
        <v>356</v>
      </c>
      <c r="H2732">
        <v>95</v>
      </c>
      <c r="I2732">
        <v>39.18</v>
      </c>
      <c r="J2732">
        <v>1.37</v>
      </c>
      <c r="K2732">
        <v>45.44</v>
      </c>
      <c r="L2732">
        <v>0</v>
      </c>
      <c r="M2732">
        <v>9.01</v>
      </c>
      <c r="N2732">
        <v>1</v>
      </c>
      <c r="O2732">
        <v>1</v>
      </c>
      <c r="P2732">
        <v>3791</v>
      </c>
      <c r="Q2732">
        <v>1702</v>
      </c>
      <c r="R2732">
        <v>65</v>
      </c>
      <c r="S2732">
        <v>1410</v>
      </c>
      <c r="T2732">
        <v>0</v>
      </c>
      <c r="U2732">
        <v>614</v>
      </c>
      <c r="V2732" s="1">
        <f t="shared" si="126"/>
        <v>0.26690000000000003</v>
      </c>
      <c r="W2732" s="1">
        <f t="shared" si="127"/>
        <v>2.8E-3</v>
      </c>
      <c r="X2732" s="1">
        <f t="shared" si="128"/>
        <v>2.8E-3</v>
      </c>
    </row>
    <row r="2733" spans="1:24" x14ac:dyDescent="0.25">
      <c r="A2733">
        <v>2006</v>
      </c>
      <c r="B2733">
        <v>1</v>
      </c>
      <c r="C2733" t="s">
        <v>27</v>
      </c>
      <c r="D2733" t="str">
        <f>_xlfn.XLOOKUP(C2733,'Carrier Name Rename'!A:A,'Carrier Name Rename'!B:B)</f>
        <v>SkyWest Airlines Inc.</v>
      </c>
      <c r="E2733" t="s">
        <v>23</v>
      </c>
      <c r="F2733" t="s">
        <v>24</v>
      </c>
      <c r="G2733">
        <v>326</v>
      </c>
      <c r="H2733">
        <v>61</v>
      </c>
      <c r="I2733">
        <v>37</v>
      </c>
      <c r="J2733">
        <v>3</v>
      </c>
      <c r="K2733">
        <v>3</v>
      </c>
      <c r="L2733">
        <v>0</v>
      </c>
      <c r="M2733">
        <v>18</v>
      </c>
      <c r="N2733">
        <v>8</v>
      </c>
      <c r="O2733">
        <v>0</v>
      </c>
      <c r="P2733">
        <v>2228</v>
      </c>
      <c r="Q2733">
        <v>1367</v>
      </c>
      <c r="R2733">
        <v>97</v>
      </c>
      <c r="S2733">
        <v>79</v>
      </c>
      <c r="T2733">
        <v>0</v>
      </c>
      <c r="U2733">
        <v>685</v>
      </c>
      <c r="V2733" s="1">
        <f t="shared" si="126"/>
        <v>0.18709999999999999</v>
      </c>
      <c r="W2733" s="1">
        <f t="shared" si="127"/>
        <v>2.4500000000000001E-2</v>
      </c>
      <c r="X2733" s="1">
        <f t="shared" si="128"/>
        <v>0</v>
      </c>
    </row>
    <row r="2734" spans="1:24" x14ac:dyDescent="0.25">
      <c r="A2734">
        <v>2006</v>
      </c>
      <c r="B2734">
        <v>1</v>
      </c>
      <c r="C2734" t="s">
        <v>41</v>
      </c>
      <c r="D2734" t="str">
        <f>_xlfn.XLOOKUP(C2734,'Carrier Name Rename'!A:A,'Carrier Name Rename'!B:B)</f>
        <v>United Air Lines Inc.</v>
      </c>
      <c r="E2734" t="s">
        <v>23</v>
      </c>
      <c r="F2734" t="s">
        <v>24</v>
      </c>
      <c r="G2734">
        <v>901</v>
      </c>
      <c r="H2734">
        <v>266</v>
      </c>
      <c r="I2734">
        <v>104.06</v>
      </c>
      <c r="J2734">
        <v>1.52</v>
      </c>
      <c r="K2734">
        <v>92.99</v>
      </c>
      <c r="L2734">
        <v>0</v>
      </c>
      <c r="M2734">
        <v>67.44</v>
      </c>
      <c r="N2734">
        <v>19</v>
      </c>
      <c r="O2734">
        <v>0</v>
      </c>
      <c r="P2734">
        <v>13715</v>
      </c>
      <c r="Q2734">
        <v>5034</v>
      </c>
      <c r="R2734">
        <v>115</v>
      </c>
      <c r="S2734">
        <v>2861</v>
      </c>
      <c r="T2734">
        <v>0</v>
      </c>
      <c r="U2734">
        <v>5705</v>
      </c>
      <c r="V2734" s="1">
        <f t="shared" si="126"/>
        <v>0.29520000000000002</v>
      </c>
      <c r="W2734" s="1">
        <f t="shared" si="127"/>
        <v>2.1100000000000001E-2</v>
      </c>
      <c r="X2734" s="1">
        <f t="shared" si="128"/>
        <v>0</v>
      </c>
    </row>
    <row r="2735" spans="1:24" x14ac:dyDescent="0.25">
      <c r="A2735">
        <v>2006</v>
      </c>
      <c r="B2735">
        <v>1</v>
      </c>
      <c r="C2735" t="s">
        <v>61</v>
      </c>
      <c r="D2735" t="str">
        <f>_xlfn.XLOOKUP(C2735,'Carrier Name Rename'!A:A,'Carrier Name Rename'!B:B)</f>
        <v>US Airways Inc.</v>
      </c>
      <c r="E2735" t="s">
        <v>23</v>
      </c>
      <c r="F2735" t="s">
        <v>24</v>
      </c>
      <c r="G2735">
        <v>376</v>
      </c>
      <c r="H2735">
        <v>101</v>
      </c>
      <c r="I2735">
        <v>36.130000000000003</v>
      </c>
      <c r="J2735">
        <v>0.04</v>
      </c>
      <c r="K2735">
        <v>46.63</v>
      </c>
      <c r="L2735">
        <v>0.36</v>
      </c>
      <c r="M2735">
        <v>17.84</v>
      </c>
      <c r="N2735">
        <v>0</v>
      </c>
      <c r="O2735">
        <v>3</v>
      </c>
      <c r="P2735">
        <v>3936</v>
      </c>
      <c r="Q2735">
        <v>1577</v>
      </c>
      <c r="R2735">
        <v>7</v>
      </c>
      <c r="S2735">
        <v>1195</v>
      </c>
      <c r="T2735">
        <v>27</v>
      </c>
      <c r="U2735">
        <v>1130</v>
      </c>
      <c r="V2735" s="1">
        <f t="shared" si="126"/>
        <v>0.26860000000000001</v>
      </c>
      <c r="W2735" s="1">
        <f t="shared" si="127"/>
        <v>0</v>
      </c>
      <c r="X2735" s="1">
        <f t="shared" si="128"/>
        <v>8.0000000000000002E-3</v>
      </c>
    </row>
    <row r="2736" spans="1:24" x14ac:dyDescent="0.25">
      <c r="A2736">
        <v>2006</v>
      </c>
      <c r="B2736">
        <v>1</v>
      </c>
      <c r="C2736" t="s">
        <v>43</v>
      </c>
      <c r="D2736" t="str">
        <f>_xlfn.XLOOKUP(C2736,'Carrier Name Rename'!A:A,'Carrier Name Rename'!B:B)</f>
        <v>Southwest Airlines Co.</v>
      </c>
      <c r="E2736" t="s">
        <v>23</v>
      </c>
      <c r="F2736" t="s">
        <v>24</v>
      </c>
      <c r="G2736">
        <v>1152</v>
      </c>
      <c r="H2736">
        <v>190</v>
      </c>
      <c r="I2736">
        <v>47.91</v>
      </c>
      <c r="J2736">
        <v>1.96</v>
      </c>
      <c r="K2736">
        <v>30.86</v>
      </c>
      <c r="L2736">
        <v>0.26</v>
      </c>
      <c r="M2736">
        <v>109.02</v>
      </c>
      <c r="N2736">
        <v>2</v>
      </c>
      <c r="O2736">
        <v>0</v>
      </c>
      <c r="P2736">
        <v>7577</v>
      </c>
      <c r="Q2736">
        <v>2104</v>
      </c>
      <c r="R2736">
        <v>112</v>
      </c>
      <c r="S2736">
        <v>867</v>
      </c>
      <c r="T2736">
        <v>8</v>
      </c>
      <c r="U2736">
        <v>4486</v>
      </c>
      <c r="V2736" s="1">
        <f t="shared" si="126"/>
        <v>0.16489999999999999</v>
      </c>
      <c r="W2736" s="1">
        <f t="shared" si="127"/>
        <v>1.6999999999999999E-3</v>
      </c>
      <c r="X2736" s="1">
        <f t="shared" si="128"/>
        <v>0</v>
      </c>
    </row>
    <row r="2737" spans="1:24" x14ac:dyDescent="0.25">
      <c r="A2737">
        <v>2006</v>
      </c>
      <c r="B2737">
        <v>1</v>
      </c>
      <c r="C2737" t="s">
        <v>71</v>
      </c>
      <c r="D2737" t="str">
        <f>_xlfn.XLOOKUP(C2737,'Carrier Name Rename'!A:A,'Carrier Name Rename'!B:B)</f>
        <v>Mesa Airlines Inc.</v>
      </c>
      <c r="E2737" t="s">
        <v>23</v>
      </c>
      <c r="F2737" t="s">
        <v>24</v>
      </c>
      <c r="G2737">
        <v>31</v>
      </c>
      <c r="H2737">
        <v>5</v>
      </c>
      <c r="I2737">
        <v>1.6</v>
      </c>
      <c r="J2737">
        <v>0</v>
      </c>
      <c r="K2737">
        <v>1.88</v>
      </c>
      <c r="L2737">
        <v>0</v>
      </c>
      <c r="M2737">
        <v>1.52</v>
      </c>
      <c r="N2737">
        <v>1</v>
      </c>
      <c r="O2737">
        <v>1</v>
      </c>
      <c r="P2737">
        <v>225</v>
      </c>
      <c r="Q2737">
        <v>38</v>
      </c>
      <c r="R2737">
        <v>0</v>
      </c>
      <c r="S2737">
        <v>85</v>
      </c>
      <c r="T2737">
        <v>0</v>
      </c>
      <c r="U2737">
        <v>102</v>
      </c>
      <c r="V2737" s="1">
        <f t="shared" si="126"/>
        <v>0.1613</v>
      </c>
      <c r="W2737" s="1">
        <f t="shared" si="127"/>
        <v>3.2300000000000002E-2</v>
      </c>
      <c r="X2737" s="1">
        <f t="shared" si="128"/>
        <v>3.2300000000000002E-2</v>
      </c>
    </row>
    <row r="2738" spans="1:24" x14ac:dyDescent="0.25">
      <c r="A2738">
        <v>2005</v>
      </c>
      <c r="B2738">
        <v>12</v>
      </c>
      <c r="C2738" t="s">
        <v>31</v>
      </c>
      <c r="D2738" t="str">
        <f>_xlfn.XLOOKUP(C2738,'Carrier Name Rename'!A:A,'Carrier Name Rename'!B:B)</f>
        <v>American Airlines Inc.</v>
      </c>
      <c r="E2738" t="s">
        <v>23</v>
      </c>
      <c r="F2738" t="s">
        <v>24</v>
      </c>
      <c r="G2738">
        <v>466</v>
      </c>
      <c r="H2738">
        <v>185</v>
      </c>
      <c r="I2738">
        <v>57.44</v>
      </c>
      <c r="J2738">
        <v>19.3</v>
      </c>
      <c r="K2738">
        <v>74.63</v>
      </c>
      <c r="L2738">
        <v>0</v>
      </c>
      <c r="M2738">
        <v>33.630000000000003</v>
      </c>
      <c r="N2738">
        <v>4</v>
      </c>
      <c r="O2738">
        <v>2</v>
      </c>
      <c r="P2738">
        <v>8137</v>
      </c>
      <c r="Q2738">
        <v>2698</v>
      </c>
      <c r="R2738">
        <v>1085</v>
      </c>
      <c r="S2738">
        <v>2254</v>
      </c>
      <c r="T2738">
        <v>0</v>
      </c>
      <c r="U2738">
        <v>2100</v>
      </c>
      <c r="V2738" s="1">
        <f t="shared" si="126"/>
        <v>0.39700000000000002</v>
      </c>
      <c r="W2738" s="1">
        <f t="shared" si="127"/>
        <v>8.6E-3</v>
      </c>
      <c r="X2738" s="1">
        <f t="shared" si="128"/>
        <v>4.3E-3</v>
      </c>
    </row>
    <row r="2739" spans="1:24" x14ac:dyDescent="0.25">
      <c r="A2739">
        <v>2005</v>
      </c>
      <c r="B2739">
        <v>12</v>
      </c>
      <c r="C2739" t="s">
        <v>33</v>
      </c>
      <c r="D2739" t="str">
        <f>_xlfn.XLOOKUP(C2739,'Carrier Name Rename'!A:A,'Carrier Name Rename'!B:B)</f>
        <v>Alaska Airlines Inc.</v>
      </c>
      <c r="E2739" t="s">
        <v>23</v>
      </c>
      <c r="F2739" t="s">
        <v>24</v>
      </c>
      <c r="G2739">
        <v>3924</v>
      </c>
      <c r="H2739">
        <v>1299</v>
      </c>
      <c r="I2739">
        <v>390.3</v>
      </c>
      <c r="J2739">
        <v>17.899999999999999</v>
      </c>
      <c r="K2739">
        <v>402.42</v>
      </c>
      <c r="L2739">
        <v>13.49</v>
      </c>
      <c r="M2739">
        <v>474.89</v>
      </c>
      <c r="N2739">
        <v>55</v>
      </c>
      <c r="O2739">
        <v>9</v>
      </c>
      <c r="P2739">
        <v>65612</v>
      </c>
      <c r="Q2739">
        <v>21421</v>
      </c>
      <c r="R2739">
        <v>1510</v>
      </c>
      <c r="S2739">
        <v>12903</v>
      </c>
      <c r="T2739">
        <v>390</v>
      </c>
      <c r="U2739">
        <v>29388</v>
      </c>
      <c r="V2739" s="1">
        <f t="shared" si="126"/>
        <v>0.33100000000000002</v>
      </c>
      <c r="W2739" s="1">
        <f t="shared" si="127"/>
        <v>1.4E-2</v>
      </c>
      <c r="X2739" s="1">
        <f t="shared" si="128"/>
        <v>2.3E-3</v>
      </c>
    </row>
    <row r="2740" spans="1:24" x14ac:dyDescent="0.25">
      <c r="A2740">
        <v>2005</v>
      </c>
      <c r="B2740">
        <v>12</v>
      </c>
      <c r="C2740" t="s">
        <v>35</v>
      </c>
      <c r="D2740" t="str">
        <f>_xlfn.XLOOKUP(C2740,'Carrier Name Rename'!A:A,'Carrier Name Rename'!B:B)</f>
        <v>JetBlue Airways</v>
      </c>
      <c r="E2740" t="s">
        <v>23</v>
      </c>
      <c r="F2740" t="s">
        <v>24</v>
      </c>
      <c r="G2740">
        <v>62</v>
      </c>
      <c r="H2740">
        <v>22</v>
      </c>
      <c r="I2740">
        <v>6.57</v>
      </c>
      <c r="J2740">
        <v>0</v>
      </c>
      <c r="K2740">
        <v>11.72</v>
      </c>
      <c r="L2740">
        <v>0</v>
      </c>
      <c r="M2740">
        <v>3.72</v>
      </c>
      <c r="N2740">
        <v>1</v>
      </c>
      <c r="O2740">
        <v>0</v>
      </c>
      <c r="P2740">
        <v>908</v>
      </c>
      <c r="Q2740">
        <v>281</v>
      </c>
      <c r="R2740">
        <v>0</v>
      </c>
      <c r="S2740">
        <v>433</v>
      </c>
      <c r="T2740">
        <v>0</v>
      </c>
      <c r="U2740">
        <v>194</v>
      </c>
      <c r="V2740" s="1">
        <f t="shared" si="126"/>
        <v>0.3548</v>
      </c>
      <c r="W2740" s="1">
        <f t="shared" si="127"/>
        <v>1.61E-2</v>
      </c>
      <c r="X2740" s="1">
        <f t="shared" si="128"/>
        <v>0</v>
      </c>
    </row>
    <row r="2741" spans="1:24" x14ac:dyDescent="0.25">
      <c r="A2741">
        <v>2005</v>
      </c>
      <c r="B2741">
        <v>12</v>
      </c>
      <c r="C2741" t="s">
        <v>65</v>
      </c>
      <c r="D2741" t="str">
        <f>_xlfn.XLOOKUP(C2741,'Carrier Name Rename'!A:A,'Carrier Name Rename'!B:B)</f>
        <v>Continental Air Lines Inc.</v>
      </c>
      <c r="E2741" t="s">
        <v>23</v>
      </c>
      <c r="F2741" t="s">
        <v>24</v>
      </c>
      <c r="G2741">
        <v>396</v>
      </c>
      <c r="H2741">
        <v>151</v>
      </c>
      <c r="I2741">
        <v>41.34</v>
      </c>
      <c r="J2741">
        <v>3.72</v>
      </c>
      <c r="K2741">
        <v>68.819999999999993</v>
      </c>
      <c r="L2741">
        <v>3.29</v>
      </c>
      <c r="M2741">
        <v>33.83</v>
      </c>
      <c r="N2741">
        <v>1</v>
      </c>
      <c r="O2741">
        <v>0</v>
      </c>
      <c r="P2741">
        <v>6461</v>
      </c>
      <c r="Q2741">
        <v>1948</v>
      </c>
      <c r="R2741">
        <v>454</v>
      </c>
      <c r="S2741">
        <v>2139</v>
      </c>
      <c r="T2741">
        <v>107</v>
      </c>
      <c r="U2741">
        <v>1813</v>
      </c>
      <c r="V2741" s="1">
        <f t="shared" si="126"/>
        <v>0.38129999999999997</v>
      </c>
      <c r="W2741" s="1">
        <f t="shared" si="127"/>
        <v>2.5000000000000001E-3</v>
      </c>
      <c r="X2741" s="1">
        <f t="shared" si="128"/>
        <v>0</v>
      </c>
    </row>
    <row r="2742" spans="1:24" x14ac:dyDescent="0.25">
      <c r="A2742">
        <v>2005</v>
      </c>
      <c r="B2742">
        <v>12</v>
      </c>
      <c r="C2742" t="s">
        <v>37</v>
      </c>
      <c r="D2742" t="str">
        <f>_xlfn.XLOOKUP(C2742,'Carrier Name Rename'!A:A,'Carrier Name Rename'!B:B)</f>
        <v>Delta Air Lines Inc.</v>
      </c>
      <c r="E2742" t="s">
        <v>23</v>
      </c>
      <c r="F2742" t="s">
        <v>24</v>
      </c>
      <c r="G2742">
        <v>387</v>
      </c>
      <c r="H2742">
        <v>105</v>
      </c>
      <c r="I2742">
        <v>40.11</v>
      </c>
      <c r="J2742">
        <v>1.82</v>
      </c>
      <c r="K2742">
        <v>45.13</v>
      </c>
      <c r="L2742">
        <v>0</v>
      </c>
      <c r="M2742">
        <v>17.93</v>
      </c>
      <c r="N2742">
        <v>3</v>
      </c>
      <c r="O2742">
        <v>2</v>
      </c>
      <c r="P2742">
        <v>4002</v>
      </c>
      <c r="Q2742">
        <v>1695</v>
      </c>
      <c r="R2742">
        <v>77</v>
      </c>
      <c r="S2742">
        <v>1399</v>
      </c>
      <c r="T2742">
        <v>0</v>
      </c>
      <c r="U2742">
        <v>831</v>
      </c>
      <c r="V2742" s="1">
        <f t="shared" si="126"/>
        <v>0.27129999999999999</v>
      </c>
      <c r="W2742" s="1">
        <f t="shared" si="127"/>
        <v>7.7999999999999996E-3</v>
      </c>
      <c r="X2742" s="1">
        <f t="shared" si="128"/>
        <v>5.1999999999999998E-3</v>
      </c>
    </row>
    <row r="2743" spans="1:24" x14ac:dyDescent="0.25">
      <c r="A2743">
        <v>2005</v>
      </c>
      <c r="B2743">
        <v>12</v>
      </c>
      <c r="C2743" t="s">
        <v>39</v>
      </c>
      <c r="D2743" t="str">
        <f>_xlfn.XLOOKUP(C2743,'Carrier Name Rename'!A:A,'Carrier Name Rename'!B:B)</f>
        <v>Frontier Airlines Inc.</v>
      </c>
      <c r="E2743" t="s">
        <v>23</v>
      </c>
      <c r="F2743" t="s">
        <v>24</v>
      </c>
      <c r="G2743">
        <v>121</v>
      </c>
      <c r="H2743">
        <v>63</v>
      </c>
      <c r="I2743">
        <v>23.76</v>
      </c>
      <c r="J2743">
        <v>0.97</v>
      </c>
      <c r="K2743">
        <v>31.22</v>
      </c>
      <c r="L2743">
        <v>0</v>
      </c>
      <c r="M2743">
        <v>7.05</v>
      </c>
      <c r="N2743">
        <v>0</v>
      </c>
      <c r="O2743">
        <v>0</v>
      </c>
      <c r="P2743">
        <v>2477</v>
      </c>
      <c r="Q2743">
        <v>947</v>
      </c>
      <c r="R2743">
        <v>87</v>
      </c>
      <c r="S2743">
        <v>1202</v>
      </c>
      <c r="T2743">
        <v>0</v>
      </c>
      <c r="U2743">
        <v>241</v>
      </c>
      <c r="V2743" s="1">
        <f t="shared" si="126"/>
        <v>0.52070000000000005</v>
      </c>
      <c r="W2743" s="1">
        <f t="shared" si="127"/>
        <v>0</v>
      </c>
      <c r="X2743" s="1">
        <f t="shared" si="128"/>
        <v>0</v>
      </c>
    </row>
    <row r="2744" spans="1:24" x14ac:dyDescent="0.25">
      <c r="A2744">
        <v>2005</v>
      </c>
      <c r="B2744">
        <v>12</v>
      </c>
      <c r="C2744" t="s">
        <v>21</v>
      </c>
      <c r="D2744" t="str">
        <f>_xlfn.XLOOKUP(C2744,'Carrier Name Rename'!A:A,'Carrier Name Rename'!B:B)</f>
        <v>Hawaiian Airlines Inc.</v>
      </c>
      <c r="E2744" t="s">
        <v>23</v>
      </c>
      <c r="F2744" t="s">
        <v>24</v>
      </c>
      <c r="G2744">
        <v>57</v>
      </c>
      <c r="H2744">
        <v>13</v>
      </c>
      <c r="I2744">
        <v>10.6</v>
      </c>
      <c r="J2744">
        <v>0</v>
      </c>
      <c r="K2744">
        <v>0</v>
      </c>
      <c r="L2744">
        <v>0</v>
      </c>
      <c r="M2744">
        <v>2.4</v>
      </c>
      <c r="N2744">
        <v>0</v>
      </c>
      <c r="O2744">
        <v>0</v>
      </c>
      <c r="P2744">
        <v>382</v>
      </c>
      <c r="Q2744">
        <v>313</v>
      </c>
      <c r="R2744">
        <v>0</v>
      </c>
      <c r="S2744">
        <v>0</v>
      </c>
      <c r="T2744">
        <v>0</v>
      </c>
      <c r="U2744">
        <v>69</v>
      </c>
      <c r="V2744" s="1">
        <f t="shared" si="126"/>
        <v>0.2281</v>
      </c>
      <c r="W2744" s="1">
        <f t="shared" si="127"/>
        <v>0</v>
      </c>
      <c r="X2744" s="1">
        <f t="shared" si="128"/>
        <v>0</v>
      </c>
    </row>
    <row r="2745" spans="1:24" x14ac:dyDescent="0.25">
      <c r="A2745">
        <v>2005</v>
      </c>
      <c r="B2745">
        <v>12</v>
      </c>
      <c r="C2745" t="s">
        <v>73</v>
      </c>
      <c r="D2745" t="str">
        <f>_xlfn.XLOOKUP(C2745,'Carrier Name Rename'!A:A,'Carrier Name Rename'!B:B)</f>
        <v>America West Airlines Inc.</v>
      </c>
      <c r="E2745" t="s">
        <v>23</v>
      </c>
      <c r="F2745" t="s">
        <v>24</v>
      </c>
      <c r="G2745">
        <v>308</v>
      </c>
      <c r="H2745">
        <v>78</v>
      </c>
      <c r="I2745">
        <v>32.090000000000003</v>
      </c>
      <c r="J2745">
        <v>1</v>
      </c>
      <c r="K2745">
        <v>28.12</v>
      </c>
      <c r="L2745">
        <v>0</v>
      </c>
      <c r="M2745">
        <v>16.79</v>
      </c>
      <c r="N2745">
        <v>1</v>
      </c>
      <c r="O2745">
        <v>1</v>
      </c>
      <c r="P2745">
        <v>3187</v>
      </c>
      <c r="Q2745">
        <v>1604</v>
      </c>
      <c r="R2745">
        <v>31</v>
      </c>
      <c r="S2745">
        <v>627</v>
      </c>
      <c r="T2745">
        <v>0</v>
      </c>
      <c r="U2745">
        <v>925</v>
      </c>
      <c r="V2745" s="1">
        <f t="shared" si="126"/>
        <v>0.25319999999999998</v>
      </c>
      <c r="W2745" s="1">
        <f t="shared" si="127"/>
        <v>3.2000000000000002E-3</v>
      </c>
      <c r="X2745" s="1">
        <f t="shared" si="128"/>
        <v>3.2000000000000002E-3</v>
      </c>
    </row>
    <row r="2746" spans="1:24" x14ac:dyDescent="0.25">
      <c r="A2746">
        <v>2005</v>
      </c>
      <c r="B2746">
        <v>12</v>
      </c>
      <c r="C2746" t="s">
        <v>67</v>
      </c>
      <c r="D2746" t="str">
        <f>_xlfn.XLOOKUP(C2746,'Carrier Name Rename'!A:A,'Carrier Name Rename'!B:B)</f>
        <v>Northwest Airlines Inc.</v>
      </c>
      <c r="E2746" t="s">
        <v>23</v>
      </c>
      <c r="F2746" t="s">
        <v>24</v>
      </c>
      <c r="G2746">
        <v>435</v>
      </c>
      <c r="H2746">
        <v>176</v>
      </c>
      <c r="I2746">
        <v>78.790000000000006</v>
      </c>
      <c r="J2746">
        <v>2.46</v>
      </c>
      <c r="K2746">
        <v>66.03</v>
      </c>
      <c r="L2746">
        <v>0</v>
      </c>
      <c r="M2746">
        <v>28.71</v>
      </c>
      <c r="N2746">
        <v>2</v>
      </c>
      <c r="O2746">
        <v>2</v>
      </c>
      <c r="P2746">
        <v>8872</v>
      </c>
      <c r="Q2746">
        <v>4425</v>
      </c>
      <c r="R2746">
        <v>147</v>
      </c>
      <c r="S2746">
        <v>2031</v>
      </c>
      <c r="T2746">
        <v>0</v>
      </c>
      <c r="U2746">
        <v>2269</v>
      </c>
      <c r="V2746" s="1">
        <f t="shared" si="126"/>
        <v>0.40460000000000002</v>
      </c>
      <c r="W2746" s="1">
        <f t="shared" si="127"/>
        <v>4.5999999999999999E-3</v>
      </c>
      <c r="X2746" s="1">
        <f t="shared" si="128"/>
        <v>4.5999999999999999E-3</v>
      </c>
    </row>
    <row r="2747" spans="1:24" x14ac:dyDescent="0.25">
      <c r="A2747">
        <v>2005</v>
      </c>
      <c r="B2747">
        <v>12</v>
      </c>
      <c r="C2747" t="s">
        <v>27</v>
      </c>
      <c r="D2747" t="str">
        <f>_xlfn.XLOOKUP(C2747,'Carrier Name Rename'!A:A,'Carrier Name Rename'!B:B)</f>
        <v>SkyWest Airlines Inc.</v>
      </c>
      <c r="E2747" t="s">
        <v>23</v>
      </c>
      <c r="F2747" t="s">
        <v>24</v>
      </c>
      <c r="G2747">
        <v>331</v>
      </c>
      <c r="H2747">
        <v>101</v>
      </c>
      <c r="I2747">
        <v>79</v>
      </c>
      <c r="J2747">
        <v>5</v>
      </c>
      <c r="K2747">
        <v>7</v>
      </c>
      <c r="L2747">
        <v>0</v>
      </c>
      <c r="M2747">
        <v>10</v>
      </c>
      <c r="N2747">
        <v>15</v>
      </c>
      <c r="O2747">
        <v>0</v>
      </c>
      <c r="P2747">
        <v>4096</v>
      </c>
      <c r="Q2747">
        <v>2963</v>
      </c>
      <c r="R2747">
        <v>393</v>
      </c>
      <c r="S2747">
        <v>317</v>
      </c>
      <c r="T2747">
        <v>0</v>
      </c>
      <c r="U2747">
        <v>423</v>
      </c>
      <c r="V2747" s="1">
        <f t="shared" si="126"/>
        <v>0.30509999999999998</v>
      </c>
      <c r="W2747" s="1">
        <f t="shared" si="127"/>
        <v>4.53E-2</v>
      </c>
      <c r="X2747" s="1">
        <f t="shared" si="128"/>
        <v>0</v>
      </c>
    </row>
    <row r="2748" spans="1:24" x14ac:dyDescent="0.25">
      <c r="A2748">
        <v>2005</v>
      </c>
      <c r="B2748">
        <v>12</v>
      </c>
      <c r="C2748" t="s">
        <v>41</v>
      </c>
      <c r="D2748" t="str">
        <f>_xlfn.XLOOKUP(C2748,'Carrier Name Rename'!A:A,'Carrier Name Rename'!B:B)</f>
        <v>United Air Lines Inc.</v>
      </c>
      <c r="E2748" t="s">
        <v>23</v>
      </c>
      <c r="F2748" t="s">
        <v>24</v>
      </c>
      <c r="G2748">
        <v>986</v>
      </c>
      <c r="H2748">
        <v>329</v>
      </c>
      <c r="I2748">
        <v>125.9</v>
      </c>
      <c r="J2748">
        <v>6.63</v>
      </c>
      <c r="K2748">
        <v>65.47</v>
      </c>
      <c r="L2748">
        <v>0</v>
      </c>
      <c r="M2748">
        <v>131</v>
      </c>
      <c r="N2748">
        <v>14</v>
      </c>
      <c r="O2748">
        <v>0</v>
      </c>
      <c r="P2748">
        <v>20410</v>
      </c>
      <c r="Q2748">
        <v>6349</v>
      </c>
      <c r="R2748">
        <v>623</v>
      </c>
      <c r="S2748">
        <v>2593</v>
      </c>
      <c r="T2748">
        <v>0</v>
      </c>
      <c r="U2748">
        <v>10845</v>
      </c>
      <c r="V2748" s="1">
        <f t="shared" si="126"/>
        <v>0.3337</v>
      </c>
      <c r="W2748" s="1">
        <f t="shared" si="127"/>
        <v>1.4200000000000001E-2</v>
      </c>
      <c r="X2748" s="1">
        <f t="shared" si="128"/>
        <v>0</v>
      </c>
    </row>
    <row r="2749" spans="1:24" x14ac:dyDescent="0.25">
      <c r="A2749">
        <v>2005</v>
      </c>
      <c r="B2749">
        <v>12</v>
      </c>
      <c r="C2749" t="s">
        <v>61</v>
      </c>
      <c r="D2749" t="str">
        <f>_xlfn.XLOOKUP(C2749,'Carrier Name Rename'!A:A,'Carrier Name Rename'!B:B)</f>
        <v>US Airways Inc.</v>
      </c>
      <c r="E2749" t="s">
        <v>23</v>
      </c>
      <c r="F2749" t="s">
        <v>24</v>
      </c>
      <c r="G2749">
        <v>120</v>
      </c>
      <c r="H2749">
        <v>28</v>
      </c>
      <c r="I2749">
        <v>7.76</v>
      </c>
      <c r="J2749">
        <v>0.65</v>
      </c>
      <c r="K2749">
        <v>17.62</v>
      </c>
      <c r="L2749">
        <v>0</v>
      </c>
      <c r="M2749">
        <v>1.97</v>
      </c>
      <c r="N2749">
        <v>0</v>
      </c>
      <c r="O2749">
        <v>0</v>
      </c>
      <c r="P2749">
        <v>942</v>
      </c>
      <c r="Q2749">
        <v>222</v>
      </c>
      <c r="R2749">
        <v>39</v>
      </c>
      <c r="S2749">
        <v>601</v>
      </c>
      <c r="T2749">
        <v>0</v>
      </c>
      <c r="U2749">
        <v>80</v>
      </c>
      <c r="V2749" s="1">
        <f t="shared" si="126"/>
        <v>0.23330000000000001</v>
      </c>
      <c r="W2749" s="1">
        <f t="shared" si="127"/>
        <v>0</v>
      </c>
      <c r="X2749" s="1">
        <f t="shared" si="128"/>
        <v>0</v>
      </c>
    </row>
    <row r="2750" spans="1:24" x14ac:dyDescent="0.25">
      <c r="A2750">
        <v>2005</v>
      </c>
      <c r="B2750">
        <v>12</v>
      </c>
      <c r="C2750" t="s">
        <v>43</v>
      </c>
      <c r="D2750" t="str">
        <f>_xlfn.XLOOKUP(C2750,'Carrier Name Rename'!A:A,'Carrier Name Rename'!B:B)</f>
        <v>Southwest Airlines Co.</v>
      </c>
      <c r="E2750" t="s">
        <v>23</v>
      </c>
      <c r="F2750" t="s">
        <v>24</v>
      </c>
      <c r="G2750">
        <v>1150</v>
      </c>
      <c r="H2750">
        <v>284</v>
      </c>
      <c r="I2750">
        <v>75.28</v>
      </c>
      <c r="J2750">
        <v>4.03</v>
      </c>
      <c r="K2750">
        <v>38.729999999999997</v>
      </c>
      <c r="L2750">
        <v>1.23</v>
      </c>
      <c r="M2750">
        <v>164.72</v>
      </c>
      <c r="N2750">
        <v>8</v>
      </c>
      <c r="O2750">
        <v>3</v>
      </c>
      <c r="P2750">
        <v>11978</v>
      </c>
      <c r="Q2750">
        <v>3073</v>
      </c>
      <c r="R2750">
        <v>159</v>
      </c>
      <c r="S2750">
        <v>1129</v>
      </c>
      <c r="T2750">
        <v>50</v>
      </c>
      <c r="U2750">
        <v>7567</v>
      </c>
      <c r="V2750" s="1">
        <f t="shared" si="126"/>
        <v>0.247</v>
      </c>
      <c r="W2750" s="1">
        <f t="shared" si="127"/>
        <v>7.0000000000000001E-3</v>
      </c>
      <c r="X2750" s="1">
        <f t="shared" si="128"/>
        <v>2.5999999999999999E-3</v>
      </c>
    </row>
    <row r="2751" spans="1:24" x14ac:dyDescent="0.25">
      <c r="A2751">
        <v>2005</v>
      </c>
      <c r="B2751">
        <v>11</v>
      </c>
      <c r="C2751" t="s">
        <v>31</v>
      </c>
      <c r="D2751" t="str">
        <f>_xlfn.XLOOKUP(C2751,'Carrier Name Rename'!A:A,'Carrier Name Rename'!B:B)</f>
        <v>American Airlines Inc.</v>
      </c>
      <c r="E2751" t="s">
        <v>23</v>
      </c>
      <c r="F2751" t="s">
        <v>24</v>
      </c>
      <c r="G2751">
        <v>465</v>
      </c>
      <c r="H2751">
        <v>151</v>
      </c>
      <c r="I2751">
        <v>41.28</v>
      </c>
      <c r="J2751">
        <v>5.76</v>
      </c>
      <c r="K2751">
        <v>80.88</v>
      </c>
      <c r="L2751">
        <v>0</v>
      </c>
      <c r="M2751">
        <v>23.08</v>
      </c>
      <c r="N2751">
        <v>1</v>
      </c>
      <c r="O2751">
        <v>1</v>
      </c>
      <c r="P2751">
        <v>7060</v>
      </c>
      <c r="Q2751">
        <v>2462</v>
      </c>
      <c r="R2751">
        <v>346</v>
      </c>
      <c r="S2751">
        <v>2664</v>
      </c>
      <c r="T2751">
        <v>0</v>
      </c>
      <c r="U2751">
        <v>1588</v>
      </c>
      <c r="V2751" s="1">
        <f t="shared" si="126"/>
        <v>0.32469999999999999</v>
      </c>
      <c r="W2751" s="1">
        <f t="shared" si="127"/>
        <v>2.2000000000000001E-3</v>
      </c>
      <c r="X2751" s="1">
        <f t="shared" si="128"/>
        <v>2.2000000000000001E-3</v>
      </c>
    </row>
    <row r="2752" spans="1:24" x14ac:dyDescent="0.25">
      <c r="A2752">
        <v>2005</v>
      </c>
      <c r="B2752">
        <v>11</v>
      </c>
      <c r="C2752" t="s">
        <v>33</v>
      </c>
      <c r="D2752" t="str">
        <f>_xlfn.XLOOKUP(C2752,'Carrier Name Rename'!A:A,'Carrier Name Rename'!B:B)</f>
        <v>Alaska Airlines Inc.</v>
      </c>
      <c r="E2752" t="s">
        <v>23</v>
      </c>
      <c r="F2752" t="s">
        <v>24</v>
      </c>
      <c r="G2752">
        <v>3767</v>
      </c>
      <c r="H2752">
        <v>953</v>
      </c>
      <c r="I2752">
        <v>265.52999999999997</v>
      </c>
      <c r="J2752">
        <v>11.78</v>
      </c>
      <c r="K2752">
        <v>346.41</v>
      </c>
      <c r="L2752">
        <v>5.71</v>
      </c>
      <c r="M2752">
        <v>323.57</v>
      </c>
      <c r="N2752">
        <v>43</v>
      </c>
      <c r="O2752">
        <v>11</v>
      </c>
      <c r="P2752">
        <v>45216</v>
      </c>
      <c r="Q2752">
        <v>14461</v>
      </c>
      <c r="R2752">
        <v>1113</v>
      </c>
      <c r="S2752">
        <v>10633</v>
      </c>
      <c r="T2752">
        <v>166</v>
      </c>
      <c r="U2752">
        <v>18843</v>
      </c>
      <c r="V2752" s="1">
        <f t="shared" si="126"/>
        <v>0.253</v>
      </c>
      <c r="W2752" s="1">
        <f t="shared" si="127"/>
        <v>1.14E-2</v>
      </c>
      <c r="X2752" s="1">
        <f t="shared" si="128"/>
        <v>2.8999999999999998E-3</v>
      </c>
    </row>
    <row r="2753" spans="1:24" x14ac:dyDescent="0.25">
      <c r="A2753">
        <v>2005</v>
      </c>
      <c r="B2753">
        <v>11</v>
      </c>
      <c r="C2753" t="s">
        <v>35</v>
      </c>
      <c r="D2753" t="str">
        <f>_xlfn.XLOOKUP(C2753,'Carrier Name Rename'!A:A,'Carrier Name Rename'!B:B)</f>
        <v>JetBlue Airways</v>
      </c>
      <c r="E2753" t="s">
        <v>23</v>
      </c>
      <c r="F2753" t="s">
        <v>24</v>
      </c>
      <c r="G2753">
        <v>58</v>
      </c>
      <c r="H2753">
        <v>23</v>
      </c>
      <c r="I2753">
        <v>1.29</v>
      </c>
      <c r="J2753">
        <v>0</v>
      </c>
      <c r="K2753">
        <v>17.8</v>
      </c>
      <c r="L2753">
        <v>0.27</v>
      </c>
      <c r="M2753">
        <v>3.64</v>
      </c>
      <c r="N2753">
        <v>0</v>
      </c>
      <c r="O2753">
        <v>0</v>
      </c>
      <c r="P2753">
        <v>1087</v>
      </c>
      <c r="Q2753">
        <v>50</v>
      </c>
      <c r="R2753">
        <v>0</v>
      </c>
      <c r="S2753">
        <v>871</v>
      </c>
      <c r="T2753">
        <v>8</v>
      </c>
      <c r="U2753">
        <v>158</v>
      </c>
      <c r="V2753" s="1">
        <f t="shared" si="126"/>
        <v>0.39660000000000001</v>
      </c>
      <c r="W2753" s="1">
        <f t="shared" si="127"/>
        <v>0</v>
      </c>
      <c r="X2753" s="1">
        <f t="shared" si="128"/>
        <v>0</v>
      </c>
    </row>
    <row r="2754" spans="1:24" x14ac:dyDescent="0.25">
      <c r="A2754">
        <v>2005</v>
      </c>
      <c r="B2754">
        <v>11</v>
      </c>
      <c r="C2754" t="s">
        <v>65</v>
      </c>
      <c r="D2754" t="str">
        <f>_xlfn.XLOOKUP(C2754,'Carrier Name Rename'!A:A,'Carrier Name Rename'!B:B)</f>
        <v>Continental Air Lines Inc.</v>
      </c>
      <c r="E2754" t="s">
        <v>23</v>
      </c>
      <c r="F2754" t="s">
        <v>24</v>
      </c>
      <c r="G2754">
        <v>316</v>
      </c>
      <c r="H2754">
        <v>72</v>
      </c>
      <c r="I2754">
        <v>15.39</v>
      </c>
      <c r="J2754">
        <v>0.41</v>
      </c>
      <c r="K2754">
        <v>42.9</v>
      </c>
      <c r="L2754">
        <v>0.19</v>
      </c>
      <c r="M2754">
        <v>13.11</v>
      </c>
      <c r="N2754">
        <v>0</v>
      </c>
      <c r="O2754">
        <v>0</v>
      </c>
      <c r="P2754">
        <v>2958</v>
      </c>
      <c r="Q2754">
        <v>772</v>
      </c>
      <c r="R2754">
        <v>40</v>
      </c>
      <c r="S2754">
        <v>1487</v>
      </c>
      <c r="T2754">
        <v>6</v>
      </c>
      <c r="U2754">
        <v>653</v>
      </c>
      <c r="V2754" s="1">
        <f t="shared" si="126"/>
        <v>0.2278</v>
      </c>
      <c r="W2754" s="1">
        <f t="shared" si="127"/>
        <v>0</v>
      </c>
      <c r="X2754" s="1">
        <f t="shared" si="128"/>
        <v>0</v>
      </c>
    </row>
    <row r="2755" spans="1:24" x14ac:dyDescent="0.25">
      <c r="A2755">
        <v>2005</v>
      </c>
      <c r="B2755">
        <v>11</v>
      </c>
      <c r="C2755" t="s">
        <v>75</v>
      </c>
      <c r="D2755" t="str">
        <f>_xlfn.XLOOKUP(C2755,'Carrier Name Rename'!A:A,'Carrier Name Rename'!B:B)</f>
        <v>Independence Air</v>
      </c>
      <c r="E2755" t="s">
        <v>23</v>
      </c>
      <c r="F2755" t="s">
        <v>24</v>
      </c>
      <c r="G2755">
        <v>20</v>
      </c>
      <c r="H2755">
        <v>5</v>
      </c>
      <c r="I2755">
        <v>1.65</v>
      </c>
      <c r="J2755">
        <v>0</v>
      </c>
      <c r="K2755">
        <v>1.1599999999999999</v>
      </c>
      <c r="L2755">
        <v>0</v>
      </c>
      <c r="M2755">
        <v>2.19</v>
      </c>
      <c r="N2755">
        <v>2</v>
      </c>
      <c r="O2755">
        <v>1</v>
      </c>
      <c r="P2755">
        <v>204</v>
      </c>
      <c r="Q2755">
        <v>60</v>
      </c>
      <c r="R2755">
        <v>0</v>
      </c>
      <c r="S2755">
        <v>51</v>
      </c>
      <c r="T2755">
        <v>0</v>
      </c>
      <c r="U2755">
        <v>93</v>
      </c>
      <c r="V2755" s="1">
        <f t="shared" ref="V2755:V2818" si="129">ROUND(H2755/G2755,4)</f>
        <v>0.25</v>
      </c>
      <c r="W2755" s="1">
        <f t="shared" ref="W2755:W2818" si="130">ROUND(N2755/G2755,4)</f>
        <v>0.1</v>
      </c>
      <c r="X2755" s="1">
        <f t="shared" ref="X2755:X2818" si="131">ROUND(O2755/G2755,4)</f>
        <v>0.05</v>
      </c>
    </row>
    <row r="2756" spans="1:24" x14ac:dyDescent="0.25">
      <c r="A2756">
        <v>2005</v>
      </c>
      <c r="B2756">
        <v>11</v>
      </c>
      <c r="C2756" t="s">
        <v>37</v>
      </c>
      <c r="D2756" t="str">
        <f>_xlfn.XLOOKUP(C2756,'Carrier Name Rename'!A:A,'Carrier Name Rename'!B:B)</f>
        <v>Delta Air Lines Inc.</v>
      </c>
      <c r="E2756" t="s">
        <v>23</v>
      </c>
      <c r="F2756" t="s">
        <v>24</v>
      </c>
      <c r="G2756">
        <v>450</v>
      </c>
      <c r="H2756">
        <v>134</v>
      </c>
      <c r="I2756">
        <v>29.71</v>
      </c>
      <c r="J2756">
        <v>0.21</v>
      </c>
      <c r="K2756">
        <v>89.84</v>
      </c>
      <c r="L2756">
        <v>0</v>
      </c>
      <c r="M2756">
        <v>14.24</v>
      </c>
      <c r="N2756">
        <v>3</v>
      </c>
      <c r="O2756">
        <v>1</v>
      </c>
      <c r="P2756">
        <v>4389</v>
      </c>
      <c r="Q2756">
        <v>1480</v>
      </c>
      <c r="R2756">
        <v>7</v>
      </c>
      <c r="S2756">
        <v>2344</v>
      </c>
      <c r="T2756">
        <v>0</v>
      </c>
      <c r="U2756">
        <v>558</v>
      </c>
      <c r="V2756" s="1">
        <f t="shared" si="129"/>
        <v>0.29780000000000001</v>
      </c>
      <c r="W2756" s="1">
        <f t="shared" si="130"/>
        <v>6.7000000000000002E-3</v>
      </c>
      <c r="X2756" s="1">
        <f t="shared" si="131"/>
        <v>2.2000000000000001E-3</v>
      </c>
    </row>
    <row r="2757" spans="1:24" x14ac:dyDescent="0.25">
      <c r="A2757">
        <v>2005</v>
      </c>
      <c r="B2757">
        <v>11</v>
      </c>
      <c r="C2757" t="s">
        <v>39</v>
      </c>
      <c r="D2757" t="str">
        <f>_xlfn.XLOOKUP(C2757,'Carrier Name Rename'!A:A,'Carrier Name Rename'!B:B)</f>
        <v>Frontier Airlines Inc.</v>
      </c>
      <c r="E2757" t="s">
        <v>23</v>
      </c>
      <c r="F2757" t="s">
        <v>24</v>
      </c>
      <c r="G2757">
        <v>115</v>
      </c>
      <c r="H2757">
        <v>42</v>
      </c>
      <c r="I2757">
        <v>12.29</v>
      </c>
      <c r="J2757">
        <v>0.54</v>
      </c>
      <c r="K2757">
        <v>21.38</v>
      </c>
      <c r="L2757">
        <v>0</v>
      </c>
      <c r="M2757">
        <v>7.78</v>
      </c>
      <c r="N2757">
        <v>0</v>
      </c>
      <c r="O2757">
        <v>0</v>
      </c>
      <c r="P2757">
        <v>1160</v>
      </c>
      <c r="Q2757">
        <v>393</v>
      </c>
      <c r="R2757">
        <v>15</v>
      </c>
      <c r="S2757">
        <v>551</v>
      </c>
      <c r="T2757">
        <v>0</v>
      </c>
      <c r="U2757">
        <v>201</v>
      </c>
      <c r="V2757" s="1">
        <f t="shared" si="129"/>
        <v>0.36520000000000002</v>
      </c>
      <c r="W2757" s="1">
        <f t="shared" si="130"/>
        <v>0</v>
      </c>
      <c r="X2757" s="1">
        <f t="shared" si="131"/>
        <v>0</v>
      </c>
    </row>
    <row r="2758" spans="1:24" x14ac:dyDescent="0.25">
      <c r="A2758">
        <v>2005</v>
      </c>
      <c r="B2758">
        <v>11</v>
      </c>
      <c r="C2758" t="s">
        <v>21</v>
      </c>
      <c r="D2758" t="str">
        <f>_xlfn.XLOOKUP(C2758,'Carrier Name Rename'!A:A,'Carrier Name Rename'!B:B)</f>
        <v>Hawaiian Airlines Inc.</v>
      </c>
      <c r="E2758" t="s">
        <v>23</v>
      </c>
      <c r="F2758" t="s">
        <v>24</v>
      </c>
      <c r="G2758">
        <v>52</v>
      </c>
      <c r="H2758">
        <v>5</v>
      </c>
      <c r="I2758">
        <v>3.56</v>
      </c>
      <c r="J2758">
        <v>0</v>
      </c>
      <c r="K2758">
        <v>0</v>
      </c>
      <c r="L2758">
        <v>0</v>
      </c>
      <c r="M2758">
        <v>1.44</v>
      </c>
      <c r="N2758">
        <v>0</v>
      </c>
      <c r="O2758">
        <v>0</v>
      </c>
      <c r="P2758">
        <v>166</v>
      </c>
      <c r="Q2758">
        <v>135</v>
      </c>
      <c r="R2758">
        <v>0</v>
      </c>
      <c r="S2758">
        <v>0</v>
      </c>
      <c r="T2758">
        <v>0</v>
      </c>
      <c r="U2758">
        <v>31</v>
      </c>
      <c r="V2758" s="1">
        <f t="shared" si="129"/>
        <v>9.6199999999999994E-2</v>
      </c>
      <c r="W2758" s="1">
        <f t="shared" si="130"/>
        <v>0</v>
      </c>
      <c r="X2758" s="1">
        <f t="shared" si="131"/>
        <v>0</v>
      </c>
    </row>
    <row r="2759" spans="1:24" x14ac:dyDescent="0.25">
      <c r="A2759">
        <v>2005</v>
      </c>
      <c r="B2759">
        <v>11</v>
      </c>
      <c r="C2759" t="s">
        <v>73</v>
      </c>
      <c r="D2759" t="str">
        <f>_xlfn.XLOOKUP(C2759,'Carrier Name Rename'!A:A,'Carrier Name Rename'!B:B)</f>
        <v>America West Airlines Inc.</v>
      </c>
      <c r="E2759" t="s">
        <v>23</v>
      </c>
      <c r="F2759" t="s">
        <v>24</v>
      </c>
      <c r="G2759">
        <v>291</v>
      </c>
      <c r="H2759">
        <v>68</v>
      </c>
      <c r="I2759">
        <v>24.73</v>
      </c>
      <c r="J2759">
        <v>0</v>
      </c>
      <c r="K2759">
        <v>35.270000000000003</v>
      </c>
      <c r="L2759">
        <v>0</v>
      </c>
      <c r="M2759">
        <v>8</v>
      </c>
      <c r="N2759">
        <v>6</v>
      </c>
      <c r="O2759">
        <v>0</v>
      </c>
      <c r="P2759">
        <v>2318</v>
      </c>
      <c r="Q2759">
        <v>1066</v>
      </c>
      <c r="R2759">
        <v>0</v>
      </c>
      <c r="S2759">
        <v>920</v>
      </c>
      <c r="T2759">
        <v>0</v>
      </c>
      <c r="U2759">
        <v>332</v>
      </c>
      <c r="V2759" s="1">
        <f t="shared" si="129"/>
        <v>0.23369999999999999</v>
      </c>
      <c r="W2759" s="1">
        <f t="shared" si="130"/>
        <v>2.06E-2</v>
      </c>
      <c r="X2759" s="1">
        <f t="shared" si="131"/>
        <v>0</v>
      </c>
    </row>
    <row r="2760" spans="1:24" x14ac:dyDescent="0.25">
      <c r="A2760">
        <v>2005</v>
      </c>
      <c r="B2760">
        <v>11</v>
      </c>
      <c r="C2760" t="s">
        <v>67</v>
      </c>
      <c r="D2760" t="str">
        <f>_xlfn.XLOOKUP(C2760,'Carrier Name Rename'!A:A,'Carrier Name Rename'!B:B)</f>
        <v>Northwest Airlines Inc.</v>
      </c>
      <c r="E2760" t="s">
        <v>23</v>
      </c>
      <c r="F2760" t="s">
        <v>24</v>
      </c>
      <c r="G2760">
        <v>328</v>
      </c>
      <c r="H2760">
        <v>108</v>
      </c>
      <c r="I2760">
        <v>36.979999999999997</v>
      </c>
      <c r="J2760">
        <v>1.68</v>
      </c>
      <c r="K2760">
        <v>59.47</v>
      </c>
      <c r="L2760">
        <v>0</v>
      </c>
      <c r="M2760">
        <v>9.86</v>
      </c>
      <c r="N2760">
        <v>1</v>
      </c>
      <c r="O2760">
        <v>2</v>
      </c>
      <c r="P2760">
        <v>4419</v>
      </c>
      <c r="Q2760">
        <v>1906</v>
      </c>
      <c r="R2760">
        <v>231</v>
      </c>
      <c r="S2760">
        <v>1731</v>
      </c>
      <c r="T2760">
        <v>0</v>
      </c>
      <c r="U2760">
        <v>551</v>
      </c>
      <c r="V2760" s="1">
        <f t="shared" si="129"/>
        <v>0.32929999999999998</v>
      </c>
      <c r="W2760" s="1">
        <f t="shared" si="130"/>
        <v>3.0000000000000001E-3</v>
      </c>
      <c r="X2760" s="1">
        <f t="shared" si="131"/>
        <v>6.1000000000000004E-3</v>
      </c>
    </row>
    <row r="2761" spans="1:24" x14ac:dyDescent="0.25">
      <c r="A2761">
        <v>2005</v>
      </c>
      <c r="B2761">
        <v>11</v>
      </c>
      <c r="C2761" t="s">
        <v>27</v>
      </c>
      <c r="D2761" t="str">
        <f>_xlfn.XLOOKUP(C2761,'Carrier Name Rename'!A:A,'Carrier Name Rename'!B:B)</f>
        <v>SkyWest Airlines Inc.</v>
      </c>
      <c r="E2761" t="s">
        <v>23</v>
      </c>
      <c r="F2761" t="s">
        <v>24</v>
      </c>
      <c r="G2761">
        <v>365</v>
      </c>
      <c r="H2761">
        <v>87</v>
      </c>
      <c r="I2761">
        <v>61</v>
      </c>
      <c r="J2761">
        <v>9</v>
      </c>
      <c r="K2761">
        <v>8</v>
      </c>
      <c r="L2761">
        <v>0</v>
      </c>
      <c r="M2761">
        <v>9</v>
      </c>
      <c r="N2761">
        <v>18</v>
      </c>
      <c r="O2761">
        <v>1</v>
      </c>
      <c r="P2761">
        <v>3969</v>
      </c>
      <c r="Q2761">
        <v>2258</v>
      </c>
      <c r="R2761">
        <v>1018</v>
      </c>
      <c r="S2761">
        <v>326</v>
      </c>
      <c r="T2761">
        <v>0</v>
      </c>
      <c r="U2761">
        <v>367</v>
      </c>
      <c r="V2761" s="1">
        <f t="shared" si="129"/>
        <v>0.2384</v>
      </c>
      <c r="W2761" s="1">
        <f t="shared" si="130"/>
        <v>4.9299999999999997E-2</v>
      </c>
      <c r="X2761" s="1">
        <f t="shared" si="131"/>
        <v>2.7000000000000001E-3</v>
      </c>
    </row>
    <row r="2762" spans="1:24" x14ac:dyDescent="0.25">
      <c r="A2762">
        <v>2005</v>
      </c>
      <c r="B2762">
        <v>11</v>
      </c>
      <c r="C2762" t="s">
        <v>41</v>
      </c>
      <c r="D2762" t="str">
        <f>_xlfn.XLOOKUP(C2762,'Carrier Name Rename'!A:A,'Carrier Name Rename'!B:B)</f>
        <v>United Air Lines Inc.</v>
      </c>
      <c r="E2762" t="s">
        <v>23</v>
      </c>
      <c r="F2762" t="s">
        <v>24</v>
      </c>
      <c r="G2762">
        <v>937</v>
      </c>
      <c r="H2762">
        <v>191</v>
      </c>
      <c r="I2762">
        <v>50.52</v>
      </c>
      <c r="J2762">
        <v>3.47</v>
      </c>
      <c r="K2762">
        <v>77.930000000000007</v>
      </c>
      <c r="L2762">
        <v>0</v>
      </c>
      <c r="M2762">
        <v>59.08</v>
      </c>
      <c r="N2762">
        <v>7</v>
      </c>
      <c r="O2762">
        <v>1</v>
      </c>
      <c r="P2762">
        <v>8523</v>
      </c>
      <c r="Q2762">
        <v>2014</v>
      </c>
      <c r="R2762">
        <v>187</v>
      </c>
      <c r="S2762">
        <v>2278</v>
      </c>
      <c r="T2762">
        <v>0</v>
      </c>
      <c r="U2762">
        <v>4044</v>
      </c>
      <c r="V2762" s="1">
        <f t="shared" si="129"/>
        <v>0.20380000000000001</v>
      </c>
      <c r="W2762" s="1">
        <f t="shared" si="130"/>
        <v>7.4999999999999997E-3</v>
      </c>
      <c r="X2762" s="1">
        <f t="shared" si="131"/>
        <v>1.1000000000000001E-3</v>
      </c>
    </row>
    <row r="2763" spans="1:24" x14ac:dyDescent="0.25">
      <c r="A2763">
        <v>2005</v>
      </c>
      <c r="B2763">
        <v>11</v>
      </c>
      <c r="C2763" t="s">
        <v>61</v>
      </c>
      <c r="D2763" t="str">
        <f>_xlfn.XLOOKUP(C2763,'Carrier Name Rename'!A:A,'Carrier Name Rename'!B:B)</f>
        <v>US Airways Inc.</v>
      </c>
      <c r="E2763" t="s">
        <v>23</v>
      </c>
      <c r="F2763" t="s">
        <v>24</v>
      </c>
      <c r="G2763">
        <v>125</v>
      </c>
      <c r="H2763">
        <v>39</v>
      </c>
      <c r="I2763">
        <v>7.91</v>
      </c>
      <c r="J2763">
        <v>0</v>
      </c>
      <c r="K2763">
        <v>26.81</v>
      </c>
      <c r="L2763">
        <v>0</v>
      </c>
      <c r="M2763">
        <v>4.28</v>
      </c>
      <c r="N2763">
        <v>0</v>
      </c>
      <c r="O2763">
        <v>1</v>
      </c>
      <c r="P2763">
        <v>1377</v>
      </c>
      <c r="Q2763">
        <v>375</v>
      </c>
      <c r="R2763">
        <v>0</v>
      </c>
      <c r="S2763">
        <v>806</v>
      </c>
      <c r="T2763">
        <v>0</v>
      </c>
      <c r="U2763">
        <v>196</v>
      </c>
      <c r="V2763" s="1">
        <f t="shared" si="129"/>
        <v>0.312</v>
      </c>
      <c r="W2763" s="1">
        <f t="shared" si="130"/>
        <v>0</v>
      </c>
      <c r="X2763" s="1">
        <f t="shared" si="131"/>
        <v>8.0000000000000002E-3</v>
      </c>
    </row>
    <row r="2764" spans="1:24" x14ac:dyDescent="0.25">
      <c r="A2764">
        <v>2005</v>
      </c>
      <c r="B2764">
        <v>11</v>
      </c>
      <c r="C2764" t="s">
        <v>43</v>
      </c>
      <c r="D2764" t="str">
        <f>_xlfn.XLOOKUP(C2764,'Carrier Name Rename'!A:A,'Carrier Name Rename'!B:B)</f>
        <v>Southwest Airlines Co.</v>
      </c>
      <c r="E2764" t="s">
        <v>23</v>
      </c>
      <c r="F2764" t="s">
        <v>24</v>
      </c>
      <c r="G2764">
        <v>1101</v>
      </c>
      <c r="H2764">
        <v>183</v>
      </c>
      <c r="I2764">
        <v>45.93</v>
      </c>
      <c r="J2764">
        <v>2.52</v>
      </c>
      <c r="K2764">
        <v>43.96</v>
      </c>
      <c r="L2764">
        <v>0</v>
      </c>
      <c r="M2764">
        <v>90.59</v>
      </c>
      <c r="N2764">
        <v>2</v>
      </c>
      <c r="O2764">
        <v>0</v>
      </c>
      <c r="P2764">
        <v>6786</v>
      </c>
      <c r="Q2764">
        <v>1774</v>
      </c>
      <c r="R2764">
        <v>59</v>
      </c>
      <c r="S2764">
        <v>1190</v>
      </c>
      <c r="T2764">
        <v>0</v>
      </c>
      <c r="U2764">
        <v>3763</v>
      </c>
      <c r="V2764" s="1">
        <f t="shared" si="129"/>
        <v>0.16619999999999999</v>
      </c>
      <c r="W2764" s="1">
        <f t="shared" si="130"/>
        <v>1.8E-3</v>
      </c>
      <c r="X2764" s="1">
        <f t="shared" si="131"/>
        <v>0</v>
      </c>
    </row>
    <row r="2765" spans="1:24" x14ac:dyDescent="0.25">
      <c r="A2765">
        <v>2005</v>
      </c>
      <c r="B2765">
        <v>10</v>
      </c>
      <c r="C2765" t="s">
        <v>31</v>
      </c>
      <c r="D2765" t="str">
        <f>_xlfn.XLOOKUP(C2765,'Carrier Name Rename'!A:A,'Carrier Name Rename'!B:B)</f>
        <v>American Airlines Inc.</v>
      </c>
      <c r="E2765" t="s">
        <v>23</v>
      </c>
      <c r="F2765" t="s">
        <v>24</v>
      </c>
      <c r="G2765">
        <v>534</v>
      </c>
      <c r="H2765">
        <v>80</v>
      </c>
      <c r="I2765">
        <v>26.38</v>
      </c>
      <c r="J2765">
        <v>5.2</v>
      </c>
      <c r="K2765">
        <v>32.67</v>
      </c>
      <c r="L2765">
        <v>0</v>
      </c>
      <c r="M2765">
        <v>15.76</v>
      </c>
      <c r="N2765">
        <v>4</v>
      </c>
      <c r="O2765">
        <v>0</v>
      </c>
      <c r="P2765">
        <v>3931</v>
      </c>
      <c r="Q2765">
        <v>1425</v>
      </c>
      <c r="R2765">
        <v>344</v>
      </c>
      <c r="S2765">
        <v>1080</v>
      </c>
      <c r="T2765">
        <v>0</v>
      </c>
      <c r="U2765">
        <v>1082</v>
      </c>
      <c r="V2765" s="1">
        <f t="shared" si="129"/>
        <v>0.14979999999999999</v>
      </c>
      <c r="W2765" s="1">
        <f t="shared" si="130"/>
        <v>7.4999999999999997E-3</v>
      </c>
      <c r="X2765" s="1">
        <f t="shared" si="131"/>
        <v>0</v>
      </c>
    </row>
    <row r="2766" spans="1:24" x14ac:dyDescent="0.25">
      <c r="A2766">
        <v>2005</v>
      </c>
      <c r="B2766">
        <v>10</v>
      </c>
      <c r="C2766" t="s">
        <v>33</v>
      </c>
      <c r="D2766" t="str">
        <f>_xlfn.XLOOKUP(C2766,'Carrier Name Rename'!A:A,'Carrier Name Rename'!B:B)</f>
        <v>Alaska Airlines Inc.</v>
      </c>
      <c r="E2766" t="s">
        <v>23</v>
      </c>
      <c r="F2766" t="s">
        <v>24</v>
      </c>
      <c r="G2766">
        <v>4139</v>
      </c>
      <c r="H2766">
        <v>836</v>
      </c>
      <c r="I2766">
        <v>249.23</v>
      </c>
      <c r="J2766">
        <v>2.86</v>
      </c>
      <c r="K2766">
        <v>264.61</v>
      </c>
      <c r="L2766">
        <v>4.45</v>
      </c>
      <c r="M2766">
        <v>314.85000000000002</v>
      </c>
      <c r="N2766">
        <v>65</v>
      </c>
      <c r="O2766">
        <v>4</v>
      </c>
      <c r="P2766">
        <v>40019</v>
      </c>
      <c r="Q2766">
        <v>13841</v>
      </c>
      <c r="R2766">
        <v>243</v>
      </c>
      <c r="S2766">
        <v>7612</v>
      </c>
      <c r="T2766">
        <v>164</v>
      </c>
      <c r="U2766">
        <v>18159</v>
      </c>
      <c r="V2766" s="1">
        <f t="shared" si="129"/>
        <v>0.20200000000000001</v>
      </c>
      <c r="W2766" s="1">
        <f t="shared" si="130"/>
        <v>1.5699999999999999E-2</v>
      </c>
      <c r="X2766" s="1">
        <f t="shared" si="131"/>
        <v>1E-3</v>
      </c>
    </row>
    <row r="2767" spans="1:24" x14ac:dyDescent="0.25">
      <c r="A2767">
        <v>2005</v>
      </c>
      <c r="B2767">
        <v>10</v>
      </c>
      <c r="C2767" t="s">
        <v>35</v>
      </c>
      <c r="D2767" t="str">
        <f>_xlfn.XLOOKUP(C2767,'Carrier Name Rename'!A:A,'Carrier Name Rename'!B:B)</f>
        <v>JetBlue Airways</v>
      </c>
      <c r="E2767" t="s">
        <v>23</v>
      </c>
      <c r="F2767" t="s">
        <v>24</v>
      </c>
      <c r="G2767">
        <v>62</v>
      </c>
      <c r="H2767">
        <v>18</v>
      </c>
      <c r="I2767">
        <v>1.95</v>
      </c>
      <c r="J2767">
        <v>0</v>
      </c>
      <c r="K2767">
        <v>15.52</v>
      </c>
      <c r="L2767">
        <v>0</v>
      </c>
      <c r="M2767">
        <v>0.53</v>
      </c>
      <c r="N2767">
        <v>0</v>
      </c>
      <c r="O2767">
        <v>0</v>
      </c>
      <c r="P2767">
        <v>622</v>
      </c>
      <c r="Q2767">
        <v>71</v>
      </c>
      <c r="R2767">
        <v>0</v>
      </c>
      <c r="S2767">
        <v>531</v>
      </c>
      <c r="T2767">
        <v>0</v>
      </c>
      <c r="U2767">
        <v>20</v>
      </c>
      <c r="V2767" s="1">
        <f t="shared" si="129"/>
        <v>0.2903</v>
      </c>
      <c r="W2767" s="1">
        <f t="shared" si="130"/>
        <v>0</v>
      </c>
      <c r="X2767" s="1">
        <f t="shared" si="131"/>
        <v>0</v>
      </c>
    </row>
    <row r="2768" spans="1:24" x14ac:dyDescent="0.25">
      <c r="A2768">
        <v>2005</v>
      </c>
      <c r="B2768">
        <v>10</v>
      </c>
      <c r="C2768" t="s">
        <v>65</v>
      </c>
      <c r="D2768" t="str">
        <f>_xlfn.XLOOKUP(C2768,'Carrier Name Rename'!A:A,'Carrier Name Rename'!B:B)</f>
        <v>Continental Air Lines Inc.</v>
      </c>
      <c r="E2768" t="s">
        <v>23</v>
      </c>
      <c r="F2768" t="s">
        <v>24</v>
      </c>
      <c r="G2768">
        <v>327</v>
      </c>
      <c r="H2768">
        <v>57</v>
      </c>
      <c r="I2768">
        <v>12.7</v>
      </c>
      <c r="J2768">
        <v>2.06</v>
      </c>
      <c r="K2768">
        <v>30.7</v>
      </c>
      <c r="L2768">
        <v>0</v>
      </c>
      <c r="M2768">
        <v>11.54</v>
      </c>
      <c r="N2768">
        <v>0</v>
      </c>
      <c r="O2768">
        <v>2</v>
      </c>
      <c r="P2768">
        <v>2274</v>
      </c>
      <c r="Q2768">
        <v>592</v>
      </c>
      <c r="R2768">
        <v>188</v>
      </c>
      <c r="S2768">
        <v>938</v>
      </c>
      <c r="T2768">
        <v>0</v>
      </c>
      <c r="U2768">
        <v>556</v>
      </c>
      <c r="V2768" s="1">
        <f t="shared" si="129"/>
        <v>0.17430000000000001</v>
      </c>
      <c r="W2768" s="1">
        <f t="shared" si="130"/>
        <v>0</v>
      </c>
      <c r="X2768" s="1">
        <f t="shared" si="131"/>
        <v>6.1000000000000004E-3</v>
      </c>
    </row>
    <row r="2769" spans="1:24" x14ac:dyDescent="0.25">
      <c r="A2769">
        <v>2005</v>
      </c>
      <c r="B2769">
        <v>10</v>
      </c>
      <c r="C2769" t="s">
        <v>75</v>
      </c>
      <c r="D2769" t="str">
        <f>_xlfn.XLOOKUP(C2769,'Carrier Name Rename'!A:A,'Carrier Name Rename'!B:B)</f>
        <v>Independence Air</v>
      </c>
      <c r="E2769" t="s">
        <v>23</v>
      </c>
      <c r="F2769" t="s">
        <v>24</v>
      </c>
      <c r="G2769">
        <v>26</v>
      </c>
      <c r="H2769">
        <v>4</v>
      </c>
      <c r="I2769">
        <v>3</v>
      </c>
      <c r="J2769">
        <v>0</v>
      </c>
      <c r="K2769">
        <v>0</v>
      </c>
      <c r="L2769">
        <v>0</v>
      </c>
      <c r="M2769">
        <v>1</v>
      </c>
      <c r="N2769">
        <v>0</v>
      </c>
      <c r="O2769">
        <v>0</v>
      </c>
      <c r="P2769">
        <v>140</v>
      </c>
      <c r="Q2769">
        <v>74</v>
      </c>
      <c r="R2769">
        <v>0</v>
      </c>
      <c r="S2769">
        <v>0</v>
      </c>
      <c r="T2769">
        <v>0</v>
      </c>
      <c r="U2769">
        <v>66</v>
      </c>
      <c r="V2769" s="1">
        <f t="shared" si="129"/>
        <v>0.15379999999999999</v>
      </c>
      <c r="W2769" s="1">
        <f t="shared" si="130"/>
        <v>0</v>
      </c>
      <c r="X2769" s="1">
        <f t="shared" si="131"/>
        <v>0</v>
      </c>
    </row>
    <row r="2770" spans="1:24" x14ac:dyDescent="0.25">
      <c r="A2770">
        <v>2005</v>
      </c>
      <c r="B2770">
        <v>10</v>
      </c>
      <c r="C2770" t="s">
        <v>37</v>
      </c>
      <c r="D2770" t="str">
        <f>_xlfn.XLOOKUP(C2770,'Carrier Name Rename'!A:A,'Carrier Name Rename'!B:B)</f>
        <v>Delta Air Lines Inc.</v>
      </c>
      <c r="E2770" t="s">
        <v>23</v>
      </c>
      <c r="F2770" t="s">
        <v>24</v>
      </c>
      <c r="G2770">
        <v>521</v>
      </c>
      <c r="H2770">
        <v>94</v>
      </c>
      <c r="I2770">
        <v>35.549999999999997</v>
      </c>
      <c r="J2770">
        <v>0.04</v>
      </c>
      <c r="K2770">
        <v>41.52</v>
      </c>
      <c r="L2770">
        <v>0</v>
      </c>
      <c r="M2770">
        <v>16.899999999999999</v>
      </c>
      <c r="N2770">
        <v>4</v>
      </c>
      <c r="O2770">
        <v>0</v>
      </c>
      <c r="P2770">
        <v>3913</v>
      </c>
      <c r="Q2770">
        <v>2026</v>
      </c>
      <c r="R2770">
        <v>2</v>
      </c>
      <c r="S2770">
        <v>1182</v>
      </c>
      <c r="T2770">
        <v>0</v>
      </c>
      <c r="U2770">
        <v>703</v>
      </c>
      <c r="V2770" s="1">
        <f t="shared" si="129"/>
        <v>0.1804</v>
      </c>
      <c r="W2770" s="1">
        <f t="shared" si="130"/>
        <v>7.7000000000000002E-3</v>
      </c>
      <c r="X2770" s="1">
        <f t="shared" si="131"/>
        <v>0</v>
      </c>
    </row>
    <row r="2771" spans="1:24" x14ac:dyDescent="0.25">
      <c r="A2771">
        <v>2005</v>
      </c>
      <c r="B2771">
        <v>10</v>
      </c>
      <c r="C2771" t="s">
        <v>39</v>
      </c>
      <c r="D2771" t="str">
        <f>_xlfn.XLOOKUP(C2771,'Carrier Name Rename'!A:A,'Carrier Name Rename'!B:B)</f>
        <v>Frontier Airlines Inc.</v>
      </c>
      <c r="E2771" t="s">
        <v>23</v>
      </c>
      <c r="F2771" t="s">
        <v>24</v>
      </c>
      <c r="G2771">
        <v>121</v>
      </c>
      <c r="H2771">
        <v>18</v>
      </c>
      <c r="I2771">
        <v>4.82</v>
      </c>
      <c r="J2771">
        <v>1.36</v>
      </c>
      <c r="K2771">
        <v>4.79</v>
      </c>
      <c r="L2771">
        <v>0</v>
      </c>
      <c r="M2771">
        <v>7.03</v>
      </c>
      <c r="N2771">
        <v>0</v>
      </c>
      <c r="O2771">
        <v>0</v>
      </c>
      <c r="P2771">
        <v>913</v>
      </c>
      <c r="Q2771">
        <v>128</v>
      </c>
      <c r="R2771">
        <v>215</v>
      </c>
      <c r="S2771">
        <v>287</v>
      </c>
      <c r="T2771">
        <v>0</v>
      </c>
      <c r="U2771">
        <v>283</v>
      </c>
      <c r="V2771" s="1">
        <f t="shared" si="129"/>
        <v>0.14879999999999999</v>
      </c>
      <c r="W2771" s="1">
        <f t="shared" si="130"/>
        <v>0</v>
      </c>
      <c r="X2771" s="1">
        <f t="shared" si="131"/>
        <v>0</v>
      </c>
    </row>
    <row r="2772" spans="1:24" x14ac:dyDescent="0.25">
      <c r="A2772">
        <v>2005</v>
      </c>
      <c r="B2772">
        <v>10</v>
      </c>
      <c r="C2772" t="s">
        <v>21</v>
      </c>
      <c r="D2772" t="str">
        <f>_xlfn.XLOOKUP(C2772,'Carrier Name Rename'!A:A,'Carrier Name Rename'!B:B)</f>
        <v>Hawaiian Airlines Inc.</v>
      </c>
      <c r="E2772" t="s">
        <v>23</v>
      </c>
      <c r="F2772" t="s">
        <v>24</v>
      </c>
      <c r="G2772">
        <v>49</v>
      </c>
      <c r="H2772">
        <v>3</v>
      </c>
      <c r="I2772">
        <v>1.91</v>
      </c>
      <c r="J2772">
        <v>0</v>
      </c>
      <c r="K2772">
        <v>0</v>
      </c>
      <c r="L2772">
        <v>0</v>
      </c>
      <c r="M2772">
        <v>1.0900000000000001</v>
      </c>
      <c r="N2772">
        <v>0</v>
      </c>
      <c r="O2772">
        <v>0</v>
      </c>
      <c r="P2772">
        <v>102</v>
      </c>
      <c r="Q2772">
        <v>59</v>
      </c>
      <c r="R2772">
        <v>0</v>
      </c>
      <c r="S2772">
        <v>0</v>
      </c>
      <c r="T2772">
        <v>0</v>
      </c>
      <c r="U2772">
        <v>43</v>
      </c>
      <c r="V2772" s="1">
        <f t="shared" si="129"/>
        <v>6.1199999999999997E-2</v>
      </c>
      <c r="W2772" s="1">
        <f t="shared" si="130"/>
        <v>0</v>
      </c>
      <c r="X2772" s="1">
        <f t="shared" si="131"/>
        <v>0</v>
      </c>
    </row>
    <row r="2773" spans="1:24" x14ac:dyDescent="0.25">
      <c r="A2773">
        <v>2005</v>
      </c>
      <c r="B2773">
        <v>10</v>
      </c>
      <c r="C2773" t="s">
        <v>73</v>
      </c>
      <c r="D2773" t="str">
        <f>_xlfn.XLOOKUP(C2773,'Carrier Name Rename'!A:A,'Carrier Name Rename'!B:B)</f>
        <v>America West Airlines Inc.</v>
      </c>
      <c r="E2773" t="s">
        <v>23</v>
      </c>
      <c r="F2773" t="s">
        <v>24</v>
      </c>
      <c r="G2773">
        <v>305</v>
      </c>
      <c r="H2773">
        <v>46</v>
      </c>
      <c r="I2773">
        <v>14.95</v>
      </c>
      <c r="J2773">
        <v>0</v>
      </c>
      <c r="K2773">
        <v>21.15</v>
      </c>
      <c r="L2773">
        <v>0.46</v>
      </c>
      <c r="M2773">
        <v>9.4499999999999993</v>
      </c>
      <c r="N2773">
        <v>4</v>
      </c>
      <c r="O2773">
        <v>0</v>
      </c>
      <c r="P2773">
        <v>1710</v>
      </c>
      <c r="Q2773">
        <v>533</v>
      </c>
      <c r="R2773">
        <v>0</v>
      </c>
      <c r="S2773">
        <v>575</v>
      </c>
      <c r="T2773">
        <v>11</v>
      </c>
      <c r="U2773">
        <v>591</v>
      </c>
      <c r="V2773" s="1">
        <f t="shared" si="129"/>
        <v>0.15079999999999999</v>
      </c>
      <c r="W2773" s="1">
        <f t="shared" si="130"/>
        <v>1.3100000000000001E-2</v>
      </c>
      <c r="X2773" s="1">
        <f t="shared" si="131"/>
        <v>0</v>
      </c>
    </row>
    <row r="2774" spans="1:24" x14ac:dyDescent="0.25">
      <c r="A2774">
        <v>2005</v>
      </c>
      <c r="B2774">
        <v>10</v>
      </c>
      <c r="C2774" t="s">
        <v>67</v>
      </c>
      <c r="D2774" t="str">
        <f>_xlfn.XLOOKUP(C2774,'Carrier Name Rename'!A:A,'Carrier Name Rename'!B:B)</f>
        <v>Northwest Airlines Inc.</v>
      </c>
      <c r="E2774" t="s">
        <v>23</v>
      </c>
      <c r="F2774" t="s">
        <v>24</v>
      </c>
      <c r="G2774">
        <v>370</v>
      </c>
      <c r="H2774">
        <v>60</v>
      </c>
      <c r="I2774">
        <v>26.85</v>
      </c>
      <c r="J2774">
        <v>0.13</v>
      </c>
      <c r="K2774">
        <v>22.12</v>
      </c>
      <c r="L2774">
        <v>0</v>
      </c>
      <c r="M2774">
        <v>10.89</v>
      </c>
      <c r="N2774">
        <v>0</v>
      </c>
      <c r="O2774">
        <v>0</v>
      </c>
      <c r="P2774">
        <v>3500</v>
      </c>
      <c r="Q2774">
        <v>1960</v>
      </c>
      <c r="R2774">
        <v>11</v>
      </c>
      <c r="S2774">
        <v>776</v>
      </c>
      <c r="T2774">
        <v>0</v>
      </c>
      <c r="U2774">
        <v>753</v>
      </c>
      <c r="V2774" s="1">
        <f t="shared" si="129"/>
        <v>0.16220000000000001</v>
      </c>
      <c r="W2774" s="1">
        <f t="shared" si="130"/>
        <v>0</v>
      </c>
      <c r="X2774" s="1">
        <f t="shared" si="131"/>
        <v>0</v>
      </c>
    </row>
    <row r="2775" spans="1:24" x14ac:dyDescent="0.25">
      <c r="A2775">
        <v>2005</v>
      </c>
      <c r="B2775">
        <v>10</v>
      </c>
      <c r="C2775" t="s">
        <v>27</v>
      </c>
      <c r="D2775" t="str">
        <f>_xlfn.XLOOKUP(C2775,'Carrier Name Rename'!A:A,'Carrier Name Rename'!B:B)</f>
        <v>SkyWest Airlines Inc.</v>
      </c>
      <c r="E2775" t="s">
        <v>23</v>
      </c>
      <c r="F2775" t="s">
        <v>24</v>
      </c>
      <c r="G2775">
        <v>507</v>
      </c>
      <c r="H2775">
        <v>25</v>
      </c>
      <c r="I2775">
        <v>17</v>
      </c>
      <c r="J2775">
        <v>0</v>
      </c>
      <c r="K2775">
        <v>5</v>
      </c>
      <c r="L2775">
        <v>0</v>
      </c>
      <c r="M2775">
        <v>3</v>
      </c>
      <c r="N2775">
        <v>1</v>
      </c>
      <c r="O2775">
        <v>0</v>
      </c>
      <c r="P2775">
        <v>1004</v>
      </c>
      <c r="Q2775">
        <v>711</v>
      </c>
      <c r="R2775">
        <v>0</v>
      </c>
      <c r="S2775">
        <v>181</v>
      </c>
      <c r="T2775">
        <v>0</v>
      </c>
      <c r="U2775">
        <v>112</v>
      </c>
      <c r="V2775" s="1">
        <f t="shared" si="129"/>
        <v>4.9299999999999997E-2</v>
      </c>
      <c r="W2775" s="1">
        <f t="shared" si="130"/>
        <v>2E-3</v>
      </c>
      <c r="X2775" s="1">
        <f t="shared" si="131"/>
        <v>0</v>
      </c>
    </row>
    <row r="2776" spans="1:24" x14ac:dyDescent="0.25">
      <c r="A2776">
        <v>2005</v>
      </c>
      <c r="B2776">
        <v>10</v>
      </c>
      <c r="C2776" t="s">
        <v>41</v>
      </c>
      <c r="D2776" t="str">
        <f>_xlfn.XLOOKUP(C2776,'Carrier Name Rename'!A:A,'Carrier Name Rename'!B:B)</f>
        <v>United Air Lines Inc.</v>
      </c>
      <c r="E2776" t="s">
        <v>23</v>
      </c>
      <c r="F2776" t="s">
        <v>24</v>
      </c>
      <c r="G2776">
        <v>979</v>
      </c>
      <c r="H2776">
        <v>146</v>
      </c>
      <c r="I2776">
        <v>43.99</v>
      </c>
      <c r="J2776">
        <v>1.23</v>
      </c>
      <c r="K2776">
        <v>47.85</v>
      </c>
      <c r="L2776">
        <v>0</v>
      </c>
      <c r="M2776">
        <v>52.93</v>
      </c>
      <c r="N2776">
        <v>7</v>
      </c>
      <c r="O2776">
        <v>0</v>
      </c>
      <c r="P2776">
        <v>7797</v>
      </c>
      <c r="Q2776">
        <v>2117</v>
      </c>
      <c r="R2776">
        <v>159</v>
      </c>
      <c r="S2776">
        <v>1906</v>
      </c>
      <c r="T2776">
        <v>0</v>
      </c>
      <c r="U2776">
        <v>3615</v>
      </c>
      <c r="V2776" s="1">
        <f t="shared" si="129"/>
        <v>0.14910000000000001</v>
      </c>
      <c r="W2776" s="1">
        <f t="shared" si="130"/>
        <v>7.1999999999999998E-3</v>
      </c>
      <c r="X2776" s="1">
        <f t="shared" si="131"/>
        <v>0</v>
      </c>
    </row>
    <row r="2777" spans="1:24" x14ac:dyDescent="0.25">
      <c r="A2777">
        <v>2005</v>
      </c>
      <c r="B2777">
        <v>10</v>
      </c>
      <c r="C2777" t="s">
        <v>61</v>
      </c>
      <c r="D2777" t="str">
        <f>_xlfn.XLOOKUP(C2777,'Carrier Name Rename'!A:A,'Carrier Name Rename'!B:B)</f>
        <v>US Airways Inc.</v>
      </c>
      <c r="E2777" t="s">
        <v>23</v>
      </c>
      <c r="F2777" t="s">
        <v>24</v>
      </c>
      <c r="G2777">
        <v>150</v>
      </c>
      <c r="H2777">
        <v>30</v>
      </c>
      <c r="I2777">
        <v>10.42</v>
      </c>
      <c r="J2777">
        <v>0</v>
      </c>
      <c r="K2777">
        <v>11.68</v>
      </c>
      <c r="L2777">
        <v>0</v>
      </c>
      <c r="M2777">
        <v>7.9</v>
      </c>
      <c r="N2777">
        <v>0</v>
      </c>
      <c r="O2777">
        <v>0</v>
      </c>
      <c r="P2777">
        <v>1229</v>
      </c>
      <c r="Q2777">
        <v>437</v>
      </c>
      <c r="R2777">
        <v>0</v>
      </c>
      <c r="S2777">
        <v>378</v>
      </c>
      <c r="T2777">
        <v>0</v>
      </c>
      <c r="U2777">
        <v>414</v>
      </c>
      <c r="V2777" s="1">
        <f t="shared" si="129"/>
        <v>0.2</v>
      </c>
      <c r="W2777" s="1">
        <f t="shared" si="130"/>
        <v>0</v>
      </c>
      <c r="X2777" s="1">
        <f t="shared" si="131"/>
        <v>0</v>
      </c>
    </row>
    <row r="2778" spans="1:24" x14ac:dyDescent="0.25">
      <c r="A2778">
        <v>2005</v>
      </c>
      <c r="B2778">
        <v>10</v>
      </c>
      <c r="C2778" t="s">
        <v>43</v>
      </c>
      <c r="D2778" t="str">
        <f>_xlfn.XLOOKUP(C2778,'Carrier Name Rename'!A:A,'Carrier Name Rename'!B:B)</f>
        <v>Southwest Airlines Co.</v>
      </c>
      <c r="E2778" t="s">
        <v>23</v>
      </c>
      <c r="F2778" t="s">
        <v>24</v>
      </c>
      <c r="G2778">
        <v>1130</v>
      </c>
      <c r="H2778">
        <v>173</v>
      </c>
      <c r="I2778">
        <v>41.96</v>
      </c>
      <c r="J2778">
        <v>0.41</v>
      </c>
      <c r="K2778">
        <v>27.27</v>
      </c>
      <c r="L2778">
        <v>0.14000000000000001</v>
      </c>
      <c r="M2778">
        <v>103.21</v>
      </c>
      <c r="N2778">
        <v>2</v>
      </c>
      <c r="O2778">
        <v>0</v>
      </c>
      <c r="P2778">
        <v>6526</v>
      </c>
      <c r="Q2778">
        <v>1331</v>
      </c>
      <c r="R2778">
        <v>11</v>
      </c>
      <c r="S2778">
        <v>737</v>
      </c>
      <c r="T2778">
        <v>6</v>
      </c>
      <c r="U2778">
        <v>4441</v>
      </c>
      <c r="V2778" s="1">
        <f t="shared" si="129"/>
        <v>0.15310000000000001</v>
      </c>
      <c r="W2778" s="1">
        <f t="shared" si="130"/>
        <v>1.8E-3</v>
      </c>
      <c r="X2778" s="1">
        <f t="shared" si="131"/>
        <v>0</v>
      </c>
    </row>
    <row r="2779" spans="1:24" x14ac:dyDescent="0.25">
      <c r="A2779">
        <v>2005</v>
      </c>
      <c r="B2779">
        <v>9</v>
      </c>
      <c r="C2779" t="s">
        <v>31</v>
      </c>
      <c r="D2779" t="str">
        <f>_xlfn.XLOOKUP(C2779,'Carrier Name Rename'!A:A,'Carrier Name Rename'!B:B)</f>
        <v>American Airlines Inc.</v>
      </c>
      <c r="E2779" t="s">
        <v>23</v>
      </c>
      <c r="F2779" t="s">
        <v>24</v>
      </c>
      <c r="G2779">
        <v>523</v>
      </c>
      <c r="H2779">
        <v>99</v>
      </c>
      <c r="I2779">
        <v>26.46</v>
      </c>
      <c r="J2779">
        <v>5.12</v>
      </c>
      <c r="K2779">
        <v>34.659999999999997</v>
      </c>
      <c r="L2779">
        <v>0</v>
      </c>
      <c r="M2779">
        <v>32.76</v>
      </c>
      <c r="N2779">
        <v>0</v>
      </c>
      <c r="O2779">
        <v>1</v>
      </c>
      <c r="P2779">
        <v>5021</v>
      </c>
      <c r="Q2779">
        <v>1415</v>
      </c>
      <c r="R2779">
        <v>432</v>
      </c>
      <c r="S2779">
        <v>1321</v>
      </c>
      <c r="T2779">
        <v>0</v>
      </c>
      <c r="U2779">
        <v>1853</v>
      </c>
      <c r="V2779" s="1">
        <f t="shared" si="129"/>
        <v>0.1893</v>
      </c>
      <c r="W2779" s="1">
        <f t="shared" si="130"/>
        <v>0</v>
      </c>
      <c r="X2779" s="1">
        <f t="shared" si="131"/>
        <v>1.9E-3</v>
      </c>
    </row>
    <row r="2780" spans="1:24" x14ac:dyDescent="0.25">
      <c r="A2780">
        <v>2005</v>
      </c>
      <c r="B2780">
        <v>9</v>
      </c>
      <c r="C2780" t="s">
        <v>33</v>
      </c>
      <c r="D2780" t="str">
        <f>_xlfn.XLOOKUP(C2780,'Carrier Name Rename'!A:A,'Carrier Name Rename'!B:B)</f>
        <v>Alaska Airlines Inc.</v>
      </c>
      <c r="E2780" t="s">
        <v>23</v>
      </c>
      <c r="F2780" t="s">
        <v>24</v>
      </c>
      <c r="G2780">
        <v>4077</v>
      </c>
      <c r="H2780">
        <v>791</v>
      </c>
      <c r="I2780">
        <v>262.39999999999998</v>
      </c>
      <c r="J2780">
        <v>3.88</v>
      </c>
      <c r="K2780">
        <v>151.31</v>
      </c>
      <c r="L2780">
        <v>3.11</v>
      </c>
      <c r="M2780">
        <v>370.31</v>
      </c>
      <c r="N2780">
        <v>39</v>
      </c>
      <c r="O2780">
        <v>4</v>
      </c>
      <c r="P2780">
        <v>39551</v>
      </c>
      <c r="Q2780">
        <v>15310</v>
      </c>
      <c r="R2780">
        <v>244</v>
      </c>
      <c r="S2780">
        <v>4650</v>
      </c>
      <c r="T2780">
        <v>67</v>
      </c>
      <c r="U2780">
        <v>19280</v>
      </c>
      <c r="V2780" s="1">
        <f t="shared" si="129"/>
        <v>0.19400000000000001</v>
      </c>
      <c r="W2780" s="1">
        <f t="shared" si="130"/>
        <v>9.5999999999999992E-3</v>
      </c>
      <c r="X2780" s="1">
        <f t="shared" si="131"/>
        <v>1E-3</v>
      </c>
    </row>
    <row r="2781" spans="1:24" x14ac:dyDescent="0.25">
      <c r="A2781">
        <v>2005</v>
      </c>
      <c r="B2781">
        <v>9</v>
      </c>
      <c r="C2781" t="s">
        <v>35</v>
      </c>
      <c r="D2781" t="str">
        <f>_xlfn.XLOOKUP(C2781,'Carrier Name Rename'!A:A,'Carrier Name Rename'!B:B)</f>
        <v>JetBlue Airways</v>
      </c>
      <c r="E2781" t="s">
        <v>23</v>
      </c>
      <c r="F2781" t="s">
        <v>24</v>
      </c>
      <c r="G2781">
        <v>60</v>
      </c>
      <c r="H2781">
        <v>26</v>
      </c>
      <c r="I2781">
        <v>2.2799999999999998</v>
      </c>
      <c r="J2781">
        <v>0</v>
      </c>
      <c r="K2781">
        <v>22.6</v>
      </c>
      <c r="L2781">
        <v>0</v>
      </c>
      <c r="M2781">
        <v>1.1299999999999999</v>
      </c>
      <c r="N2781">
        <v>0</v>
      </c>
      <c r="O2781">
        <v>0</v>
      </c>
      <c r="P2781">
        <v>945</v>
      </c>
      <c r="Q2781">
        <v>71</v>
      </c>
      <c r="R2781">
        <v>0</v>
      </c>
      <c r="S2781">
        <v>796</v>
      </c>
      <c r="T2781">
        <v>0</v>
      </c>
      <c r="U2781">
        <v>78</v>
      </c>
      <c r="V2781" s="1">
        <f t="shared" si="129"/>
        <v>0.43330000000000002</v>
      </c>
      <c r="W2781" s="1">
        <f t="shared" si="130"/>
        <v>0</v>
      </c>
      <c r="X2781" s="1">
        <f t="shared" si="131"/>
        <v>0</v>
      </c>
    </row>
    <row r="2782" spans="1:24" x14ac:dyDescent="0.25">
      <c r="A2782">
        <v>2005</v>
      </c>
      <c r="B2782">
        <v>9</v>
      </c>
      <c r="C2782" t="s">
        <v>65</v>
      </c>
      <c r="D2782" t="str">
        <f>_xlfn.XLOOKUP(C2782,'Carrier Name Rename'!A:A,'Carrier Name Rename'!B:B)</f>
        <v>Continental Air Lines Inc.</v>
      </c>
      <c r="E2782" t="s">
        <v>23</v>
      </c>
      <c r="F2782" t="s">
        <v>24</v>
      </c>
      <c r="G2782">
        <v>378</v>
      </c>
      <c r="H2782">
        <v>81</v>
      </c>
      <c r="I2782">
        <v>19.89</v>
      </c>
      <c r="J2782">
        <v>4.7699999999999996</v>
      </c>
      <c r="K2782">
        <v>41.07</v>
      </c>
      <c r="L2782">
        <v>0</v>
      </c>
      <c r="M2782">
        <v>15.27</v>
      </c>
      <c r="N2782">
        <v>11</v>
      </c>
      <c r="O2782">
        <v>1</v>
      </c>
      <c r="P2782">
        <v>3241</v>
      </c>
      <c r="Q2782">
        <v>922</v>
      </c>
      <c r="R2782">
        <v>262</v>
      </c>
      <c r="S2782">
        <v>1117</v>
      </c>
      <c r="T2782">
        <v>0</v>
      </c>
      <c r="U2782">
        <v>940</v>
      </c>
      <c r="V2782" s="1">
        <f t="shared" si="129"/>
        <v>0.21429999999999999</v>
      </c>
      <c r="W2782" s="1">
        <f t="shared" si="130"/>
        <v>2.9100000000000001E-2</v>
      </c>
      <c r="X2782" s="1">
        <f t="shared" si="131"/>
        <v>2.5999999999999999E-3</v>
      </c>
    </row>
    <row r="2783" spans="1:24" x14ac:dyDescent="0.25">
      <c r="A2783">
        <v>2005</v>
      </c>
      <c r="B2783">
        <v>9</v>
      </c>
      <c r="C2783" t="s">
        <v>75</v>
      </c>
      <c r="D2783" t="str">
        <f>_xlfn.XLOOKUP(C2783,'Carrier Name Rename'!A:A,'Carrier Name Rename'!B:B)</f>
        <v>Independence Air</v>
      </c>
      <c r="E2783" t="s">
        <v>23</v>
      </c>
      <c r="F2783" t="s">
        <v>24</v>
      </c>
      <c r="G2783">
        <v>30</v>
      </c>
      <c r="H2783">
        <v>4</v>
      </c>
      <c r="I2783">
        <v>0.76</v>
      </c>
      <c r="J2783">
        <v>0</v>
      </c>
      <c r="K2783">
        <v>0.59</v>
      </c>
      <c r="L2783">
        <v>0</v>
      </c>
      <c r="M2783">
        <v>2.65</v>
      </c>
      <c r="N2783">
        <v>0</v>
      </c>
      <c r="O2783">
        <v>0</v>
      </c>
      <c r="P2783">
        <v>212</v>
      </c>
      <c r="Q2783">
        <v>27</v>
      </c>
      <c r="R2783">
        <v>0</v>
      </c>
      <c r="S2783">
        <v>31</v>
      </c>
      <c r="T2783">
        <v>0</v>
      </c>
      <c r="U2783">
        <v>154</v>
      </c>
      <c r="V2783" s="1">
        <f t="shared" si="129"/>
        <v>0.1333</v>
      </c>
      <c r="W2783" s="1">
        <f t="shared" si="130"/>
        <v>0</v>
      </c>
      <c r="X2783" s="1">
        <f t="shared" si="131"/>
        <v>0</v>
      </c>
    </row>
    <row r="2784" spans="1:24" x14ac:dyDescent="0.25">
      <c r="A2784">
        <v>2005</v>
      </c>
      <c r="B2784">
        <v>9</v>
      </c>
      <c r="C2784" t="s">
        <v>37</v>
      </c>
      <c r="D2784" t="str">
        <f>_xlfn.XLOOKUP(C2784,'Carrier Name Rename'!A:A,'Carrier Name Rename'!B:B)</f>
        <v>Delta Air Lines Inc.</v>
      </c>
      <c r="E2784" t="s">
        <v>23</v>
      </c>
      <c r="F2784" t="s">
        <v>24</v>
      </c>
      <c r="G2784">
        <v>503</v>
      </c>
      <c r="H2784">
        <v>121</v>
      </c>
      <c r="I2784">
        <v>36.76</v>
      </c>
      <c r="J2784">
        <v>0</v>
      </c>
      <c r="K2784">
        <v>70.27</v>
      </c>
      <c r="L2784">
        <v>0</v>
      </c>
      <c r="M2784">
        <v>13.97</v>
      </c>
      <c r="N2784">
        <v>6</v>
      </c>
      <c r="O2784">
        <v>0</v>
      </c>
      <c r="P2784">
        <v>4511</v>
      </c>
      <c r="Q2784">
        <v>1470</v>
      </c>
      <c r="R2784">
        <v>0</v>
      </c>
      <c r="S2784">
        <v>2330</v>
      </c>
      <c r="T2784">
        <v>0</v>
      </c>
      <c r="U2784">
        <v>711</v>
      </c>
      <c r="V2784" s="1">
        <f t="shared" si="129"/>
        <v>0.24060000000000001</v>
      </c>
      <c r="W2784" s="1">
        <f t="shared" si="130"/>
        <v>1.1900000000000001E-2</v>
      </c>
      <c r="X2784" s="1">
        <f t="shared" si="131"/>
        <v>0</v>
      </c>
    </row>
    <row r="2785" spans="1:24" x14ac:dyDescent="0.25">
      <c r="A2785">
        <v>2005</v>
      </c>
      <c r="B2785">
        <v>9</v>
      </c>
      <c r="C2785" t="s">
        <v>39</v>
      </c>
      <c r="D2785" t="str">
        <f>_xlfn.XLOOKUP(C2785,'Carrier Name Rename'!A:A,'Carrier Name Rename'!B:B)</f>
        <v>Frontier Airlines Inc.</v>
      </c>
      <c r="E2785" t="s">
        <v>23</v>
      </c>
      <c r="F2785" t="s">
        <v>24</v>
      </c>
      <c r="G2785">
        <v>119</v>
      </c>
      <c r="H2785">
        <v>9</v>
      </c>
      <c r="I2785">
        <v>4.91</v>
      </c>
      <c r="J2785">
        <v>0</v>
      </c>
      <c r="K2785">
        <v>0.86</v>
      </c>
      <c r="L2785">
        <v>0</v>
      </c>
      <c r="M2785">
        <v>3.22</v>
      </c>
      <c r="N2785">
        <v>0</v>
      </c>
      <c r="O2785">
        <v>0</v>
      </c>
      <c r="P2785">
        <v>271</v>
      </c>
      <c r="Q2785">
        <v>181</v>
      </c>
      <c r="R2785">
        <v>0</v>
      </c>
      <c r="S2785">
        <v>16</v>
      </c>
      <c r="T2785">
        <v>0</v>
      </c>
      <c r="U2785">
        <v>74</v>
      </c>
      <c r="V2785" s="1">
        <f t="shared" si="129"/>
        <v>7.5600000000000001E-2</v>
      </c>
      <c r="W2785" s="1">
        <f t="shared" si="130"/>
        <v>0</v>
      </c>
      <c r="X2785" s="1">
        <f t="shared" si="131"/>
        <v>0</v>
      </c>
    </row>
    <row r="2786" spans="1:24" x14ac:dyDescent="0.25">
      <c r="A2786">
        <v>2005</v>
      </c>
      <c r="B2786">
        <v>9</v>
      </c>
      <c r="C2786" t="s">
        <v>21</v>
      </c>
      <c r="D2786" t="str">
        <f>_xlfn.XLOOKUP(C2786,'Carrier Name Rename'!A:A,'Carrier Name Rename'!B:B)</f>
        <v>Hawaiian Airlines Inc.</v>
      </c>
      <c r="E2786" t="s">
        <v>23</v>
      </c>
      <c r="F2786" t="s">
        <v>24</v>
      </c>
      <c r="G2786">
        <v>59</v>
      </c>
      <c r="H2786">
        <v>17</v>
      </c>
      <c r="I2786">
        <v>15</v>
      </c>
      <c r="J2786">
        <v>0</v>
      </c>
      <c r="K2786">
        <v>0</v>
      </c>
      <c r="L2786">
        <v>0</v>
      </c>
      <c r="M2786">
        <v>2</v>
      </c>
      <c r="N2786">
        <v>0</v>
      </c>
      <c r="O2786">
        <v>0</v>
      </c>
      <c r="P2786">
        <v>665</v>
      </c>
      <c r="Q2786">
        <v>604</v>
      </c>
      <c r="R2786">
        <v>0</v>
      </c>
      <c r="S2786">
        <v>0</v>
      </c>
      <c r="T2786">
        <v>0</v>
      </c>
      <c r="U2786">
        <v>61</v>
      </c>
      <c r="V2786" s="1">
        <f t="shared" si="129"/>
        <v>0.28810000000000002</v>
      </c>
      <c r="W2786" s="1">
        <f t="shared" si="130"/>
        <v>0</v>
      </c>
      <c r="X2786" s="1">
        <f t="shared" si="131"/>
        <v>0</v>
      </c>
    </row>
    <row r="2787" spans="1:24" x14ac:dyDescent="0.25">
      <c r="A2787">
        <v>2005</v>
      </c>
      <c r="B2787">
        <v>9</v>
      </c>
      <c r="C2787" t="s">
        <v>73</v>
      </c>
      <c r="D2787" t="str">
        <f>_xlfn.XLOOKUP(C2787,'Carrier Name Rename'!A:A,'Carrier Name Rename'!B:B)</f>
        <v>America West Airlines Inc.</v>
      </c>
      <c r="E2787" t="s">
        <v>23</v>
      </c>
      <c r="F2787" t="s">
        <v>24</v>
      </c>
      <c r="G2787">
        <v>300</v>
      </c>
      <c r="H2787">
        <v>21</v>
      </c>
      <c r="I2787">
        <v>11.43</v>
      </c>
      <c r="J2787">
        <v>1</v>
      </c>
      <c r="K2787">
        <v>3.91</v>
      </c>
      <c r="L2787">
        <v>1</v>
      </c>
      <c r="M2787">
        <v>3.66</v>
      </c>
      <c r="N2787">
        <v>0</v>
      </c>
      <c r="O2787">
        <v>0</v>
      </c>
      <c r="P2787">
        <v>1059</v>
      </c>
      <c r="Q2787">
        <v>780</v>
      </c>
      <c r="R2787">
        <v>17</v>
      </c>
      <c r="S2787">
        <v>72</v>
      </c>
      <c r="T2787">
        <v>19</v>
      </c>
      <c r="U2787">
        <v>171</v>
      </c>
      <c r="V2787" s="1">
        <f t="shared" si="129"/>
        <v>7.0000000000000007E-2</v>
      </c>
      <c r="W2787" s="1">
        <f t="shared" si="130"/>
        <v>0</v>
      </c>
      <c r="X2787" s="1">
        <f t="shared" si="131"/>
        <v>0</v>
      </c>
    </row>
    <row r="2788" spans="1:24" x14ac:dyDescent="0.25">
      <c r="A2788">
        <v>2005</v>
      </c>
      <c r="B2788">
        <v>9</v>
      </c>
      <c r="C2788" t="s">
        <v>67</v>
      </c>
      <c r="D2788" t="str">
        <f>_xlfn.XLOOKUP(C2788,'Carrier Name Rename'!A:A,'Carrier Name Rename'!B:B)</f>
        <v>Northwest Airlines Inc.</v>
      </c>
      <c r="E2788" t="s">
        <v>23</v>
      </c>
      <c r="F2788" t="s">
        <v>24</v>
      </c>
      <c r="G2788">
        <v>390</v>
      </c>
      <c r="H2788">
        <v>129</v>
      </c>
      <c r="I2788">
        <v>50.03</v>
      </c>
      <c r="J2788">
        <v>4.76</v>
      </c>
      <c r="K2788">
        <v>61.57</v>
      </c>
      <c r="L2788">
        <v>0</v>
      </c>
      <c r="M2788">
        <v>12.65</v>
      </c>
      <c r="N2788">
        <v>0</v>
      </c>
      <c r="O2788">
        <v>0</v>
      </c>
      <c r="P2788">
        <v>4931</v>
      </c>
      <c r="Q2788">
        <v>2195</v>
      </c>
      <c r="R2788">
        <v>240</v>
      </c>
      <c r="S2788">
        <v>1695</v>
      </c>
      <c r="T2788">
        <v>0</v>
      </c>
      <c r="U2788">
        <v>801</v>
      </c>
      <c r="V2788" s="1">
        <f t="shared" si="129"/>
        <v>0.33079999999999998</v>
      </c>
      <c r="W2788" s="1">
        <f t="shared" si="130"/>
        <v>0</v>
      </c>
      <c r="X2788" s="1">
        <f t="shared" si="131"/>
        <v>0</v>
      </c>
    </row>
    <row r="2789" spans="1:24" x14ac:dyDescent="0.25">
      <c r="A2789">
        <v>2005</v>
      </c>
      <c r="B2789">
        <v>9</v>
      </c>
      <c r="C2789" t="s">
        <v>27</v>
      </c>
      <c r="D2789" t="str">
        <f>_xlfn.XLOOKUP(C2789,'Carrier Name Rename'!A:A,'Carrier Name Rename'!B:B)</f>
        <v>SkyWest Airlines Inc.</v>
      </c>
      <c r="E2789" t="s">
        <v>23</v>
      </c>
      <c r="F2789" t="s">
        <v>24</v>
      </c>
      <c r="G2789">
        <v>497</v>
      </c>
      <c r="H2789">
        <v>28</v>
      </c>
      <c r="I2789">
        <v>18</v>
      </c>
      <c r="J2789">
        <v>2</v>
      </c>
      <c r="K2789">
        <v>5</v>
      </c>
      <c r="L2789">
        <v>0</v>
      </c>
      <c r="M2789">
        <v>3</v>
      </c>
      <c r="N2789">
        <v>4</v>
      </c>
      <c r="O2789">
        <v>0</v>
      </c>
      <c r="P2789">
        <v>902</v>
      </c>
      <c r="Q2789">
        <v>544</v>
      </c>
      <c r="R2789">
        <v>82</v>
      </c>
      <c r="S2789">
        <v>155</v>
      </c>
      <c r="T2789">
        <v>0</v>
      </c>
      <c r="U2789">
        <v>121</v>
      </c>
      <c r="V2789" s="1">
        <f t="shared" si="129"/>
        <v>5.6300000000000003E-2</v>
      </c>
      <c r="W2789" s="1">
        <f t="shared" si="130"/>
        <v>8.0000000000000002E-3</v>
      </c>
      <c r="X2789" s="1">
        <f t="shared" si="131"/>
        <v>0</v>
      </c>
    </row>
    <row r="2790" spans="1:24" x14ac:dyDescent="0.25">
      <c r="A2790">
        <v>2005</v>
      </c>
      <c r="B2790">
        <v>9</v>
      </c>
      <c r="C2790" t="s">
        <v>41</v>
      </c>
      <c r="D2790" t="str">
        <f>_xlfn.XLOOKUP(C2790,'Carrier Name Rename'!A:A,'Carrier Name Rename'!B:B)</f>
        <v>United Air Lines Inc.</v>
      </c>
      <c r="E2790" t="s">
        <v>23</v>
      </c>
      <c r="F2790" t="s">
        <v>24</v>
      </c>
      <c r="G2790">
        <v>959</v>
      </c>
      <c r="H2790">
        <v>152</v>
      </c>
      <c r="I2790">
        <v>49.62</v>
      </c>
      <c r="J2790">
        <v>1.05</v>
      </c>
      <c r="K2790">
        <v>44.21</v>
      </c>
      <c r="L2790">
        <v>0</v>
      </c>
      <c r="M2790">
        <v>57.12</v>
      </c>
      <c r="N2790">
        <v>3</v>
      </c>
      <c r="O2790">
        <v>0</v>
      </c>
      <c r="P2790">
        <v>8147</v>
      </c>
      <c r="Q2790">
        <v>2880</v>
      </c>
      <c r="R2790">
        <v>70</v>
      </c>
      <c r="S2790">
        <v>1483</v>
      </c>
      <c r="T2790">
        <v>0</v>
      </c>
      <c r="U2790">
        <v>3714</v>
      </c>
      <c r="V2790" s="1">
        <f t="shared" si="129"/>
        <v>0.1585</v>
      </c>
      <c r="W2790" s="1">
        <f t="shared" si="130"/>
        <v>3.0999999999999999E-3</v>
      </c>
      <c r="X2790" s="1">
        <f t="shared" si="131"/>
        <v>0</v>
      </c>
    </row>
    <row r="2791" spans="1:24" x14ac:dyDescent="0.25">
      <c r="A2791">
        <v>2005</v>
      </c>
      <c r="B2791">
        <v>9</v>
      </c>
      <c r="C2791" t="s">
        <v>61</v>
      </c>
      <c r="D2791" t="str">
        <f>_xlfn.XLOOKUP(C2791,'Carrier Name Rename'!A:A,'Carrier Name Rename'!B:B)</f>
        <v>US Airways Inc.</v>
      </c>
      <c r="E2791" t="s">
        <v>23</v>
      </c>
      <c r="F2791" t="s">
        <v>24</v>
      </c>
      <c r="G2791">
        <v>145</v>
      </c>
      <c r="H2791">
        <v>31</v>
      </c>
      <c r="I2791">
        <v>11.66</v>
      </c>
      <c r="J2791">
        <v>0</v>
      </c>
      <c r="K2791">
        <v>15.68</v>
      </c>
      <c r="L2791">
        <v>0</v>
      </c>
      <c r="M2791">
        <v>3.66</v>
      </c>
      <c r="N2791">
        <v>0</v>
      </c>
      <c r="O2791">
        <v>0</v>
      </c>
      <c r="P2791">
        <v>951</v>
      </c>
      <c r="Q2791">
        <v>367</v>
      </c>
      <c r="R2791">
        <v>0</v>
      </c>
      <c r="S2791">
        <v>401</v>
      </c>
      <c r="T2791">
        <v>0</v>
      </c>
      <c r="U2791">
        <v>183</v>
      </c>
      <c r="V2791" s="1">
        <f t="shared" si="129"/>
        <v>0.21379999999999999</v>
      </c>
      <c r="W2791" s="1">
        <f t="shared" si="130"/>
        <v>0</v>
      </c>
      <c r="X2791" s="1">
        <f t="shared" si="131"/>
        <v>0</v>
      </c>
    </row>
    <row r="2792" spans="1:24" x14ac:dyDescent="0.25">
      <c r="A2792">
        <v>2005</v>
      </c>
      <c r="B2792">
        <v>9</v>
      </c>
      <c r="C2792" t="s">
        <v>43</v>
      </c>
      <c r="D2792" t="str">
        <f>_xlfn.XLOOKUP(C2792,'Carrier Name Rename'!A:A,'Carrier Name Rename'!B:B)</f>
        <v>Southwest Airlines Co.</v>
      </c>
      <c r="E2792" t="s">
        <v>23</v>
      </c>
      <c r="F2792" t="s">
        <v>24</v>
      </c>
      <c r="G2792">
        <v>1107</v>
      </c>
      <c r="H2792">
        <v>150</v>
      </c>
      <c r="I2792">
        <v>39.81</v>
      </c>
      <c r="J2792">
        <v>0.69</v>
      </c>
      <c r="K2792">
        <v>20.63</v>
      </c>
      <c r="L2792">
        <v>1.43</v>
      </c>
      <c r="M2792">
        <v>87.44</v>
      </c>
      <c r="N2792">
        <v>3</v>
      </c>
      <c r="O2792">
        <v>0</v>
      </c>
      <c r="P2792">
        <v>5193</v>
      </c>
      <c r="Q2792">
        <v>1328</v>
      </c>
      <c r="R2792">
        <v>28</v>
      </c>
      <c r="S2792">
        <v>568</v>
      </c>
      <c r="T2792">
        <v>37</v>
      </c>
      <c r="U2792">
        <v>3232</v>
      </c>
      <c r="V2792" s="1">
        <f t="shared" si="129"/>
        <v>0.13550000000000001</v>
      </c>
      <c r="W2792" s="1">
        <f t="shared" si="130"/>
        <v>2.7000000000000001E-3</v>
      </c>
      <c r="X2792" s="1">
        <f t="shared" si="131"/>
        <v>0</v>
      </c>
    </row>
    <row r="2793" spans="1:24" x14ac:dyDescent="0.25">
      <c r="A2793">
        <v>2005</v>
      </c>
      <c r="B2793">
        <v>8</v>
      </c>
      <c r="C2793" t="s">
        <v>31</v>
      </c>
      <c r="D2793" t="str">
        <f>_xlfn.XLOOKUP(C2793,'Carrier Name Rename'!A:A,'Carrier Name Rename'!B:B)</f>
        <v>American Airlines Inc.</v>
      </c>
      <c r="E2793" t="s">
        <v>23</v>
      </c>
      <c r="F2793" t="s">
        <v>24</v>
      </c>
      <c r="G2793">
        <v>622</v>
      </c>
      <c r="H2793">
        <v>172</v>
      </c>
      <c r="I2793">
        <v>49.99</v>
      </c>
      <c r="J2793">
        <v>16.170000000000002</v>
      </c>
      <c r="K2793">
        <v>45.43</v>
      </c>
      <c r="L2793">
        <v>0</v>
      </c>
      <c r="M2793">
        <v>60.41</v>
      </c>
      <c r="N2793">
        <v>3</v>
      </c>
      <c r="O2793">
        <v>0</v>
      </c>
      <c r="P2793">
        <v>9447</v>
      </c>
      <c r="Q2793">
        <v>2679</v>
      </c>
      <c r="R2793">
        <v>1190</v>
      </c>
      <c r="S2793">
        <v>1803</v>
      </c>
      <c r="T2793">
        <v>0</v>
      </c>
      <c r="U2793">
        <v>3775</v>
      </c>
      <c r="V2793" s="1">
        <f t="shared" si="129"/>
        <v>0.27650000000000002</v>
      </c>
      <c r="W2793" s="1">
        <f t="shared" si="130"/>
        <v>4.7999999999999996E-3</v>
      </c>
      <c r="X2793" s="1">
        <f t="shared" si="131"/>
        <v>0</v>
      </c>
    </row>
    <row r="2794" spans="1:24" x14ac:dyDescent="0.25">
      <c r="A2794">
        <v>2005</v>
      </c>
      <c r="B2794">
        <v>8</v>
      </c>
      <c r="C2794" t="s">
        <v>33</v>
      </c>
      <c r="D2794" t="str">
        <f>_xlfn.XLOOKUP(C2794,'Carrier Name Rename'!A:A,'Carrier Name Rename'!B:B)</f>
        <v>Alaska Airlines Inc.</v>
      </c>
      <c r="E2794" t="s">
        <v>23</v>
      </c>
      <c r="F2794" t="s">
        <v>24</v>
      </c>
      <c r="G2794">
        <v>4388</v>
      </c>
      <c r="H2794">
        <v>1268</v>
      </c>
      <c r="I2794">
        <v>432.69</v>
      </c>
      <c r="J2794">
        <v>13.02</v>
      </c>
      <c r="K2794">
        <v>221.52</v>
      </c>
      <c r="L2794">
        <v>3.41</v>
      </c>
      <c r="M2794">
        <v>597.36</v>
      </c>
      <c r="N2794">
        <v>35</v>
      </c>
      <c r="O2794">
        <v>18</v>
      </c>
      <c r="P2794">
        <v>73084</v>
      </c>
      <c r="Q2794">
        <v>25260</v>
      </c>
      <c r="R2794">
        <v>901</v>
      </c>
      <c r="S2794">
        <v>7355</v>
      </c>
      <c r="T2794">
        <v>106</v>
      </c>
      <c r="U2794">
        <v>39462</v>
      </c>
      <c r="V2794" s="1">
        <f t="shared" si="129"/>
        <v>0.28899999999999998</v>
      </c>
      <c r="W2794" s="1">
        <f t="shared" si="130"/>
        <v>8.0000000000000002E-3</v>
      </c>
      <c r="X2794" s="1">
        <f t="shared" si="131"/>
        <v>4.1000000000000003E-3</v>
      </c>
    </row>
    <row r="2795" spans="1:24" x14ac:dyDescent="0.25">
      <c r="A2795">
        <v>2005</v>
      </c>
      <c r="B2795">
        <v>8</v>
      </c>
      <c r="C2795" t="s">
        <v>35</v>
      </c>
      <c r="D2795" t="str">
        <f>_xlfn.XLOOKUP(C2795,'Carrier Name Rename'!A:A,'Carrier Name Rename'!B:B)</f>
        <v>JetBlue Airways</v>
      </c>
      <c r="E2795" t="s">
        <v>23</v>
      </c>
      <c r="F2795" t="s">
        <v>24</v>
      </c>
      <c r="G2795">
        <v>62</v>
      </c>
      <c r="H2795">
        <v>31</v>
      </c>
      <c r="I2795">
        <v>8.57</v>
      </c>
      <c r="J2795">
        <v>0</v>
      </c>
      <c r="K2795">
        <v>15.98</v>
      </c>
      <c r="L2795">
        <v>0</v>
      </c>
      <c r="M2795">
        <v>6.45</v>
      </c>
      <c r="N2795">
        <v>0</v>
      </c>
      <c r="O2795">
        <v>0</v>
      </c>
      <c r="P2795">
        <v>1462</v>
      </c>
      <c r="Q2795">
        <v>323</v>
      </c>
      <c r="R2795">
        <v>0</v>
      </c>
      <c r="S2795">
        <v>553</v>
      </c>
      <c r="T2795">
        <v>0</v>
      </c>
      <c r="U2795">
        <v>586</v>
      </c>
      <c r="V2795" s="1">
        <f t="shared" si="129"/>
        <v>0.5</v>
      </c>
      <c r="W2795" s="1">
        <f t="shared" si="130"/>
        <v>0</v>
      </c>
      <c r="X2795" s="1">
        <f t="shared" si="131"/>
        <v>0</v>
      </c>
    </row>
    <row r="2796" spans="1:24" x14ac:dyDescent="0.25">
      <c r="A2796">
        <v>2005</v>
      </c>
      <c r="B2796">
        <v>8</v>
      </c>
      <c r="C2796" t="s">
        <v>65</v>
      </c>
      <c r="D2796" t="str">
        <f>_xlfn.XLOOKUP(C2796,'Carrier Name Rename'!A:A,'Carrier Name Rename'!B:B)</f>
        <v>Continental Air Lines Inc.</v>
      </c>
      <c r="E2796" t="s">
        <v>23</v>
      </c>
      <c r="F2796" t="s">
        <v>24</v>
      </c>
      <c r="G2796">
        <v>421</v>
      </c>
      <c r="H2796">
        <v>126</v>
      </c>
      <c r="I2796">
        <v>34.35</v>
      </c>
      <c r="J2796">
        <v>4.46</v>
      </c>
      <c r="K2796">
        <v>53.95</v>
      </c>
      <c r="L2796">
        <v>1.9</v>
      </c>
      <c r="M2796">
        <v>31.35</v>
      </c>
      <c r="N2796">
        <v>3</v>
      </c>
      <c r="O2796">
        <v>0</v>
      </c>
      <c r="P2796">
        <v>5999</v>
      </c>
      <c r="Q2796">
        <v>1492</v>
      </c>
      <c r="R2796">
        <v>229</v>
      </c>
      <c r="S2796">
        <v>2007</v>
      </c>
      <c r="T2796">
        <v>132</v>
      </c>
      <c r="U2796">
        <v>2139</v>
      </c>
      <c r="V2796" s="1">
        <f t="shared" si="129"/>
        <v>0.29930000000000001</v>
      </c>
      <c r="W2796" s="1">
        <f t="shared" si="130"/>
        <v>7.1000000000000004E-3</v>
      </c>
      <c r="X2796" s="1">
        <f t="shared" si="131"/>
        <v>0</v>
      </c>
    </row>
    <row r="2797" spans="1:24" x14ac:dyDescent="0.25">
      <c r="A2797">
        <v>2005</v>
      </c>
      <c r="B2797">
        <v>8</v>
      </c>
      <c r="C2797" t="s">
        <v>75</v>
      </c>
      <c r="D2797" t="str">
        <f>_xlfn.XLOOKUP(C2797,'Carrier Name Rename'!A:A,'Carrier Name Rename'!B:B)</f>
        <v>Independence Air</v>
      </c>
      <c r="E2797" t="s">
        <v>23</v>
      </c>
      <c r="F2797" t="s">
        <v>24</v>
      </c>
      <c r="G2797">
        <v>31</v>
      </c>
      <c r="H2797">
        <v>8</v>
      </c>
      <c r="I2797">
        <v>1.97</v>
      </c>
      <c r="J2797">
        <v>0</v>
      </c>
      <c r="K2797">
        <v>1.03</v>
      </c>
      <c r="L2797">
        <v>0</v>
      </c>
      <c r="M2797">
        <v>5</v>
      </c>
      <c r="N2797">
        <v>0</v>
      </c>
      <c r="O2797">
        <v>1</v>
      </c>
      <c r="P2797">
        <v>815</v>
      </c>
      <c r="Q2797">
        <v>77</v>
      </c>
      <c r="R2797">
        <v>0</v>
      </c>
      <c r="S2797">
        <v>29</v>
      </c>
      <c r="T2797">
        <v>0</v>
      </c>
      <c r="U2797">
        <v>709</v>
      </c>
      <c r="V2797" s="1">
        <f t="shared" si="129"/>
        <v>0.2581</v>
      </c>
      <c r="W2797" s="1">
        <f t="shared" si="130"/>
        <v>0</v>
      </c>
      <c r="X2797" s="1">
        <f t="shared" si="131"/>
        <v>3.2300000000000002E-2</v>
      </c>
    </row>
    <row r="2798" spans="1:24" x14ac:dyDescent="0.25">
      <c r="A2798">
        <v>2005</v>
      </c>
      <c r="B2798">
        <v>8</v>
      </c>
      <c r="C2798" t="s">
        <v>37</v>
      </c>
      <c r="D2798" t="str">
        <f>_xlfn.XLOOKUP(C2798,'Carrier Name Rename'!A:A,'Carrier Name Rename'!B:B)</f>
        <v>Delta Air Lines Inc.</v>
      </c>
      <c r="E2798" t="s">
        <v>23</v>
      </c>
      <c r="F2798" t="s">
        <v>24</v>
      </c>
      <c r="G2798">
        <v>556</v>
      </c>
      <c r="H2798">
        <v>148</v>
      </c>
      <c r="I2798">
        <v>47.11</v>
      </c>
      <c r="J2798">
        <v>5.4</v>
      </c>
      <c r="K2798">
        <v>42.43</v>
      </c>
      <c r="L2798">
        <v>0</v>
      </c>
      <c r="M2798">
        <v>53.06</v>
      </c>
      <c r="N2798">
        <v>1</v>
      </c>
      <c r="O2798">
        <v>0</v>
      </c>
      <c r="P2798">
        <v>6906</v>
      </c>
      <c r="Q2798">
        <v>2127</v>
      </c>
      <c r="R2798">
        <v>250</v>
      </c>
      <c r="S2798">
        <v>1493</v>
      </c>
      <c r="T2798">
        <v>0</v>
      </c>
      <c r="U2798">
        <v>3036</v>
      </c>
      <c r="V2798" s="1">
        <f t="shared" si="129"/>
        <v>0.26619999999999999</v>
      </c>
      <c r="W2798" s="1">
        <f t="shared" si="130"/>
        <v>1.8E-3</v>
      </c>
      <c r="X2798" s="1">
        <f t="shared" si="131"/>
        <v>0</v>
      </c>
    </row>
    <row r="2799" spans="1:24" x14ac:dyDescent="0.25">
      <c r="A2799">
        <v>2005</v>
      </c>
      <c r="B2799">
        <v>8</v>
      </c>
      <c r="C2799" t="s">
        <v>77</v>
      </c>
      <c r="D2799" t="str">
        <f>_xlfn.XLOOKUP(C2799,'Carrier Name Rename'!A:A,'Carrier Name Rename'!B:B)</f>
        <v>Atlantic Southeast Airlines</v>
      </c>
      <c r="E2799" t="s">
        <v>23</v>
      </c>
      <c r="F2799" t="s">
        <v>24</v>
      </c>
      <c r="G2799">
        <v>62</v>
      </c>
      <c r="H2799">
        <v>22</v>
      </c>
      <c r="I2799">
        <v>14.04</v>
      </c>
      <c r="J2799">
        <v>0</v>
      </c>
      <c r="K2799">
        <v>6.05</v>
      </c>
      <c r="L2799">
        <v>0</v>
      </c>
      <c r="M2799">
        <v>1.91</v>
      </c>
      <c r="N2799">
        <v>1</v>
      </c>
      <c r="O2799">
        <v>0</v>
      </c>
      <c r="P2799">
        <v>1007</v>
      </c>
      <c r="Q2799">
        <v>674</v>
      </c>
      <c r="R2799">
        <v>0</v>
      </c>
      <c r="S2799">
        <v>240</v>
      </c>
      <c r="T2799">
        <v>0</v>
      </c>
      <c r="U2799">
        <v>93</v>
      </c>
      <c r="V2799" s="1">
        <f t="shared" si="129"/>
        <v>0.3548</v>
      </c>
      <c r="W2799" s="1">
        <f t="shared" si="130"/>
        <v>1.61E-2</v>
      </c>
      <c r="X2799" s="1">
        <f t="shared" si="131"/>
        <v>0</v>
      </c>
    </row>
    <row r="2800" spans="1:24" x14ac:dyDescent="0.25">
      <c r="A2800">
        <v>2005</v>
      </c>
      <c r="B2800">
        <v>8</v>
      </c>
      <c r="C2800" t="s">
        <v>39</v>
      </c>
      <c r="D2800" t="str">
        <f>_xlfn.XLOOKUP(C2800,'Carrier Name Rename'!A:A,'Carrier Name Rename'!B:B)</f>
        <v>Frontier Airlines Inc.</v>
      </c>
      <c r="E2800" t="s">
        <v>23</v>
      </c>
      <c r="F2800" t="s">
        <v>24</v>
      </c>
      <c r="G2800">
        <v>134</v>
      </c>
      <c r="H2800">
        <v>11</v>
      </c>
      <c r="I2800">
        <v>5.31</v>
      </c>
      <c r="J2800">
        <v>1</v>
      </c>
      <c r="K2800">
        <v>2.2200000000000002</v>
      </c>
      <c r="L2800">
        <v>0</v>
      </c>
      <c r="M2800">
        <v>2.4700000000000002</v>
      </c>
      <c r="N2800">
        <v>0</v>
      </c>
      <c r="O2800">
        <v>0</v>
      </c>
      <c r="P2800">
        <v>607</v>
      </c>
      <c r="Q2800">
        <v>147</v>
      </c>
      <c r="R2800">
        <v>56</v>
      </c>
      <c r="S2800">
        <v>105</v>
      </c>
      <c r="T2800">
        <v>0</v>
      </c>
      <c r="U2800">
        <v>299</v>
      </c>
      <c r="V2800" s="1">
        <f t="shared" si="129"/>
        <v>8.2100000000000006E-2</v>
      </c>
      <c r="W2800" s="1">
        <f t="shared" si="130"/>
        <v>0</v>
      </c>
      <c r="X2800" s="1">
        <f t="shared" si="131"/>
        <v>0</v>
      </c>
    </row>
    <row r="2801" spans="1:24" x14ac:dyDescent="0.25">
      <c r="A2801">
        <v>2005</v>
      </c>
      <c r="B2801">
        <v>8</v>
      </c>
      <c r="C2801" t="s">
        <v>21</v>
      </c>
      <c r="D2801" t="str">
        <f>_xlfn.XLOOKUP(C2801,'Carrier Name Rename'!A:A,'Carrier Name Rename'!B:B)</f>
        <v>Hawaiian Airlines Inc.</v>
      </c>
      <c r="E2801" t="s">
        <v>23</v>
      </c>
      <c r="F2801" t="s">
        <v>24</v>
      </c>
      <c r="G2801">
        <v>62</v>
      </c>
      <c r="H2801">
        <v>8</v>
      </c>
      <c r="I2801">
        <v>5.29</v>
      </c>
      <c r="J2801">
        <v>0</v>
      </c>
      <c r="K2801">
        <v>0</v>
      </c>
      <c r="L2801">
        <v>0.78</v>
      </c>
      <c r="M2801">
        <v>1.93</v>
      </c>
      <c r="N2801">
        <v>0</v>
      </c>
      <c r="O2801">
        <v>0</v>
      </c>
      <c r="P2801">
        <v>371</v>
      </c>
      <c r="Q2801">
        <v>139</v>
      </c>
      <c r="R2801">
        <v>0</v>
      </c>
      <c r="S2801">
        <v>0</v>
      </c>
      <c r="T2801">
        <v>18</v>
      </c>
      <c r="U2801">
        <v>214</v>
      </c>
      <c r="V2801" s="1">
        <f t="shared" si="129"/>
        <v>0.129</v>
      </c>
      <c r="W2801" s="1">
        <f t="shared" si="130"/>
        <v>0</v>
      </c>
      <c r="X2801" s="1">
        <f t="shared" si="131"/>
        <v>0</v>
      </c>
    </row>
    <row r="2802" spans="1:24" x14ac:dyDescent="0.25">
      <c r="A2802">
        <v>2005</v>
      </c>
      <c r="B2802">
        <v>8</v>
      </c>
      <c r="C2802" t="s">
        <v>73</v>
      </c>
      <c r="D2802" t="str">
        <f>_xlfn.XLOOKUP(C2802,'Carrier Name Rename'!A:A,'Carrier Name Rename'!B:B)</f>
        <v>America West Airlines Inc.</v>
      </c>
      <c r="E2802" t="s">
        <v>23</v>
      </c>
      <c r="F2802" t="s">
        <v>24</v>
      </c>
      <c r="G2802">
        <v>310</v>
      </c>
      <c r="H2802">
        <v>56</v>
      </c>
      <c r="I2802">
        <v>24.47</v>
      </c>
      <c r="J2802">
        <v>0</v>
      </c>
      <c r="K2802">
        <v>17.61</v>
      </c>
      <c r="L2802">
        <v>0.48</v>
      </c>
      <c r="M2802">
        <v>13.45</v>
      </c>
      <c r="N2802">
        <v>0</v>
      </c>
      <c r="O2802">
        <v>0</v>
      </c>
      <c r="P2802">
        <v>2211</v>
      </c>
      <c r="Q2802">
        <v>979</v>
      </c>
      <c r="R2802">
        <v>0</v>
      </c>
      <c r="S2802">
        <v>444</v>
      </c>
      <c r="T2802">
        <v>11</v>
      </c>
      <c r="U2802">
        <v>777</v>
      </c>
      <c r="V2802" s="1">
        <f t="shared" si="129"/>
        <v>0.18060000000000001</v>
      </c>
      <c r="W2802" s="1">
        <f t="shared" si="130"/>
        <v>0</v>
      </c>
      <c r="X2802" s="1">
        <f t="shared" si="131"/>
        <v>0</v>
      </c>
    </row>
    <row r="2803" spans="1:24" x14ac:dyDescent="0.25">
      <c r="A2803">
        <v>2005</v>
      </c>
      <c r="B2803">
        <v>8</v>
      </c>
      <c r="C2803" t="s">
        <v>67</v>
      </c>
      <c r="D2803" t="str">
        <f>_xlfn.XLOOKUP(C2803,'Carrier Name Rename'!A:A,'Carrier Name Rename'!B:B)</f>
        <v>Northwest Airlines Inc.</v>
      </c>
      <c r="E2803" t="s">
        <v>23</v>
      </c>
      <c r="F2803" t="s">
        <v>24</v>
      </c>
      <c r="G2803">
        <v>493</v>
      </c>
      <c r="H2803">
        <v>203</v>
      </c>
      <c r="I2803">
        <v>122.9</v>
      </c>
      <c r="J2803">
        <v>7.32</v>
      </c>
      <c r="K2803">
        <v>51.51</v>
      </c>
      <c r="L2803">
        <v>0</v>
      </c>
      <c r="M2803">
        <v>21.26</v>
      </c>
      <c r="N2803">
        <v>5</v>
      </c>
      <c r="O2803">
        <v>3</v>
      </c>
      <c r="P2803">
        <v>10545</v>
      </c>
      <c r="Q2803">
        <v>7217</v>
      </c>
      <c r="R2803">
        <v>625</v>
      </c>
      <c r="S2803">
        <v>1385</v>
      </c>
      <c r="T2803">
        <v>0</v>
      </c>
      <c r="U2803">
        <v>1318</v>
      </c>
      <c r="V2803" s="1">
        <f t="shared" si="129"/>
        <v>0.4118</v>
      </c>
      <c r="W2803" s="1">
        <f t="shared" si="130"/>
        <v>1.01E-2</v>
      </c>
      <c r="X2803" s="1">
        <f t="shared" si="131"/>
        <v>6.1000000000000004E-3</v>
      </c>
    </row>
    <row r="2804" spans="1:24" x14ac:dyDescent="0.25">
      <c r="A2804">
        <v>2005</v>
      </c>
      <c r="B2804">
        <v>8</v>
      </c>
      <c r="C2804" t="s">
        <v>27</v>
      </c>
      <c r="D2804" t="str">
        <f>_xlfn.XLOOKUP(C2804,'Carrier Name Rename'!A:A,'Carrier Name Rename'!B:B)</f>
        <v>SkyWest Airlines Inc.</v>
      </c>
      <c r="E2804" t="s">
        <v>23</v>
      </c>
      <c r="F2804" t="s">
        <v>24</v>
      </c>
      <c r="G2804">
        <v>457</v>
      </c>
      <c r="H2804">
        <v>32</v>
      </c>
      <c r="I2804">
        <v>22</v>
      </c>
      <c r="J2804">
        <v>1</v>
      </c>
      <c r="K2804">
        <v>3</v>
      </c>
      <c r="L2804">
        <v>1</v>
      </c>
      <c r="M2804">
        <v>5</v>
      </c>
      <c r="N2804">
        <v>3</v>
      </c>
      <c r="O2804">
        <v>0</v>
      </c>
      <c r="P2804">
        <v>1297</v>
      </c>
      <c r="Q2804">
        <v>706</v>
      </c>
      <c r="R2804">
        <v>195</v>
      </c>
      <c r="S2804">
        <v>164</v>
      </c>
      <c r="T2804">
        <v>64</v>
      </c>
      <c r="U2804">
        <v>168</v>
      </c>
      <c r="V2804" s="1">
        <f t="shared" si="129"/>
        <v>7.0000000000000007E-2</v>
      </c>
      <c r="W2804" s="1">
        <f t="shared" si="130"/>
        <v>6.6E-3</v>
      </c>
      <c r="X2804" s="1">
        <f t="shared" si="131"/>
        <v>0</v>
      </c>
    </row>
    <row r="2805" spans="1:24" x14ac:dyDescent="0.25">
      <c r="A2805">
        <v>2005</v>
      </c>
      <c r="B2805">
        <v>8</v>
      </c>
      <c r="C2805" t="s">
        <v>41</v>
      </c>
      <c r="D2805" t="str">
        <f>_xlfn.XLOOKUP(C2805,'Carrier Name Rename'!A:A,'Carrier Name Rename'!B:B)</f>
        <v>United Air Lines Inc.</v>
      </c>
      <c r="E2805" t="s">
        <v>23</v>
      </c>
      <c r="F2805" t="s">
        <v>24</v>
      </c>
      <c r="G2805">
        <v>1028</v>
      </c>
      <c r="H2805">
        <v>174</v>
      </c>
      <c r="I2805">
        <v>67.98</v>
      </c>
      <c r="J2805">
        <v>0.49</v>
      </c>
      <c r="K2805">
        <v>35.25</v>
      </c>
      <c r="L2805">
        <v>0.08</v>
      </c>
      <c r="M2805">
        <v>70.209999999999994</v>
      </c>
      <c r="N2805">
        <v>3</v>
      </c>
      <c r="O2805">
        <v>2</v>
      </c>
      <c r="P2805">
        <v>9116</v>
      </c>
      <c r="Q2805">
        <v>2767</v>
      </c>
      <c r="R2805">
        <v>41</v>
      </c>
      <c r="S2805">
        <v>1286</v>
      </c>
      <c r="T2805">
        <v>8</v>
      </c>
      <c r="U2805">
        <v>5014</v>
      </c>
      <c r="V2805" s="1">
        <f t="shared" si="129"/>
        <v>0.16930000000000001</v>
      </c>
      <c r="W2805" s="1">
        <f t="shared" si="130"/>
        <v>2.8999999999999998E-3</v>
      </c>
      <c r="X2805" s="1">
        <f t="shared" si="131"/>
        <v>1.9E-3</v>
      </c>
    </row>
    <row r="2806" spans="1:24" x14ac:dyDescent="0.25">
      <c r="A2806">
        <v>2005</v>
      </c>
      <c r="B2806">
        <v>8</v>
      </c>
      <c r="C2806" t="s">
        <v>61</v>
      </c>
      <c r="D2806" t="str">
        <f>_xlfn.XLOOKUP(C2806,'Carrier Name Rename'!A:A,'Carrier Name Rename'!B:B)</f>
        <v>US Airways Inc.</v>
      </c>
      <c r="E2806" t="s">
        <v>23</v>
      </c>
      <c r="F2806" t="s">
        <v>24</v>
      </c>
      <c r="G2806">
        <v>171</v>
      </c>
      <c r="H2806">
        <v>48</v>
      </c>
      <c r="I2806">
        <v>14.26</v>
      </c>
      <c r="J2806">
        <v>2.4</v>
      </c>
      <c r="K2806">
        <v>16.16</v>
      </c>
      <c r="L2806">
        <v>0</v>
      </c>
      <c r="M2806">
        <v>15.18</v>
      </c>
      <c r="N2806">
        <v>0</v>
      </c>
      <c r="O2806">
        <v>0</v>
      </c>
      <c r="P2806">
        <v>2717</v>
      </c>
      <c r="Q2806">
        <v>608</v>
      </c>
      <c r="R2806">
        <v>323</v>
      </c>
      <c r="S2806">
        <v>636</v>
      </c>
      <c r="T2806">
        <v>0</v>
      </c>
      <c r="U2806">
        <v>1150</v>
      </c>
      <c r="V2806" s="1">
        <f t="shared" si="129"/>
        <v>0.28070000000000001</v>
      </c>
      <c r="W2806" s="1">
        <f t="shared" si="130"/>
        <v>0</v>
      </c>
      <c r="X2806" s="1">
        <f t="shared" si="131"/>
        <v>0</v>
      </c>
    </row>
    <row r="2807" spans="1:24" x14ac:dyDescent="0.25">
      <c r="A2807">
        <v>2005</v>
      </c>
      <c r="B2807">
        <v>8</v>
      </c>
      <c r="C2807" t="s">
        <v>43</v>
      </c>
      <c r="D2807" t="str">
        <f>_xlfn.XLOOKUP(C2807,'Carrier Name Rename'!A:A,'Carrier Name Rename'!B:B)</f>
        <v>Southwest Airlines Co.</v>
      </c>
      <c r="E2807" t="s">
        <v>23</v>
      </c>
      <c r="F2807" t="s">
        <v>24</v>
      </c>
      <c r="G2807">
        <v>1158</v>
      </c>
      <c r="H2807">
        <v>205</v>
      </c>
      <c r="I2807">
        <v>70.150000000000006</v>
      </c>
      <c r="J2807">
        <v>5.13</v>
      </c>
      <c r="K2807">
        <v>28.58</v>
      </c>
      <c r="L2807">
        <v>0.65</v>
      </c>
      <c r="M2807">
        <v>100.49</v>
      </c>
      <c r="N2807">
        <v>0</v>
      </c>
      <c r="O2807">
        <v>0</v>
      </c>
      <c r="P2807">
        <v>8137</v>
      </c>
      <c r="Q2807">
        <v>2422</v>
      </c>
      <c r="R2807">
        <v>279</v>
      </c>
      <c r="S2807">
        <v>1052</v>
      </c>
      <c r="T2807">
        <v>17</v>
      </c>
      <c r="U2807">
        <v>4367</v>
      </c>
      <c r="V2807" s="1">
        <f t="shared" si="129"/>
        <v>0.17699999999999999</v>
      </c>
      <c r="W2807" s="1">
        <f t="shared" si="130"/>
        <v>0</v>
      </c>
      <c r="X2807" s="1">
        <f t="shared" si="131"/>
        <v>0</v>
      </c>
    </row>
    <row r="2808" spans="1:24" x14ac:dyDescent="0.25">
      <c r="A2808">
        <v>2005</v>
      </c>
      <c r="B2808">
        <v>7</v>
      </c>
      <c r="C2808" t="s">
        <v>31</v>
      </c>
      <c r="D2808" t="str">
        <f>_xlfn.XLOOKUP(C2808,'Carrier Name Rename'!A:A,'Carrier Name Rename'!B:B)</f>
        <v>American Airlines Inc.</v>
      </c>
      <c r="E2808" t="s">
        <v>23</v>
      </c>
      <c r="F2808" t="s">
        <v>24</v>
      </c>
      <c r="G2808">
        <v>656</v>
      </c>
      <c r="H2808">
        <v>257</v>
      </c>
      <c r="I2808">
        <v>77.319999999999993</v>
      </c>
      <c r="J2808">
        <v>31.27</v>
      </c>
      <c r="K2808">
        <v>68.239999999999995</v>
      </c>
      <c r="L2808">
        <v>0</v>
      </c>
      <c r="M2808">
        <v>80.17</v>
      </c>
      <c r="N2808">
        <v>1</v>
      </c>
      <c r="O2808">
        <v>2</v>
      </c>
      <c r="P2808">
        <v>16149</v>
      </c>
      <c r="Q2808">
        <v>4145</v>
      </c>
      <c r="R2808">
        <v>2187</v>
      </c>
      <c r="S2808">
        <v>2808</v>
      </c>
      <c r="T2808">
        <v>0</v>
      </c>
      <c r="U2808">
        <v>7009</v>
      </c>
      <c r="V2808" s="1">
        <f t="shared" si="129"/>
        <v>0.39179999999999998</v>
      </c>
      <c r="W2808" s="1">
        <f t="shared" si="130"/>
        <v>1.5E-3</v>
      </c>
      <c r="X2808" s="1">
        <f t="shared" si="131"/>
        <v>3.0000000000000001E-3</v>
      </c>
    </row>
    <row r="2809" spans="1:24" x14ac:dyDescent="0.25">
      <c r="A2809">
        <v>2005</v>
      </c>
      <c r="B2809">
        <v>7</v>
      </c>
      <c r="C2809" t="s">
        <v>33</v>
      </c>
      <c r="D2809" t="str">
        <f>_xlfn.XLOOKUP(C2809,'Carrier Name Rename'!A:A,'Carrier Name Rename'!B:B)</f>
        <v>Alaska Airlines Inc.</v>
      </c>
      <c r="E2809" t="s">
        <v>23</v>
      </c>
      <c r="F2809" t="s">
        <v>24</v>
      </c>
      <c r="G2809">
        <v>4351</v>
      </c>
      <c r="H2809">
        <v>1515</v>
      </c>
      <c r="I2809">
        <v>570.23</v>
      </c>
      <c r="J2809">
        <v>15.37</v>
      </c>
      <c r="K2809">
        <v>234.01</v>
      </c>
      <c r="L2809">
        <v>9.64</v>
      </c>
      <c r="M2809">
        <v>685.76</v>
      </c>
      <c r="N2809">
        <v>32</v>
      </c>
      <c r="O2809">
        <v>9</v>
      </c>
      <c r="P2809">
        <v>80723</v>
      </c>
      <c r="Q2809">
        <v>32077</v>
      </c>
      <c r="R2809">
        <v>853</v>
      </c>
      <c r="S2809">
        <v>7998</v>
      </c>
      <c r="T2809">
        <v>241</v>
      </c>
      <c r="U2809">
        <v>39554</v>
      </c>
      <c r="V2809" s="1">
        <f t="shared" si="129"/>
        <v>0.34820000000000001</v>
      </c>
      <c r="W2809" s="1">
        <f t="shared" si="130"/>
        <v>7.4000000000000003E-3</v>
      </c>
      <c r="X2809" s="1">
        <f t="shared" si="131"/>
        <v>2.0999999999999999E-3</v>
      </c>
    </row>
    <row r="2810" spans="1:24" x14ac:dyDescent="0.25">
      <c r="A2810">
        <v>2005</v>
      </c>
      <c r="B2810">
        <v>7</v>
      </c>
      <c r="C2810" t="s">
        <v>35</v>
      </c>
      <c r="D2810" t="str">
        <f>_xlfn.XLOOKUP(C2810,'Carrier Name Rename'!A:A,'Carrier Name Rename'!B:B)</f>
        <v>JetBlue Airways</v>
      </c>
      <c r="E2810" t="s">
        <v>23</v>
      </c>
      <c r="F2810" t="s">
        <v>24</v>
      </c>
      <c r="G2810">
        <v>62</v>
      </c>
      <c r="H2810">
        <v>35</v>
      </c>
      <c r="I2810">
        <v>11.37</v>
      </c>
      <c r="J2810">
        <v>0</v>
      </c>
      <c r="K2810">
        <v>16.920000000000002</v>
      </c>
      <c r="L2810">
        <v>0</v>
      </c>
      <c r="M2810">
        <v>6.71</v>
      </c>
      <c r="N2810">
        <v>1</v>
      </c>
      <c r="O2810">
        <v>0</v>
      </c>
      <c r="P2810">
        <v>2080</v>
      </c>
      <c r="Q2810">
        <v>695</v>
      </c>
      <c r="R2810">
        <v>0</v>
      </c>
      <c r="S2810">
        <v>966</v>
      </c>
      <c r="T2810">
        <v>0</v>
      </c>
      <c r="U2810">
        <v>419</v>
      </c>
      <c r="V2810" s="1">
        <f t="shared" si="129"/>
        <v>0.5645</v>
      </c>
      <c r="W2810" s="1">
        <f t="shared" si="130"/>
        <v>1.61E-2</v>
      </c>
      <c r="X2810" s="1">
        <f t="shared" si="131"/>
        <v>0</v>
      </c>
    </row>
    <row r="2811" spans="1:24" x14ac:dyDescent="0.25">
      <c r="A2811">
        <v>2005</v>
      </c>
      <c r="B2811">
        <v>7</v>
      </c>
      <c r="C2811" t="s">
        <v>65</v>
      </c>
      <c r="D2811" t="str">
        <f>_xlfn.XLOOKUP(C2811,'Carrier Name Rename'!A:A,'Carrier Name Rename'!B:B)</f>
        <v>Continental Air Lines Inc.</v>
      </c>
      <c r="E2811" t="s">
        <v>23</v>
      </c>
      <c r="F2811" t="s">
        <v>24</v>
      </c>
      <c r="G2811">
        <v>423</v>
      </c>
      <c r="H2811">
        <v>150</v>
      </c>
      <c r="I2811">
        <v>35.479999999999997</v>
      </c>
      <c r="J2811">
        <v>7.09</v>
      </c>
      <c r="K2811">
        <v>65.209999999999994</v>
      </c>
      <c r="L2811">
        <v>1.07</v>
      </c>
      <c r="M2811">
        <v>41.15</v>
      </c>
      <c r="N2811">
        <v>0</v>
      </c>
      <c r="O2811">
        <v>0</v>
      </c>
      <c r="P2811">
        <v>7784</v>
      </c>
      <c r="Q2811">
        <v>1602</v>
      </c>
      <c r="R2811">
        <v>607</v>
      </c>
      <c r="S2811">
        <v>2591</v>
      </c>
      <c r="T2811">
        <v>27</v>
      </c>
      <c r="U2811">
        <v>2957</v>
      </c>
      <c r="V2811" s="1">
        <f t="shared" si="129"/>
        <v>0.35460000000000003</v>
      </c>
      <c r="W2811" s="1">
        <f t="shared" si="130"/>
        <v>0</v>
      </c>
      <c r="X2811" s="1">
        <f t="shared" si="131"/>
        <v>0</v>
      </c>
    </row>
    <row r="2812" spans="1:24" x14ac:dyDescent="0.25">
      <c r="A2812">
        <v>2005</v>
      </c>
      <c r="B2812">
        <v>7</v>
      </c>
      <c r="C2812" t="s">
        <v>75</v>
      </c>
      <c r="D2812" t="str">
        <f>_xlfn.XLOOKUP(C2812,'Carrier Name Rename'!A:A,'Carrier Name Rename'!B:B)</f>
        <v>Independence Air</v>
      </c>
      <c r="E2812" t="s">
        <v>23</v>
      </c>
      <c r="F2812" t="s">
        <v>24</v>
      </c>
      <c r="G2812">
        <v>31</v>
      </c>
      <c r="H2812">
        <v>13</v>
      </c>
      <c r="I2812">
        <v>4.22</v>
      </c>
      <c r="J2812">
        <v>0.66</v>
      </c>
      <c r="K2812">
        <v>4.07</v>
      </c>
      <c r="L2812">
        <v>0</v>
      </c>
      <c r="M2812">
        <v>4.05</v>
      </c>
      <c r="N2812">
        <v>0</v>
      </c>
      <c r="O2812">
        <v>1</v>
      </c>
      <c r="P2812">
        <v>758</v>
      </c>
      <c r="Q2812">
        <v>229</v>
      </c>
      <c r="R2812">
        <v>39</v>
      </c>
      <c r="S2812">
        <v>151</v>
      </c>
      <c r="T2812">
        <v>0</v>
      </c>
      <c r="U2812">
        <v>339</v>
      </c>
      <c r="V2812" s="1">
        <f t="shared" si="129"/>
        <v>0.4194</v>
      </c>
      <c r="W2812" s="1">
        <f t="shared" si="130"/>
        <v>0</v>
      </c>
      <c r="X2812" s="1">
        <f t="shared" si="131"/>
        <v>3.2300000000000002E-2</v>
      </c>
    </row>
    <row r="2813" spans="1:24" x14ac:dyDescent="0.25">
      <c r="A2813">
        <v>2005</v>
      </c>
      <c r="B2813">
        <v>7</v>
      </c>
      <c r="C2813" t="s">
        <v>37</v>
      </c>
      <c r="D2813" t="str">
        <f>_xlfn.XLOOKUP(C2813,'Carrier Name Rename'!A:A,'Carrier Name Rename'!B:B)</f>
        <v>Delta Air Lines Inc.</v>
      </c>
      <c r="E2813" t="s">
        <v>23</v>
      </c>
      <c r="F2813" t="s">
        <v>24</v>
      </c>
      <c r="G2813">
        <v>554</v>
      </c>
      <c r="H2813">
        <v>188</v>
      </c>
      <c r="I2813">
        <v>60.65</v>
      </c>
      <c r="J2813">
        <v>2.61</v>
      </c>
      <c r="K2813">
        <v>58.67</v>
      </c>
      <c r="L2813">
        <v>0</v>
      </c>
      <c r="M2813">
        <v>66.069999999999993</v>
      </c>
      <c r="N2813">
        <v>1</v>
      </c>
      <c r="O2813">
        <v>0</v>
      </c>
      <c r="P2813">
        <v>11260</v>
      </c>
      <c r="Q2813">
        <v>3525</v>
      </c>
      <c r="R2813">
        <v>290</v>
      </c>
      <c r="S2813">
        <v>2756</v>
      </c>
      <c r="T2813">
        <v>0</v>
      </c>
      <c r="U2813">
        <v>4689</v>
      </c>
      <c r="V2813" s="1">
        <f t="shared" si="129"/>
        <v>0.33939999999999998</v>
      </c>
      <c r="W2813" s="1">
        <f t="shared" si="130"/>
        <v>1.8E-3</v>
      </c>
      <c r="X2813" s="1">
        <f t="shared" si="131"/>
        <v>0</v>
      </c>
    </row>
    <row r="2814" spans="1:24" x14ac:dyDescent="0.25">
      <c r="A2814">
        <v>2005</v>
      </c>
      <c r="B2814">
        <v>7</v>
      </c>
      <c r="C2814" t="s">
        <v>77</v>
      </c>
      <c r="D2814" t="str">
        <f>_xlfn.XLOOKUP(C2814,'Carrier Name Rename'!A:A,'Carrier Name Rename'!B:B)</f>
        <v>Atlantic Southeast Airlines</v>
      </c>
      <c r="E2814" t="s">
        <v>23</v>
      </c>
      <c r="F2814" t="s">
        <v>24</v>
      </c>
      <c r="G2814">
        <v>62</v>
      </c>
      <c r="H2814">
        <v>17</v>
      </c>
      <c r="I2814">
        <v>9.76</v>
      </c>
      <c r="J2814">
        <v>0</v>
      </c>
      <c r="K2814">
        <v>5.28</v>
      </c>
      <c r="L2814">
        <v>0</v>
      </c>
      <c r="M2814">
        <v>1.97</v>
      </c>
      <c r="N2814">
        <v>2</v>
      </c>
      <c r="O2814">
        <v>0</v>
      </c>
      <c r="P2814">
        <v>565</v>
      </c>
      <c r="Q2814">
        <v>355</v>
      </c>
      <c r="R2814">
        <v>0</v>
      </c>
      <c r="S2814">
        <v>129</v>
      </c>
      <c r="T2814">
        <v>0</v>
      </c>
      <c r="U2814">
        <v>81</v>
      </c>
      <c r="V2814" s="1">
        <f t="shared" si="129"/>
        <v>0.2742</v>
      </c>
      <c r="W2814" s="1">
        <f t="shared" si="130"/>
        <v>3.2300000000000002E-2</v>
      </c>
      <c r="X2814" s="1">
        <f t="shared" si="131"/>
        <v>0</v>
      </c>
    </row>
    <row r="2815" spans="1:24" x14ac:dyDescent="0.25">
      <c r="A2815">
        <v>2005</v>
      </c>
      <c r="B2815">
        <v>7</v>
      </c>
      <c r="C2815" t="s">
        <v>39</v>
      </c>
      <c r="D2815" t="str">
        <f>_xlfn.XLOOKUP(C2815,'Carrier Name Rename'!A:A,'Carrier Name Rename'!B:B)</f>
        <v>Frontier Airlines Inc.</v>
      </c>
      <c r="E2815" t="s">
        <v>23</v>
      </c>
      <c r="F2815" t="s">
        <v>24</v>
      </c>
      <c r="G2815">
        <v>145</v>
      </c>
      <c r="H2815">
        <v>20</v>
      </c>
      <c r="I2815">
        <v>11.41</v>
      </c>
      <c r="J2815">
        <v>0</v>
      </c>
      <c r="K2815">
        <v>2.99</v>
      </c>
      <c r="L2815">
        <v>0</v>
      </c>
      <c r="M2815">
        <v>5.6</v>
      </c>
      <c r="N2815">
        <v>0</v>
      </c>
      <c r="O2815">
        <v>0</v>
      </c>
      <c r="P2815">
        <v>662</v>
      </c>
      <c r="Q2815">
        <v>330</v>
      </c>
      <c r="R2815">
        <v>0</v>
      </c>
      <c r="S2815">
        <v>60</v>
      </c>
      <c r="T2815">
        <v>0</v>
      </c>
      <c r="U2815">
        <v>272</v>
      </c>
      <c r="V2815" s="1">
        <f t="shared" si="129"/>
        <v>0.13789999999999999</v>
      </c>
      <c r="W2815" s="1">
        <f t="shared" si="130"/>
        <v>0</v>
      </c>
      <c r="X2815" s="1">
        <f t="shared" si="131"/>
        <v>0</v>
      </c>
    </row>
    <row r="2816" spans="1:24" x14ac:dyDescent="0.25">
      <c r="A2816">
        <v>2005</v>
      </c>
      <c r="B2816">
        <v>7</v>
      </c>
      <c r="C2816" t="s">
        <v>21</v>
      </c>
      <c r="D2816" t="str">
        <f>_xlfn.XLOOKUP(C2816,'Carrier Name Rename'!A:A,'Carrier Name Rename'!B:B)</f>
        <v>Hawaiian Airlines Inc.</v>
      </c>
      <c r="E2816" t="s">
        <v>23</v>
      </c>
      <c r="F2816" t="s">
        <v>24</v>
      </c>
      <c r="G2816">
        <v>62</v>
      </c>
      <c r="H2816">
        <v>7</v>
      </c>
      <c r="I2816">
        <v>5</v>
      </c>
      <c r="J2816">
        <v>0</v>
      </c>
      <c r="K2816">
        <v>0</v>
      </c>
      <c r="L2816">
        <v>0</v>
      </c>
      <c r="M2816">
        <v>2</v>
      </c>
      <c r="N2816">
        <v>0</v>
      </c>
      <c r="O2816">
        <v>0</v>
      </c>
      <c r="P2816">
        <v>311</v>
      </c>
      <c r="Q2816">
        <v>130</v>
      </c>
      <c r="R2816">
        <v>0</v>
      </c>
      <c r="S2816">
        <v>0</v>
      </c>
      <c r="T2816">
        <v>0</v>
      </c>
      <c r="U2816">
        <v>181</v>
      </c>
      <c r="V2816" s="1">
        <f t="shared" si="129"/>
        <v>0.1129</v>
      </c>
      <c r="W2816" s="1">
        <f t="shared" si="130"/>
        <v>0</v>
      </c>
      <c r="X2816" s="1">
        <f t="shared" si="131"/>
        <v>0</v>
      </c>
    </row>
    <row r="2817" spans="1:24" x14ac:dyDescent="0.25">
      <c r="A2817">
        <v>2005</v>
      </c>
      <c r="B2817">
        <v>7</v>
      </c>
      <c r="C2817" t="s">
        <v>73</v>
      </c>
      <c r="D2817" t="str">
        <f>_xlfn.XLOOKUP(C2817,'Carrier Name Rename'!A:A,'Carrier Name Rename'!B:B)</f>
        <v>America West Airlines Inc.</v>
      </c>
      <c r="E2817" t="s">
        <v>23</v>
      </c>
      <c r="F2817" t="s">
        <v>24</v>
      </c>
      <c r="G2817">
        <v>310</v>
      </c>
      <c r="H2817">
        <v>57</v>
      </c>
      <c r="I2817">
        <v>33.39</v>
      </c>
      <c r="J2817">
        <v>0</v>
      </c>
      <c r="K2817">
        <v>7.81</v>
      </c>
      <c r="L2817">
        <v>0.75</v>
      </c>
      <c r="M2817">
        <v>15.05</v>
      </c>
      <c r="N2817">
        <v>0</v>
      </c>
      <c r="O2817">
        <v>0</v>
      </c>
      <c r="P2817">
        <v>2915</v>
      </c>
      <c r="Q2817">
        <v>1900</v>
      </c>
      <c r="R2817">
        <v>0</v>
      </c>
      <c r="S2817">
        <v>281</v>
      </c>
      <c r="T2817">
        <v>49</v>
      </c>
      <c r="U2817">
        <v>685</v>
      </c>
      <c r="V2817" s="1">
        <f t="shared" si="129"/>
        <v>0.18390000000000001</v>
      </c>
      <c r="W2817" s="1">
        <f t="shared" si="130"/>
        <v>0</v>
      </c>
      <c r="X2817" s="1">
        <f t="shared" si="131"/>
        <v>0</v>
      </c>
    </row>
    <row r="2818" spans="1:24" x14ac:dyDescent="0.25">
      <c r="A2818">
        <v>2005</v>
      </c>
      <c r="B2818">
        <v>7</v>
      </c>
      <c r="C2818" t="s">
        <v>67</v>
      </c>
      <c r="D2818" t="str">
        <f>_xlfn.XLOOKUP(C2818,'Carrier Name Rename'!A:A,'Carrier Name Rename'!B:B)</f>
        <v>Northwest Airlines Inc.</v>
      </c>
      <c r="E2818" t="s">
        <v>23</v>
      </c>
      <c r="F2818" t="s">
        <v>24</v>
      </c>
      <c r="G2818">
        <v>558</v>
      </c>
      <c r="H2818">
        <v>192</v>
      </c>
      <c r="I2818">
        <v>85.43</v>
      </c>
      <c r="J2818">
        <v>7.48</v>
      </c>
      <c r="K2818">
        <v>76.180000000000007</v>
      </c>
      <c r="L2818">
        <v>1.17</v>
      </c>
      <c r="M2818">
        <v>21.75</v>
      </c>
      <c r="N2818">
        <v>7</v>
      </c>
      <c r="O2818">
        <v>1</v>
      </c>
      <c r="P2818">
        <v>8577</v>
      </c>
      <c r="Q2818">
        <v>4583</v>
      </c>
      <c r="R2818">
        <v>380</v>
      </c>
      <c r="S2818">
        <v>2211</v>
      </c>
      <c r="T2818">
        <v>35</v>
      </c>
      <c r="U2818">
        <v>1368</v>
      </c>
      <c r="V2818" s="1">
        <f t="shared" si="129"/>
        <v>0.34410000000000002</v>
      </c>
      <c r="W2818" s="1">
        <f t="shared" si="130"/>
        <v>1.2500000000000001E-2</v>
      </c>
      <c r="X2818" s="1">
        <f t="shared" si="131"/>
        <v>1.8E-3</v>
      </c>
    </row>
    <row r="2819" spans="1:24" x14ac:dyDescent="0.25">
      <c r="A2819">
        <v>2005</v>
      </c>
      <c r="B2819">
        <v>7</v>
      </c>
      <c r="C2819" t="s">
        <v>27</v>
      </c>
      <c r="D2819" t="str">
        <f>_xlfn.XLOOKUP(C2819,'Carrier Name Rename'!A:A,'Carrier Name Rename'!B:B)</f>
        <v>SkyWest Airlines Inc.</v>
      </c>
      <c r="E2819" t="s">
        <v>23</v>
      </c>
      <c r="F2819" t="s">
        <v>24</v>
      </c>
      <c r="G2819">
        <v>455</v>
      </c>
      <c r="H2819">
        <v>26</v>
      </c>
      <c r="I2819">
        <v>22</v>
      </c>
      <c r="J2819">
        <v>0</v>
      </c>
      <c r="K2819">
        <v>3</v>
      </c>
      <c r="L2819">
        <v>0</v>
      </c>
      <c r="M2819">
        <v>1</v>
      </c>
      <c r="N2819">
        <v>2</v>
      </c>
      <c r="O2819">
        <v>0</v>
      </c>
      <c r="P2819">
        <v>867</v>
      </c>
      <c r="Q2819">
        <v>741</v>
      </c>
      <c r="R2819">
        <v>0</v>
      </c>
      <c r="S2819">
        <v>69</v>
      </c>
      <c r="T2819">
        <v>0</v>
      </c>
      <c r="U2819">
        <v>57</v>
      </c>
      <c r="V2819" s="1">
        <f t="shared" ref="V2819:V2882" si="132">ROUND(H2819/G2819,4)</f>
        <v>5.7099999999999998E-2</v>
      </c>
      <c r="W2819" s="1">
        <f t="shared" ref="W2819:W2882" si="133">ROUND(N2819/G2819,4)</f>
        <v>4.4000000000000003E-3</v>
      </c>
      <c r="X2819" s="1">
        <f t="shared" ref="X2819:X2882" si="134">ROUND(O2819/G2819,4)</f>
        <v>0</v>
      </c>
    </row>
    <row r="2820" spans="1:24" x14ac:dyDescent="0.25">
      <c r="A2820">
        <v>2005</v>
      </c>
      <c r="B2820">
        <v>7</v>
      </c>
      <c r="C2820" t="s">
        <v>41</v>
      </c>
      <c r="D2820" t="str">
        <f>_xlfn.XLOOKUP(C2820,'Carrier Name Rename'!A:A,'Carrier Name Rename'!B:B)</f>
        <v>United Air Lines Inc.</v>
      </c>
      <c r="E2820" t="s">
        <v>23</v>
      </c>
      <c r="F2820" t="s">
        <v>24</v>
      </c>
      <c r="G2820">
        <v>1073</v>
      </c>
      <c r="H2820">
        <v>286</v>
      </c>
      <c r="I2820">
        <v>120.18</v>
      </c>
      <c r="J2820">
        <v>7.31</v>
      </c>
      <c r="K2820">
        <v>66.47</v>
      </c>
      <c r="L2820">
        <v>0</v>
      </c>
      <c r="M2820">
        <v>92.04</v>
      </c>
      <c r="N2820">
        <v>10</v>
      </c>
      <c r="O2820">
        <v>1</v>
      </c>
      <c r="P2820">
        <v>15197</v>
      </c>
      <c r="Q2820">
        <v>5431</v>
      </c>
      <c r="R2820">
        <v>597</v>
      </c>
      <c r="S2820">
        <v>2542</v>
      </c>
      <c r="T2820">
        <v>0</v>
      </c>
      <c r="U2820">
        <v>6627</v>
      </c>
      <c r="V2820" s="1">
        <f t="shared" si="132"/>
        <v>0.26650000000000001</v>
      </c>
      <c r="W2820" s="1">
        <f t="shared" si="133"/>
        <v>9.2999999999999992E-3</v>
      </c>
      <c r="X2820" s="1">
        <f t="shared" si="134"/>
        <v>8.9999999999999998E-4</v>
      </c>
    </row>
    <row r="2821" spans="1:24" x14ac:dyDescent="0.25">
      <c r="A2821">
        <v>2005</v>
      </c>
      <c r="B2821">
        <v>7</v>
      </c>
      <c r="C2821" t="s">
        <v>61</v>
      </c>
      <c r="D2821" t="str">
        <f>_xlfn.XLOOKUP(C2821,'Carrier Name Rename'!A:A,'Carrier Name Rename'!B:B)</f>
        <v>US Airways Inc.</v>
      </c>
      <c r="E2821" t="s">
        <v>23</v>
      </c>
      <c r="F2821" t="s">
        <v>24</v>
      </c>
      <c r="G2821">
        <v>179</v>
      </c>
      <c r="H2821">
        <v>84</v>
      </c>
      <c r="I2821">
        <v>29.8</v>
      </c>
      <c r="J2821">
        <v>6.69</v>
      </c>
      <c r="K2821">
        <v>24.19</v>
      </c>
      <c r="L2821">
        <v>0</v>
      </c>
      <c r="M2821">
        <v>23.31</v>
      </c>
      <c r="N2821">
        <v>0</v>
      </c>
      <c r="O2821">
        <v>0</v>
      </c>
      <c r="P2821">
        <v>5942</v>
      </c>
      <c r="Q2821">
        <v>1439</v>
      </c>
      <c r="R2821">
        <v>659</v>
      </c>
      <c r="S2821">
        <v>1668</v>
      </c>
      <c r="T2821">
        <v>0</v>
      </c>
      <c r="U2821">
        <v>2176</v>
      </c>
      <c r="V2821" s="1">
        <f t="shared" si="132"/>
        <v>0.46929999999999999</v>
      </c>
      <c r="W2821" s="1">
        <f t="shared" si="133"/>
        <v>0</v>
      </c>
      <c r="X2821" s="1">
        <f t="shared" si="134"/>
        <v>0</v>
      </c>
    </row>
    <row r="2822" spans="1:24" x14ac:dyDescent="0.25">
      <c r="A2822">
        <v>2005</v>
      </c>
      <c r="B2822">
        <v>7</v>
      </c>
      <c r="C2822" t="s">
        <v>43</v>
      </c>
      <c r="D2822" t="str">
        <f>_xlfn.XLOOKUP(C2822,'Carrier Name Rename'!A:A,'Carrier Name Rename'!B:B)</f>
        <v>Southwest Airlines Co.</v>
      </c>
      <c r="E2822" t="s">
        <v>23</v>
      </c>
      <c r="F2822" t="s">
        <v>24</v>
      </c>
      <c r="G2822">
        <v>1145</v>
      </c>
      <c r="H2822">
        <v>233</v>
      </c>
      <c r="I2822">
        <v>66.28</v>
      </c>
      <c r="J2822">
        <v>0.53</v>
      </c>
      <c r="K2822">
        <v>27.39</v>
      </c>
      <c r="L2822">
        <v>3.54</v>
      </c>
      <c r="M2822">
        <v>135.26</v>
      </c>
      <c r="N2822">
        <v>0</v>
      </c>
      <c r="O2822">
        <v>2</v>
      </c>
      <c r="P2822">
        <v>10154</v>
      </c>
      <c r="Q2822">
        <v>2684</v>
      </c>
      <c r="R2822">
        <v>14</v>
      </c>
      <c r="S2822">
        <v>722</v>
      </c>
      <c r="T2822">
        <v>82</v>
      </c>
      <c r="U2822">
        <v>6652</v>
      </c>
      <c r="V2822" s="1">
        <f t="shared" si="132"/>
        <v>0.20349999999999999</v>
      </c>
      <c r="W2822" s="1">
        <f t="shared" si="133"/>
        <v>0</v>
      </c>
      <c r="X2822" s="1">
        <f t="shared" si="134"/>
        <v>1.6999999999999999E-3</v>
      </c>
    </row>
    <row r="2823" spans="1:24" x14ac:dyDescent="0.25">
      <c r="A2823">
        <v>2005</v>
      </c>
      <c r="B2823">
        <v>6</v>
      </c>
      <c r="C2823" t="s">
        <v>31</v>
      </c>
      <c r="D2823" t="str">
        <f>_xlfn.XLOOKUP(C2823,'Carrier Name Rename'!A:A,'Carrier Name Rename'!B:B)</f>
        <v>American Airlines Inc.</v>
      </c>
      <c r="E2823" t="s">
        <v>23</v>
      </c>
      <c r="F2823" t="s">
        <v>24</v>
      </c>
      <c r="G2823">
        <v>598</v>
      </c>
      <c r="H2823">
        <v>180</v>
      </c>
      <c r="I2823">
        <v>58.85</v>
      </c>
      <c r="J2823">
        <v>13.2</v>
      </c>
      <c r="K2823">
        <v>44.01</v>
      </c>
      <c r="L2823">
        <v>0</v>
      </c>
      <c r="M2823">
        <v>63.94</v>
      </c>
      <c r="N2823">
        <v>0</v>
      </c>
      <c r="O2823">
        <v>3</v>
      </c>
      <c r="P2823">
        <v>10144</v>
      </c>
      <c r="Q2823">
        <v>3316</v>
      </c>
      <c r="R2823">
        <v>701</v>
      </c>
      <c r="S2823">
        <v>1736</v>
      </c>
      <c r="T2823">
        <v>0</v>
      </c>
      <c r="U2823">
        <v>4391</v>
      </c>
      <c r="V2823" s="1">
        <f t="shared" si="132"/>
        <v>0.30099999999999999</v>
      </c>
      <c r="W2823" s="1">
        <f t="shared" si="133"/>
        <v>0</v>
      </c>
      <c r="X2823" s="1">
        <f t="shared" si="134"/>
        <v>5.0000000000000001E-3</v>
      </c>
    </row>
    <row r="2824" spans="1:24" x14ac:dyDescent="0.25">
      <c r="A2824">
        <v>2005</v>
      </c>
      <c r="B2824">
        <v>6</v>
      </c>
      <c r="C2824" t="s">
        <v>33</v>
      </c>
      <c r="D2824" t="str">
        <f>_xlfn.XLOOKUP(C2824,'Carrier Name Rename'!A:A,'Carrier Name Rename'!B:B)</f>
        <v>Alaska Airlines Inc.</v>
      </c>
      <c r="E2824" t="s">
        <v>23</v>
      </c>
      <c r="F2824" t="s">
        <v>24</v>
      </c>
      <c r="G2824">
        <v>4152</v>
      </c>
      <c r="H2824">
        <v>1992</v>
      </c>
      <c r="I2824">
        <v>611.84</v>
      </c>
      <c r="J2824">
        <v>11.93</v>
      </c>
      <c r="K2824">
        <v>398.15</v>
      </c>
      <c r="L2824">
        <v>9.76</v>
      </c>
      <c r="M2824">
        <v>960.32</v>
      </c>
      <c r="N2824">
        <v>144</v>
      </c>
      <c r="O2824">
        <v>17</v>
      </c>
      <c r="P2824">
        <v>120410</v>
      </c>
      <c r="Q2824">
        <v>36808</v>
      </c>
      <c r="R2824">
        <v>886</v>
      </c>
      <c r="S2824">
        <v>14624</v>
      </c>
      <c r="T2824">
        <v>363</v>
      </c>
      <c r="U2824">
        <v>67729</v>
      </c>
      <c r="V2824" s="1">
        <f t="shared" si="132"/>
        <v>0.4798</v>
      </c>
      <c r="W2824" s="1">
        <f t="shared" si="133"/>
        <v>3.4700000000000002E-2</v>
      </c>
      <c r="X2824" s="1">
        <f t="shared" si="134"/>
        <v>4.1000000000000003E-3</v>
      </c>
    </row>
    <row r="2825" spans="1:24" x14ac:dyDescent="0.25">
      <c r="A2825">
        <v>2005</v>
      </c>
      <c r="B2825">
        <v>6</v>
      </c>
      <c r="C2825" t="s">
        <v>35</v>
      </c>
      <c r="D2825" t="str">
        <f>_xlfn.XLOOKUP(C2825,'Carrier Name Rename'!A:A,'Carrier Name Rename'!B:B)</f>
        <v>JetBlue Airways</v>
      </c>
      <c r="E2825" t="s">
        <v>23</v>
      </c>
      <c r="F2825" t="s">
        <v>24</v>
      </c>
      <c r="G2825">
        <v>44</v>
      </c>
      <c r="H2825">
        <v>19</v>
      </c>
      <c r="I2825">
        <v>2.59</v>
      </c>
      <c r="J2825">
        <v>0</v>
      </c>
      <c r="K2825">
        <v>12.03</v>
      </c>
      <c r="L2825">
        <v>0</v>
      </c>
      <c r="M2825">
        <v>4.38</v>
      </c>
      <c r="N2825">
        <v>0</v>
      </c>
      <c r="O2825">
        <v>0</v>
      </c>
      <c r="P2825">
        <v>803</v>
      </c>
      <c r="Q2825">
        <v>104</v>
      </c>
      <c r="R2825">
        <v>0</v>
      </c>
      <c r="S2825">
        <v>438</v>
      </c>
      <c r="T2825">
        <v>0</v>
      </c>
      <c r="U2825">
        <v>261</v>
      </c>
      <c r="V2825" s="1">
        <f t="shared" si="132"/>
        <v>0.43180000000000002</v>
      </c>
      <c r="W2825" s="1">
        <f t="shared" si="133"/>
        <v>0</v>
      </c>
      <c r="X2825" s="1">
        <f t="shared" si="134"/>
        <v>0</v>
      </c>
    </row>
    <row r="2826" spans="1:24" x14ac:dyDescent="0.25">
      <c r="A2826">
        <v>2005</v>
      </c>
      <c r="B2826">
        <v>6</v>
      </c>
      <c r="C2826" t="s">
        <v>65</v>
      </c>
      <c r="D2826" t="str">
        <f>_xlfn.XLOOKUP(C2826,'Carrier Name Rename'!A:A,'Carrier Name Rename'!B:B)</f>
        <v>Continental Air Lines Inc.</v>
      </c>
      <c r="E2826" t="s">
        <v>23</v>
      </c>
      <c r="F2826" t="s">
        <v>24</v>
      </c>
      <c r="G2826">
        <v>390</v>
      </c>
      <c r="H2826">
        <v>83</v>
      </c>
      <c r="I2826">
        <v>23.48</v>
      </c>
      <c r="J2826">
        <v>0.71</v>
      </c>
      <c r="K2826">
        <v>46.18</v>
      </c>
      <c r="L2826">
        <v>0</v>
      </c>
      <c r="M2826">
        <v>12.63</v>
      </c>
      <c r="N2826">
        <v>0</v>
      </c>
      <c r="O2826">
        <v>0</v>
      </c>
      <c r="P2826">
        <v>3284</v>
      </c>
      <c r="Q2826">
        <v>879</v>
      </c>
      <c r="R2826">
        <v>27</v>
      </c>
      <c r="S2826">
        <v>1573</v>
      </c>
      <c r="T2826">
        <v>0</v>
      </c>
      <c r="U2826">
        <v>805</v>
      </c>
      <c r="V2826" s="1">
        <f t="shared" si="132"/>
        <v>0.21279999999999999</v>
      </c>
      <c r="W2826" s="1">
        <f t="shared" si="133"/>
        <v>0</v>
      </c>
      <c r="X2826" s="1">
        <f t="shared" si="134"/>
        <v>0</v>
      </c>
    </row>
    <row r="2827" spans="1:24" x14ac:dyDescent="0.25">
      <c r="A2827">
        <v>2005</v>
      </c>
      <c r="B2827">
        <v>6</v>
      </c>
      <c r="C2827" t="s">
        <v>75</v>
      </c>
      <c r="D2827" t="str">
        <f>_xlfn.XLOOKUP(C2827,'Carrier Name Rename'!A:A,'Carrier Name Rename'!B:B)</f>
        <v>Independence Air</v>
      </c>
      <c r="E2827" t="s">
        <v>23</v>
      </c>
      <c r="F2827" t="s">
        <v>24</v>
      </c>
      <c r="G2827">
        <v>30</v>
      </c>
      <c r="H2827">
        <v>11</v>
      </c>
      <c r="I2827">
        <v>1.0900000000000001</v>
      </c>
      <c r="J2827">
        <v>0</v>
      </c>
      <c r="K2827">
        <v>5.98</v>
      </c>
      <c r="L2827">
        <v>0</v>
      </c>
      <c r="M2827">
        <v>3.93</v>
      </c>
      <c r="N2827">
        <v>0</v>
      </c>
      <c r="O2827">
        <v>0</v>
      </c>
      <c r="P2827">
        <v>905</v>
      </c>
      <c r="Q2827">
        <v>137</v>
      </c>
      <c r="R2827">
        <v>0</v>
      </c>
      <c r="S2827">
        <v>515</v>
      </c>
      <c r="T2827">
        <v>0</v>
      </c>
      <c r="U2827">
        <v>253</v>
      </c>
      <c r="V2827" s="1">
        <f t="shared" si="132"/>
        <v>0.36670000000000003</v>
      </c>
      <c r="W2827" s="1">
        <f t="shared" si="133"/>
        <v>0</v>
      </c>
      <c r="X2827" s="1">
        <f t="shared" si="134"/>
        <v>0</v>
      </c>
    </row>
    <row r="2828" spans="1:24" x14ac:dyDescent="0.25">
      <c r="A2828">
        <v>2005</v>
      </c>
      <c r="B2828">
        <v>6</v>
      </c>
      <c r="C2828" t="s">
        <v>37</v>
      </c>
      <c r="D2828" t="str">
        <f>_xlfn.XLOOKUP(C2828,'Carrier Name Rename'!A:A,'Carrier Name Rename'!B:B)</f>
        <v>Delta Air Lines Inc.</v>
      </c>
      <c r="E2828" t="s">
        <v>23</v>
      </c>
      <c r="F2828" t="s">
        <v>24</v>
      </c>
      <c r="G2828">
        <v>510</v>
      </c>
      <c r="H2828">
        <v>116</v>
      </c>
      <c r="I2828">
        <v>44.13</v>
      </c>
      <c r="J2828">
        <v>1</v>
      </c>
      <c r="K2828">
        <v>34.840000000000003</v>
      </c>
      <c r="L2828">
        <v>0.59</v>
      </c>
      <c r="M2828">
        <v>35.44</v>
      </c>
      <c r="N2828">
        <v>0</v>
      </c>
      <c r="O2828">
        <v>1</v>
      </c>
      <c r="P2828">
        <v>6125</v>
      </c>
      <c r="Q2828">
        <v>2373</v>
      </c>
      <c r="R2828">
        <v>46</v>
      </c>
      <c r="S2828">
        <v>1281</v>
      </c>
      <c r="T2828">
        <v>47</v>
      </c>
      <c r="U2828">
        <v>2378</v>
      </c>
      <c r="V2828" s="1">
        <f t="shared" si="132"/>
        <v>0.22750000000000001</v>
      </c>
      <c r="W2828" s="1">
        <f t="shared" si="133"/>
        <v>0</v>
      </c>
      <c r="X2828" s="1">
        <f t="shared" si="134"/>
        <v>2E-3</v>
      </c>
    </row>
    <row r="2829" spans="1:24" x14ac:dyDescent="0.25">
      <c r="A2829">
        <v>2005</v>
      </c>
      <c r="B2829">
        <v>6</v>
      </c>
      <c r="C2829" t="s">
        <v>77</v>
      </c>
      <c r="D2829" t="str">
        <f>_xlfn.XLOOKUP(C2829,'Carrier Name Rename'!A:A,'Carrier Name Rename'!B:B)</f>
        <v>Atlantic Southeast Airlines</v>
      </c>
      <c r="E2829" t="s">
        <v>23</v>
      </c>
      <c r="F2829" t="s">
        <v>24</v>
      </c>
      <c r="G2829">
        <v>30</v>
      </c>
      <c r="H2829">
        <v>5</v>
      </c>
      <c r="I2829">
        <v>2.39</v>
      </c>
      <c r="J2829">
        <v>1</v>
      </c>
      <c r="K2829">
        <v>1.61</v>
      </c>
      <c r="L2829">
        <v>0</v>
      </c>
      <c r="M2829">
        <v>0</v>
      </c>
      <c r="N2829">
        <v>0</v>
      </c>
      <c r="O2829">
        <v>0</v>
      </c>
      <c r="P2829">
        <v>117</v>
      </c>
      <c r="Q2829">
        <v>48</v>
      </c>
      <c r="R2829">
        <v>36</v>
      </c>
      <c r="S2829">
        <v>33</v>
      </c>
      <c r="T2829">
        <v>0</v>
      </c>
      <c r="U2829">
        <v>0</v>
      </c>
      <c r="V2829" s="1">
        <f t="shared" si="132"/>
        <v>0.16669999999999999</v>
      </c>
      <c r="W2829" s="1">
        <f t="shared" si="133"/>
        <v>0</v>
      </c>
      <c r="X2829" s="1">
        <f t="shared" si="134"/>
        <v>0</v>
      </c>
    </row>
    <row r="2830" spans="1:24" x14ac:dyDescent="0.25">
      <c r="A2830">
        <v>2005</v>
      </c>
      <c r="B2830">
        <v>6</v>
      </c>
      <c r="C2830" t="s">
        <v>39</v>
      </c>
      <c r="D2830" t="str">
        <f>_xlfn.XLOOKUP(C2830,'Carrier Name Rename'!A:A,'Carrier Name Rename'!B:B)</f>
        <v>Frontier Airlines Inc.</v>
      </c>
      <c r="E2830" t="s">
        <v>23</v>
      </c>
      <c r="F2830" t="s">
        <v>24</v>
      </c>
      <c r="G2830">
        <v>132</v>
      </c>
      <c r="H2830">
        <v>24</v>
      </c>
      <c r="I2830">
        <v>6.52</v>
      </c>
      <c r="J2830">
        <v>3.92</v>
      </c>
      <c r="K2830">
        <v>2.85</v>
      </c>
      <c r="L2830">
        <v>0</v>
      </c>
      <c r="M2830">
        <v>10.71</v>
      </c>
      <c r="N2830">
        <v>0</v>
      </c>
      <c r="O2830">
        <v>1</v>
      </c>
      <c r="P2830">
        <v>1304</v>
      </c>
      <c r="Q2830">
        <v>492</v>
      </c>
      <c r="R2830">
        <v>194</v>
      </c>
      <c r="S2830">
        <v>267</v>
      </c>
      <c r="T2830">
        <v>0</v>
      </c>
      <c r="U2830">
        <v>351</v>
      </c>
      <c r="V2830" s="1">
        <f t="shared" si="132"/>
        <v>0.18179999999999999</v>
      </c>
      <c r="W2830" s="1">
        <f t="shared" si="133"/>
        <v>0</v>
      </c>
      <c r="X2830" s="1">
        <f t="shared" si="134"/>
        <v>7.6E-3</v>
      </c>
    </row>
    <row r="2831" spans="1:24" x14ac:dyDescent="0.25">
      <c r="A2831">
        <v>2005</v>
      </c>
      <c r="B2831">
        <v>6</v>
      </c>
      <c r="C2831" t="s">
        <v>21</v>
      </c>
      <c r="D2831" t="str">
        <f>_xlfn.XLOOKUP(C2831,'Carrier Name Rename'!A:A,'Carrier Name Rename'!B:B)</f>
        <v>Hawaiian Airlines Inc.</v>
      </c>
      <c r="E2831" t="s">
        <v>23</v>
      </c>
      <c r="F2831" t="s">
        <v>24</v>
      </c>
      <c r="G2831">
        <v>60</v>
      </c>
      <c r="H2831">
        <v>15</v>
      </c>
      <c r="I2831">
        <v>13.82</v>
      </c>
      <c r="J2831">
        <v>0</v>
      </c>
      <c r="K2831">
        <v>0.75</v>
      </c>
      <c r="L2831">
        <v>0</v>
      </c>
      <c r="M2831">
        <v>0.43</v>
      </c>
      <c r="N2831">
        <v>0</v>
      </c>
      <c r="O2831">
        <v>0</v>
      </c>
      <c r="P2831">
        <v>594</v>
      </c>
      <c r="Q2831">
        <v>537</v>
      </c>
      <c r="R2831">
        <v>0</v>
      </c>
      <c r="S2831">
        <v>12</v>
      </c>
      <c r="T2831">
        <v>0</v>
      </c>
      <c r="U2831">
        <v>45</v>
      </c>
      <c r="V2831" s="1">
        <f t="shared" si="132"/>
        <v>0.25</v>
      </c>
      <c r="W2831" s="1">
        <f t="shared" si="133"/>
        <v>0</v>
      </c>
      <c r="X2831" s="1">
        <f t="shared" si="134"/>
        <v>0</v>
      </c>
    </row>
    <row r="2832" spans="1:24" x14ac:dyDescent="0.25">
      <c r="A2832">
        <v>2005</v>
      </c>
      <c r="B2832">
        <v>6</v>
      </c>
      <c r="C2832" t="s">
        <v>73</v>
      </c>
      <c r="D2832" t="str">
        <f>_xlfn.XLOOKUP(C2832,'Carrier Name Rename'!A:A,'Carrier Name Rename'!B:B)</f>
        <v>America West Airlines Inc.</v>
      </c>
      <c r="E2832" t="s">
        <v>23</v>
      </c>
      <c r="F2832" t="s">
        <v>24</v>
      </c>
      <c r="G2832">
        <v>300</v>
      </c>
      <c r="H2832">
        <v>52</v>
      </c>
      <c r="I2832">
        <v>21.88</v>
      </c>
      <c r="J2832">
        <v>0</v>
      </c>
      <c r="K2832">
        <v>18.59</v>
      </c>
      <c r="L2832">
        <v>0</v>
      </c>
      <c r="M2832">
        <v>11.53</v>
      </c>
      <c r="N2832">
        <v>1</v>
      </c>
      <c r="O2832">
        <v>0</v>
      </c>
      <c r="P2832">
        <v>1910</v>
      </c>
      <c r="Q2832">
        <v>910</v>
      </c>
      <c r="R2832">
        <v>0</v>
      </c>
      <c r="S2832">
        <v>415</v>
      </c>
      <c r="T2832">
        <v>0</v>
      </c>
      <c r="U2832">
        <v>585</v>
      </c>
      <c r="V2832" s="1">
        <f t="shared" si="132"/>
        <v>0.17330000000000001</v>
      </c>
      <c r="W2832" s="1">
        <f t="shared" si="133"/>
        <v>3.3E-3</v>
      </c>
      <c r="X2832" s="1">
        <f t="shared" si="134"/>
        <v>0</v>
      </c>
    </row>
    <row r="2833" spans="1:24" x14ac:dyDescent="0.25">
      <c r="A2833">
        <v>2005</v>
      </c>
      <c r="B2833">
        <v>6</v>
      </c>
      <c r="C2833" t="s">
        <v>67</v>
      </c>
      <c r="D2833" t="str">
        <f>_xlfn.XLOOKUP(C2833,'Carrier Name Rename'!A:A,'Carrier Name Rename'!B:B)</f>
        <v>Northwest Airlines Inc.</v>
      </c>
      <c r="E2833" t="s">
        <v>23</v>
      </c>
      <c r="F2833" t="s">
        <v>24</v>
      </c>
      <c r="G2833">
        <v>462</v>
      </c>
      <c r="H2833">
        <v>84</v>
      </c>
      <c r="I2833">
        <v>33.950000000000003</v>
      </c>
      <c r="J2833">
        <v>6.72</v>
      </c>
      <c r="K2833">
        <v>32.35</v>
      </c>
      <c r="L2833">
        <v>0</v>
      </c>
      <c r="M2833">
        <v>10.98</v>
      </c>
      <c r="N2833">
        <v>1</v>
      </c>
      <c r="O2833">
        <v>1</v>
      </c>
      <c r="P2833">
        <v>4073</v>
      </c>
      <c r="Q2833">
        <v>1858</v>
      </c>
      <c r="R2833">
        <v>455</v>
      </c>
      <c r="S2833">
        <v>1243</v>
      </c>
      <c r="T2833">
        <v>0</v>
      </c>
      <c r="U2833">
        <v>517</v>
      </c>
      <c r="V2833" s="1">
        <f t="shared" si="132"/>
        <v>0.18179999999999999</v>
      </c>
      <c r="W2833" s="1">
        <f t="shared" si="133"/>
        <v>2.2000000000000001E-3</v>
      </c>
      <c r="X2833" s="1">
        <f t="shared" si="134"/>
        <v>2.2000000000000001E-3</v>
      </c>
    </row>
    <row r="2834" spans="1:24" x14ac:dyDescent="0.25">
      <c r="A2834">
        <v>2005</v>
      </c>
      <c r="B2834">
        <v>6</v>
      </c>
      <c r="C2834" t="s">
        <v>27</v>
      </c>
      <c r="D2834" t="str">
        <f>_xlfn.XLOOKUP(C2834,'Carrier Name Rename'!A:A,'Carrier Name Rename'!B:B)</f>
        <v>SkyWest Airlines Inc.</v>
      </c>
      <c r="E2834" t="s">
        <v>23</v>
      </c>
      <c r="F2834" t="s">
        <v>24</v>
      </c>
      <c r="G2834">
        <v>473</v>
      </c>
      <c r="H2834">
        <v>65</v>
      </c>
      <c r="I2834">
        <v>44</v>
      </c>
      <c r="J2834">
        <v>4</v>
      </c>
      <c r="K2834">
        <v>11</v>
      </c>
      <c r="L2834">
        <v>0</v>
      </c>
      <c r="M2834">
        <v>6</v>
      </c>
      <c r="N2834">
        <v>3</v>
      </c>
      <c r="O2834">
        <v>0</v>
      </c>
      <c r="P2834">
        <v>2208</v>
      </c>
      <c r="Q2834">
        <v>1226</v>
      </c>
      <c r="R2834">
        <v>197</v>
      </c>
      <c r="S2834">
        <v>611</v>
      </c>
      <c r="T2834">
        <v>0</v>
      </c>
      <c r="U2834">
        <v>174</v>
      </c>
      <c r="V2834" s="1">
        <f t="shared" si="132"/>
        <v>0.13739999999999999</v>
      </c>
      <c r="W2834" s="1">
        <f t="shared" si="133"/>
        <v>6.3E-3</v>
      </c>
      <c r="X2834" s="1">
        <f t="shared" si="134"/>
        <v>0</v>
      </c>
    </row>
    <row r="2835" spans="1:24" x14ac:dyDescent="0.25">
      <c r="A2835">
        <v>2005</v>
      </c>
      <c r="B2835">
        <v>6</v>
      </c>
      <c r="C2835" t="s">
        <v>41</v>
      </c>
      <c r="D2835" t="str">
        <f>_xlfn.XLOOKUP(C2835,'Carrier Name Rename'!A:A,'Carrier Name Rename'!B:B)</f>
        <v>United Air Lines Inc.</v>
      </c>
      <c r="E2835" t="s">
        <v>23</v>
      </c>
      <c r="F2835" t="s">
        <v>24</v>
      </c>
      <c r="G2835">
        <v>1001</v>
      </c>
      <c r="H2835">
        <v>279</v>
      </c>
      <c r="I2835">
        <v>86.86</v>
      </c>
      <c r="J2835">
        <v>7.9</v>
      </c>
      <c r="K2835">
        <v>72.13</v>
      </c>
      <c r="L2835">
        <v>0</v>
      </c>
      <c r="M2835">
        <v>112.11</v>
      </c>
      <c r="N2835">
        <v>6</v>
      </c>
      <c r="O2835">
        <v>2</v>
      </c>
      <c r="P2835">
        <v>17275</v>
      </c>
      <c r="Q2835">
        <v>4413</v>
      </c>
      <c r="R2835">
        <v>816</v>
      </c>
      <c r="S2835">
        <v>3073</v>
      </c>
      <c r="T2835">
        <v>0</v>
      </c>
      <c r="U2835">
        <v>8973</v>
      </c>
      <c r="V2835" s="1">
        <f t="shared" si="132"/>
        <v>0.2787</v>
      </c>
      <c r="W2835" s="1">
        <f t="shared" si="133"/>
        <v>6.0000000000000001E-3</v>
      </c>
      <c r="X2835" s="1">
        <f t="shared" si="134"/>
        <v>2E-3</v>
      </c>
    </row>
    <row r="2836" spans="1:24" x14ac:dyDescent="0.25">
      <c r="A2836">
        <v>2005</v>
      </c>
      <c r="B2836">
        <v>6</v>
      </c>
      <c r="C2836" t="s">
        <v>61</v>
      </c>
      <c r="D2836" t="str">
        <f>_xlfn.XLOOKUP(C2836,'Carrier Name Rename'!A:A,'Carrier Name Rename'!B:B)</f>
        <v>US Airways Inc.</v>
      </c>
      <c r="E2836" t="s">
        <v>23</v>
      </c>
      <c r="F2836" t="s">
        <v>24</v>
      </c>
      <c r="G2836">
        <v>175</v>
      </c>
      <c r="H2836">
        <v>51</v>
      </c>
      <c r="I2836">
        <v>14.5</v>
      </c>
      <c r="J2836">
        <v>4.32</v>
      </c>
      <c r="K2836">
        <v>16.399999999999999</v>
      </c>
      <c r="L2836">
        <v>0</v>
      </c>
      <c r="M2836">
        <v>15.78</v>
      </c>
      <c r="N2836">
        <v>0</v>
      </c>
      <c r="O2836">
        <v>0</v>
      </c>
      <c r="P2836">
        <v>3272</v>
      </c>
      <c r="Q2836">
        <v>594</v>
      </c>
      <c r="R2836">
        <v>397</v>
      </c>
      <c r="S2836">
        <v>1097</v>
      </c>
      <c r="T2836">
        <v>0</v>
      </c>
      <c r="U2836">
        <v>1184</v>
      </c>
      <c r="V2836" s="1">
        <f t="shared" si="132"/>
        <v>0.29139999999999999</v>
      </c>
      <c r="W2836" s="1">
        <f t="shared" si="133"/>
        <v>0</v>
      </c>
      <c r="X2836" s="1">
        <f t="shared" si="134"/>
        <v>0</v>
      </c>
    </row>
    <row r="2837" spans="1:24" x14ac:dyDescent="0.25">
      <c r="A2837">
        <v>2005</v>
      </c>
      <c r="B2837">
        <v>6</v>
      </c>
      <c r="C2837" t="s">
        <v>43</v>
      </c>
      <c r="D2837" t="str">
        <f>_xlfn.XLOOKUP(C2837,'Carrier Name Rename'!A:A,'Carrier Name Rename'!B:B)</f>
        <v>Southwest Airlines Co.</v>
      </c>
      <c r="E2837" t="s">
        <v>23</v>
      </c>
      <c r="F2837" t="s">
        <v>24</v>
      </c>
      <c r="G2837">
        <v>1119</v>
      </c>
      <c r="H2837">
        <v>227</v>
      </c>
      <c r="I2837">
        <v>67.400000000000006</v>
      </c>
      <c r="J2837">
        <v>6.09</v>
      </c>
      <c r="K2837">
        <v>58.54</v>
      </c>
      <c r="L2837">
        <v>0.71</v>
      </c>
      <c r="M2837">
        <v>94.25</v>
      </c>
      <c r="N2837">
        <v>1</v>
      </c>
      <c r="O2837">
        <v>2</v>
      </c>
      <c r="P2837">
        <v>9603</v>
      </c>
      <c r="Q2837">
        <v>2998</v>
      </c>
      <c r="R2837">
        <v>464</v>
      </c>
      <c r="S2837">
        <v>2028</v>
      </c>
      <c r="T2837">
        <v>19</v>
      </c>
      <c r="U2837">
        <v>4094</v>
      </c>
      <c r="V2837" s="1">
        <f t="shared" si="132"/>
        <v>0.2029</v>
      </c>
      <c r="W2837" s="1">
        <f t="shared" si="133"/>
        <v>8.9999999999999998E-4</v>
      </c>
      <c r="X2837" s="1">
        <f t="shared" si="134"/>
        <v>1.8E-3</v>
      </c>
    </row>
    <row r="2838" spans="1:24" x14ac:dyDescent="0.25">
      <c r="A2838">
        <v>2005</v>
      </c>
      <c r="B2838">
        <v>5</v>
      </c>
      <c r="C2838" t="s">
        <v>31</v>
      </c>
      <c r="D2838" t="str">
        <f>_xlfn.XLOOKUP(C2838,'Carrier Name Rename'!A:A,'Carrier Name Rename'!B:B)</f>
        <v>American Airlines Inc.</v>
      </c>
      <c r="E2838" t="s">
        <v>23</v>
      </c>
      <c r="F2838" t="s">
        <v>24</v>
      </c>
      <c r="G2838">
        <v>515</v>
      </c>
      <c r="H2838">
        <v>89</v>
      </c>
      <c r="I2838">
        <v>22.1</v>
      </c>
      <c r="J2838">
        <v>6.53</v>
      </c>
      <c r="K2838">
        <v>38.06</v>
      </c>
      <c r="L2838">
        <v>0</v>
      </c>
      <c r="M2838">
        <v>22.31</v>
      </c>
      <c r="N2838">
        <v>0</v>
      </c>
      <c r="O2838">
        <v>3</v>
      </c>
      <c r="P2838">
        <v>3545</v>
      </c>
      <c r="Q2838">
        <v>834</v>
      </c>
      <c r="R2838">
        <v>328</v>
      </c>
      <c r="S2838">
        <v>1082</v>
      </c>
      <c r="T2838">
        <v>0</v>
      </c>
      <c r="U2838">
        <v>1301</v>
      </c>
      <c r="V2838" s="1">
        <f t="shared" si="132"/>
        <v>0.17280000000000001</v>
      </c>
      <c r="W2838" s="1">
        <f t="shared" si="133"/>
        <v>0</v>
      </c>
      <c r="X2838" s="1">
        <f t="shared" si="134"/>
        <v>5.7999999999999996E-3</v>
      </c>
    </row>
    <row r="2839" spans="1:24" x14ac:dyDescent="0.25">
      <c r="A2839">
        <v>2005</v>
      </c>
      <c r="B2839">
        <v>5</v>
      </c>
      <c r="C2839" t="s">
        <v>33</v>
      </c>
      <c r="D2839" t="str">
        <f>_xlfn.XLOOKUP(C2839,'Carrier Name Rename'!A:A,'Carrier Name Rename'!B:B)</f>
        <v>Alaska Airlines Inc.</v>
      </c>
      <c r="E2839" t="s">
        <v>23</v>
      </c>
      <c r="F2839" t="s">
        <v>24</v>
      </c>
      <c r="G2839">
        <v>3839</v>
      </c>
      <c r="H2839">
        <v>1558</v>
      </c>
      <c r="I2839">
        <v>466.87</v>
      </c>
      <c r="J2839">
        <v>6.99</v>
      </c>
      <c r="K2839">
        <v>299.93</v>
      </c>
      <c r="L2839">
        <v>5.69</v>
      </c>
      <c r="M2839">
        <v>778.53</v>
      </c>
      <c r="N2839">
        <v>89</v>
      </c>
      <c r="O2839">
        <v>6</v>
      </c>
      <c r="P2839">
        <v>93546</v>
      </c>
      <c r="Q2839">
        <v>31260</v>
      </c>
      <c r="R2839">
        <v>299</v>
      </c>
      <c r="S2839">
        <v>10270</v>
      </c>
      <c r="T2839">
        <v>166</v>
      </c>
      <c r="U2839">
        <v>51551</v>
      </c>
      <c r="V2839" s="1">
        <f t="shared" si="132"/>
        <v>0.40579999999999999</v>
      </c>
      <c r="W2839" s="1">
        <f t="shared" si="133"/>
        <v>2.3199999999999998E-2</v>
      </c>
      <c r="X2839" s="1">
        <f t="shared" si="134"/>
        <v>1.6000000000000001E-3</v>
      </c>
    </row>
    <row r="2840" spans="1:24" x14ac:dyDescent="0.25">
      <c r="A2840">
        <v>2005</v>
      </c>
      <c r="B2840">
        <v>5</v>
      </c>
      <c r="C2840" t="s">
        <v>35</v>
      </c>
      <c r="D2840" t="str">
        <f>_xlfn.XLOOKUP(C2840,'Carrier Name Rename'!A:A,'Carrier Name Rename'!B:B)</f>
        <v>JetBlue Airways</v>
      </c>
      <c r="E2840" t="s">
        <v>23</v>
      </c>
      <c r="F2840" t="s">
        <v>24</v>
      </c>
      <c r="G2840">
        <v>31</v>
      </c>
      <c r="H2840">
        <v>9</v>
      </c>
      <c r="I2840">
        <v>2.16</v>
      </c>
      <c r="J2840">
        <v>0</v>
      </c>
      <c r="K2840">
        <v>5.52</v>
      </c>
      <c r="L2840">
        <v>0</v>
      </c>
      <c r="M2840">
        <v>1.32</v>
      </c>
      <c r="N2840">
        <v>0</v>
      </c>
      <c r="O2840">
        <v>0</v>
      </c>
      <c r="P2840">
        <v>327</v>
      </c>
      <c r="Q2840">
        <v>89</v>
      </c>
      <c r="R2840">
        <v>0</v>
      </c>
      <c r="S2840">
        <v>198</v>
      </c>
      <c r="T2840">
        <v>0</v>
      </c>
      <c r="U2840">
        <v>40</v>
      </c>
      <c r="V2840" s="1">
        <f t="shared" si="132"/>
        <v>0.2903</v>
      </c>
      <c r="W2840" s="1">
        <f t="shared" si="133"/>
        <v>0</v>
      </c>
      <c r="X2840" s="1">
        <f t="shared" si="134"/>
        <v>0</v>
      </c>
    </row>
    <row r="2841" spans="1:24" x14ac:dyDescent="0.25">
      <c r="A2841">
        <v>2005</v>
      </c>
      <c r="B2841">
        <v>5</v>
      </c>
      <c r="C2841" t="s">
        <v>65</v>
      </c>
      <c r="D2841" t="str">
        <f>_xlfn.XLOOKUP(C2841,'Carrier Name Rename'!A:A,'Carrier Name Rename'!B:B)</f>
        <v>Continental Air Lines Inc.</v>
      </c>
      <c r="E2841" t="s">
        <v>23</v>
      </c>
      <c r="F2841" t="s">
        <v>24</v>
      </c>
      <c r="G2841">
        <v>348</v>
      </c>
      <c r="H2841">
        <v>75</v>
      </c>
      <c r="I2841">
        <v>16.82</v>
      </c>
      <c r="J2841">
        <v>3.03</v>
      </c>
      <c r="K2841">
        <v>43.42</v>
      </c>
      <c r="L2841">
        <v>0.56999999999999995</v>
      </c>
      <c r="M2841">
        <v>11.17</v>
      </c>
      <c r="N2841">
        <v>2</v>
      </c>
      <c r="O2841">
        <v>2</v>
      </c>
      <c r="P2841">
        <v>2567</v>
      </c>
      <c r="Q2841">
        <v>549</v>
      </c>
      <c r="R2841">
        <v>261</v>
      </c>
      <c r="S2841">
        <v>1139</v>
      </c>
      <c r="T2841">
        <v>12</v>
      </c>
      <c r="U2841">
        <v>606</v>
      </c>
      <c r="V2841" s="1">
        <f t="shared" si="132"/>
        <v>0.2155</v>
      </c>
      <c r="W2841" s="1">
        <f t="shared" si="133"/>
        <v>5.7000000000000002E-3</v>
      </c>
      <c r="X2841" s="1">
        <f t="shared" si="134"/>
        <v>5.7000000000000002E-3</v>
      </c>
    </row>
    <row r="2842" spans="1:24" x14ac:dyDescent="0.25">
      <c r="A2842">
        <v>2005</v>
      </c>
      <c r="B2842">
        <v>5</v>
      </c>
      <c r="C2842" t="s">
        <v>75</v>
      </c>
      <c r="D2842" t="str">
        <f>_xlfn.XLOOKUP(C2842,'Carrier Name Rename'!A:A,'Carrier Name Rename'!B:B)</f>
        <v>Independence Air</v>
      </c>
      <c r="E2842" t="s">
        <v>23</v>
      </c>
      <c r="F2842" t="s">
        <v>24</v>
      </c>
      <c r="G2842">
        <v>31</v>
      </c>
      <c r="H2842">
        <v>16</v>
      </c>
      <c r="I2842">
        <v>5.69</v>
      </c>
      <c r="J2842">
        <v>0.79</v>
      </c>
      <c r="K2842">
        <v>4.71</v>
      </c>
      <c r="L2842">
        <v>0.81</v>
      </c>
      <c r="M2842">
        <v>4</v>
      </c>
      <c r="N2842">
        <v>0</v>
      </c>
      <c r="O2842">
        <v>0</v>
      </c>
      <c r="P2842">
        <v>738</v>
      </c>
      <c r="Q2842">
        <v>213</v>
      </c>
      <c r="R2842">
        <v>82</v>
      </c>
      <c r="S2842">
        <v>185</v>
      </c>
      <c r="T2842">
        <v>25</v>
      </c>
      <c r="U2842">
        <v>233</v>
      </c>
      <c r="V2842" s="1">
        <f t="shared" si="132"/>
        <v>0.5161</v>
      </c>
      <c r="W2842" s="1">
        <f t="shared" si="133"/>
        <v>0</v>
      </c>
      <c r="X2842" s="1">
        <f t="shared" si="134"/>
        <v>0</v>
      </c>
    </row>
    <row r="2843" spans="1:24" x14ac:dyDescent="0.25">
      <c r="A2843">
        <v>2005</v>
      </c>
      <c r="B2843">
        <v>5</v>
      </c>
      <c r="C2843" t="s">
        <v>37</v>
      </c>
      <c r="D2843" t="str">
        <f>_xlfn.XLOOKUP(C2843,'Carrier Name Rename'!A:A,'Carrier Name Rename'!B:B)</f>
        <v>Delta Air Lines Inc.</v>
      </c>
      <c r="E2843" t="s">
        <v>23</v>
      </c>
      <c r="F2843" t="s">
        <v>24</v>
      </c>
      <c r="G2843">
        <v>487</v>
      </c>
      <c r="H2843">
        <v>79</v>
      </c>
      <c r="I2843">
        <v>28.91</v>
      </c>
      <c r="J2843">
        <v>0.26</v>
      </c>
      <c r="K2843">
        <v>37.36</v>
      </c>
      <c r="L2843">
        <v>0</v>
      </c>
      <c r="M2843">
        <v>12.47</v>
      </c>
      <c r="N2843">
        <v>0</v>
      </c>
      <c r="O2843">
        <v>0</v>
      </c>
      <c r="P2843">
        <v>3230</v>
      </c>
      <c r="Q2843">
        <v>1359</v>
      </c>
      <c r="R2843">
        <v>15</v>
      </c>
      <c r="S2843">
        <v>1113</v>
      </c>
      <c r="T2843">
        <v>0</v>
      </c>
      <c r="U2843">
        <v>743</v>
      </c>
      <c r="V2843" s="1">
        <f t="shared" si="132"/>
        <v>0.16220000000000001</v>
      </c>
      <c r="W2843" s="1">
        <f t="shared" si="133"/>
        <v>0</v>
      </c>
      <c r="X2843" s="1">
        <f t="shared" si="134"/>
        <v>0</v>
      </c>
    </row>
    <row r="2844" spans="1:24" x14ac:dyDescent="0.25">
      <c r="A2844">
        <v>2005</v>
      </c>
      <c r="B2844">
        <v>5</v>
      </c>
      <c r="C2844" t="s">
        <v>77</v>
      </c>
      <c r="D2844" t="str">
        <f>_xlfn.XLOOKUP(C2844,'Carrier Name Rename'!A:A,'Carrier Name Rename'!B:B)</f>
        <v>Atlantic Southeast Airlines</v>
      </c>
      <c r="E2844" t="s">
        <v>23</v>
      </c>
      <c r="F2844" t="s">
        <v>24</v>
      </c>
      <c r="G2844">
        <v>31</v>
      </c>
      <c r="H2844">
        <v>9</v>
      </c>
      <c r="I2844">
        <v>4.53</v>
      </c>
      <c r="J2844">
        <v>0</v>
      </c>
      <c r="K2844">
        <v>3.47</v>
      </c>
      <c r="L2844">
        <v>0</v>
      </c>
      <c r="M2844">
        <v>1</v>
      </c>
      <c r="N2844">
        <v>0</v>
      </c>
      <c r="O2844">
        <v>0</v>
      </c>
      <c r="P2844">
        <v>370</v>
      </c>
      <c r="Q2844">
        <v>252</v>
      </c>
      <c r="R2844">
        <v>0</v>
      </c>
      <c r="S2844">
        <v>73</v>
      </c>
      <c r="T2844">
        <v>0</v>
      </c>
      <c r="U2844">
        <v>45</v>
      </c>
      <c r="V2844" s="1">
        <f t="shared" si="132"/>
        <v>0.2903</v>
      </c>
      <c r="W2844" s="1">
        <f t="shared" si="133"/>
        <v>0</v>
      </c>
      <c r="X2844" s="1">
        <f t="shared" si="134"/>
        <v>0</v>
      </c>
    </row>
    <row r="2845" spans="1:24" x14ac:dyDescent="0.25">
      <c r="A2845">
        <v>2005</v>
      </c>
      <c r="B2845">
        <v>5</v>
      </c>
      <c r="C2845" t="s">
        <v>39</v>
      </c>
      <c r="D2845" t="str">
        <f>_xlfn.XLOOKUP(C2845,'Carrier Name Rename'!A:A,'Carrier Name Rename'!B:B)</f>
        <v>Frontier Airlines Inc.</v>
      </c>
      <c r="E2845" t="s">
        <v>23</v>
      </c>
      <c r="F2845" t="s">
        <v>24</v>
      </c>
      <c r="G2845">
        <v>122</v>
      </c>
      <c r="H2845">
        <v>32</v>
      </c>
      <c r="I2845">
        <v>15.13</v>
      </c>
      <c r="J2845">
        <v>0.82</v>
      </c>
      <c r="K2845">
        <v>7.34</v>
      </c>
      <c r="L2845">
        <v>0</v>
      </c>
      <c r="M2845">
        <v>8.7100000000000009</v>
      </c>
      <c r="N2845">
        <v>0</v>
      </c>
      <c r="O2845">
        <v>0</v>
      </c>
      <c r="P2845">
        <v>1222</v>
      </c>
      <c r="Q2845">
        <v>547</v>
      </c>
      <c r="R2845">
        <v>56</v>
      </c>
      <c r="S2845">
        <v>257</v>
      </c>
      <c r="T2845">
        <v>0</v>
      </c>
      <c r="U2845">
        <v>362</v>
      </c>
      <c r="V2845" s="1">
        <f t="shared" si="132"/>
        <v>0.26229999999999998</v>
      </c>
      <c r="W2845" s="1">
        <f t="shared" si="133"/>
        <v>0</v>
      </c>
      <c r="X2845" s="1">
        <f t="shared" si="134"/>
        <v>0</v>
      </c>
    </row>
    <row r="2846" spans="1:24" x14ac:dyDescent="0.25">
      <c r="A2846">
        <v>2005</v>
      </c>
      <c r="B2846">
        <v>5</v>
      </c>
      <c r="C2846" t="s">
        <v>21</v>
      </c>
      <c r="D2846" t="str">
        <f>_xlfn.XLOOKUP(C2846,'Carrier Name Rename'!A:A,'Carrier Name Rename'!B:B)</f>
        <v>Hawaiian Airlines Inc.</v>
      </c>
      <c r="E2846" t="s">
        <v>23</v>
      </c>
      <c r="F2846" t="s">
        <v>24</v>
      </c>
      <c r="G2846">
        <v>62</v>
      </c>
      <c r="H2846">
        <v>9</v>
      </c>
      <c r="I2846">
        <v>8</v>
      </c>
      <c r="J2846">
        <v>0</v>
      </c>
      <c r="K2846">
        <v>0</v>
      </c>
      <c r="L2846">
        <v>0</v>
      </c>
      <c r="M2846">
        <v>1</v>
      </c>
      <c r="N2846">
        <v>0</v>
      </c>
      <c r="O2846">
        <v>0</v>
      </c>
      <c r="P2846">
        <v>324</v>
      </c>
      <c r="Q2846">
        <v>299</v>
      </c>
      <c r="R2846">
        <v>0</v>
      </c>
      <c r="S2846">
        <v>0</v>
      </c>
      <c r="T2846">
        <v>0</v>
      </c>
      <c r="U2846">
        <v>25</v>
      </c>
      <c r="V2846" s="1">
        <f t="shared" si="132"/>
        <v>0.1452</v>
      </c>
      <c r="W2846" s="1">
        <f t="shared" si="133"/>
        <v>0</v>
      </c>
      <c r="X2846" s="1">
        <f t="shared" si="134"/>
        <v>0</v>
      </c>
    </row>
    <row r="2847" spans="1:24" x14ac:dyDescent="0.25">
      <c r="A2847">
        <v>2005</v>
      </c>
      <c r="B2847">
        <v>5</v>
      </c>
      <c r="C2847" t="s">
        <v>73</v>
      </c>
      <c r="D2847" t="str">
        <f>_xlfn.XLOOKUP(C2847,'Carrier Name Rename'!A:A,'Carrier Name Rename'!B:B)</f>
        <v>America West Airlines Inc.</v>
      </c>
      <c r="E2847" t="s">
        <v>23</v>
      </c>
      <c r="F2847" t="s">
        <v>24</v>
      </c>
      <c r="G2847">
        <v>311</v>
      </c>
      <c r="H2847">
        <v>43</v>
      </c>
      <c r="I2847">
        <v>21.4</v>
      </c>
      <c r="J2847">
        <v>0</v>
      </c>
      <c r="K2847">
        <v>11.19</v>
      </c>
      <c r="L2847">
        <v>0</v>
      </c>
      <c r="M2847">
        <v>10.4</v>
      </c>
      <c r="N2847">
        <v>1</v>
      </c>
      <c r="O2847">
        <v>0</v>
      </c>
      <c r="P2847">
        <v>2148</v>
      </c>
      <c r="Q2847">
        <v>1378</v>
      </c>
      <c r="R2847">
        <v>0</v>
      </c>
      <c r="S2847">
        <v>247</v>
      </c>
      <c r="T2847">
        <v>0</v>
      </c>
      <c r="U2847">
        <v>523</v>
      </c>
      <c r="V2847" s="1">
        <f t="shared" si="132"/>
        <v>0.13830000000000001</v>
      </c>
      <c r="W2847" s="1">
        <f t="shared" si="133"/>
        <v>3.2000000000000002E-3</v>
      </c>
      <c r="X2847" s="1">
        <f t="shared" si="134"/>
        <v>0</v>
      </c>
    </row>
    <row r="2848" spans="1:24" x14ac:dyDescent="0.25">
      <c r="A2848">
        <v>2005</v>
      </c>
      <c r="B2848">
        <v>5</v>
      </c>
      <c r="C2848" t="s">
        <v>67</v>
      </c>
      <c r="D2848" t="str">
        <f>_xlfn.XLOOKUP(C2848,'Carrier Name Rename'!A:A,'Carrier Name Rename'!B:B)</f>
        <v>Northwest Airlines Inc.</v>
      </c>
      <c r="E2848" t="s">
        <v>23</v>
      </c>
      <c r="F2848" t="s">
        <v>24</v>
      </c>
      <c r="G2848">
        <v>341</v>
      </c>
      <c r="H2848">
        <v>64</v>
      </c>
      <c r="I2848">
        <v>22.49</v>
      </c>
      <c r="J2848">
        <v>0.42</v>
      </c>
      <c r="K2848">
        <v>36.56</v>
      </c>
      <c r="L2848">
        <v>0</v>
      </c>
      <c r="M2848">
        <v>4.53</v>
      </c>
      <c r="N2848">
        <v>0</v>
      </c>
      <c r="O2848">
        <v>1</v>
      </c>
      <c r="P2848">
        <v>2286</v>
      </c>
      <c r="Q2848">
        <v>979</v>
      </c>
      <c r="R2848">
        <v>43</v>
      </c>
      <c r="S2848">
        <v>987</v>
      </c>
      <c r="T2848">
        <v>0</v>
      </c>
      <c r="U2848">
        <v>277</v>
      </c>
      <c r="V2848" s="1">
        <f t="shared" si="132"/>
        <v>0.18770000000000001</v>
      </c>
      <c r="W2848" s="1">
        <f t="shared" si="133"/>
        <v>0</v>
      </c>
      <c r="X2848" s="1">
        <f t="shared" si="134"/>
        <v>2.8999999999999998E-3</v>
      </c>
    </row>
    <row r="2849" spans="1:24" x14ac:dyDescent="0.25">
      <c r="A2849">
        <v>2005</v>
      </c>
      <c r="B2849">
        <v>5</v>
      </c>
      <c r="C2849" t="s">
        <v>27</v>
      </c>
      <c r="D2849" t="str">
        <f>_xlfn.XLOOKUP(C2849,'Carrier Name Rename'!A:A,'Carrier Name Rename'!B:B)</f>
        <v>SkyWest Airlines Inc.</v>
      </c>
      <c r="E2849" t="s">
        <v>23</v>
      </c>
      <c r="F2849" t="s">
        <v>24</v>
      </c>
      <c r="G2849">
        <v>487</v>
      </c>
      <c r="H2849">
        <v>45</v>
      </c>
      <c r="I2849">
        <v>34</v>
      </c>
      <c r="J2849">
        <v>0</v>
      </c>
      <c r="K2849">
        <v>3</v>
      </c>
      <c r="L2849">
        <v>0</v>
      </c>
      <c r="M2849">
        <v>8</v>
      </c>
      <c r="N2849">
        <v>3</v>
      </c>
      <c r="O2849">
        <v>0</v>
      </c>
      <c r="P2849">
        <v>1696</v>
      </c>
      <c r="Q2849">
        <v>1273</v>
      </c>
      <c r="R2849">
        <v>0</v>
      </c>
      <c r="S2849">
        <v>101</v>
      </c>
      <c r="T2849">
        <v>0</v>
      </c>
      <c r="U2849">
        <v>322</v>
      </c>
      <c r="V2849" s="1">
        <f t="shared" si="132"/>
        <v>9.2399999999999996E-2</v>
      </c>
      <c r="W2849" s="1">
        <f t="shared" si="133"/>
        <v>6.1999999999999998E-3</v>
      </c>
      <c r="X2849" s="1">
        <f t="shared" si="134"/>
        <v>0</v>
      </c>
    </row>
    <row r="2850" spans="1:24" x14ac:dyDescent="0.25">
      <c r="A2850">
        <v>2005</v>
      </c>
      <c r="B2850">
        <v>5</v>
      </c>
      <c r="C2850" t="s">
        <v>41</v>
      </c>
      <c r="D2850" t="str">
        <f>_xlfn.XLOOKUP(C2850,'Carrier Name Rename'!A:A,'Carrier Name Rename'!B:B)</f>
        <v>United Air Lines Inc.</v>
      </c>
      <c r="E2850" t="s">
        <v>23</v>
      </c>
      <c r="F2850" t="s">
        <v>24</v>
      </c>
      <c r="G2850">
        <v>850</v>
      </c>
      <c r="H2850">
        <v>161</v>
      </c>
      <c r="I2850">
        <v>47.85</v>
      </c>
      <c r="J2850">
        <v>1.94</v>
      </c>
      <c r="K2850">
        <v>55.49</v>
      </c>
      <c r="L2850">
        <v>0</v>
      </c>
      <c r="M2850">
        <v>55.72</v>
      </c>
      <c r="N2850">
        <v>4</v>
      </c>
      <c r="O2850">
        <v>0</v>
      </c>
      <c r="P2850">
        <v>8123</v>
      </c>
      <c r="Q2850">
        <v>1902</v>
      </c>
      <c r="R2850">
        <v>220</v>
      </c>
      <c r="S2850">
        <v>1968</v>
      </c>
      <c r="T2850">
        <v>0</v>
      </c>
      <c r="U2850">
        <v>4033</v>
      </c>
      <c r="V2850" s="1">
        <f t="shared" si="132"/>
        <v>0.18940000000000001</v>
      </c>
      <c r="W2850" s="1">
        <f t="shared" si="133"/>
        <v>4.7000000000000002E-3</v>
      </c>
      <c r="X2850" s="1">
        <f t="shared" si="134"/>
        <v>0</v>
      </c>
    </row>
    <row r="2851" spans="1:24" x14ac:dyDescent="0.25">
      <c r="A2851">
        <v>2005</v>
      </c>
      <c r="B2851">
        <v>5</v>
      </c>
      <c r="C2851" t="s">
        <v>61</v>
      </c>
      <c r="D2851" t="str">
        <f>_xlfn.XLOOKUP(C2851,'Carrier Name Rename'!A:A,'Carrier Name Rename'!B:B)</f>
        <v>US Airways Inc.</v>
      </c>
      <c r="E2851" t="s">
        <v>23</v>
      </c>
      <c r="F2851" t="s">
        <v>24</v>
      </c>
      <c r="G2851">
        <v>166</v>
      </c>
      <c r="H2851">
        <v>53</v>
      </c>
      <c r="I2851">
        <v>20.59</v>
      </c>
      <c r="J2851">
        <v>2</v>
      </c>
      <c r="K2851">
        <v>21.78</v>
      </c>
      <c r="L2851">
        <v>0</v>
      </c>
      <c r="M2851">
        <v>8.6300000000000008</v>
      </c>
      <c r="N2851">
        <v>0</v>
      </c>
      <c r="O2851">
        <v>0</v>
      </c>
      <c r="P2851">
        <v>2037</v>
      </c>
      <c r="Q2851">
        <v>697</v>
      </c>
      <c r="R2851">
        <v>32</v>
      </c>
      <c r="S2851">
        <v>732</v>
      </c>
      <c r="T2851">
        <v>0</v>
      </c>
      <c r="U2851">
        <v>576</v>
      </c>
      <c r="V2851" s="1">
        <f t="shared" si="132"/>
        <v>0.31929999999999997</v>
      </c>
      <c r="W2851" s="1">
        <f t="shared" si="133"/>
        <v>0</v>
      </c>
      <c r="X2851" s="1">
        <f t="shared" si="134"/>
        <v>0</v>
      </c>
    </row>
    <row r="2852" spans="1:24" x14ac:dyDescent="0.25">
      <c r="A2852">
        <v>2005</v>
      </c>
      <c r="B2852">
        <v>5</v>
      </c>
      <c r="C2852" t="s">
        <v>43</v>
      </c>
      <c r="D2852" t="str">
        <f>_xlfn.XLOOKUP(C2852,'Carrier Name Rename'!A:A,'Carrier Name Rename'!B:B)</f>
        <v>Southwest Airlines Co.</v>
      </c>
      <c r="E2852" t="s">
        <v>23</v>
      </c>
      <c r="F2852" t="s">
        <v>24</v>
      </c>
      <c r="G2852">
        <v>1144</v>
      </c>
      <c r="H2852">
        <v>141</v>
      </c>
      <c r="I2852">
        <v>39.36</v>
      </c>
      <c r="J2852">
        <v>2.0099999999999998</v>
      </c>
      <c r="K2852">
        <v>25.12</v>
      </c>
      <c r="L2852">
        <v>0</v>
      </c>
      <c r="M2852">
        <v>74.510000000000005</v>
      </c>
      <c r="N2852">
        <v>1</v>
      </c>
      <c r="O2852">
        <v>0</v>
      </c>
      <c r="P2852">
        <v>5382</v>
      </c>
      <c r="Q2852">
        <v>1503</v>
      </c>
      <c r="R2852">
        <v>139</v>
      </c>
      <c r="S2852">
        <v>606</v>
      </c>
      <c r="T2852">
        <v>0</v>
      </c>
      <c r="U2852">
        <v>3134</v>
      </c>
      <c r="V2852" s="1">
        <f t="shared" si="132"/>
        <v>0.12330000000000001</v>
      </c>
      <c r="W2852" s="1">
        <f t="shared" si="133"/>
        <v>8.9999999999999998E-4</v>
      </c>
      <c r="X2852" s="1">
        <f t="shared" si="134"/>
        <v>0</v>
      </c>
    </row>
    <row r="2853" spans="1:24" x14ac:dyDescent="0.25">
      <c r="A2853">
        <v>2005</v>
      </c>
      <c r="B2853">
        <v>4</v>
      </c>
      <c r="C2853" t="s">
        <v>31</v>
      </c>
      <c r="D2853" t="str">
        <f>_xlfn.XLOOKUP(C2853,'Carrier Name Rename'!A:A,'Carrier Name Rename'!B:B)</f>
        <v>American Airlines Inc.</v>
      </c>
      <c r="E2853" t="s">
        <v>23</v>
      </c>
      <c r="F2853" t="s">
        <v>24</v>
      </c>
      <c r="G2853">
        <v>488</v>
      </c>
      <c r="H2853">
        <v>61</v>
      </c>
      <c r="I2853">
        <v>18.93</v>
      </c>
      <c r="J2853">
        <v>7.41</v>
      </c>
      <c r="K2853">
        <v>15.75</v>
      </c>
      <c r="L2853">
        <v>0</v>
      </c>
      <c r="M2853">
        <v>18.91</v>
      </c>
      <c r="N2853">
        <v>0</v>
      </c>
      <c r="O2853">
        <v>0</v>
      </c>
      <c r="P2853">
        <v>2450</v>
      </c>
      <c r="Q2853">
        <v>733</v>
      </c>
      <c r="R2853">
        <v>393</v>
      </c>
      <c r="S2853">
        <v>406</v>
      </c>
      <c r="T2853">
        <v>0</v>
      </c>
      <c r="U2853">
        <v>918</v>
      </c>
      <c r="V2853" s="1">
        <f t="shared" si="132"/>
        <v>0.125</v>
      </c>
      <c r="W2853" s="1">
        <f t="shared" si="133"/>
        <v>0</v>
      </c>
      <c r="X2853" s="1">
        <f t="shared" si="134"/>
        <v>0</v>
      </c>
    </row>
    <row r="2854" spans="1:24" x14ac:dyDescent="0.25">
      <c r="A2854">
        <v>2005</v>
      </c>
      <c r="B2854">
        <v>4</v>
      </c>
      <c r="C2854" t="s">
        <v>33</v>
      </c>
      <c r="D2854" t="str">
        <f>_xlfn.XLOOKUP(C2854,'Carrier Name Rename'!A:A,'Carrier Name Rename'!B:B)</f>
        <v>Alaska Airlines Inc.</v>
      </c>
      <c r="E2854" t="s">
        <v>23</v>
      </c>
      <c r="F2854" t="s">
        <v>24</v>
      </c>
      <c r="G2854">
        <v>3860</v>
      </c>
      <c r="H2854">
        <v>782</v>
      </c>
      <c r="I2854">
        <v>211.35</v>
      </c>
      <c r="J2854">
        <v>8.11</v>
      </c>
      <c r="K2854">
        <v>149.99</v>
      </c>
      <c r="L2854">
        <v>4.59</v>
      </c>
      <c r="M2854">
        <v>407.97</v>
      </c>
      <c r="N2854">
        <v>85</v>
      </c>
      <c r="O2854">
        <v>8</v>
      </c>
      <c r="P2854">
        <v>45809</v>
      </c>
      <c r="Q2854">
        <v>12411</v>
      </c>
      <c r="R2854">
        <v>474</v>
      </c>
      <c r="S2854">
        <v>4284</v>
      </c>
      <c r="T2854">
        <v>114</v>
      </c>
      <c r="U2854">
        <v>28526</v>
      </c>
      <c r="V2854" s="1">
        <f t="shared" si="132"/>
        <v>0.2026</v>
      </c>
      <c r="W2854" s="1">
        <f t="shared" si="133"/>
        <v>2.1999999999999999E-2</v>
      </c>
      <c r="X2854" s="1">
        <f t="shared" si="134"/>
        <v>2.0999999999999999E-3</v>
      </c>
    </row>
    <row r="2855" spans="1:24" x14ac:dyDescent="0.25">
      <c r="A2855">
        <v>2005</v>
      </c>
      <c r="B2855">
        <v>4</v>
      </c>
      <c r="C2855" t="s">
        <v>35</v>
      </c>
      <c r="D2855" t="str">
        <f>_xlfn.XLOOKUP(C2855,'Carrier Name Rename'!A:A,'Carrier Name Rename'!B:B)</f>
        <v>JetBlue Airways</v>
      </c>
      <c r="E2855" t="s">
        <v>23</v>
      </c>
      <c r="F2855" t="s">
        <v>24</v>
      </c>
      <c r="G2855">
        <v>30</v>
      </c>
      <c r="H2855">
        <v>5</v>
      </c>
      <c r="I2855">
        <v>0.43</v>
      </c>
      <c r="J2855">
        <v>0</v>
      </c>
      <c r="K2855">
        <v>1.96</v>
      </c>
      <c r="L2855">
        <v>0</v>
      </c>
      <c r="M2855">
        <v>2.61</v>
      </c>
      <c r="N2855">
        <v>1</v>
      </c>
      <c r="O2855">
        <v>0</v>
      </c>
      <c r="P2855">
        <v>149</v>
      </c>
      <c r="Q2855">
        <v>16</v>
      </c>
      <c r="R2855">
        <v>0</v>
      </c>
      <c r="S2855">
        <v>59</v>
      </c>
      <c r="T2855">
        <v>0</v>
      </c>
      <c r="U2855">
        <v>74</v>
      </c>
      <c r="V2855" s="1">
        <f t="shared" si="132"/>
        <v>0.16669999999999999</v>
      </c>
      <c r="W2855" s="1">
        <f t="shared" si="133"/>
        <v>3.3300000000000003E-2</v>
      </c>
      <c r="X2855" s="1">
        <f t="shared" si="134"/>
        <v>0</v>
      </c>
    </row>
    <row r="2856" spans="1:24" x14ac:dyDescent="0.25">
      <c r="A2856">
        <v>2005</v>
      </c>
      <c r="B2856">
        <v>4</v>
      </c>
      <c r="C2856" t="s">
        <v>65</v>
      </c>
      <c r="D2856" t="str">
        <f>_xlfn.XLOOKUP(C2856,'Carrier Name Rename'!A:A,'Carrier Name Rename'!B:B)</f>
        <v>Continental Air Lines Inc.</v>
      </c>
      <c r="E2856" t="s">
        <v>23</v>
      </c>
      <c r="F2856" t="s">
        <v>24</v>
      </c>
      <c r="G2856">
        <v>302</v>
      </c>
      <c r="H2856">
        <v>61</v>
      </c>
      <c r="I2856">
        <v>13.94</v>
      </c>
      <c r="J2856">
        <v>0.02</v>
      </c>
      <c r="K2856">
        <v>37.99</v>
      </c>
      <c r="L2856">
        <v>0</v>
      </c>
      <c r="M2856">
        <v>9.0399999999999991</v>
      </c>
      <c r="N2856">
        <v>1</v>
      </c>
      <c r="O2856">
        <v>0</v>
      </c>
      <c r="P2856">
        <v>2232</v>
      </c>
      <c r="Q2856">
        <v>422</v>
      </c>
      <c r="R2856">
        <v>2</v>
      </c>
      <c r="S2856">
        <v>1118</v>
      </c>
      <c r="T2856">
        <v>0</v>
      </c>
      <c r="U2856">
        <v>690</v>
      </c>
      <c r="V2856" s="1">
        <f t="shared" si="132"/>
        <v>0.20200000000000001</v>
      </c>
      <c r="W2856" s="1">
        <f t="shared" si="133"/>
        <v>3.3E-3</v>
      </c>
      <c r="X2856" s="1">
        <f t="shared" si="134"/>
        <v>0</v>
      </c>
    </row>
    <row r="2857" spans="1:24" x14ac:dyDescent="0.25">
      <c r="A2857">
        <v>2005</v>
      </c>
      <c r="B2857">
        <v>4</v>
      </c>
      <c r="C2857" t="s">
        <v>37</v>
      </c>
      <c r="D2857" t="str">
        <f>_xlfn.XLOOKUP(C2857,'Carrier Name Rename'!A:A,'Carrier Name Rename'!B:B)</f>
        <v>Delta Air Lines Inc.</v>
      </c>
      <c r="E2857" t="s">
        <v>23</v>
      </c>
      <c r="F2857" t="s">
        <v>24</v>
      </c>
      <c r="G2857">
        <v>469</v>
      </c>
      <c r="H2857">
        <v>50</v>
      </c>
      <c r="I2857">
        <v>16.78</v>
      </c>
      <c r="J2857">
        <v>1.97</v>
      </c>
      <c r="K2857">
        <v>19.97</v>
      </c>
      <c r="L2857">
        <v>0</v>
      </c>
      <c r="M2857">
        <v>11.27</v>
      </c>
      <c r="N2857">
        <v>0</v>
      </c>
      <c r="O2857">
        <v>0</v>
      </c>
      <c r="P2857">
        <v>2369</v>
      </c>
      <c r="Q2857">
        <v>1193</v>
      </c>
      <c r="R2857">
        <v>125</v>
      </c>
      <c r="S2857">
        <v>527</v>
      </c>
      <c r="T2857">
        <v>0</v>
      </c>
      <c r="U2857">
        <v>524</v>
      </c>
      <c r="V2857" s="1">
        <f t="shared" si="132"/>
        <v>0.1066</v>
      </c>
      <c r="W2857" s="1">
        <f t="shared" si="133"/>
        <v>0</v>
      </c>
      <c r="X2857" s="1">
        <f t="shared" si="134"/>
        <v>0</v>
      </c>
    </row>
    <row r="2858" spans="1:24" x14ac:dyDescent="0.25">
      <c r="A2858">
        <v>2005</v>
      </c>
      <c r="B2858">
        <v>4</v>
      </c>
      <c r="C2858" t="s">
        <v>77</v>
      </c>
      <c r="D2858" t="str">
        <f>_xlfn.XLOOKUP(C2858,'Carrier Name Rename'!A:A,'Carrier Name Rename'!B:B)</f>
        <v>Atlantic Southeast Airlines</v>
      </c>
      <c r="E2858" t="s">
        <v>23</v>
      </c>
      <c r="F2858" t="s">
        <v>24</v>
      </c>
      <c r="G2858">
        <v>30</v>
      </c>
      <c r="H2858">
        <v>8</v>
      </c>
      <c r="I2858">
        <v>6.04</v>
      </c>
      <c r="J2858">
        <v>0</v>
      </c>
      <c r="K2858">
        <v>1.96</v>
      </c>
      <c r="L2858">
        <v>0</v>
      </c>
      <c r="M2858">
        <v>0</v>
      </c>
      <c r="N2858">
        <v>0</v>
      </c>
      <c r="O2858">
        <v>0</v>
      </c>
      <c r="P2858">
        <v>273</v>
      </c>
      <c r="Q2858">
        <v>228</v>
      </c>
      <c r="R2858">
        <v>0</v>
      </c>
      <c r="S2858">
        <v>45</v>
      </c>
      <c r="T2858">
        <v>0</v>
      </c>
      <c r="U2858">
        <v>0</v>
      </c>
      <c r="V2858" s="1">
        <f t="shared" si="132"/>
        <v>0.26669999999999999</v>
      </c>
      <c r="W2858" s="1">
        <f t="shared" si="133"/>
        <v>0</v>
      </c>
      <c r="X2858" s="1">
        <f t="shared" si="134"/>
        <v>0</v>
      </c>
    </row>
    <row r="2859" spans="1:24" x14ac:dyDescent="0.25">
      <c r="A2859">
        <v>2005</v>
      </c>
      <c r="B2859">
        <v>4</v>
      </c>
      <c r="C2859" t="s">
        <v>21</v>
      </c>
      <c r="D2859" t="str">
        <f>_xlfn.XLOOKUP(C2859,'Carrier Name Rename'!A:A,'Carrier Name Rename'!B:B)</f>
        <v>Hawaiian Airlines Inc.</v>
      </c>
      <c r="E2859" t="s">
        <v>23</v>
      </c>
      <c r="F2859" t="s">
        <v>24</v>
      </c>
      <c r="G2859">
        <v>60</v>
      </c>
      <c r="H2859">
        <v>11</v>
      </c>
      <c r="I2859">
        <v>10.66</v>
      </c>
      <c r="J2859">
        <v>0</v>
      </c>
      <c r="K2859">
        <v>0</v>
      </c>
      <c r="L2859">
        <v>0.31</v>
      </c>
      <c r="M2859">
        <v>0.03</v>
      </c>
      <c r="N2859">
        <v>0</v>
      </c>
      <c r="O2859">
        <v>0</v>
      </c>
      <c r="P2859">
        <v>284</v>
      </c>
      <c r="Q2859">
        <v>272</v>
      </c>
      <c r="R2859">
        <v>0</v>
      </c>
      <c r="S2859">
        <v>0</v>
      </c>
      <c r="T2859">
        <v>11</v>
      </c>
      <c r="U2859">
        <v>1</v>
      </c>
      <c r="V2859" s="1">
        <f t="shared" si="132"/>
        <v>0.18329999999999999</v>
      </c>
      <c r="W2859" s="1">
        <f t="shared" si="133"/>
        <v>0</v>
      </c>
      <c r="X2859" s="1">
        <f t="shared" si="134"/>
        <v>0</v>
      </c>
    </row>
    <row r="2860" spans="1:24" x14ac:dyDescent="0.25">
      <c r="A2860">
        <v>2005</v>
      </c>
      <c r="B2860">
        <v>4</v>
      </c>
      <c r="C2860" t="s">
        <v>73</v>
      </c>
      <c r="D2860" t="str">
        <f>_xlfn.XLOOKUP(C2860,'Carrier Name Rename'!A:A,'Carrier Name Rename'!B:B)</f>
        <v>America West Airlines Inc.</v>
      </c>
      <c r="E2860" t="s">
        <v>23</v>
      </c>
      <c r="F2860" t="s">
        <v>24</v>
      </c>
      <c r="G2860">
        <v>300</v>
      </c>
      <c r="H2860">
        <v>44</v>
      </c>
      <c r="I2860">
        <v>18.22</v>
      </c>
      <c r="J2860">
        <v>0</v>
      </c>
      <c r="K2860">
        <v>15.31</v>
      </c>
      <c r="L2860">
        <v>0.82</v>
      </c>
      <c r="M2860">
        <v>9.65</v>
      </c>
      <c r="N2860">
        <v>1</v>
      </c>
      <c r="O2860">
        <v>0</v>
      </c>
      <c r="P2860">
        <v>1554</v>
      </c>
      <c r="Q2860">
        <v>850</v>
      </c>
      <c r="R2860">
        <v>0</v>
      </c>
      <c r="S2860">
        <v>355</v>
      </c>
      <c r="T2860">
        <v>14</v>
      </c>
      <c r="U2860">
        <v>335</v>
      </c>
      <c r="V2860" s="1">
        <f t="shared" si="132"/>
        <v>0.1467</v>
      </c>
      <c r="W2860" s="1">
        <f t="shared" si="133"/>
        <v>3.3E-3</v>
      </c>
      <c r="X2860" s="1">
        <f t="shared" si="134"/>
        <v>0</v>
      </c>
    </row>
    <row r="2861" spans="1:24" x14ac:dyDescent="0.25">
      <c r="A2861">
        <v>2005</v>
      </c>
      <c r="B2861">
        <v>4</v>
      </c>
      <c r="C2861" t="s">
        <v>67</v>
      </c>
      <c r="D2861" t="str">
        <f>_xlfn.XLOOKUP(C2861,'Carrier Name Rename'!A:A,'Carrier Name Rename'!B:B)</f>
        <v>Northwest Airlines Inc.</v>
      </c>
      <c r="E2861" t="s">
        <v>23</v>
      </c>
      <c r="F2861" t="s">
        <v>24</v>
      </c>
      <c r="G2861">
        <v>330</v>
      </c>
      <c r="H2861">
        <v>40</v>
      </c>
      <c r="I2861">
        <v>21.85</v>
      </c>
      <c r="J2861">
        <v>0</v>
      </c>
      <c r="K2861">
        <v>14.67</v>
      </c>
      <c r="L2861">
        <v>0</v>
      </c>
      <c r="M2861">
        <v>3.48</v>
      </c>
      <c r="N2861">
        <v>1</v>
      </c>
      <c r="O2861">
        <v>0</v>
      </c>
      <c r="P2861">
        <v>1415</v>
      </c>
      <c r="Q2861">
        <v>907</v>
      </c>
      <c r="R2861">
        <v>0</v>
      </c>
      <c r="S2861">
        <v>372</v>
      </c>
      <c r="T2861">
        <v>0</v>
      </c>
      <c r="U2861">
        <v>136</v>
      </c>
      <c r="V2861" s="1">
        <f t="shared" si="132"/>
        <v>0.1212</v>
      </c>
      <c r="W2861" s="1">
        <f t="shared" si="133"/>
        <v>3.0000000000000001E-3</v>
      </c>
      <c r="X2861" s="1">
        <f t="shared" si="134"/>
        <v>0</v>
      </c>
    </row>
    <row r="2862" spans="1:24" x14ac:dyDescent="0.25">
      <c r="A2862">
        <v>2005</v>
      </c>
      <c r="B2862">
        <v>4</v>
      </c>
      <c r="C2862" t="s">
        <v>27</v>
      </c>
      <c r="D2862" t="str">
        <f>_xlfn.XLOOKUP(C2862,'Carrier Name Rename'!A:A,'Carrier Name Rename'!B:B)</f>
        <v>SkyWest Airlines Inc.</v>
      </c>
      <c r="E2862" t="s">
        <v>23</v>
      </c>
      <c r="F2862" t="s">
        <v>24</v>
      </c>
      <c r="G2862">
        <v>472</v>
      </c>
      <c r="H2862">
        <v>28</v>
      </c>
      <c r="I2862">
        <v>21</v>
      </c>
      <c r="J2862">
        <v>1</v>
      </c>
      <c r="K2862">
        <v>4</v>
      </c>
      <c r="L2862">
        <v>0</v>
      </c>
      <c r="M2862">
        <v>2</v>
      </c>
      <c r="N2862">
        <v>3</v>
      </c>
      <c r="O2862">
        <v>0</v>
      </c>
      <c r="P2862">
        <v>1021</v>
      </c>
      <c r="Q2862">
        <v>750</v>
      </c>
      <c r="R2862">
        <v>40</v>
      </c>
      <c r="S2862">
        <v>197</v>
      </c>
      <c r="T2862">
        <v>0</v>
      </c>
      <c r="U2862">
        <v>34</v>
      </c>
      <c r="V2862" s="1">
        <f t="shared" si="132"/>
        <v>5.9299999999999999E-2</v>
      </c>
      <c r="W2862" s="1">
        <f t="shared" si="133"/>
        <v>6.4000000000000003E-3</v>
      </c>
      <c r="X2862" s="1">
        <f t="shared" si="134"/>
        <v>0</v>
      </c>
    </row>
    <row r="2863" spans="1:24" x14ac:dyDescent="0.25">
      <c r="A2863">
        <v>2005</v>
      </c>
      <c r="B2863">
        <v>4</v>
      </c>
      <c r="C2863" t="s">
        <v>79</v>
      </c>
      <c r="D2863" t="str">
        <f>_xlfn.XLOOKUP(C2863,'Carrier Name Rename'!A:A,'Carrier Name Rename'!B:B)</f>
        <v>ATA Airlines d/b/a ATA</v>
      </c>
      <c r="E2863" t="s">
        <v>23</v>
      </c>
      <c r="F2863" t="s">
        <v>24</v>
      </c>
      <c r="G2863">
        <v>6</v>
      </c>
      <c r="H2863">
        <v>2</v>
      </c>
      <c r="I2863">
        <v>0</v>
      </c>
      <c r="J2863">
        <v>0</v>
      </c>
      <c r="K2863">
        <v>2</v>
      </c>
      <c r="L2863">
        <v>0</v>
      </c>
      <c r="M2863">
        <v>0</v>
      </c>
      <c r="N2863">
        <v>0</v>
      </c>
      <c r="O2863">
        <v>0</v>
      </c>
      <c r="P2863">
        <v>35</v>
      </c>
      <c r="Q2863">
        <v>0</v>
      </c>
      <c r="R2863">
        <v>0</v>
      </c>
      <c r="S2863">
        <v>35</v>
      </c>
      <c r="T2863">
        <v>0</v>
      </c>
      <c r="U2863">
        <v>0</v>
      </c>
      <c r="V2863" s="1">
        <f t="shared" si="132"/>
        <v>0.33329999999999999</v>
      </c>
      <c r="W2863" s="1">
        <f t="shared" si="133"/>
        <v>0</v>
      </c>
      <c r="X2863" s="1">
        <f t="shared" si="134"/>
        <v>0</v>
      </c>
    </row>
    <row r="2864" spans="1:24" x14ac:dyDescent="0.25">
      <c r="A2864">
        <v>2005</v>
      </c>
      <c r="B2864">
        <v>4</v>
      </c>
      <c r="C2864" t="s">
        <v>41</v>
      </c>
      <c r="D2864" t="str">
        <f>_xlfn.XLOOKUP(C2864,'Carrier Name Rename'!A:A,'Carrier Name Rename'!B:B)</f>
        <v>United Air Lines Inc.</v>
      </c>
      <c r="E2864" t="s">
        <v>23</v>
      </c>
      <c r="F2864" t="s">
        <v>24</v>
      </c>
      <c r="G2864">
        <v>750</v>
      </c>
      <c r="H2864">
        <v>59</v>
      </c>
      <c r="I2864">
        <v>16.809999999999999</v>
      </c>
      <c r="J2864">
        <v>0.06</v>
      </c>
      <c r="K2864">
        <v>10.050000000000001</v>
      </c>
      <c r="L2864">
        <v>0</v>
      </c>
      <c r="M2864">
        <v>32.08</v>
      </c>
      <c r="N2864">
        <v>6</v>
      </c>
      <c r="O2864">
        <v>0</v>
      </c>
      <c r="P2864">
        <v>2979</v>
      </c>
      <c r="Q2864">
        <v>928</v>
      </c>
      <c r="R2864">
        <v>6</v>
      </c>
      <c r="S2864">
        <v>299</v>
      </c>
      <c r="T2864">
        <v>0</v>
      </c>
      <c r="U2864">
        <v>1746</v>
      </c>
      <c r="V2864" s="1">
        <f t="shared" si="132"/>
        <v>7.8700000000000006E-2</v>
      </c>
      <c r="W2864" s="1">
        <f t="shared" si="133"/>
        <v>8.0000000000000002E-3</v>
      </c>
      <c r="X2864" s="1">
        <f t="shared" si="134"/>
        <v>0</v>
      </c>
    </row>
    <row r="2865" spans="1:24" x14ac:dyDescent="0.25">
      <c r="A2865">
        <v>2005</v>
      </c>
      <c r="B2865">
        <v>4</v>
      </c>
      <c r="C2865" t="s">
        <v>61</v>
      </c>
      <c r="D2865" t="str">
        <f>_xlfn.XLOOKUP(C2865,'Carrier Name Rename'!A:A,'Carrier Name Rename'!B:B)</f>
        <v>US Airways Inc.</v>
      </c>
      <c r="E2865" t="s">
        <v>23</v>
      </c>
      <c r="F2865" t="s">
        <v>24</v>
      </c>
      <c r="G2865">
        <v>145</v>
      </c>
      <c r="H2865">
        <v>26</v>
      </c>
      <c r="I2865">
        <v>16.350000000000001</v>
      </c>
      <c r="J2865">
        <v>1</v>
      </c>
      <c r="K2865">
        <v>3.42</v>
      </c>
      <c r="L2865">
        <v>0</v>
      </c>
      <c r="M2865">
        <v>5.23</v>
      </c>
      <c r="N2865">
        <v>2</v>
      </c>
      <c r="O2865">
        <v>0</v>
      </c>
      <c r="P2865">
        <v>1021</v>
      </c>
      <c r="Q2865">
        <v>587</v>
      </c>
      <c r="R2865">
        <v>25</v>
      </c>
      <c r="S2865">
        <v>113</v>
      </c>
      <c r="T2865">
        <v>0</v>
      </c>
      <c r="U2865">
        <v>296</v>
      </c>
      <c r="V2865" s="1">
        <f t="shared" si="132"/>
        <v>0.17929999999999999</v>
      </c>
      <c r="W2865" s="1">
        <f t="shared" si="133"/>
        <v>1.38E-2</v>
      </c>
      <c r="X2865" s="1">
        <f t="shared" si="134"/>
        <v>0</v>
      </c>
    </row>
    <row r="2866" spans="1:24" x14ac:dyDescent="0.25">
      <c r="A2866">
        <v>2005</v>
      </c>
      <c r="B2866">
        <v>4</v>
      </c>
      <c r="C2866" t="s">
        <v>43</v>
      </c>
      <c r="D2866" t="str">
        <f>_xlfn.XLOOKUP(C2866,'Carrier Name Rename'!A:A,'Carrier Name Rename'!B:B)</f>
        <v>Southwest Airlines Co.</v>
      </c>
      <c r="E2866" t="s">
        <v>23</v>
      </c>
      <c r="F2866" t="s">
        <v>24</v>
      </c>
      <c r="G2866">
        <v>1107</v>
      </c>
      <c r="H2866">
        <v>137</v>
      </c>
      <c r="I2866">
        <v>38.979999999999997</v>
      </c>
      <c r="J2866">
        <v>0.75</v>
      </c>
      <c r="K2866">
        <v>17.21</v>
      </c>
      <c r="L2866">
        <v>0</v>
      </c>
      <c r="M2866">
        <v>80.06</v>
      </c>
      <c r="N2866">
        <v>1</v>
      </c>
      <c r="O2866">
        <v>0</v>
      </c>
      <c r="P2866">
        <v>4481</v>
      </c>
      <c r="Q2866">
        <v>1158</v>
      </c>
      <c r="R2866">
        <v>36</v>
      </c>
      <c r="S2866">
        <v>439</v>
      </c>
      <c r="T2866">
        <v>0</v>
      </c>
      <c r="U2866">
        <v>2848</v>
      </c>
      <c r="V2866" s="1">
        <f t="shared" si="132"/>
        <v>0.12379999999999999</v>
      </c>
      <c r="W2866" s="1">
        <f t="shared" si="133"/>
        <v>8.9999999999999998E-4</v>
      </c>
      <c r="X2866" s="1">
        <f t="shared" si="134"/>
        <v>0</v>
      </c>
    </row>
    <row r="2867" spans="1:24" x14ac:dyDescent="0.25">
      <c r="A2867">
        <v>2005</v>
      </c>
      <c r="B2867">
        <v>3</v>
      </c>
      <c r="C2867" t="s">
        <v>31</v>
      </c>
      <c r="D2867" t="str">
        <f>_xlfn.XLOOKUP(C2867,'Carrier Name Rename'!A:A,'Carrier Name Rename'!B:B)</f>
        <v>American Airlines Inc.</v>
      </c>
      <c r="E2867" t="s">
        <v>23</v>
      </c>
      <c r="F2867" t="s">
        <v>24</v>
      </c>
      <c r="G2867">
        <v>480</v>
      </c>
      <c r="H2867">
        <v>92</v>
      </c>
      <c r="I2867">
        <v>38.08</v>
      </c>
      <c r="J2867">
        <v>6.75</v>
      </c>
      <c r="K2867">
        <v>23.61</v>
      </c>
      <c r="L2867">
        <v>0</v>
      </c>
      <c r="M2867">
        <v>23.56</v>
      </c>
      <c r="N2867">
        <v>0</v>
      </c>
      <c r="O2867">
        <v>2</v>
      </c>
      <c r="P2867">
        <v>3784</v>
      </c>
      <c r="Q2867">
        <v>1822</v>
      </c>
      <c r="R2867">
        <v>302</v>
      </c>
      <c r="S2867">
        <v>603</v>
      </c>
      <c r="T2867">
        <v>0</v>
      </c>
      <c r="U2867">
        <v>1057</v>
      </c>
      <c r="V2867" s="1">
        <f t="shared" si="132"/>
        <v>0.19170000000000001</v>
      </c>
      <c r="W2867" s="1">
        <f t="shared" si="133"/>
        <v>0</v>
      </c>
      <c r="X2867" s="1">
        <f t="shared" si="134"/>
        <v>4.1999999999999997E-3</v>
      </c>
    </row>
    <row r="2868" spans="1:24" x14ac:dyDescent="0.25">
      <c r="A2868">
        <v>2005</v>
      </c>
      <c r="B2868">
        <v>3</v>
      </c>
      <c r="C2868" t="s">
        <v>33</v>
      </c>
      <c r="D2868" t="str">
        <f>_xlfn.XLOOKUP(C2868,'Carrier Name Rename'!A:A,'Carrier Name Rename'!B:B)</f>
        <v>Alaska Airlines Inc.</v>
      </c>
      <c r="E2868" t="s">
        <v>23</v>
      </c>
      <c r="F2868" t="s">
        <v>24</v>
      </c>
      <c r="G2868">
        <v>3993</v>
      </c>
      <c r="H2868">
        <v>1019</v>
      </c>
      <c r="I2868">
        <v>286.04000000000002</v>
      </c>
      <c r="J2868">
        <v>6.11</v>
      </c>
      <c r="K2868">
        <v>249.24</v>
      </c>
      <c r="L2868">
        <v>6.77</v>
      </c>
      <c r="M2868">
        <v>470.82</v>
      </c>
      <c r="N2868">
        <v>62</v>
      </c>
      <c r="O2868">
        <v>7</v>
      </c>
      <c r="P2868">
        <v>55025</v>
      </c>
      <c r="Q2868">
        <v>17506</v>
      </c>
      <c r="R2868">
        <v>447</v>
      </c>
      <c r="S2868">
        <v>7005</v>
      </c>
      <c r="T2868">
        <v>291</v>
      </c>
      <c r="U2868">
        <v>29776</v>
      </c>
      <c r="V2868" s="1">
        <f t="shared" si="132"/>
        <v>0.25519999999999998</v>
      </c>
      <c r="W2868" s="1">
        <f t="shared" si="133"/>
        <v>1.55E-2</v>
      </c>
      <c r="X2868" s="1">
        <f t="shared" si="134"/>
        <v>1.8E-3</v>
      </c>
    </row>
    <row r="2869" spans="1:24" x14ac:dyDescent="0.25">
      <c r="A2869">
        <v>2005</v>
      </c>
      <c r="B2869">
        <v>3</v>
      </c>
      <c r="C2869" t="s">
        <v>35</v>
      </c>
      <c r="D2869" t="str">
        <f>_xlfn.XLOOKUP(C2869,'Carrier Name Rename'!A:A,'Carrier Name Rename'!B:B)</f>
        <v>JetBlue Airways</v>
      </c>
      <c r="E2869" t="s">
        <v>23</v>
      </c>
      <c r="F2869" t="s">
        <v>24</v>
      </c>
      <c r="G2869">
        <v>31</v>
      </c>
      <c r="H2869">
        <v>15</v>
      </c>
      <c r="I2869">
        <v>4.07</v>
      </c>
      <c r="J2869">
        <v>0</v>
      </c>
      <c r="K2869">
        <v>3.74</v>
      </c>
      <c r="L2869">
        <v>0.82</v>
      </c>
      <c r="M2869">
        <v>6.37</v>
      </c>
      <c r="N2869">
        <v>1</v>
      </c>
      <c r="O2869">
        <v>0</v>
      </c>
      <c r="P2869">
        <v>813</v>
      </c>
      <c r="Q2869">
        <v>167</v>
      </c>
      <c r="R2869">
        <v>0</v>
      </c>
      <c r="S2869">
        <v>239</v>
      </c>
      <c r="T2869">
        <v>41</v>
      </c>
      <c r="U2869">
        <v>366</v>
      </c>
      <c r="V2869" s="1">
        <f t="shared" si="132"/>
        <v>0.4839</v>
      </c>
      <c r="W2869" s="1">
        <f t="shared" si="133"/>
        <v>3.2300000000000002E-2</v>
      </c>
      <c r="X2869" s="1">
        <f t="shared" si="134"/>
        <v>0</v>
      </c>
    </row>
    <row r="2870" spans="1:24" x14ac:dyDescent="0.25">
      <c r="A2870">
        <v>2005</v>
      </c>
      <c r="B2870">
        <v>3</v>
      </c>
      <c r="C2870" t="s">
        <v>65</v>
      </c>
      <c r="D2870" t="str">
        <f>_xlfn.XLOOKUP(C2870,'Carrier Name Rename'!A:A,'Carrier Name Rename'!B:B)</f>
        <v>Continental Air Lines Inc.</v>
      </c>
      <c r="E2870" t="s">
        <v>23</v>
      </c>
      <c r="F2870" t="s">
        <v>24</v>
      </c>
      <c r="G2870">
        <v>319</v>
      </c>
      <c r="H2870">
        <v>90</v>
      </c>
      <c r="I2870">
        <v>26.26</v>
      </c>
      <c r="J2870">
        <v>2.1800000000000002</v>
      </c>
      <c r="K2870">
        <v>42.6</v>
      </c>
      <c r="L2870">
        <v>0</v>
      </c>
      <c r="M2870">
        <v>18.97</v>
      </c>
      <c r="N2870">
        <v>1</v>
      </c>
      <c r="O2870">
        <v>1</v>
      </c>
      <c r="P2870">
        <v>3380</v>
      </c>
      <c r="Q2870">
        <v>945</v>
      </c>
      <c r="R2870">
        <v>126</v>
      </c>
      <c r="S2870">
        <v>1327</v>
      </c>
      <c r="T2870">
        <v>0</v>
      </c>
      <c r="U2870">
        <v>982</v>
      </c>
      <c r="V2870" s="1">
        <f t="shared" si="132"/>
        <v>0.28210000000000002</v>
      </c>
      <c r="W2870" s="1">
        <f t="shared" si="133"/>
        <v>3.0999999999999999E-3</v>
      </c>
      <c r="X2870" s="1">
        <f t="shared" si="134"/>
        <v>3.0999999999999999E-3</v>
      </c>
    </row>
    <row r="2871" spans="1:24" x14ac:dyDescent="0.25">
      <c r="A2871">
        <v>2005</v>
      </c>
      <c r="B2871">
        <v>3</v>
      </c>
      <c r="C2871" t="s">
        <v>37</v>
      </c>
      <c r="D2871" t="str">
        <f>_xlfn.XLOOKUP(C2871,'Carrier Name Rename'!A:A,'Carrier Name Rename'!B:B)</f>
        <v>Delta Air Lines Inc.</v>
      </c>
      <c r="E2871" t="s">
        <v>23</v>
      </c>
      <c r="F2871" t="s">
        <v>24</v>
      </c>
      <c r="G2871">
        <v>484</v>
      </c>
      <c r="H2871">
        <v>72</v>
      </c>
      <c r="I2871">
        <v>28.85</v>
      </c>
      <c r="J2871">
        <v>2.76</v>
      </c>
      <c r="K2871">
        <v>22.25</v>
      </c>
      <c r="L2871">
        <v>0</v>
      </c>
      <c r="M2871">
        <v>18.14</v>
      </c>
      <c r="N2871">
        <v>4</v>
      </c>
      <c r="O2871">
        <v>0</v>
      </c>
      <c r="P2871">
        <v>3620</v>
      </c>
      <c r="Q2871">
        <v>1743</v>
      </c>
      <c r="R2871">
        <v>158</v>
      </c>
      <c r="S2871">
        <v>862</v>
      </c>
      <c r="T2871">
        <v>0</v>
      </c>
      <c r="U2871">
        <v>857</v>
      </c>
      <c r="V2871" s="1">
        <f t="shared" si="132"/>
        <v>0.14879999999999999</v>
      </c>
      <c r="W2871" s="1">
        <f t="shared" si="133"/>
        <v>8.3000000000000001E-3</v>
      </c>
      <c r="X2871" s="1">
        <f t="shared" si="134"/>
        <v>0</v>
      </c>
    </row>
    <row r="2872" spans="1:24" x14ac:dyDescent="0.25">
      <c r="A2872">
        <v>2005</v>
      </c>
      <c r="B2872">
        <v>3</v>
      </c>
      <c r="C2872" t="s">
        <v>77</v>
      </c>
      <c r="D2872" t="str">
        <f>_xlfn.XLOOKUP(C2872,'Carrier Name Rename'!A:A,'Carrier Name Rename'!B:B)</f>
        <v>Atlantic Southeast Airlines</v>
      </c>
      <c r="E2872" t="s">
        <v>23</v>
      </c>
      <c r="F2872" t="s">
        <v>24</v>
      </c>
      <c r="G2872">
        <v>31</v>
      </c>
      <c r="H2872">
        <v>9</v>
      </c>
      <c r="I2872">
        <v>5.19</v>
      </c>
      <c r="J2872">
        <v>0.33</v>
      </c>
      <c r="K2872">
        <v>3.47</v>
      </c>
      <c r="L2872">
        <v>0</v>
      </c>
      <c r="M2872">
        <v>0</v>
      </c>
      <c r="N2872">
        <v>0</v>
      </c>
      <c r="O2872">
        <v>0</v>
      </c>
      <c r="P2872">
        <v>382</v>
      </c>
      <c r="Q2872">
        <v>293</v>
      </c>
      <c r="R2872">
        <v>10</v>
      </c>
      <c r="S2872">
        <v>79</v>
      </c>
      <c r="T2872">
        <v>0</v>
      </c>
      <c r="U2872">
        <v>0</v>
      </c>
      <c r="V2872" s="1">
        <f t="shared" si="132"/>
        <v>0.2903</v>
      </c>
      <c r="W2872" s="1">
        <f t="shared" si="133"/>
        <v>0</v>
      </c>
      <c r="X2872" s="1">
        <f t="shared" si="134"/>
        <v>0</v>
      </c>
    </row>
    <row r="2873" spans="1:24" x14ac:dyDescent="0.25">
      <c r="A2873">
        <v>2005</v>
      </c>
      <c r="B2873">
        <v>3</v>
      </c>
      <c r="C2873" t="s">
        <v>21</v>
      </c>
      <c r="D2873" t="str">
        <f>_xlfn.XLOOKUP(C2873,'Carrier Name Rename'!A:A,'Carrier Name Rename'!B:B)</f>
        <v>Hawaiian Airlines Inc.</v>
      </c>
      <c r="E2873" t="s">
        <v>23</v>
      </c>
      <c r="F2873" t="s">
        <v>24</v>
      </c>
      <c r="G2873">
        <v>60</v>
      </c>
      <c r="H2873">
        <v>14</v>
      </c>
      <c r="I2873">
        <v>10.86</v>
      </c>
      <c r="J2873">
        <v>0</v>
      </c>
      <c r="K2873">
        <v>1</v>
      </c>
      <c r="L2873">
        <v>0</v>
      </c>
      <c r="M2873">
        <v>2.14</v>
      </c>
      <c r="N2873">
        <v>0</v>
      </c>
      <c r="O2873">
        <v>0</v>
      </c>
      <c r="P2873">
        <v>1782</v>
      </c>
      <c r="Q2873">
        <v>597</v>
      </c>
      <c r="R2873">
        <v>0</v>
      </c>
      <c r="S2873">
        <v>1125</v>
      </c>
      <c r="T2873">
        <v>0</v>
      </c>
      <c r="U2873">
        <v>60</v>
      </c>
      <c r="V2873" s="1">
        <f t="shared" si="132"/>
        <v>0.23330000000000001</v>
      </c>
      <c r="W2873" s="1">
        <f t="shared" si="133"/>
        <v>0</v>
      </c>
      <c r="X2873" s="1">
        <f t="shared" si="134"/>
        <v>0</v>
      </c>
    </row>
    <row r="2874" spans="1:24" x14ac:dyDescent="0.25">
      <c r="A2874">
        <v>2005</v>
      </c>
      <c r="B2874">
        <v>3</v>
      </c>
      <c r="C2874" t="s">
        <v>73</v>
      </c>
      <c r="D2874" t="str">
        <f>_xlfn.XLOOKUP(C2874,'Carrier Name Rename'!A:A,'Carrier Name Rename'!B:B)</f>
        <v>America West Airlines Inc.</v>
      </c>
      <c r="E2874" t="s">
        <v>23</v>
      </c>
      <c r="F2874" t="s">
        <v>24</v>
      </c>
      <c r="G2874">
        <v>310</v>
      </c>
      <c r="H2874">
        <v>67</v>
      </c>
      <c r="I2874">
        <v>18.55</v>
      </c>
      <c r="J2874">
        <v>0</v>
      </c>
      <c r="K2874">
        <v>34.39</v>
      </c>
      <c r="L2874">
        <v>0</v>
      </c>
      <c r="M2874">
        <v>14.06</v>
      </c>
      <c r="N2874">
        <v>3</v>
      </c>
      <c r="O2874">
        <v>0</v>
      </c>
      <c r="P2874">
        <v>2210</v>
      </c>
      <c r="Q2874">
        <v>811</v>
      </c>
      <c r="R2874">
        <v>0</v>
      </c>
      <c r="S2874">
        <v>861</v>
      </c>
      <c r="T2874">
        <v>0</v>
      </c>
      <c r="U2874">
        <v>538</v>
      </c>
      <c r="V2874" s="1">
        <f t="shared" si="132"/>
        <v>0.21609999999999999</v>
      </c>
      <c r="W2874" s="1">
        <f t="shared" si="133"/>
        <v>9.7000000000000003E-3</v>
      </c>
      <c r="X2874" s="1">
        <f t="shared" si="134"/>
        <v>0</v>
      </c>
    </row>
    <row r="2875" spans="1:24" x14ac:dyDescent="0.25">
      <c r="A2875">
        <v>2005</v>
      </c>
      <c r="B2875">
        <v>3</v>
      </c>
      <c r="C2875" t="s">
        <v>67</v>
      </c>
      <c r="D2875" t="str">
        <f>_xlfn.XLOOKUP(C2875,'Carrier Name Rename'!A:A,'Carrier Name Rename'!B:B)</f>
        <v>Northwest Airlines Inc.</v>
      </c>
      <c r="E2875" t="s">
        <v>23</v>
      </c>
      <c r="F2875" t="s">
        <v>24</v>
      </c>
      <c r="G2875">
        <v>341</v>
      </c>
      <c r="H2875">
        <v>63</v>
      </c>
      <c r="I2875">
        <v>26.37</v>
      </c>
      <c r="J2875">
        <v>3.22</v>
      </c>
      <c r="K2875">
        <v>16.03</v>
      </c>
      <c r="L2875">
        <v>0</v>
      </c>
      <c r="M2875">
        <v>17.38</v>
      </c>
      <c r="N2875">
        <v>1</v>
      </c>
      <c r="O2875">
        <v>1</v>
      </c>
      <c r="P2875">
        <v>4344</v>
      </c>
      <c r="Q2875">
        <v>1522</v>
      </c>
      <c r="R2875">
        <v>1234</v>
      </c>
      <c r="S2875">
        <v>539</v>
      </c>
      <c r="T2875">
        <v>0</v>
      </c>
      <c r="U2875">
        <v>1049</v>
      </c>
      <c r="V2875" s="1">
        <f t="shared" si="132"/>
        <v>0.18479999999999999</v>
      </c>
      <c r="W2875" s="1">
        <f t="shared" si="133"/>
        <v>2.8999999999999998E-3</v>
      </c>
      <c r="X2875" s="1">
        <f t="shared" si="134"/>
        <v>2.8999999999999998E-3</v>
      </c>
    </row>
    <row r="2876" spans="1:24" x14ac:dyDescent="0.25">
      <c r="A2876">
        <v>2005</v>
      </c>
      <c r="B2876">
        <v>3</v>
      </c>
      <c r="C2876" t="s">
        <v>27</v>
      </c>
      <c r="D2876" t="str">
        <f>_xlfn.XLOOKUP(C2876,'Carrier Name Rename'!A:A,'Carrier Name Rename'!B:B)</f>
        <v>SkyWest Airlines Inc.</v>
      </c>
      <c r="E2876" t="s">
        <v>23</v>
      </c>
      <c r="F2876" t="s">
        <v>24</v>
      </c>
      <c r="G2876">
        <v>478</v>
      </c>
      <c r="H2876">
        <v>47</v>
      </c>
      <c r="I2876">
        <v>29</v>
      </c>
      <c r="J2876">
        <v>2</v>
      </c>
      <c r="K2876">
        <v>8</v>
      </c>
      <c r="L2876">
        <v>0</v>
      </c>
      <c r="M2876">
        <v>8</v>
      </c>
      <c r="N2876">
        <v>9</v>
      </c>
      <c r="O2876">
        <v>0</v>
      </c>
      <c r="P2876">
        <v>1920</v>
      </c>
      <c r="Q2876">
        <v>1184</v>
      </c>
      <c r="R2876">
        <v>238</v>
      </c>
      <c r="S2876">
        <v>268</v>
      </c>
      <c r="T2876">
        <v>0</v>
      </c>
      <c r="U2876">
        <v>230</v>
      </c>
      <c r="V2876" s="1">
        <f t="shared" si="132"/>
        <v>9.8299999999999998E-2</v>
      </c>
      <c r="W2876" s="1">
        <f t="shared" si="133"/>
        <v>1.8800000000000001E-2</v>
      </c>
      <c r="X2876" s="1">
        <f t="shared" si="134"/>
        <v>0</v>
      </c>
    </row>
    <row r="2877" spans="1:24" x14ac:dyDescent="0.25">
      <c r="A2877">
        <v>2005</v>
      </c>
      <c r="B2877">
        <v>3</v>
      </c>
      <c r="C2877" t="s">
        <v>79</v>
      </c>
      <c r="D2877" t="str">
        <f>_xlfn.XLOOKUP(C2877,'Carrier Name Rename'!A:A,'Carrier Name Rename'!B:B)</f>
        <v>ATA Airlines d/b/a ATA</v>
      </c>
      <c r="E2877" t="s">
        <v>23</v>
      </c>
      <c r="F2877" t="s">
        <v>24</v>
      </c>
      <c r="G2877">
        <v>31</v>
      </c>
      <c r="H2877">
        <v>8</v>
      </c>
      <c r="I2877">
        <v>2.31</v>
      </c>
      <c r="J2877">
        <v>0</v>
      </c>
      <c r="K2877">
        <v>4.72</v>
      </c>
      <c r="L2877">
        <v>0</v>
      </c>
      <c r="M2877">
        <v>0.97</v>
      </c>
      <c r="N2877">
        <v>0</v>
      </c>
      <c r="O2877">
        <v>0</v>
      </c>
      <c r="P2877">
        <v>401</v>
      </c>
      <c r="Q2877">
        <v>90</v>
      </c>
      <c r="R2877">
        <v>0</v>
      </c>
      <c r="S2877">
        <v>120</v>
      </c>
      <c r="T2877">
        <v>0</v>
      </c>
      <c r="U2877">
        <v>191</v>
      </c>
      <c r="V2877" s="1">
        <f t="shared" si="132"/>
        <v>0.2581</v>
      </c>
      <c r="W2877" s="1">
        <f t="shared" si="133"/>
        <v>0</v>
      </c>
      <c r="X2877" s="1">
        <f t="shared" si="134"/>
        <v>0</v>
      </c>
    </row>
    <row r="2878" spans="1:24" x14ac:dyDescent="0.25">
      <c r="A2878">
        <v>2005</v>
      </c>
      <c r="B2878">
        <v>3</v>
      </c>
      <c r="C2878" t="s">
        <v>41</v>
      </c>
      <c r="D2878" t="str">
        <f>_xlfn.XLOOKUP(C2878,'Carrier Name Rename'!A:A,'Carrier Name Rename'!B:B)</f>
        <v>United Air Lines Inc.</v>
      </c>
      <c r="E2878" t="s">
        <v>23</v>
      </c>
      <c r="F2878" t="s">
        <v>24</v>
      </c>
      <c r="G2878">
        <v>774</v>
      </c>
      <c r="H2878">
        <v>121</v>
      </c>
      <c r="I2878">
        <v>43.71</v>
      </c>
      <c r="J2878">
        <v>2.65</v>
      </c>
      <c r="K2878">
        <v>26.8</v>
      </c>
      <c r="L2878">
        <v>0</v>
      </c>
      <c r="M2878">
        <v>47.83</v>
      </c>
      <c r="N2878">
        <v>1</v>
      </c>
      <c r="O2878">
        <v>1</v>
      </c>
      <c r="P2878">
        <v>6202</v>
      </c>
      <c r="Q2878">
        <v>2070</v>
      </c>
      <c r="R2878">
        <v>217</v>
      </c>
      <c r="S2878">
        <v>838</v>
      </c>
      <c r="T2878">
        <v>0</v>
      </c>
      <c r="U2878">
        <v>3077</v>
      </c>
      <c r="V2878" s="1">
        <f t="shared" si="132"/>
        <v>0.15629999999999999</v>
      </c>
      <c r="W2878" s="1">
        <f t="shared" si="133"/>
        <v>1.2999999999999999E-3</v>
      </c>
      <c r="X2878" s="1">
        <f t="shared" si="134"/>
        <v>1.2999999999999999E-3</v>
      </c>
    </row>
    <row r="2879" spans="1:24" x14ac:dyDescent="0.25">
      <c r="A2879">
        <v>2005</v>
      </c>
      <c r="B2879">
        <v>3</v>
      </c>
      <c r="C2879" t="s">
        <v>61</v>
      </c>
      <c r="D2879" t="str">
        <f>_xlfn.XLOOKUP(C2879,'Carrier Name Rename'!A:A,'Carrier Name Rename'!B:B)</f>
        <v>US Airways Inc.</v>
      </c>
      <c r="E2879" t="s">
        <v>23</v>
      </c>
      <c r="F2879" t="s">
        <v>24</v>
      </c>
      <c r="G2879">
        <v>151</v>
      </c>
      <c r="H2879">
        <v>43</v>
      </c>
      <c r="I2879">
        <v>20.239999999999998</v>
      </c>
      <c r="J2879">
        <v>0</v>
      </c>
      <c r="K2879">
        <v>5.09</v>
      </c>
      <c r="L2879">
        <v>0</v>
      </c>
      <c r="M2879">
        <v>17.670000000000002</v>
      </c>
      <c r="N2879">
        <v>0</v>
      </c>
      <c r="O2879">
        <v>1</v>
      </c>
      <c r="P2879">
        <v>2389</v>
      </c>
      <c r="Q2879">
        <v>719</v>
      </c>
      <c r="R2879">
        <v>0</v>
      </c>
      <c r="S2879">
        <v>171</v>
      </c>
      <c r="T2879">
        <v>0</v>
      </c>
      <c r="U2879">
        <v>1499</v>
      </c>
      <c r="V2879" s="1">
        <f t="shared" si="132"/>
        <v>0.2848</v>
      </c>
      <c r="W2879" s="1">
        <f t="shared" si="133"/>
        <v>0</v>
      </c>
      <c r="X2879" s="1">
        <f t="shared" si="134"/>
        <v>6.6E-3</v>
      </c>
    </row>
    <row r="2880" spans="1:24" x14ac:dyDescent="0.25">
      <c r="A2880">
        <v>2005</v>
      </c>
      <c r="B2880">
        <v>3</v>
      </c>
      <c r="C2880" t="s">
        <v>43</v>
      </c>
      <c r="D2880" t="str">
        <f>_xlfn.XLOOKUP(C2880,'Carrier Name Rename'!A:A,'Carrier Name Rename'!B:B)</f>
        <v>Southwest Airlines Co.</v>
      </c>
      <c r="E2880" t="s">
        <v>23</v>
      </c>
      <c r="F2880" t="s">
        <v>24</v>
      </c>
      <c r="G2880">
        <v>1108</v>
      </c>
      <c r="H2880">
        <v>145</v>
      </c>
      <c r="I2880">
        <v>32.979999999999997</v>
      </c>
      <c r="J2880">
        <v>0.03</v>
      </c>
      <c r="K2880">
        <v>14.67</v>
      </c>
      <c r="L2880">
        <v>0.73</v>
      </c>
      <c r="M2880">
        <v>96.59</v>
      </c>
      <c r="N2880">
        <v>5</v>
      </c>
      <c r="O2880">
        <v>0</v>
      </c>
      <c r="P2880">
        <v>6015</v>
      </c>
      <c r="Q2880">
        <v>1014</v>
      </c>
      <c r="R2880">
        <v>2</v>
      </c>
      <c r="S2880">
        <v>361</v>
      </c>
      <c r="T2880">
        <v>11</v>
      </c>
      <c r="U2880">
        <v>4627</v>
      </c>
      <c r="V2880" s="1">
        <f t="shared" si="132"/>
        <v>0.13089999999999999</v>
      </c>
      <c r="W2880" s="1">
        <f t="shared" si="133"/>
        <v>4.4999999999999997E-3</v>
      </c>
      <c r="X2880" s="1">
        <f t="shared" si="134"/>
        <v>0</v>
      </c>
    </row>
    <row r="2881" spans="1:24" x14ac:dyDescent="0.25">
      <c r="A2881">
        <v>2005</v>
      </c>
      <c r="B2881">
        <v>2</v>
      </c>
      <c r="C2881" t="s">
        <v>31</v>
      </c>
      <c r="D2881" t="str">
        <f>_xlfn.XLOOKUP(C2881,'Carrier Name Rename'!A:A,'Carrier Name Rename'!B:B)</f>
        <v>American Airlines Inc.</v>
      </c>
      <c r="E2881" t="s">
        <v>23</v>
      </c>
      <c r="F2881" t="s">
        <v>24</v>
      </c>
      <c r="G2881">
        <v>429</v>
      </c>
      <c r="H2881">
        <v>53</v>
      </c>
      <c r="I2881">
        <v>18.71</v>
      </c>
      <c r="J2881">
        <v>3.66</v>
      </c>
      <c r="K2881">
        <v>15.16</v>
      </c>
      <c r="L2881">
        <v>0</v>
      </c>
      <c r="M2881">
        <v>15.46</v>
      </c>
      <c r="N2881">
        <v>1</v>
      </c>
      <c r="O2881">
        <v>2</v>
      </c>
      <c r="P2881">
        <v>2316</v>
      </c>
      <c r="Q2881">
        <v>839</v>
      </c>
      <c r="R2881">
        <v>221</v>
      </c>
      <c r="S2881">
        <v>490</v>
      </c>
      <c r="T2881">
        <v>0</v>
      </c>
      <c r="U2881">
        <v>766</v>
      </c>
      <c r="V2881" s="1">
        <f t="shared" si="132"/>
        <v>0.1235</v>
      </c>
      <c r="W2881" s="1">
        <f t="shared" si="133"/>
        <v>2.3E-3</v>
      </c>
      <c r="X2881" s="1">
        <f t="shared" si="134"/>
        <v>4.7000000000000002E-3</v>
      </c>
    </row>
    <row r="2882" spans="1:24" x14ac:dyDescent="0.25">
      <c r="A2882">
        <v>2005</v>
      </c>
      <c r="B2882">
        <v>2</v>
      </c>
      <c r="C2882" t="s">
        <v>33</v>
      </c>
      <c r="D2882" t="str">
        <f>_xlfn.XLOOKUP(C2882,'Carrier Name Rename'!A:A,'Carrier Name Rename'!B:B)</f>
        <v>Alaska Airlines Inc.</v>
      </c>
      <c r="E2882" t="s">
        <v>23</v>
      </c>
      <c r="F2882" t="s">
        <v>24</v>
      </c>
      <c r="G2882">
        <v>3543</v>
      </c>
      <c r="H2882">
        <v>759</v>
      </c>
      <c r="I2882">
        <v>186.92</v>
      </c>
      <c r="J2882">
        <v>6.72</v>
      </c>
      <c r="K2882">
        <v>89.62</v>
      </c>
      <c r="L2882">
        <v>3.93</v>
      </c>
      <c r="M2882">
        <v>471.82</v>
      </c>
      <c r="N2882">
        <v>64</v>
      </c>
      <c r="O2882">
        <v>4</v>
      </c>
      <c r="P2882">
        <v>42493</v>
      </c>
      <c r="Q2882">
        <v>11275</v>
      </c>
      <c r="R2882">
        <v>587</v>
      </c>
      <c r="S2882">
        <v>2977</v>
      </c>
      <c r="T2882">
        <v>111</v>
      </c>
      <c r="U2882">
        <v>27543</v>
      </c>
      <c r="V2882" s="1">
        <f t="shared" si="132"/>
        <v>0.2142</v>
      </c>
      <c r="W2882" s="1">
        <f t="shared" si="133"/>
        <v>1.8100000000000002E-2</v>
      </c>
      <c r="X2882" s="1">
        <f t="shared" si="134"/>
        <v>1.1000000000000001E-3</v>
      </c>
    </row>
    <row r="2883" spans="1:24" x14ac:dyDescent="0.25">
      <c r="A2883">
        <v>2005</v>
      </c>
      <c r="B2883">
        <v>2</v>
      </c>
      <c r="C2883" t="s">
        <v>35</v>
      </c>
      <c r="D2883" t="str">
        <f>_xlfn.XLOOKUP(C2883,'Carrier Name Rename'!A:A,'Carrier Name Rename'!B:B)</f>
        <v>JetBlue Airways</v>
      </c>
      <c r="E2883" t="s">
        <v>23</v>
      </c>
      <c r="F2883" t="s">
        <v>24</v>
      </c>
      <c r="G2883">
        <v>28</v>
      </c>
      <c r="H2883">
        <v>8</v>
      </c>
      <c r="I2883">
        <v>0.94</v>
      </c>
      <c r="J2883">
        <v>0</v>
      </c>
      <c r="K2883">
        <v>4.5199999999999996</v>
      </c>
      <c r="L2883">
        <v>0</v>
      </c>
      <c r="M2883">
        <v>2.5299999999999998</v>
      </c>
      <c r="N2883">
        <v>0</v>
      </c>
      <c r="O2883">
        <v>0</v>
      </c>
      <c r="P2883">
        <v>240</v>
      </c>
      <c r="Q2883">
        <v>35</v>
      </c>
      <c r="R2883">
        <v>0</v>
      </c>
      <c r="S2883">
        <v>151</v>
      </c>
      <c r="T2883">
        <v>0</v>
      </c>
      <c r="U2883">
        <v>54</v>
      </c>
      <c r="V2883" s="1">
        <f t="shared" ref="V2883:V2946" si="135">ROUND(H2883/G2883,4)</f>
        <v>0.28570000000000001</v>
      </c>
      <c r="W2883" s="1">
        <f t="shared" ref="W2883:W2946" si="136">ROUND(N2883/G2883,4)</f>
        <v>0</v>
      </c>
      <c r="X2883" s="1">
        <f t="shared" ref="X2883:X2946" si="137">ROUND(O2883/G2883,4)</f>
        <v>0</v>
      </c>
    </row>
    <row r="2884" spans="1:24" x14ac:dyDescent="0.25">
      <c r="A2884">
        <v>2005</v>
      </c>
      <c r="B2884">
        <v>2</v>
      </c>
      <c r="C2884" t="s">
        <v>65</v>
      </c>
      <c r="D2884" t="str">
        <f>_xlfn.XLOOKUP(C2884,'Carrier Name Rename'!A:A,'Carrier Name Rename'!B:B)</f>
        <v>Continental Air Lines Inc.</v>
      </c>
      <c r="E2884" t="s">
        <v>23</v>
      </c>
      <c r="F2884" t="s">
        <v>24</v>
      </c>
      <c r="G2884">
        <v>251</v>
      </c>
      <c r="H2884">
        <v>46</v>
      </c>
      <c r="I2884">
        <v>18.010000000000002</v>
      </c>
      <c r="J2884">
        <v>2.6</v>
      </c>
      <c r="K2884">
        <v>16.75</v>
      </c>
      <c r="L2884">
        <v>0</v>
      </c>
      <c r="M2884">
        <v>8.65</v>
      </c>
      <c r="N2884">
        <v>0</v>
      </c>
      <c r="O2884">
        <v>0</v>
      </c>
      <c r="P2884">
        <v>2131</v>
      </c>
      <c r="Q2884">
        <v>1087</v>
      </c>
      <c r="R2884">
        <v>80</v>
      </c>
      <c r="S2884">
        <v>558</v>
      </c>
      <c r="T2884">
        <v>0</v>
      </c>
      <c r="U2884">
        <v>406</v>
      </c>
      <c r="V2884" s="1">
        <f t="shared" si="135"/>
        <v>0.18329999999999999</v>
      </c>
      <c r="W2884" s="1">
        <f t="shared" si="136"/>
        <v>0</v>
      </c>
      <c r="X2884" s="1">
        <f t="shared" si="137"/>
        <v>0</v>
      </c>
    </row>
    <row r="2885" spans="1:24" x14ac:dyDescent="0.25">
      <c r="A2885">
        <v>2005</v>
      </c>
      <c r="B2885">
        <v>2</v>
      </c>
      <c r="C2885" t="s">
        <v>37</v>
      </c>
      <c r="D2885" t="str">
        <f>_xlfn.XLOOKUP(C2885,'Carrier Name Rename'!A:A,'Carrier Name Rename'!B:B)</f>
        <v>Delta Air Lines Inc.</v>
      </c>
      <c r="E2885" t="s">
        <v>23</v>
      </c>
      <c r="F2885" t="s">
        <v>24</v>
      </c>
      <c r="G2885">
        <v>435</v>
      </c>
      <c r="H2885">
        <v>67</v>
      </c>
      <c r="I2885">
        <v>17.29</v>
      </c>
      <c r="J2885">
        <v>0.92</v>
      </c>
      <c r="K2885">
        <v>33.659999999999997</v>
      </c>
      <c r="L2885">
        <v>0</v>
      </c>
      <c r="M2885">
        <v>15.12</v>
      </c>
      <c r="N2885">
        <v>2</v>
      </c>
      <c r="O2885">
        <v>1</v>
      </c>
      <c r="P2885">
        <v>2575</v>
      </c>
      <c r="Q2885">
        <v>890</v>
      </c>
      <c r="R2885">
        <v>48</v>
      </c>
      <c r="S2885">
        <v>980</v>
      </c>
      <c r="T2885">
        <v>0</v>
      </c>
      <c r="U2885">
        <v>657</v>
      </c>
      <c r="V2885" s="1">
        <f t="shared" si="135"/>
        <v>0.154</v>
      </c>
      <c r="W2885" s="1">
        <f t="shared" si="136"/>
        <v>4.5999999999999999E-3</v>
      </c>
      <c r="X2885" s="1">
        <f t="shared" si="137"/>
        <v>2.3E-3</v>
      </c>
    </row>
    <row r="2886" spans="1:24" x14ac:dyDescent="0.25">
      <c r="A2886">
        <v>2005</v>
      </c>
      <c r="B2886">
        <v>2</v>
      </c>
      <c r="C2886" t="s">
        <v>77</v>
      </c>
      <c r="D2886" t="str">
        <f>_xlfn.XLOOKUP(C2886,'Carrier Name Rename'!A:A,'Carrier Name Rename'!B:B)</f>
        <v>Atlantic Southeast Airlines</v>
      </c>
      <c r="E2886" t="s">
        <v>23</v>
      </c>
      <c r="F2886" t="s">
        <v>24</v>
      </c>
      <c r="G2886">
        <v>28</v>
      </c>
      <c r="H2886">
        <v>11</v>
      </c>
      <c r="I2886">
        <v>3.94</v>
      </c>
      <c r="J2886">
        <v>0.79</v>
      </c>
      <c r="K2886">
        <v>4.5999999999999996</v>
      </c>
      <c r="L2886">
        <v>0</v>
      </c>
      <c r="M2886">
        <v>1.67</v>
      </c>
      <c r="N2886">
        <v>1</v>
      </c>
      <c r="O2886">
        <v>0</v>
      </c>
      <c r="P2886">
        <v>336</v>
      </c>
      <c r="Q2886">
        <v>148</v>
      </c>
      <c r="R2886">
        <v>49</v>
      </c>
      <c r="S2886">
        <v>105</v>
      </c>
      <c r="T2886">
        <v>0</v>
      </c>
      <c r="U2886">
        <v>34</v>
      </c>
      <c r="V2886" s="1">
        <f t="shared" si="135"/>
        <v>0.39290000000000003</v>
      </c>
      <c r="W2886" s="1">
        <f t="shared" si="136"/>
        <v>3.5700000000000003E-2</v>
      </c>
      <c r="X2886" s="1">
        <f t="shared" si="137"/>
        <v>0</v>
      </c>
    </row>
    <row r="2887" spans="1:24" x14ac:dyDescent="0.25">
      <c r="A2887">
        <v>2005</v>
      </c>
      <c r="B2887">
        <v>2</v>
      </c>
      <c r="C2887" t="s">
        <v>21</v>
      </c>
      <c r="D2887" t="str">
        <f>_xlfn.XLOOKUP(C2887,'Carrier Name Rename'!A:A,'Carrier Name Rename'!B:B)</f>
        <v>Hawaiian Airlines Inc.</v>
      </c>
      <c r="E2887" t="s">
        <v>23</v>
      </c>
      <c r="F2887" t="s">
        <v>24</v>
      </c>
      <c r="G2887">
        <v>56</v>
      </c>
      <c r="H2887">
        <v>19</v>
      </c>
      <c r="I2887">
        <v>15.62</v>
      </c>
      <c r="J2887">
        <v>0</v>
      </c>
      <c r="K2887">
        <v>0</v>
      </c>
      <c r="L2887">
        <v>0.08</v>
      </c>
      <c r="M2887">
        <v>3.3</v>
      </c>
      <c r="N2887">
        <v>0</v>
      </c>
      <c r="O2887">
        <v>0</v>
      </c>
      <c r="P2887">
        <v>738</v>
      </c>
      <c r="Q2887">
        <v>394</v>
      </c>
      <c r="R2887">
        <v>0</v>
      </c>
      <c r="S2887">
        <v>0</v>
      </c>
      <c r="T2887">
        <v>2</v>
      </c>
      <c r="U2887">
        <v>342</v>
      </c>
      <c r="V2887" s="1">
        <f t="shared" si="135"/>
        <v>0.33929999999999999</v>
      </c>
      <c r="W2887" s="1">
        <f t="shared" si="136"/>
        <v>0</v>
      </c>
      <c r="X2887" s="1">
        <f t="shared" si="137"/>
        <v>0</v>
      </c>
    </row>
    <row r="2888" spans="1:24" x14ac:dyDescent="0.25">
      <c r="A2888">
        <v>2005</v>
      </c>
      <c r="B2888">
        <v>2</v>
      </c>
      <c r="C2888" t="s">
        <v>73</v>
      </c>
      <c r="D2888" t="str">
        <f>_xlfn.XLOOKUP(C2888,'Carrier Name Rename'!A:A,'Carrier Name Rename'!B:B)</f>
        <v>America West Airlines Inc.</v>
      </c>
      <c r="E2888" t="s">
        <v>23</v>
      </c>
      <c r="F2888" t="s">
        <v>24</v>
      </c>
      <c r="G2888">
        <v>280</v>
      </c>
      <c r="H2888">
        <v>52</v>
      </c>
      <c r="I2888">
        <v>22.18</v>
      </c>
      <c r="J2888">
        <v>0</v>
      </c>
      <c r="K2888">
        <v>11.28</v>
      </c>
      <c r="L2888">
        <v>0</v>
      </c>
      <c r="M2888">
        <v>18.54</v>
      </c>
      <c r="N2888">
        <v>4</v>
      </c>
      <c r="O2888">
        <v>1</v>
      </c>
      <c r="P2888">
        <v>2242</v>
      </c>
      <c r="Q2888">
        <v>1067</v>
      </c>
      <c r="R2888">
        <v>0</v>
      </c>
      <c r="S2888">
        <v>280</v>
      </c>
      <c r="T2888">
        <v>0</v>
      </c>
      <c r="U2888">
        <v>895</v>
      </c>
      <c r="V2888" s="1">
        <f t="shared" si="135"/>
        <v>0.1857</v>
      </c>
      <c r="W2888" s="1">
        <f t="shared" si="136"/>
        <v>1.43E-2</v>
      </c>
      <c r="X2888" s="1">
        <f t="shared" si="137"/>
        <v>3.5999999999999999E-3</v>
      </c>
    </row>
    <row r="2889" spans="1:24" x14ac:dyDescent="0.25">
      <c r="A2889">
        <v>2005</v>
      </c>
      <c r="B2889">
        <v>2</v>
      </c>
      <c r="C2889" t="s">
        <v>67</v>
      </c>
      <c r="D2889" t="str">
        <f>_xlfn.XLOOKUP(C2889,'Carrier Name Rename'!A:A,'Carrier Name Rename'!B:B)</f>
        <v>Northwest Airlines Inc.</v>
      </c>
      <c r="E2889" t="s">
        <v>23</v>
      </c>
      <c r="F2889" t="s">
        <v>24</v>
      </c>
      <c r="G2889">
        <v>305</v>
      </c>
      <c r="H2889">
        <v>58</v>
      </c>
      <c r="I2889">
        <v>23.87</v>
      </c>
      <c r="J2889">
        <v>0.85</v>
      </c>
      <c r="K2889">
        <v>25.84</v>
      </c>
      <c r="L2889">
        <v>0</v>
      </c>
      <c r="M2889">
        <v>7.44</v>
      </c>
      <c r="N2889">
        <v>0</v>
      </c>
      <c r="O2889">
        <v>1</v>
      </c>
      <c r="P2889">
        <v>2484</v>
      </c>
      <c r="Q2889">
        <v>1220</v>
      </c>
      <c r="R2889">
        <v>97</v>
      </c>
      <c r="S2889">
        <v>884</v>
      </c>
      <c r="T2889">
        <v>0</v>
      </c>
      <c r="U2889">
        <v>283</v>
      </c>
      <c r="V2889" s="1">
        <f t="shared" si="135"/>
        <v>0.19020000000000001</v>
      </c>
      <c r="W2889" s="1">
        <f t="shared" si="136"/>
        <v>0</v>
      </c>
      <c r="X2889" s="1">
        <f t="shared" si="137"/>
        <v>3.3E-3</v>
      </c>
    </row>
    <row r="2890" spans="1:24" x14ac:dyDescent="0.25">
      <c r="A2890">
        <v>2005</v>
      </c>
      <c r="B2890">
        <v>2</v>
      </c>
      <c r="C2890" t="s">
        <v>27</v>
      </c>
      <c r="D2890" t="str">
        <f>_xlfn.XLOOKUP(C2890,'Carrier Name Rename'!A:A,'Carrier Name Rename'!B:B)</f>
        <v>SkyWest Airlines Inc.</v>
      </c>
      <c r="E2890" t="s">
        <v>23</v>
      </c>
      <c r="F2890" t="s">
        <v>24</v>
      </c>
      <c r="G2890">
        <v>372</v>
      </c>
      <c r="H2890">
        <v>37</v>
      </c>
      <c r="I2890">
        <v>21</v>
      </c>
      <c r="J2890">
        <v>9</v>
      </c>
      <c r="K2890">
        <v>1</v>
      </c>
      <c r="L2890">
        <v>0</v>
      </c>
      <c r="M2890">
        <v>6</v>
      </c>
      <c r="N2890">
        <v>8</v>
      </c>
      <c r="O2890">
        <v>0</v>
      </c>
      <c r="P2890">
        <v>2233</v>
      </c>
      <c r="Q2890">
        <v>1179</v>
      </c>
      <c r="R2890">
        <v>721</v>
      </c>
      <c r="S2890">
        <v>23</v>
      </c>
      <c r="T2890">
        <v>0</v>
      </c>
      <c r="U2890">
        <v>310</v>
      </c>
      <c r="V2890" s="1">
        <f t="shared" si="135"/>
        <v>9.9500000000000005E-2</v>
      </c>
      <c r="W2890" s="1">
        <f t="shared" si="136"/>
        <v>2.1499999999999998E-2</v>
      </c>
      <c r="X2890" s="1">
        <f t="shared" si="137"/>
        <v>0</v>
      </c>
    </row>
    <row r="2891" spans="1:24" x14ac:dyDescent="0.25">
      <c r="A2891">
        <v>2005</v>
      </c>
      <c r="B2891">
        <v>2</v>
      </c>
      <c r="C2891" t="s">
        <v>79</v>
      </c>
      <c r="D2891" t="str">
        <f>_xlfn.XLOOKUP(C2891,'Carrier Name Rename'!A:A,'Carrier Name Rename'!B:B)</f>
        <v>ATA Airlines d/b/a ATA</v>
      </c>
      <c r="E2891" t="s">
        <v>23</v>
      </c>
      <c r="F2891" t="s">
        <v>24</v>
      </c>
      <c r="G2891">
        <v>34</v>
      </c>
      <c r="H2891">
        <v>9</v>
      </c>
      <c r="I2891">
        <v>2.78</v>
      </c>
      <c r="J2891">
        <v>0</v>
      </c>
      <c r="K2891">
        <v>6.22</v>
      </c>
      <c r="L2891">
        <v>0</v>
      </c>
      <c r="M2891">
        <v>0</v>
      </c>
      <c r="N2891">
        <v>1</v>
      </c>
      <c r="O2891">
        <v>0</v>
      </c>
      <c r="P2891">
        <v>376</v>
      </c>
      <c r="Q2891">
        <v>213</v>
      </c>
      <c r="R2891">
        <v>0</v>
      </c>
      <c r="S2891">
        <v>163</v>
      </c>
      <c r="T2891">
        <v>0</v>
      </c>
      <c r="U2891">
        <v>0</v>
      </c>
      <c r="V2891" s="1">
        <f t="shared" si="135"/>
        <v>0.26469999999999999</v>
      </c>
      <c r="W2891" s="1">
        <f t="shared" si="136"/>
        <v>2.9399999999999999E-2</v>
      </c>
      <c r="X2891" s="1">
        <f t="shared" si="137"/>
        <v>0</v>
      </c>
    </row>
    <row r="2892" spans="1:24" x14ac:dyDescent="0.25">
      <c r="A2892">
        <v>2005</v>
      </c>
      <c r="B2892">
        <v>2</v>
      </c>
      <c r="C2892" t="s">
        <v>41</v>
      </c>
      <c r="D2892" t="str">
        <f>_xlfn.XLOOKUP(C2892,'Carrier Name Rename'!A:A,'Carrier Name Rename'!B:B)</f>
        <v>United Air Lines Inc.</v>
      </c>
      <c r="E2892" t="s">
        <v>23</v>
      </c>
      <c r="F2892" t="s">
        <v>24</v>
      </c>
      <c r="G2892">
        <v>698</v>
      </c>
      <c r="H2892">
        <v>84</v>
      </c>
      <c r="I2892">
        <v>28.03</v>
      </c>
      <c r="J2892">
        <v>1</v>
      </c>
      <c r="K2892">
        <v>13.95</v>
      </c>
      <c r="L2892">
        <v>0</v>
      </c>
      <c r="M2892">
        <v>41.02</v>
      </c>
      <c r="N2892">
        <v>0</v>
      </c>
      <c r="O2892">
        <v>1</v>
      </c>
      <c r="P2892">
        <v>3932</v>
      </c>
      <c r="Q2892">
        <v>1302</v>
      </c>
      <c r="R2892">
        <v>25</v>
      </c>
      <c r="S2892">
        <v>447</v>
      </c>
      <c r="T2892">
        <v>0</v>
      </c>
      <c r="U2892">
        <v>2158</v>
      </c>
      <c r="V2892" s="1">
        <f t="shared" si="135"/>
        <v>0.1203</v>
      </c>
      <c r="W2892" s="1">
        <f t="shared" si="136"/>
        <v>0</v>
      </c>
      <c r="X2892" s="1">
        <f t="shared" si="137"/>
        <v>1.4E-3</v>
      </c>
    </row>
    <row r="2893" spans="1:24" x14ac:dyDescent="0.25">
      <c r="A2893">
        <v>2005</v>
      </c>
      <c r="B2893">
        <v>2</v>
      </c>
      <c r="C2893" t="s">
        <v>61</v>
      </c>
      <c r="D2893" t="str">
        <f>_xlfn.XLOOKUP(C2893,'Carrier Name Rename'!A:A,'Carrier Name Rename'!B:B)</f>
        <v>US Airways Inc.</v>
      </c>
      <c r="E2893" t="s">
        <v>23</v>
      </c>
      <c r="F2893" t="s">
        <v>24</v>
      </c>
      <c r="G2893">
        <v>133</v>
      </c>
      <c r="H2893">
        <v>35</v>
      </c>
      <c r="I2893">
        <v>20.82</v>
      </c>
      <c r="J2893">
        <v>0.03</v>
      </c>
      <c r="K2893">
        <v>5.0999999999999996</v>
      </c>
      <c r="L2893">
        <v>0</v>
      </c>
      <c r="M2893">
        <v>9.0500000000000007</v>
      </c>
      <c r="N2893">
        <v>0</v>
      </c>
      <c r="O2893">
        <v>0</v>
      </c>
      <c r="P2893">
        <v>2144</v>
      </c>
      <c r="Q2893">
        <v>1057</v>
      </c>
      <c r="R2893">
        <v>6</v>
      </c>
      <c r="S2893">
        <v>385</v>
      </c>
      <c r="T2893">
        <v>0</v>
      </c>
      <c r="U2893">
        <v>696</v>
      </c>
      <c r="V2893" s="1">
        <f t="shared" si="135"/>
        <v>0.26319999999999999</v>
      </c>
      <c r="W2893" s="1">
        <f t="shared" si="136"/>
        <v>0</v>
      </c>
      <c r="X2893" s="1">
        <f t="shared" si="137"/>
        <v>0</v>
      </c>
    </row>
    <row r="2894" spans="1:24" x14ac:dyDescent="0.25">
      <c r="A2894">
        <v>2005</v>
      </c>
      <c r="B2894">
        <v>2</v>
      </c>
      <c r="C2894" t="s">
        <v>43</v>
      </c>
      <c r="D2894" t="str">
        <f>_xlfn.XLOOKUP(C2894,'Carrier Name Rename'!A:A,'Carrier Name Rename'!B:B)</f>
        <v>Southwest Airlines Co.</v>
      </c>
      <c r="E2894" t="s">
        <v>23</v>
      </c>
      <c r="F2894" t="s">
        <v>24</v>
      </c>
      <c r="G2894">
        <v>972</v>
      </c>
      <c r="H2894">
        <v>121</v>
      </c>
      <c r="I2894">
        <v>24.04</v>
      </c>
      <c r="J2894">
        <v>1.1100000000000001</v>
      </c>
      <c r="K2894">
        <v>3.44</v>
      </c>
      <c r="L2894">
        <v>7.0000000000000007E-2</v>
      </c>
      <c r="M2894">
        <v>92.34</v>
      </c>
      <c r="N2894">
        <v>1</v>
      </c>
      <c r="O2894">
        <v>4</v>
      </c>
      <c r="P2894">
        <v>5849</v>
      </c>
      <c r="Q2894">
        <v>883</v>
      </c>
      <c r="R2894">
        <v>169</v>
      </c>
      <c r="S2894">
        <v>105</v>
      </c>
      <c r="T2894">
        <v>4</v>
      </c>
      <c r="U2894">
        <v>4688</v>
      </c>
      <c r="V2894" s="1">
        <f t="shared" si="135"/>
        <v>0.1245</v>
      </c>
      <c r="W2894" s="1">
        <f t="shared" si="136"/>
        <v>1E-3</v>
      </c>
      <c r="X2894" s="1">
        <f t="shared" si="137"/>
        <v>4.1000000000000003E-3</v>
      </c>
    </row>
    <row r="2895" spans="1:24" x14ac:dyDescent="0.25">
      <c r="A2895">
        <v>2005</v>
      </c>
      <c r="B2895">
        <v>1</v>
      </c>
      <c r="C2895" t="s">
        <v>31</v>
      </c>
      <c r="D2895" t="str">
        <f>_xlfn.XLOOKUP(C2895,'Carrier Name Rename'!A:A,'Carrier Name Rename'!B:B)</f>
        <v>American Airlines Inc.</v>
      </c>
      <c r="E2895" t="s">
        <v>23</v>
      </c>
      <c r="F2895" t="s">
        <v>24</v>
      </c>
      <c r="G2895">
        <v>485</v>
      </c>
      <c r="H2895">
        <v>125</v>
      </c>
      <c r="I2895">
        <v>32.72</v>
      </c>
      <c r="J2895">
        <v>20.92</v>
      </c>
      <c r="K2895">
        <v>37.630000000000003</v>
      </c>
      <c r="L2895">
        <v>0.45</v>
      </c>
      <c r="M2895">
        <v>33.29</v>
      </c>
      <c r="N2895">
        <v>9</v>
      </c>
      <c r="O2895">
        <v>2</v>
      </c>
      <c r="P2895">
        <v>6785</v>
      </c>
      <c r="Q2895">
        <v>1586</v>
      </c>
      <c r="R2895">
        <v>1607</v>
      </c>
      <c r="S2895">
        <v>1265</v>
      </c>
      <c r="T2895">
        <v>17</v>
      </c>
      <c r="U2895">
        <v>2310</v>
      </c>
      <c r="V2895" s="1">
        <f t="shared" si="135"/>
        <v>0.25769999999999998</v>
      </c>
      <c r="W2895" s="1">
        <f t="shared" si="136"/>
        <v>1.8599999999999998E-2</v>
      </c>
      <c r="X2895" s="1">
        <f t="shared" si="137"/>
        <v>4.1000000000000003E-3</v>
      </c>
    </row>
    <row r="2896" spans="1:24" x14ac:dyDescent="0.25">
      <c r="A2896">
        <v>2005</v>
      </c>
      <c r="B2896">
        <v>1</v>
      </c>
      <c r="C2896" t="s">
        <v>33</v>
      </c>
      <c r="D2896" t="str">
        <f>_xlfn.XLOOKUP(C2896,'Carrier Name Rename'!A:A,'Carrier Name Rename'!B:B)</f>
        <v>Alaska Airlines Inc.</v>
      </c>
      <c r="E2896" t="s">
        <v>23</v>
      </c>
      <c r="F2896" t="s">
        <v>24</v>
      </c>
      <c r="G2896">
        <v>3874</v>
      </c>
      <c r="H2896">
        <v>879</v>
      </c>
      <c r="I2896">
        <v>257.27999999999997</v>
      </c>
      <c r="J2896">
        <v>17.12</v>
      </c>
      <c r="K2896">
        <v>163.77000000000001</v>
      </c>
      <c r="L2896">
        <v>6.05</v>
      </c>
      <c r="M2896">
        <v>434.78</v>
      </c>
      <c r="N2896">
        <v>98</v>
      </c>
      <c r="O2896">
        <v>6</v>
      </c>
      <c r="P2896">
        <v>48247</v>
      </c>
      <c r="Q2896">
        <v>15744</v>
      </c>
      <c r="R2896">
        <v>1219</v>
      </c>
      <c r="S2896">
        <v>5175</v>
      </c>
      <c r="T2896">
        <v>163</v>
      </c>
      <c r="U2896">
        <v>25946</v>
      </c>
      <c r="V2896" s="1">
        <f t="shared" si="135"/>
        <v>0.22689999999999999</v>
      </c>
      <c r="W2896" s="1">
        <f t="shared" si="136"/>
        <v>2.53E-2</v>
      </c>
      <c r="X2896" s="1">
        <f t="shared" si="137"/>
        <v>1.5E-3</v>
      </c>
    </row>
    <row r="2897" spans="1:24" x14ac:dyDescent="0.25">
      <c r="A2897">
        <v>2005</v>
      </c>
      <c r="B2897">
        <v>1</v>
      </c>
      <c r="C2897" t="s">
        <v>35</v>
      </c>
      <c r="D2897" t="str">
        <f>_xlfn.XLOOKUP(C2897,'Carrier Name Rename'!A:A,'Carrier Name Rename'!B:B)</f>
        <v>JetBlue Airways</v>
      </c>
      <c r="E2897" t="s">
        <v>23</v>
      </c>
      <c r="F2897" t="s">
        <v>24</v>
      </c>
      <c r="G2897">
        <v>31</v>
      </c>
      <c r="H2897">
        <v>21</v>
      </c>
      <c r="I2897">
        <v>4.26</v>
      </c>
      <c r="J2897">
        <v>0</v>
      </c>
      <c r="K2897">
        <v>8.49</v>
      </c>
      <c r="L2897">
        <v>0</v>
      </c>
      <c r="M2897">
        <v>8.25</v>
      </c>
      <c r="N2897">
        <v>1</v>
      </c>
      <c r="O2897">
        <v>0</v>
      </c>
      <c r="P2897">
        <v>1082</v>
      </c>
      <c r="Q2897">
        <v>227</v>
      </c>
      <c r="R2897">
        <v>0</v>
      </c>
      <c r="S2897">
        <v>350</v>
      </c>
      <c r="T2897">
        <v>0</v>
      </c>
      <c r="U2897">
        <v>505</v>
      </c>
      <c r="V2897" s="1">
        <f t="shared" si="135"/>
        <v>0.6774</v>
      </c>
      <c r="W2897" s="1">
        <f t="shared" si="136"/>
        <v>3.2300000000000002E-2</v>
      </c>
      <c r="X2897" s="1">
        <f t="shared" si="137"/>
        <v>0</v>
      </c>
    </row>
    <row r="2898" spans="1:24" x14ac:dyDescent="0.25">
      <c r="A2898">
        <v>2005</v>
      </c>
      <c r="B2898">
        <v>1</v>
      </c>
      <c r="C2898" t="s">
        <v>65</v>
      </c>
      <c r="D2898" t="str">
        <f>_xlfn.XLOOKUP(C2898,'Carrier Name Rename'!A:A,'Carrier Name Rename'!B:B)</f>
        <v>Continental Air Lines Inc.</v>
      </c>
      <c r="E2898" t="s">
        <v>23</v>
      </c>
      <c r="F2898" t="s">
        <v>24</v>
      </c>
      <c r="G2898">
        <v>296</v>
      </c>
      <c r="H2898">
        <v>73</v>
      </c>
      <c r="I2898">
        <v>22.81</v>
      </c>
      <c r="J2898">
        <v>1.0900000000000001</v>
      </c>
      <c r="K2898">
        <v>39.79</v>
      </c>
      <c r="L2898">
        <v>1.51</v>
      </c>
      <c r="M2898">
        <v>7.8</v>
      </c>
      <c r="N2898">
        <v>1</v>
      </c>
      <c r="O2898">
        <v>0</v>
      </c>
      <c r="P2898">
        <v>2557</v>
      </c>
      <c r="Q2898">
        <v>812</v>
      </c>
      <c r="R2898">
        <v>79</v>
      </c>
      <c r="S2898">
        <v>1335</v>
      </c>
      <c r="T2898">
        <v>50</v>
      </c>
      <c r="U2898">
        <v>281</v>
      </c>
      <c r="V2898" s="1">
        <f t="shared" si="135"/>
        <v>0.24660000000000001</v>
      </c>
      <c r="W2898" s="1">
        <f t="shared" si="136"/>
        <v>3.3999999999999998E-3</v>
      </c>
      <c r="X2898" s="1">
        <f t="shared" si="137"/>
        <v>0</v>
      </c>
    </row>
    <row r="2899" spans="1:24" x14ac:dyDescent="0.25">
      <c r="A2899">
        <v>2005</v>
      </c>
      <c r="B2899">
        <v>1</v>
      </c>
      <c r="C2899" t="s">
        <v>37</v>
      </c>
      <c r="D2899" t="str">
        <f>_xlfn.XLOOKUP(C2899,'Carrier Name Rename'!A:A,'Carrier Name Rename'!B:B)</f>
        <v>Delta Air Lines Inc.</v>
      </c>
      <c r="E2899" t="s">
        <v>23</v>
      </c>
      <c r="F2899" t="s">
        <v>24</v>
      </c>
      <c r="G2899">
        <v>430</v>
      </c>
      <c r="H2899">
        <v>124</v>
      </c>
      <c r="I2899">
        <v>28.9</v>
      </c>
      <c r="J2899">
        <v>3.43</v>
      </c>
      <c r="K2899">
        <v>75.099999999999994</v>
      </c>
      <c r="L2899">
        <v>0</v>
      </c>
      <c r="M2899">
        <v>16.579999999999998</v>
      </c>
      <c r="N2899">
        <v>15</v>
      </c>
      <c r="O2899">
        <v>0</v>
      </c>
      <c r="P2899">
        <v>5073</v>
      </c>
      <c r="Q2899">
        <v>1630</v>
      </c>
      <c r="R2899">
        <v>189</v>
      </c>
      <c r="S2899">
        <v>2497</v>
      </c>
      <c r="T2899">
        <v>0</v>
      </c>
      <c r="U2899">
        <v>757</v>
      </c>
      <c r="V2899" s="1">
        <f t="shared" si="135"/>
        <v>0.28839999999999999</v>
      </c>
      <c r="W2899" s="1">
        <f t="shared" si="136"/>
        <v>3.49E-2</v>
      </c>
      <c r="X2899" s="1">
        <f t="shared" si="137"/>
        <v>0</v>
      </c>
    </row>
    <row r="2900" spans="1:24" x14ac:dyDescent="0.25">
      <c r="A2900">
        <v>2005</v>
      </c>
      <c r="B2900">
        <v>1</v>
      </c>
      <c r="C2900" t="s">
        <v>21</v>
      </c>
      <c r="D2900" t="str">
        <f>_xlfn.XLOOKUP(C2900,'Carrier Name Rename'!A:A,'Carrier Name Rename'!B:B)</f>
        <v>Hawaiian Airlines Inc.</v>
      </c>
      <c r="E2900" t="s">
        <v>23</v>
      </c>
      <c r="F2900" t="s">
        <v>24</v>
      </c>
      <c r="G2900">
        <v>53</v>
      </c>
      <c r="H2900">
        <v>13</v>
      </c>
      <c r="I2900">
        <v>11</v>
      </c>
      <c r="J2900">
        <v>0</v>
      </c>
      <c r="K2900">
        <v>0</v>
      </c>
      <c r="L2900">
        <v>0</v>
      </c>
      <c r="M2900">
        <v>2</v>
      </c>
      <c r="N2900">
        <v>0</v>
      </c>
      <c r="O2900">
        <v>0</v>
      </c>
      <c r="P2900">
        <v>459</v>
      </c>
      <c r="Q2900">
        <v>382</v>
      </c>
      <c r="R2900">
        <v>0</v>
      </c>
      <c r="S2900">
        <v>0</v>
      </c>
      <c r="T2900">
        <v>0</v>
      </c>
      <c r="U2900">
        <v>77</v>
      </c>
      <c r="V2900" s="1">
        <f t="shared" si="135"/>
        <v>0.24529999999999999</v>
      </c>
      <c r="W2900" s="1">
        <f t="shared" si="136"/>
        <v>0</v>
      </c>
      <c r="X2900" s="1">
        <f t="shared" si="137"/>
        <v>0</v>
      </c>
    </row>
    <row r="2901" spans="1:24" x14ac:dyDescent="0.25">
      <c r="A2901">
        <v>2005</v>
      </c>
      <c r="B2901">
        <v>1</v>
      </c>
      <c r="C2901" t="s">
        <v>73</v>
      </c>
      <c r="D2901" t="str">
        <f>_xlfn.XLOOKUP(C2901,'Carrier Name Rename'!A:A,'Carrier Name Rename'!B:B)</f>
        <v>America West Airlines Inc.</v>
      </c>
      <c r="E2901" t="s">
        <v>23</v>
      </c>
      <c r="F2901" t="s">
        <v>24</v>
      </c>
      <c r="G2901">
        <v>310</v>
      </c>
      <c r="H2901">
        <v>63</v>
      </c>
      <c r="I2901">
        <v>30.17</v>
      </c>
      <c r="J2901">
        <v>0</v>
      </c>
      <c r="K2901">
        <v>12.61</v>
      </c>
      <c r="L2901">
        <v>0</v>
      </c>
      <c r="M2901">
        <v>20.21</v>
      </c>
      <c r="N2901">
        <v>10</v>
      </c>
      <c r="O2901">
        <v>0</v>
      </c>
      <c r="P2901">
        <v>2554</v>
      </c>
      <c r="Q2901">
        <v>1196</v>
      </c>
      <c r="R2901">
        <v>0</v>
      </c>
      <c r="S2901">
        <v>316</v>
      </c>
      <c r="T2901">
        <v>0</v>
      </c>
      <c r="U2901">
        <v>1042</v>
      </c>
      <c r="V2901" s="1">
        <f t="shared" si="135"/>
        <v>0.20319999999999999</v>
      </c>
      <c r="W2901" s="1">
        <f t="shared" si="136"/>
        <v>3.2300000000000002E-2</v>
      </c>
      <c r="X2901" s="1">
        <f t="shared" si="137"/>
        <v>0</v>
      </c>
    </row>
    <row r="2902" spans="1:24" x14ac:dyDescent="0.25">
      <c r="A2902">
        <v>2005</v>
      </c>
      <c r="B2902">
        <v>1</v>
      </c>
      <c r="C2902" t="s">
        <v>67</v>
      </c>
      <c r="D2902" t="str">
        <f>_xlfn.XLOOKUP(C2902,'Carrier Name Rename'!A:A,'Carrier Name Rename'!B:B)</f>
        <v>Northwest Airlines Inc.</v>
      </c>
      <c r="E2902" t="s">
        <v>23</v>
      </c>
      <c r="F2902" t="s">
        <v>24</v>
      </c>
      <c r="G2902">
        <v>347</v>
      </c>
      <c r="H2902">
        <v>124</v>
      </c>
      <c r="I2902">
        <v>40.94</v>
      </c>
      <c r="J2902">
        <v>0.79</v>
      </c>
      <c r="K2902">
        <v>69.84</v>
      </c>
      <c r="L2902">
        <v>0.24</v>
      </c>
      <c r="M2902">
        <v>12.19</v>
      </c>
      <c r="N2902">
        <v>2</v>
      </c>
      <c r="O2902">
        <v>2</v>
      </c>
      <c r="P2902">
        <v>7119</v>
      </c>
      <c r="Q2902">
        <v>3850</v>
      </c>
      <c r="R2902">
        <v>15</v>
      </c>
      <c r="S2902">
        <v>2669</v>
      </c>
      <c r="T2902">
        <v>11</v>
      </c>
      <c r="U2902">
        <v>574</v>
      </c>
      <c r="V2902" s="1">
        <f t="shared" si="135"/>
        <v>0.35730000000000001</v>
      </c>
      <c r="W2902" s="1">
        <f t="shared" si="136"/>
        <v>5.7999999999999996E-3</v>
      </c>
      <c r="X2902" s="1">
        <f t="shared" si="137"/>
        <v>5.7999999999999996E-3</v>
      </c>
    </row>
    <row r="2903" spans="1:24" x14ac:dyDescent="0.25">
      <c r="A2903">
        <v>2005</v>
      </c>
      <c r="B2903">
        <v>1</v>
      </c>
      <c r="C2903" t="s">
        <v>27</v>
      </c>
      <c r="D2903" t="str">
        <f>_xlfn.XLOOKUP(C2903,'Carrier Name Rename'!A:A,'Carrier Name Rename'!B:B)</f>
        <v>SkyWest Airlines Inc.</v>
      </c>
      <c r="E2903" t="s">
        <v>23</v>
      </c>
      <c r="F2903" t="s">
        <v>24</v>
      </c>
      <c r="G2903">
        <v>381</v>
      </c>
      <c r="H2903">
        <v>55</v>
      </c>
      <c r="I2903">
        <v>32</v>
      </c>
      <c r="J2903">
        <v>7</v>
      </c>
      <c r="K2903">
        <v>2</v>
      </c>
      <c r="L2903">
        <v>0</v>
      </c>
      <c r="M2903">
        <v>14</v>
      </c>
      <c r="N2903">
        <v>20</v>
      </c>
      <c r="O2903">
        <v>1</v>
      </c>
      <c r="P2903">
        <v>2921</v>
      </c>
      <c r="Q2903">
        <v>1576</v>
      </c>
      <c r="R2903">
        <v>649</v>
      </c>
      <c r="S2903">
        <v>83</v>
      </c>
      <c r="T2903">
        <v>0</v>
      </c>
      <c r="U2903">
        <v>613</v>
      </c>
      <c r="V2903" s="1">
        <f t="shared" si="135"/>
        <v>0.1444</v>
      </c>
      <c r="W2903" s="1">
        <f t="shared" si="136"/>
        <v>5.2499999999999998E-2</v>
      </c>
      <c r="X2903" s="1">
        <f t="shared" si="137"/>
        <v>2.5999999999999999E-3</v>
      </c>
    </row>
    <row r="2904" spans="1:24" x14ac:dyDescent="0.25">
      <c r="A2904">
        <v>2005</v>
      </c>
      <c r="B2904">
        <v>1</v>
      </c>
      <c r="C2904" t="s">
        <v>79</v>
      </c>
      <c r="D2904" t="str">
        <f>_xlfn.XLOOKUP(C2904,'Carrier Name Rename'!A:A,'Carrier Name Rename'!B:B)</f>
        <v>ATA Airlines d/b/a ATA</v>
      </c>
      <c r="E2904" t="s">
        <v>23</v>
      </c>
      <c r="F2904" t="s">
        <v>24</v>
      </c>
      <c r="G2904">
        <v>93</v>
      </c>
      <c r="H2904">
        <v>42</v>
      </c>
      <c r="I2904">
        <v>11.18</v>
      </c>
      <c r="J2904">
        <v>1.32</v>
      </c>
      <c r="K2904">
        <v>24.98</v>
      </c>
      <c r="L2904">
        <v>0</v>
      </c>
      <c r="M2904">
        <v>4.5199999999999996</v>
      </c>
      <c r="N2904">
        <v>0</v>
      </c>
      <c r="O2904">
        <v>0</v>
      </c>
      <c r="P2904">
        <v>1759</v>
      </c>
      <c r="Q2904">
        <v>360</v>
      </c>
      <c r="R2904">
        <v>145</v>
      </c>
      <c r="S2904">
        <v>1031</v>
      </c>
      <c r="T2904">
        <v>0</v>
      </c>
      <c r="U2904">
        <v>223</v>
      </c>
      <c r="V2904" s="1">
        <f t="shared" si="135"/>
        <v>0.4516</v>
      </c>
      <c r="W2904" s="1">
        <f t="shared" si="136"/>
        <v>0</v>
      </c>
      <c r="X2904" s="1">
        <f t="shared" si="137"/>
        <v>0</v>
      </c>
    </row>
    <row r="2905" spans="1:24" x14ac:dyDescent="0.25">
      <c r="A2905">
        <v>2005</v>
      </c>
      <c r="B2905">
        <v>1</v>
      </c>
      <c r="C2905" t="s">
        <v>41</v>
      </c>
      <c r="D2905" t="str">
        <f>_xlfn.XLOOKUP(C2905,'Carrier Name Rename'!A:A,'Carrier Name Rename'!B:B)</f>
        <v>United Air Lines Inc.</v>
      </c>
      <c r="E2905" t="s">
        <v>23</v>
      </c>
      <c r="F2905" t="s">
        <v>24</v>
      </c>
      <c r="G2905">
        <v>794</v>
      </c>
      <c r="H2905">
        <v>213</v>
      </c>
      <c r="I2905">
        <v>63.13</v>
      </c>
      <c r="J2905">
        <v>3.33</v>
      </c>
      <c r="K2905">
        <v>65.59</v>
      </c>
      <c r="L2905">
        <v>0</v>
      </c>
      <c r="M2905">
        <v>80.95</v>
      </c>
      <c r="N2905">
        <v>6</v>
      </c>
      <c r="O2905">
        <v>0</v>
      </c>
      <c r="P2905">
        <v>11134</v>
      </c>
      <c r="Q2905">
        <v>3382</v>
      </c>
      <c r="R2905">
        <v>326</v>
      </c>
      <c r="S2905">
        <v>2155</v>
      </c>
      <c r="T2905">
        <v>0</v>
      </c>
      <c r="U2905">
        <v>5271</v>
      </c>
      <c r="V2905" s="1">
        <f t="shared" si="135"/>
        <v>0.26829999999999998</v>
      </c>
      <c r="W2905" s="1">
        <f t="shared" si="136"/>
        <v>7.6E-3</v>
      </c>
      <c r="X2905" s="1">
        <f t="shared" si="137"/>
        <v>0</v>
      </c>
    </row>
    <row r="2906" spans="1:24" x14ac:dyDescent="0.25">
      <c r="A2906">
        <v>2005</v>
      </c>
      <c r="B2906">
        <v>1</v>
      </c>
      <c r="C2906" t="s">
        <v>61</v>
      </c>
      <c r="D2906" t="str">
        <f>_xlfn.XLOOKUP(C2906,'Carrier Name Rename'!A:A,'Carrier Name Rename'!B:B)</f>
        <v>US Airways Inc.</v>
      </c>
      <c r="E2906" t="s">
        <v>23</v>
      </c>
      <c r="F2906" t="s">
        <v>24</v>
      </c>
      <c r="G2906">
        <v>137</v>
      </c>
      <c r="H2906">
        <v>63</v>
      </c>
      <c r="I2906">
        <v>20.95</v>
      </c>
      <c r="J2906">
        <v>0</v>
      </c>
      <c r="K2906">
        <v>29.71</v>
      </c>
      <c r="L2906">
        <v>0</v>
      </c>
      <c r="M2906">
        <v>12.33</v>
      </c>
      <c r="N2906">
        <v>4</v>
      </c>
      <c r="O2906">
        <v>1</v>
      </c>
      <c r="P2906">
        <v>3568</v>
      </c>
      <c r="Q2906">
        <v>1238</v>
      </c>
      <c r="R2906">
        <v>0</v>
      </c>
      <c r="S2906">
        <v>1243</v>
      </c>
      <c r="T2906">
        <v>0</v>
      </c>
      <c r="U2906">
        <v>1087</v>
      </c>
      <c r="V2906" s="1">
        <f t="shared" si="135"/>
        <v>0.45989999999999998</v>
      </c>
      <c r="W2906" s="1">
        <f t="shared" si="136"/>
        <v>2.92E-2</v>
      </c>
      <c r="X2906" s="1">
        <f t="shared" si="137"/>
        <v>7.3000000000000001E-3</v>
      </c>
    </row>
    <row r="2907" spans="1:24" x14ac:dyDescent="0.25">
      <c r="A2907">
        <v>2005</v>
      </c>
      <c r="B2907">
        <v>1</v>
      </c>
      <c r="C2907" t="s">
        <v>43</v>
      </c>
      <c r="D2907" t="str">
        <f>_xlfn.XLOOKUP(C2907,'Carrier Name Rename'!A:A,'Carrier Name Rename'!B:B)</f>
        <v>Southwest Airlines Co.</v>
      </c>
      <c r="E2907" t="s">
        <v>23</v>
      </c>
      <c r="F2907" t="s">
        <v>24</v>
      </c>
      <c r="G2907">
        <v>1078</v>
      </c>
      <c r="H2907">
        <v>202</v>
      </c>
      <c r="I2907">
        <v>48.12</v>
      </c>
      <c r="J2907">
        <v>3.86</v>
      </c>
      <c r="K2907">
        <v>21.88</v>
      </c>
      <c r="L2907">
        <v>2.77</v>
      </c>
      <c r="M2907">
        <v>125.39</v>
      </c>
      <c r="N2907">
        <v>19</v>
      </c>
      <c r="O2907">
        <v>2</v>
      </c>
      <c r="P2907">
        <v>9460</v>
      </c>
      <c r="Q2907">
        <v>1990</v>
      </c>
      <c r="R2907">
        <v>245</v>
      </c>
      <c r="S2907">
        <v>574</v>
      </c>
      <c r="T2907">
        <v>65</v>
      </c>
      <c r="U2907">
        <v>6586</v>
      </c>
      <c r="V2907" s="1">
        <f t="shared" si="135"/>
        <v>0.18740000000000001</v>
      </c>
      <c r="W2907" s="1">
        <f t="shared" si="136"/>
        <v>1.7600000000000001E-2</v>
      </c>
      <c r="X2907" s="1">
        <f t="shared" si="137"/>
        <v>1.9E-3</v>
      </c>
    </row>
    <row r="2908" spans="1:24" x14ac:dyDescent="0.25">
      <c r="A2908">
        <v>2004</v>
      </c>
      <c r="B2908">
        <v>12</v>
      </c>
      <c r="C2908" t="s">
        <v>31</v>
      </c>
      <c r="D2908" t="str">
        <f>_xlfn.XLOOKUP(C2908,'Carrier Name Rename'!A:A,'Carrier Name Rename'!B:B)</f>
        <v>American Airlines Inc.</v>
      </c>
      <c r="E2908" t="s">
        <v>23</v>
      </c>
      <c r="F2908" t="s">
        <v>24</v>
      </c>
      <c r="G2908">
        <v>526</v>
      </c>
      <c r="H2908">
        <v>152</v>
      </c>
      <c r="I2908">
        <v>43.69</v>
      </c>
      <c r="J2908">
        <v>23.68</v>
      </c>
      <c r="K2908">
        <v>47.76</v>
      </c>
      <c r="L2908">
        <v>0</v>
      </c>
      <c r="M2908">
        <v>36.869999999999997</v>
      </c>
      <c r="N2908">
        <v>4</v>
      </c>
      <c r="O2908">
        <v>2</v>
      </c>
      <c r="P2908">
        <v>8009</v>
      </c>
      <c r="Q2908">
        <v>1637</v>
      </c>
      <c r="R2908">
        <v>2200</v>
      </c>
      <c r="S2908">
        <v>1694</v>
      </c>
      <c r="T2908">
        <v>0</v>
      </c>
      <c r="U2908">
        <v>2478</v>
      </c>
      <c r="V2908" s="1">
        <f t="shared" si="135"/>
        <v>0.28899999999999998</v>
      </c>
      <c r="W2908" s="1">
        <f t="shared" si="136"/>
        <v>7.6E-3</v>
      </c>
      <c r="X2908" s="1">
        <f t="shared" si="137"/>
        <v>3.8E-3</v>
      </c>
    </row>
    <row r="2909" spans="1:24" x14ac:dyDescent="0.25">
      <c r="A2909">
        <v>2004</v>
      </c>
      <c r="B2909">
        <v>12</v>
      </c>
      <c r="C2909" t="s">
        <v>33</v>
      </c>
      <c r="D2909" t="str">
        <f>_xlfn.XLOOKUP(C2909,'Carrier Name Rename'!A:A,'Carrier Name Rename'!B:B)</f>
        <v>Alaska Airlines Inc.</v>
      </c>
      <c r="E2909" t="s">
        <v>23</v>
      </c>
      <c r="F2909" t="s">
        <v>24</v>
      </c>
      <c r="G2909">
        <v>3981</v>
      </c>
      <c r="H2909">
        <v>1247</v>
      </c>
      <c r="I2909">
        <v>332.64</v>
      </c>
      <c r="J2909">
        <v>13.63</v>
      </c>
      <c r="K2909">
        <v>227.2</v>
      </c>
      <c r="L2909">
        <v>6.91</v>
      </c>
      <c r="M2909">
        <v>666.63</v>
      </c>
      <c r="N2909">
        <v>104</v>
      </c>
      <c r="O2909">
        <v>17</v>
      </c>
      <c r="P2909">
        <v>80032</v>
      </c>
      <c r="Q2909">
        <v>20091</v>
      </c>
      <c r="R2909">
        <v>862</v>
      </c>
      <c r="S2909">
        <v>7455</v>
      </c>
      <c r="T2909">
        <v>294</v>
      </c>
      <c r="U2909">
        <v>51330</v>
      </c>
      <c r="V2909" s="1">
        <f t="shared" si="135"/>
        <v>0.31319999999999998</v>
      </c>
      <c r="W2909" s="1">
        <f t="shared" si="136"/>
        <v>2.6100000000000002E-2</v>
      </c>
      <c r="X2909" s="1">
        <f t="shared" si="137"/>
        <v>4.3E-3</v>
      </c>
    </row>
    <row r="2910" spans="1:24" x14ac:dyDescent="0.25">
      <c r="A2910">
        <v>2004</v>
      </c>
      <c r="B2910">
        <v>12</v>
      </c>
      <c r="C2910" t="s">
        <v>35</v>
      </c>
      <c r="D2910" t="str">
        <f>_xlfn.XLOOKUP(C2910,'Carrier Name Rename'!A:A,'Carrier Name Rename'!B:B)</f>
        <v>JetBlue Airways</v>
      </c>
      <c r="E2910" t="s">
        <v>23</v>
      </c>
      <c r="F2910" t="s">
        <v>24</v>
      </c>
      <c r="G2910">
        <v>31</v>
      </c>
      <c r="H2910">
        <v>16</v>
      </c>
      <c r="I2910">
        <v>2.97</v>
      </c>
      <c r="J2910">
        <v>0</v>
      </c>
      <c r="K2910">
        <v>6.56</v>
      </c>
      <c r="L2910">
        <v>0</v>
      </c>
      <c r="M2910">
        <v>6.47</v>
      </c>
      <c r="N2910">
        <v>0</v>
      </c>
      <c r="O2910">
        <v>0</v>
      </c>
      <c r="P2910">
        <v>770</v>
      </c>
      <c r="Q2910">
        <v>141</v>
      </c>
      <c r="R2910">
        <v>0</v>
      </c>
      <c r="S2910">
        <v>240</v>
      </c>
      <c r="T2910">
        <v>0</v>
      </c>
      <c r="U2910">
        <v>389</v>
      </c>
      <c r="V2910" s="1">
        <f t="shared" si="135"/>
        <v>0.5161</v>
      </c>
      <c r="W2910" s="1">
        <f t="shared" si="136"/>
        <v>0</v>
      </c>
      <c r="X2910" s="1">
        <f t="shared" si="137"/>
        <v>0</v>
      </c>
    </row>
    <row r="2911" spans="1:24" x14ac:dyDescent="0.25">
      <c r="A2911">
        <v>2004</v>
      </c>
      <c r="B2911">
        <v>12</v>
      </c>
      <c r="C2911" t="s">
        <v>65</v>
      </c>
      <c r="D2911" t="str">
        <f>_xlfn.XLOOKUP(C2911,'Carrier Name Rename'!A:A,'Carrier Name Rename'!B:B)</f>
        <v>Continental Air Lines Inc.</v>
      </c>
      <c r="E2911" t="s">
        <v>23</v>
      </c>
      <c r="F2911" t="s">
        <v>24</v>
      </c>
      <c r="G2911">
        <v>336</v>
      </c>
      <c r="H2911">
        <v>128</v>
      </c>
      <c r="I2911">
        <v>31.43</v>
      </c>
      <c r="J2911">
        <v>6.3</v>
      </c>
      <c r="K2911">
        <v>56.68</v>
      </c>
      <c r="L2911">
        <v>4.1900000000000004</v>
      </c>
      <c r="M2911">
        <v>29.4</v>
      </c>
      <c r="N2911">
        <v>0</v>
      </c>
      <c r="O2911">
        <v>0</v>
      </c>
      <c r="P2911">
        <v>5150</v>
      </c>
      <c r="Q2911">
        <v>1291</v>
      </c>
      <c r="R2911">
        <v>376</v>
      </c>
      <c r="S2911">
        <v>2044</v>
      </c>
      <c r="T2911">
        <v>180</v>
      </c>
      <c r="U2911">
        <v>1259</v>
      </c>
      <c r="V2911" s="1">
        <f t="shared" si="135"/>
        <v>0.38100000000000001</v>
      </c>
      <c r="W2911" s="1">
        <f t="shared" si="136"/>
        <v>0</v>
      </c>
      <c r="X2911" s="1">
        <f t="shared" si="137"/>
        <v>0</v>
      </c>
    </row>
    <row r="2912" spans="1:24" x14ac:dyDescent="0.25">
      <c r="A2912">
        <v>2004</v>
      </c>
      <c r="B2912">
        <v>12</v>
      </c>
      <c r="C2912" t="s">
        <v>37</v>
      </c>
      <c r="D2912" t="str">
        <f>_xlfn.XLOOKUP(C2912,'Carrier Name Rename'!A:A,'Carrier Name Rename'!B:B)</f>
        <v>Delta Air Lines Inc.</v>
      </c>
      <c r="E2912" t="s">
        <v>23</v>
      </c>
      <c r="F2912" t="s">
        <v>24</v>
      </c>
      <c r="G2912">
        <v>426</v>
      </c>
      <c r="H2912">
        <v>125</v>
      </c>
      <c r="I2912">
        <v>37</v>
      </c>
      <c r="J2912">
        <v>7.17</v>
      </c>
      <c r="K2912">
        <v>61.58</v>
      </c>
      <c r="L2912">
        <v>1</v>
      </c>
      <c r="M2912">
        <v>18.25</v>
      </c>
      <c r="N2912">
        <v>3</v>
      </c>
      <c r="O2912">
        <v>4</v>
      </c>
      <c r="P2912">
        <v>5257</v>
      </c>
      <c r="Q2912">
        <v>1808</v>
      </c>
      <c r="R2912">
        <v>423</v>
      </c>
      <c r="S2912">
        <v>1929</v>
      </c>
      <c r="T2912">
        <v>27</v>
      </c>
      <c r="U2912">
        <v>1070</v>
      </c>
      <c r="V2912" s="1">
        <f t="shared" si="135"/>
        <v>0.29339999999999999</v>
      </c>
      <c r="W2912" s="1">
        <f t="shared" si="136"/>
        <v>7.0000000000000001E-3</v>
      </c>
      <c r="X2912" s="1">
        <f t="shared" si="137"/>
        <v>9.4000000000000004E-3</v>
      </c>
    </row>
    <row r="2913" spans="1:24" x14ac:dyDescent="0.25">
      <c r="A2913">
        <v>2004</v>
      </c>
      <c r="B2913">
        <v>12</v>
      </c>
      <c r="C2913" t="s">
        <v>21</v>
      </c>
      <c r="D2913" t="str">
        <f>_xlfn.XLOOKUP(C2913,'Carrier Name Rename'!A:A,'Carrier Name Rename'!B:B)</f>
        <v>Hawaiian Airlines Inc.</v>
      </c>
      <c r="E2913" t="s">
        <v>23</v>
      </c>
      <c r="F2913" t="s">
        <v>24</v>
      </c>
      <c r="G2913">
        <v>62</v>
      </c>
      <c r="H2913">
        <v>32</v>
      </c>
      <c r="I2913">
        <v>28.09</v>
      </c>
      <c r="J2913">
        <v>0</v>
      </c>
      <c r="K2913">
        <v>0</v>
      </c>
      <c r="L2913">
        <v>0</v>
      </c>
      <c r="M2913">
        <v>3.91</v>
      </c>
      <c r="N2913">
        <v>0</v>
      </c>
      <c r="O2913">
        <v>0</v>
      </c>
      <c r="P2913">
        <v>1331</v>
      </c>
      <c r="Q2913">
        <v>1139</v>
      </c>
      <c r="R2913">
        <v>0</v>
      </c>
      <c r="S2913">
        <v>0</v>
      </c>
      <c r="T2913">
        <v>0</v>
      </c>
      <c r="U2913">
        <v>192</v>
      </c>
      <c r="V2913" s="1">
        <f t="shared" si="135"/>
        <v>0.5161</v>
      </c>
      <c r="W2913" s="1">
        <f t="shared" si="136"/>
        <v>0</v>
      </c>
      <c r="X2913" s="1">
        <f t="shared" si="137"/>
        <v>0</v>
      </c>
    </row>
    <row r="2914" spans="1:24" x14ac:dyDescent="0.25">
      <c r="A2914">
        <v>2004</v>
      </c>
      <c r="B2914">
        <v>12</v>
      </c>
      <c r="C2914" t="s">
        <v>73</v>
      </c>
      <c r="D2914" t="str">
        <f>_xlfn.XLOOKUP(C2914,'Carrier Name Rename'!A:A,'Carrier Name Rename'!B:B)</f>
        <v>America West Airlines Inc.</v>
      </c>
      <c r="E2914" t="s">
        <v>23</v>
      </c>
      <c r="F2914" t="s">
        <v>24</v>
      </c>
      <c r="G2914">
        <v>309</v>
      </c>
      <c r="H2914">
        <v>87</v>
      </c>
      <c r="I2914">
        <v>34.86</v>
      </c>
      <c r="J2914">
        <v>1.41</v>
      </c>
      <c r="K2914">
        <v>29.79</v>
      </c>
      <c r="L2914">
        <v>0.28999999999999998</v>
      </c>
      <c r="M2914">
        <v>20.65</v>
      </c>
      <c r="N2914">
        <v>4</v>
      </c>
      <c r="O2914">
        <v>6</v>
      </c>
      <c r="P2914">
        <v>3554</v>
      </c>
      <c r="Q2914">
        <v>1448</v>
      </c>
      <c r="R2914">
        <v>60</v>
      </c>
      <c r="S2914">
        <v>808</v>
      </c>
      <c r="T2914">
        <v>6</v>
      </c>
      <c r="U2914">
        <v>1232</v>
      </c>
      <c r="V2914" s="1">
        <f t="shared" si="135"/>
        <v>0.28160000000000002</v>
      </c>
      <c r="W2914" s="1">
        <f t="shared" si="136"/>
        <v>1.29E-2</v>
      </c>
      <c r="X2914" s="1">
        <f t="shared" si="137"/>
        <v>1.9400000000000001E-2</v>
      </c>
    </row>
    <row r="2915" spans="1:24" x14ac:dyDescent="0.25">
      <c r="A2915">
        <v>2004</v>
      </c>
      <c r="B2915">
        <v>12</v>
      </c>
      <c r="C2915" t="s">
        <v>67</v>
      </c>
      <c r="D2915" t="str">
        <f>_xlfn.XLOOKUP(C2915,'Carrier Name Rename'!A:A,'Carrier Name Rename'!B:B)</f>
        <v>Northwest Airlines Inc.</v>
      </c>
      <c r="E2915" t="s">
        <v>23</v>
      </c>
      <c r="F2915" t="s">
        <v>24</v>
      </c>
      <c r="G2915">
        <v>418</v>
      </c>
      <c r="H2915">
        <v>148</v>
      </c>
      <c r="I2915">
        <v>46.79</v>
      </c>
      <c r="J2915">
        <v>1.62</v>
      </c>
      <c r="K2915">
        <v>82.72</v>
      </c>
      <c r="L2915">
        <v>0</v>
      </c>
      <c r="M2915">
        <v>16.86</v>
      </c>
      <c r="N2915">
        <v>1</v>
      </c>
      <c r="O2915">
        <v>0</v>
      </c>
      <c r="P2915">
        <v>6690</v>
      </c>
      <c r="Q2915">
        <v>3019</v>
      </c>
      <c r="R2915">
        <v>109</v>
      </c>
      <c r="S2915">
        <v>2768</v>
      </c>
      <c r="T2915">
        <v>0</v>
      </c>
      <c r="U2915">
        <v>794</v>
      </c>
      <c r="V2915" s="1">
        <f t="shared" si="135"/>
        <v>0.35410000000000003</v>
      </c>
      <c r="W2915" s="1">
        <f t="shared" si="136"/>
        <v>2.3999999999999998E-3</v>
      </c>
      <c r="X2915" s="1">
        <f t="shared" si="137"/>
        <v>0</v>
      </c>
    </row>
    <row r="2916" spans="1:24" x14ac:dyDescent="0.25">
      <c r="A2916">
        <v>2004</v>
      </c>
      <c r="B2916">
        <v>12</v>
      </c>
      <c r="C2916" t="s">
        <v>27</v>
      </c>
      <c r="D2916" t="str">
        <f>_xlfn.XLOOKUP(C2916,'Carrier Name Rename'!A:A,'Carrier Name Rename'!B:B)</f>
        <v>SkyWest Airlines Inc.</v>
      </c>
      <c r="E2916" t="s">
        <v>23</v>
      </c>
      <c r="F2916" t="s">
        <v>24</v>
      </c>
      <c r="G2916">
        <v>379</v>
      </c>
      <c r="H2916">
        <v>55</v>
      </c>
      <c r="I2916">
        <v>32</v>
      </c>
      <c r="J2916">
        <v>11</v>
      </c>
      <c r="K2916">
        <v>2</v>
      </c>
      <c r="L2916">
        <v>1</v>
      </c>
      <c r="M2916">
        <v>9</v>
      </c>
      <c r="N2916">
        <v>32</v>
      </c>
      <c r="O2916">
        <v>0</v>
      </c>
      <c r="P2916">
        <v>3040</v>
      </c>
      <c r="Q2916">
        <v>1327</v>
      </c>
      <c r="R2916">
        <v>1363</v>
      </c>
      <c r="S2916">
        <v>62</v>
      </c>
      <c r="T2916">
        <v>15</v>
      </c>
      <c r="U2916">
        <v>273</v>
      </c>
      <c r="V2916" s="1">
        <f t="shared" si="135"/>
        <v>0.14510000000000001</v>
      </c>
      <c r="W2916" s="1">
        <f t="shared" si="136"/>
        <v>8.4400000000000003E-2</v>
      </c>
      <c r="X2916" s="1">
        <f t="shared" si="137"/>
        <v>0</v>
      </c>
    </row>
    <row r="2917" spans="1:24" x14ac:dyDescent="0.25">
      <c r="A2917">
        <v>2004</v>
      </c>
      <c r="B2917">
        <v>12</v>
      </c>
      <c r="C2917" t="s">
        <v>79</v>
      </c>
      <c r="D2917" t="str">
        <f>_xlfn.XLOOKUP(C2917,'Carrier Name Rename'!A:A,'Carrier Name Rename'!B:B)</f>
        <v>ATA Airlines d/b/a ATA</v>
      </c>
      <c r="E2917" t="s">
        <v>23</v>
      </c>
      <c r="F2917" t="s">
        <v>24</v>
      </c>
      <c r="G2917">
        <v>120</v>
      </c>
      <c r="H2917">
        <v>65</v>
      </c>
      <c r="I2917">
        <v>24.06</v>
      </c>
      <c r="J2917">
        <v>0</v>
      </c>
      <c r="K2917">
        <v>30.58</v>
      </c>
      <c r="L2917">
        <v>1.41</v>
      </c>
      <c r="M2917">
        <v>8.9499999999999993</v>
      </c>
      <c r="N2917">
        <v>2</v>
      </c>
      <c r="O2917">
        <v>0</v>
      </c>
      <c r="P2917">
        <v>3221</v>
      </c>
      <c r="Q2917">
        <v>970</v>
      </c>
      <c r="R2917">
        <v>0</v>
      </c>
      <c r="S2917">
        <v>1552</v>
      </c>
      <c r="T2917">
        <v>39</v>
      </c>
      <c r="U2917">
        <v>660</v>
      </c>
      <c r="V2917" s="1">
        <f t="shared" si="135"/>
        <v>0.54169999999999996</v>
      </c>
      <c r="W2917" s="1">
        <f t="shared" si="136"/>
        <v>1.67E-2</v>
      </c>
      <c r="X2917" s="1">
        <f t="shared" si="137"/>
        <v>0</v>
      </c>
    </row>
    <row r="2918" spans="1:24" x14ac:dyDescent="0.25">
      <c r="A2918">
        <v>2004</v>
      </c>
      <c r="B2918">
        <v>12</v>
      </c>
      <c r="C2918" t="s">
        <v>41</v>
      </c>
      <c r="D2918" t="str">
        <f>_xlfn.XLOOKUP(C2918,'Carrier Name Rename'!A:A,'Carrier Name Rename'!B:B)</f>
        <v>United Air Lines Inc.</v>
      </c>
      <c r="E2918" t="s">
        <v>23</v>
      </c>
      <c r="F2918" t="s">
        <v>24</v>
      </c>
      <c r="G2918">
        <v>893</v>
      </c>
      <c r="H2918">
        <v>236</v>
      </c>
      <c r="I2918">
        <v>88.32</v>
      </c>
      <c r="J2918">
        <v>5.92</v>
      </c>
      <c r="K2918">
        <v>62.59</v>
      </c>
      <c r="L2918">
        <v>0</v>
      </c>
      <c r="M2918">
        <v>79.17</v>
      </c>
      <c r="N2918">
        <v>6</v>
      </c>
      <c r="O2918">
        <v>4</v>
      </c>
      <c r="P2918">
        <v>10417</v>
      </c>
      <c r="Q2918">
        <v>3923</v>
      </c>
      <c r="R2918">
        <v>316</v>
      </c>
      <c r="S2918">
        <v>1788</v>
      </c>
      <c r="T2918">
        <v>0</v>
      </c>
      <c r="U2918">
        <v>4390</v>
      </c>
      <c r="V2918" s="1">
        <f t="shared" si="135"/>
        <v>0.26429999999999998</v>
      </c>
      <c r="W2918" s="1">
        <f t="shared" si="136"/>
        <v>6.7000000000000002E-3</v>
      </c>
      <c r="X2918" s="1">
        <f t="shared" si="137"/>
        <v>4.4999999999999997E-3</v>
      </c>
    </row>
    <row r="2919" spans="1:24" x14ac:dyDescent="0.25">
      <c r="A2919">
        <v>2004</v>
      </c>
      <c r="B2919">
        <v>12</v>
      </c>
      <c r="C2919" t="s">
        <v>61</v>
      </c>
      <c r="D2919" t="str">
        <f>_xlfn.XLOOKUP(C2919,'Carrier Name Rename'!A:A,'Carrier Name Rename'!B:B)</f>
        <v>US Airways Inc.</v>
      </c>
      <c r="E2919" t="s">
        <v>23</v>
      </c>
      <c r="F2919" t="s">
        <v>24</v>
      </c>
      <c r="G2919">
        <v>142</v>
      </c>
      <c r="H2919">
        <v>65</v>
      </c>
      <c r="I2919">
        <v>29.25</v>
      </c>
      <c r="J2919">
        <v>0.27</v>
      </c>
      <c r="K2919">
        <v>19.2</v>
      </c>
      <c r="L2919">
        <v>0</v>
      </c>
      <c r="M2919">
        <v>16.28</v>
      </c>
      <c r="N2919">
        <v>0</v>
      </c>
      <c r="O2919">
        <v>0</v>
      </c>
      <c r="P2919">
        <v>3878</v>
      </c>
      <c r="Q2919">
        <v>1698</v>
      </c>
      <c r="R2919">
        <v>9</v>
      </c>
      <c r="S2919">
        <v>696</v>
      </c>
      <c r="T2919">
        <v>0</v>
      </c>
      <c r="U2919">
        <v>1475</v>
      </c>
      <c r="V2919" s="1">
        <f t="shared" si="135"/>
        <v>0.4577</v>
      </c>
      <c r="W2919" s="1">
        <f t="shared" si="136"/>
        <v>0</v>
      </c>
      <c r="X2919" s="1">
        <f t="shared" si="137"/>
        <v>0</v>
      </c>
    </row>
    <row r="2920" spans="1:24" x14ac:dyDescent="0.25">
      <c r="A2920">
        <v>2004</v>
      </c>
      <c r="B2920">
        <v>12</v>
      </c>
      <c r="C2920" t="s">
        <v>43</v>
      </c>
      <c r="D2920" t="str">
        <f>_xlfn.XLOOKUP(C2920,'Carrier Name Rename'!A:A,'Carrier Name Rename'!B:B)</f>
        <v>Southwest Airlines Co.</v>
      </c>
      <c r="E2920" t="s">
        <v>23</v>
      </c>
      <c r="F2920" t="s">
        <v>24</v>
      </c>
      <c r="G2920">
        <v>1088</v>
      </c>
      <c r="H2920">
        <v>323</v>
      </c>
      <c r="I2920">
        <v>80.06</v>
      </c>
      <c r="J2920">
        <v>6.67</v>
      </c>
      <c r="K2920">
        <v>49.01</v>
      </c>
      <c r="L2920">
        <v>2.0099999999999998</v>
      </c>
      <c r="M2920">
        <v>185.25</v>
      </c>
      <c r="N2920">
        <v>10</v>
      </c>
      <c r="O2920">
        <v>2</v>
      </c>
      <c r="P2920">
        <v>16338</v>
      </c>
      <c r="Q2920">
        <v>3669</v>
      </c>
      <c r="R2920">
        <v>302</v>
      </c>
      <c r="S2920">
        <v>1586</v>
      </c>
      <c r="T2920">
        <v>57</v>
      </c>
      <c r="U2920">
        <v>10724</v>
      </c>
      <c r="V2920" s="1">
        <f t="shared" si="135"/>
        <v>0.2969</v>
      </c>
      <c r="W2920" s="1">
        <f t="shared" si="136"/>
        <v>9.1999999999999998E-3</v>
      </c>
      <c r="X2920" s="1">
        <f t="shared" si="137"/>
        <v>1.8E-3</v>
      </c>
    </row>
    <row r="2921" spans="1:24" x14ac:dyDescent="0.25">
      <c r="A2921">
        <v>2004</v>
      </c>
      <c r="B2921">
        <v>11</v>
      </c>
      <c r="C2921" t="s">
        <v>31</v>
      </c>
      <c r="D2921" t="str">
        <f>_xlfn.XLOOKUP(C2921,'Carrier Name Rename'!A:A,'Carrier Name Rename'!B:B)</f>
        <v>American Airlines Inc.</v>
      </c>
      <c r="E2921" t="s">
        <v>23</v>
      </c>
      <c r="F2921" t="s">
        <v>24</v>
      </c>
      <c r="G2921">
        <v>520</v>
      </c>
      <c r="H2921">
        <v>88</v>
      </c>
      <c r="I2921">
        <v>27.93</v>
      </c>
      <c r="J2921">
        <v>11.37</v>
      </c>
      <c r="K2921">
        <v>22.17</v>
      </c>
      <c r="L2921">
        <v>0</v>
      </c>
      <c r="M2921">
        <v>26.52</v>
      </c>
      <c r="N2921">
        <v>1</v>
      </c>
      <c r="O2921">
        <v>6</v>
      </c>
      <c r="P2921">
        <v>5625</v>
      </c>
      <c r="Q2921">
        <v>1899</v>
      </c>
      <c r="R2921">
        <v>962</v>
      </c>
      <c r="S2921">
        <v>768</v>
      </c>
      <c r="T2921">
        <v>0</v>
      </c>
      <c r="U2921">
        <v>1996</v>
      </c>
      <c r="V2921" s="1">
        <f t="shared" si="135"/>
        <v>0.16919999999999999</v>
      </c>
      <c r="W2921" s="1">
        <f t="shared" si="136"/>
        <v>1.9E-3</v>
      </c>
      <c r="X2921" s="1">
        <f t="shared" si="137"/>
        <v>1.15E-2</v>
      </c>
    </row>
    <row r="2922" spans="1:24" x14ac:dyDescent="0.25">
      <c r="A2922">
        <v>2004</v>
      </c>
      <c r="B2922">
        <v>11</v>
      </c>
      <c r="C2922" t="s">
        <v>33</v>
      </c>
      <c r="D2922" t="str">
        <f>_xlfn.XLOOKUP(C2922,'Carrier Name Rename'!A:A,'Carrier Name Rename'!B:B)</f>
        <v>Alaska Airlines Inc.</v>
      </c>
      <c r="E2922" t="s">
        <v>23</v>
      </c>
      <c r="F2922" t="s">
        <v>24</v>
      </c>
      <c r="G2922">
        <v>3857</v>
      </c>
      <c r="H2922">
        <v>996</v>
      </c>
      <c r="I2922">
        <v>246.47</v>
      </c>
      <c r="J2922">
        <v>9.58</v>
      </c>
      <c r="K2922">
        <v>243.8</v>
      </c>
      <c r="L2922">
        <v>3.63</v>
      </c>
      <c r="M2922">
        <v>492.52</v>
      </c>
      <c r="N2922">
        <v>87</v>
      </c>
      <c r="O2922">
        <v>9</v>
      </c>
      <c r="P2922">
        <v>54628</v>
      </c>
      <c r="Q2922">
        <v>14464</v>
      </c>
      <c r="R2922">
        <v>362</v>
      </c>
      <c r="S2922">
        <v>8085</v>
      </c>
      <c r="T2922">
        <v>119</v>
      </c>
      <c r="U2922">
        <v>31598</v>
      </c>
      <c r="V2922" s="1">
        <f t="shared" si="135"/>
        <v>0.25819999999999999</v>
      </c>
      <c r="W2922" s="1">
        <f t="shared" si="136"/>
        <v>2.2599999999999999E-2</v>
      </c>
      <c r="X2922" s="1">
        <f t="shared" si="137"/>
        <v>2.3E-3</v>
      </c>
    </row>
    <row r="2923" spans="1:24" x14ac:dyDescent="0.25">
      <c r="A2923">
        <v>2004</v>
      </c>
      <c r="B2923">
        <v>11</v>
      </c>
      <c r="C2923" t="s">
        <v>35</v>
      </c>
      <c r="D2923" t="str">
        <f>_xlfn.XLOOKUP(C2923,'Carrier Name Rename'!A:A,'Carrier Name Rename'!B:B)</f>
        <v>JetBlue Airways</v>
      </c>
      <c r="E2923" t="s">
        <v>23</v>
      </c>
      <c r="F2923" t="s">
        <v>24</v>
      </c>
      <c r="G2923">
        <v>30</v>
      </c>
      <c r="H2923">
        <v>5</v>
      </c>
      <c r="I2923">
        <v>0.7</v>
      </c>
      <c r="J2923">
        <v>0</v>
      </c>
      <c r="K2923">
        <v>3.22</v>
      </c>
      <c r="L2923">
        <v>0</v>
      </c>
      <c r="M2923">
        <v>1.08</v>
      </c>
      <c r="N2923">
        <v>0</v>
      </c>
      <c r="O2923">
        <v>0</v>
      </c>
      <c r="P2923">
        <v>113</v>
      </c>
      <c r="Q2923">
        <v>12</v>
      </c>
      <c r="R2923">
        <v>0</v>
      </c>
      <c r="S2923">
        <v>70</v>
      </c>
      <c r="T2923">
        <v>0</v>
      </c>
      <c r="U2923">
        <v>31</v>
      </c>
      <c r="V2923" s="1">
        <f t="shared" si="135"/>
        <v>0.16669999999999999</v>
      </c>
      <c r="W2923" s="1">
        <f t="shared" si="136"/>
        <v>0</v>
      </c>
      <c r="X2923" s="1">
        <f t="shared" si="137"/>
        <v>0</v>
      </c>
    </row>
    <row r="2924" spans="1:24" x14ac:dyDescent="0.25">
      <c r="A2924">
        <v>2004</v>
      </c>
      <c r="B2924">
        <v>11</v>
      </c>
      <c r="C2924" t="s">
        <v>65</v>
      </c>
      <c r="D2924" t="str">
        <f>_xlfn.XLOOKUP(C2924,'Carrier Name Rename'!A:A,'Carrier Name Rename'!B:B)</f>
        <v>Continental Air Lines Inc.</v>
      </c>
      <c r="E2924" t="s">
        <v>23</v>
      </c>
      <c r="F2924" t="s">
        <v>24</v>
      </c>
      <c r="G2924">
        <v>319</v>
      </c>
      <c r="H2924">
        <v>63</v>
      </c>
      <c r="I2924">
        <v>7.24</v>
      </c>
      <c r="J2924">
        <v>6.4</v>
      </c>
      <c r="K2924">
        <v>34.299999999999997</v>
      </c>
      <c r="L2924">
        <v>0.44</v>
      </c>
      <c r="M2924">
        <v>14.61</v>
      </c>
      <c r="N2924">
        <v>0</v>
      </c>
      <c r="O2924">
        <v>1</v>
      </c>
      <c r="P2924">
        <v>2878</v>
      </c>
      <c r="Q2924">
        <v>329</v>
      </c>
      <c r="R2924">
        <v>280</v>
      </c>
      <c r="S2924">
        <v>1263</v>
      </c>
      <c r="T2924">
        <v>8</v>
      </c>
      <c r="U2924">
        <v>998</v>
      </c>
      <c r="V2924" s="1">
        <f t="shared" si="135"/>
        <v>0.19750000000000001</v>
      </c>
      <c r="W2924" s="1">
        <f t="shared" si="136"/>
        <v>0</v>
      </c>
      <c r="X2924" s="1">
        <f t="shared" si="137"/>
        <v>3.0999999999999999E-3</v>
      </c>
    </row>
    <row r="2925" spans="1:24" x14ac:dyDescent="0.25">
      <c r="A2925">
        <v>2004</v>
      </c>
      <c r="B2925">
        <v>11</v>
      </c>
      <c r="C2925" t="s">
        <v>37</v>
      </c>
      <c r="D2925" t="str">
        <f>_xlfn.XLOOKUP(C2925,'Carrier Name Rename'!A:A,'Carrier Name Rename'!B:B)</f>
        <v>Delta Air Lines Inc.</v>
      </c>
      <c r="E2925" t="s">
        <v>23</v>
      </c>
      <c r="F2925" t="s">
        <v>24</v>
      </c>
      <c r="G2925">
        <v>493</v>
      </c>
      <c r="H2925">
        <v>79</v>
      </c>
      <c r="I2925">
        <v>22.29</v>
      </c>
      <c r="J2925">
        <v>0.44</v>
      </c>
      <c r="K2925">
        <v>41.42</v>
      </c>
      <c r="L2925">
        <v>0</v>
      </c>
      <c r="M2925">
        <v>14.85</v>
      </c>
      <c r="N2925">
        <v>5</v>
      </c>
      <c r="O2925">
        <v>2</v>
      </c>
      <c r="P2925">
        <v>2961</v>
      </c>
      <c r="Q2925">
        <v>1051</v>
      </c>
      <c r="R2925">
        <v>28</v>
      </c>
      <c r="S2925">
        <v>1119</v>
      </c>
      <c r="T2925">
        <v>0</v>
      </c>
      <c r="U2925">
        <v>763</v>
      </c>
      <c r="V2925" s="1">
        <f t="shared" si="135"/>
        <v>0.16020000000000001</v>
      </c>
      <c r="W2925" s="1">
        <f t="shared" si="136"/>
        <v>1.01E-2</v>
      </c>
      <c r="X2925" s="1">
        <f t="shared" si="137"/>
        <v>4.1000000000000003E-3</v>
      </c>
    </row>
    <row r="2926" spans="1:24" x14ac:dyDescent="0.25">
      <c r="A2926">
        <v>2004</v>
      </c>
      <c r="B2926">
        <v>11</v>
      </c>
      <c r="C2926" t="s">
        <v>21</v>
      </c>
      <c r="D2926" t="str">
        <f>_xlfn.XLOOKUP(C2926,'Carrier Name Rename'!A:A,'Carrier Name Rename'!B:B)</f>
        <v>Hawaiian Airlines Inc.</v>
      </c>
      <c r="E2926" t="s">
        <v>23</v>
      </c>
      <c r="F2926" t="s">
        <v>24</v>
      </c>
      <c r="G2926">
        <v>53</v>
      </c>
      <c r="H2926">
        <v>25</v>
      </c>
      <c r="I2926">
        <v>24</v>
      </c>
      <c r="J2926">
        <v>0</v>
      </c>
      <c r="K2926">
        <v>0</v>
      </c>
      <c r="L2926">
        <v>0</v>
      </c>
      <c r="M2926">
        <v>1</v>
      </c>
      <c r="N2926">
        <v>0</v>
      </c>
      <c r="O2926">
        <v>0</v>
      </c>
      <c r="P2926">
        <v>869</v>
      </c>
      <c r="Q2926">
        <v>772</v>
      </c>
      <c r="R2926">
        <v>0</v>
      </c>
      <c r="S2926">
        <v>0</v>
      </c>
      <c r="T2926">
        <v>0</v>
      </c>
      <c r="U2926">
        <v>97</v>
      </c>
      <c r="V2926" s="1">
        <f t="shared" si="135"/>
        <v>0.47170000000000001</v>
      </c>
      <c r="W2926" s="1">
        <f t="shared" si="136"/>
        <v>0</v>
      </c>
      <c r="X2926" s="1">
        <f t="shared" si="137"/>
        <v>0</v>
      </c>
    </row>
    <row r="2927" spans="1:24" x14ac:dyDescent="0.25">
      <c r="A2927">
        <v>2004</v>
      </c>
      <c r="B2927">
        <v>11</v>
      </c>
      <c r="C2927" t="s">
        <v>73</v>
      </c>
      <c r="D2927" t="str">
        <f>_xlfn.XLOOKUP(C2927,'Carrier Name Rename'!A:A,'Carrier Name Rename'!B:B)</f>
        <v>America West Airlines Inc.</v>
      </c>
      <c r="E2927" t="s">
        <v>23</v>
      </c>
      <c r="F2927" t="s">
        <v>24</v>
      </c>
      <c r="G2927">
        <v>296</v>
      </c>
      <c r="H2927">
        <v>68</v>
      </c>
      <c r="I2927">
        <v>32.17</v>
      </c>
      <c r="J2927">
        <v>1</v>
      </c>
      <c r="K2927">
        <v>20.52</v>
      </c>
      <c r="L2927">
        <v>0</v>
      </c>
      <c r="M2927">
        <v>14.31</v>
      </c>
      <c r="N2927">
        <v>5</v>
      </c>
      <c r="O2927">
        <v>2</v>
      </c>
      <c r="P2927">
        <v>2637</v>
      </c>
      <c r="Q2927">
        <v>1279</v>
      </c>
      <c r="R2927">
        <v>18</v>
      </c>
      <c r="S2927">
        <v>491</v>
      </c>
      <c r="T2927">
        <v>0</v>
      </c>
      <c r="U2927">
        <v>849</v>
      </c>
      <c r="V2927" s="1">
        <f t="shared" si="135"/>
        <v>0.22969999999999999</v>
      </c>
      <c r="W2927" s="1">
        <f t="shared" si="136"/>
        <v>1.6899999999999998E-2</v>
      </c>
      <c r="X2927" s="1">
        <f t="shared" si="137"/>
        <v>6.7999999999999996E-3</v>
      </c>
    </row>
    <row r="2928" spans="1:24" x14ac:dyDescent="0.25">
      <c r="A2928">
        <v>2004</v>
      </c>
      <c r="B2928">
        <v>11</v>
      </c>
      <c r="C2928" t="s">
        <v>67</v>
      </c>
      <c r="D2928" t="str">
        <f>_xlfn.XLOOKUP(C2928,'Carrier Name Rename'!A:A,'Carrier Name Rename'!B:B)</f>
        <v>Northwest Airlines Inc.</v>
      </c>
      <c r="E2928" t="s">
        <v>23</v>
      </c>
      <c r="F2928" t="s">
        <v>24</v>
      </c>
      <c r="G2928">
        <v>329</v>
      </c>
      <c r="H2928">
        <v>53</v>
      </c>
      <c r="I2928">
        <v>14.69</v>
      </c>
      <c r="J2928">
        <v>0.46</v>
      </c>
      <c r="K2928">
        <v>30.8</v>
      </c>
      <c r="L2928">
        <v>0</v>
      </c>
      <c r="M2928">
        <v>7.05</v>
      </c>
      <c r="N2928">
        <v>0</v>
      </c>
      <c r="O2928">
        <v>1</v>
      </c>
      <c r="P2928">
        <v>1958</v>
      </c>
      <c r="Q2928">
        <v>791</v>
      </c>
      <c r="R2928">
        <v>22</v>
      </c>
      <c r="S2928">
        <v>783</v>
      </c>
      <c r="T2928">
        <v>0</v>
      </c>
      <c r="U2928">
        <v>362</v>
      </c>
      <c r="V2928" s="1">
        <f t="shared" si="135"/>
        <v>0.16109999999999999</v>
      </c>
      <c r="W2928" s="1">
        <f t="shared" si="136"/>
        <v>0</v>
      </c>
      <c r="X2928" s="1">
        <f t="shared" si="137"/>
        <v>3.0000000000000001E-3</v>
      </c>
    </row>
    <row r="2929" spans="1:24" x14ac:dyDescent="0.25">
      <c r="A2929">
        <v>2004</v>
      </c>
      <c r="B2929">
        <v>11</v>
      </c>
      <c r="C2929" t="s">
        <v>27</v>
      </c>
      <c r="D2929" t="str">
        <f>_xlfn.XLOOKUP(C2929,'Carrier Name Rename'!A:A,'Carrier Name Rename'!B:B)</f>
        <v>SkyWest Airlines Inc.</v>
      </c>
      <c r="E2929" t="s">
        <v>23</v>
      </c>
      <c r="F2929" t="s">
        <v>24</v>
      </c>
      <c r="G2929">
        <v>370</v>
      </c>
      <c r="H2929">
        <v>44</v>
      </c>
      <c r="I2929">
        <v>26</v>
      </c>
      <c r="J2929">
        <v>8</v>
      </c>
      <c r="K2929">
        <v>3</v>
      </c>
      <c r="L2929">
        <v>0</v>
      </c>
      <c r="M2929">
        <v>7</v>
      </c>
      <c r="N2929">
        <v>28</v>
      </c>
      <c r="O2929">
        <v>1</v>
      </c>
      <c r="P2929">
        <v>2855</v>
      </c>
      <c r="Q2929">
        <v>975</v>
      </c>
      <c r="R2929">
        <v>1148</v>
      </c>
      <c r="S2929">
        <v>154</v>
      </c>
      <c r="T2929">
        <v>0</v>
      </c>
      <c r="U2929">
        <v>578</v>
      </c>
      <c r="V2929" s="1">
        <f t="shared" si="135"/>
        <v>0.11890000000000001</v>
      </c>
      <c r="W2929" s="1">
        <f t="shared" si="136"/>
        <v>7.5700000000000003E-2</v>
      </c>
      <c r="X2929" s="1">
        <f t="shared" si="137"/>
        <v>2.7000000000000001E-3</v>
      </c>
    </row>
    <row r="2930" spans="1:24" x14ac:dyDescent="0.25">
      <c r="A2930">
        <v>2004</v>
      </c>
      <c r="B2930">
        <v>11</v>
      </c>
      <c r="C2930" t="s">
        <v>79</v>
      </c>
      <c r="D2930" t="str">
        <f>_xlfn.XLOOKUP(C2930,'Carrier Name Rename'!A:A,'Carrier Name Rename'!B:B)</f>
        <v>ATA Airlines d/b/a ATA</v>
      </c>
      <c r="E2930" t="s">
        <v>23</v>
      </c>
      <c r="F2930" t="s">
        <v>24</v>
      </c>
      <c r="G2930">
        <v>117</v>
      </c>
      <c r="H2930">
        <v>11</v>
      </c>
      <c r="I2930">
        <v>4.13</v>
      </c>
      <c r="J2930">
        <v>0</v>
      </c>
      <c r="K2930">
        <v>4.3</v>
      </c>
      <c r="L2930">
        <v>0.25</v>
      </c>
      <c r="M2930">
        <v>2.3199999999999998</v>
      </c>
      <c r="N2930">
        <v>0</v>
      </c>
      <c r="O2930">
        <v>0</v>
      </c>
      <c r="P2930">
        <v>566</v>
      </c>
      <c r="Q2930">
        <v>163</v>
      </c>
      <c r="R2930">
        <v>0</v>
      </c>
      <c r="S2930">
        <v>118</v>
      </c>
      <c r="T2930">
        <v>33</v>
      </c>
      <c r="U2930">
        <v>252</v>
      </c>
      <c r="V2930" s="1">
        <f t="shared" si="135"/>
        <v>9.4E-2</v>
      </c>
      <c r="W2930" s="1">
        <f t="shared" si="136"/>
        <v>0</v>
      </c>
      <c r="X2930" s="1">
        <f t="shared" si="137"/>
        <v>0</v>
      </c>
    </row>
    <row r="2931" spans="1:24" x14ac:dyDescent="0.25">
      <c r="A2931">
        <v>2004</v>
      </c>
      <c r="B2931">
        <v>11</v>
      </c>
      <c r="C2931" t="s">
        <v>41</v>
      </c>
      <c r="D2931" t="str">
        <f>_xlfn.XLOOKUP(C2931,'Carrier Name Rename'!A:A,'Carrier Name Rename'!B:B)</f>
        <v>United Air Lines Inc.</v>
      </c>
      <c r="E2931" t="s">
        <v>23</v>
      </c>
      <c r="F2931" t="s">
        <v>24</v>
      </c>
      <c r="G2931">
        <v>846</v>
      </c>
      <c r="H2931">
        <v>125</v>
      </c>
      <c r="I2931">
        <v>40.450000000000003</v>
      </c>
      <c r="J2931">
        <v>1.51</v>
      </c>
      <c r="K2931">
        <v>35.840000000000003</v>
      </c>
      <c r="L2931">
        <v>0</v>
      </c>
      <c r="M2931">
        <v>47.19</v>
      </c>
      <c r="N2931">
        <v>2</v>
      </c>
      <c r="O2931">
        <v>1</v>
      </c>
      <c r="P2931">
        <v>6040</v>
      </c>
      <c r="Q2931">
        <v>1990</v>
      </c>
      <c r="R2931">
        <v>83</v>
      </c>
      <c r="S2931">
        <v>934</v>
      </c>
      <c r="T2931">
        <v>0</v>
      </c>
      <c r="U2931">
        <v>3033</v>
      </c>
      <c r="V2931" s="1">
        <f t="shared" si="135"/>
        <v>0.14779999999999999</v>
      </c>
      <c r="W2931" s="1">
        <f t="shared" si="136"/>
        <v>2.3999999999999998E-3</v>
      </c>
      <c r="X2931" s="1">
        <f t="shared" si="137"/>
        <v>1.1999999999999999E-3</v>
      </c>
    </row>
    <row r="2932" spans="1:24" x14ac:dyDescent="0.25">
      <c r="A2932">
        <v>2004</v>
      </c>
      <c r="B2932">
        <v>11</v>
      </c>
      <c r="C2932" t="s">
        <v>61</v>
      </c>
      <c r="D2932" t="str">
        <f>_xlfn.XLOOKUP(C2932,'Carrier Name Rename'!A:A,'Carrier Name Rename'!B:B)</f>
        <v>US Airways Inc.</v>
      </c>
      <c r="E2932" t="s">
        <v>23</v>
      </c>
      <c r="F2932" t="s">
        <v>24</v>
      </c>
      <c r="G2932">
        <v>148</v>
      </c>
      <c r="H2932">
        <v>44</v>
      </c>
      <c r="I2932">
        <v>20.07</v>
      </c>
      <c r="J2932">
        <v>0</v>
      </c>
      <c r="K2932">
        <v>13.4</v>
      </c>
      <c r="L2932">
        <v>0</v>
      </c>
      <c r="M2932">
        <v>10.53</v>
      </c>
      <c r="N2932">
        <v>1</v>
      </c>
      <c r="O2932">
        <v>0</v>
      </c>
      <c r="P2932">
        <v>1721</v>
      </c>
      <c r="Q2932">
        <v>763</v>
      </c>
      <c r="R2932">
        <v>0</v>
      </c>
      <c r="S2932">
        <v>521</v>
      </c>
      <c r="T2932">
        <v>0</v>
      </c>
      <c r="U2932">
        <v>437</v>
      </c>
      <c r="V2932" s="1">
        <f t="shared" si="135"/>
        <v>0.29730000000000001</v>
      </c>
      <c r="W2932" s="1">
        <f t="shared" si="136"/>
        <v>6.7999999999999996E-3</v>
      </c>
      <c r="X2932" s="1">
        <f t="shared" si="137"/>
        <v>0</v>
      </c>
    </row>
    <row r="2933" spans="1:24" x14ac:dyDescent="0.25">
      <c r="A2933">
        <v>2004</v>
      </c>
      <c r="B2933">
        <v>11</v>
      </c>
      <c r="C2933" t="s">
        <v>43</v>
      </c>
      <c r="D2933" t="str">
        <f>_xlfn.XLOOKUP(C2933,'Carrier Name Rename'!A:A,'Carrier Name Rename'!B:B)</f>
        <v>Southwest Airlines Co.</v>
      </c>
      <c r="E2933" t="s">
        <v>23</v>
      </c>
      <c r="F2933" t="s">
        <v>24</v>
      </c>
      <c r="G2933">
        <v>1033</v>
      </c>
      <c r="H2933">
        <v>211</v>
      </c>
      <c r="I2933">
        <v>49.34</v>
      </c>
      <c r="J2933">
        <v>5.19</v>
      </c>
      <c r="K2933">
        <v>41.38</v>
      </c>
      <c r="L2933">
        <v>1.36</v>
      </c>
      <c r="M2933">
        <v>113.72</v>
      </c>
      <c r="N2933">
        <v>7</v>
      </c>
      <c r="O2933">
        <v>1</v>
      </c>
      <c r="P2933">
        <v>9152</v>
      </c>
      <c r="Q2933">
        <v>1760</v>
      </c>
      <c r="R2933">
        <v>491</v>
      </c>
      <c r="S2933">
        <v>1214</v>
      </c>
      <c r="T2933">
        <v>37</v>
      </c>
      <c r="U2933">
        <v>5650</v>
      </c>
      <c r="V2933" s="1">
        <f t="shared" si="135"/>
        <v>0.20430000000000001</v>
      </c>
      <c r="W2933" s="1">
        <f t="shared" si="136"/>
        <v>6.7999999999999996E-3</v>
      </c>
      <c r="X2933" s="1">
        <f t="shared" si="137"/>
        <v>1E-3</v>
      </c>
    </row>
    <row r="2934" spans="1:24" x14ac:dyDescent="0.25">
      <c r="A2934">
        <v>2004</v>
      </c>
      <c r="B2934">
        <v>10</v>
      </c>
      <c r="C2934" t="s">
        <v>31</v>
      </c>
      <c r="D2934" t="str">
        <f>_xlfn.XLOOKUP(C2934,'Carrier Name Rename'!A:A,'Carrier Name Rename'!B:B)</f>
        <v>American Airlines Inc.</v>
      </c>
      <c r="E2934" t="s">
        <v>23</v>
      </c>
      <c r="F2934" t="s">
        <v>24</v>
      </c>
      <c r="G2934">
        <v>568</v>
      </c>
      <c r="H2934">
        <v>87</v>
      </c>
      <c r="I2934">
        <v>22.07</v>
      </c>
      <c r="J2934">
        <v>9.7799999999999994</v>
      </c>
      <c r="K2934">
        <v>29.95</v>
      </c>
      <c r="L2934">
        <v>0</v>
      </c>
      <c r="M2934">
        <v>25.2</v>
      </c>
      <c r="N2934">
        <v>1</v>
      </c>
      <c r="O2934">
        <v>1</v>
      </c>
      <c r="P2934">
        <v>4574</v>
      </c>
      <c r="Q2934">
        <v>1109</v>
      </c>
      <c r="R2934">
        <v>724</v>
      </c>
      <c r="S2934">
        <v>1011</v>
      </c>
      <c r="T2934">
        <v>0</v>
      </c>
      <c r="U2934">
        <v>1730</v>
      </c>
      <c r="V2934" s="1">
        <f t="shared" si="135"/>
        <v>0.1532</v>
      </c>
      <c r="W2934" s="1">
        <f t="shared" si="136"/>
        <v>1.8E-3</v>
      </c>
      <c r="X2934" s="1">
        <f t="shared" si="137"/>
        <v>1.8E-3</v>
      </c>
    </row>
    <row r="2935" spans="1:24" x14ac:dyDescent="0.25">
      <c r="A2935">
        <v>2004</v>
      </c>
      <c r="B2935">
        <v>10</v>
      </c>
      <c r="C2935" t="s">
        <v>33</v>
      </c>
      <c r="D2935" t="str">
        <f>_xlfn.XLOOKUP(C2935,'Carrier Name Rename'!A:A,'Carrier Name Rename'!B:B)</f>
        <v>Alaska Airlines Inc.</v>
      </c>
      <c r="E2935" t="s">
        <v>23</v>
      </c>
      <c r="F2935" t="s">
        <v>24</v>
      </c>
      <c r="G2935">
        <v>4152</v>
      </c>
      <c r="H2935">
        <v>706</v>
      </c>
      <c r="I2935">
        <v>170.5</v>
      </c>
      <c r="J2935">
        <v>7.33</v>
      </c>
      <c r="K2935">
        <v>188.58</v>
      </c>
      <c r="L2935">
        <v>2.21</v>
      </c>
      <c r="M2935">
        <v>337.38</v>
      </c>
      <c r="N2935">
        <v>76</v>
      </c>
      <c r="O2935">
        <v>2</v>
      </c>
      <c r="P2935">
        <v>32644</v>
      </c>
      <c r="Q2935">
        <v>10647</v>
      </c>
      <c r="R2935">
        <v>392</v>
      </c>
      <c r="S2935">
        <v>5607</v>
      </c>
      <c r="T2935">
        <v>54</v>
      </c>
      <c r="U2935">
        <v>15944</v>
      </c>
      <c r="V2935" s="1">
        <f t="shared" si="135"/>
        <v>0.17</v>
      </c>
      <c r="W2935" s="1">
        <f t="shared" si="136"/>
        <v>1.83E-2</v>
      </c>
      <c r="X2935" s="1">
        <f t="shared" si="137"/>
        <v>5.0000000000000001E-4</v>
      </c>
    </row>
    <row r="2936" spans="1:24" x14ac:dyDescent="0.25">
      <c r="A2936">
        <v>2004</v>
      </c>
      <c r="B2936">
        <v>10</v>
      </c>
      <c r="C2936" t="s">
        <v>35</v>
      </c>
      <c r="D2936" t="str">
        <f>_xlfn.XLOOKUP(C2936,'Carrier Name Rename'!A:A,'Carrier Name Rename'!B:B)</f>
        <v>JetBlue Airways</v>
      </c>
      <c r="E2936" t="s">
        <v>23</v>
      </c>
      <c r="F2936" t="s">
        <v>24</v>
      </c>
      <c r="G2936">
        <v>31</v>
      </c>
      <c r="H2936">
        <v>8</v>
      </c>
      <c r="I2936">
        <v>0</v>
      </c>
      <c r="J2936">
        <v>0</v>
      </c>
      <c r="K2936">
        <v>6.98</v>
      </c>
      <c r="L2936">
        <v>0.28999999999999998</v>
      </c>
      <c r="M2936">
        <v>0.73</v>
      </c>
      <c r="N2936">
        <v>0</v>
      </c>
      <c r="O2936">
        <v>0</v>
      </c>
      <c r="P2936">
        <v>191</v>
      </c>
      <c r="Q2936">
        <v>0</v>
      </c>
      <c r="R2936">
        <v>0</v>
      </c>
      <c r="S2936">
        <v>164</v>
      </c>
      <c r="T2936">
        <v>8</v>
      </c>
      <c r="U2936">
        <v>19</v>
      </c>
      <c r="V2936" s="1">
        <f t="shared" si="135"/>
        <v>0.2581</v>
      </c>
      <c r="W2936" s="1">
        <f t="shared" si="136"/>
        <v>0</v>
      </c>
      <c r="X2936" s="1">
        <f t="shared" si="137"/>
        <v>0</v>
      </c>
    </row>
    <row r="2937" spans="1:24" x14ac:dyDescent="0.25">
      <c r="A2937">
        <v>2004</v>
      </c>
      <c r="B2937">
        <v>10</v>
      </c>
      <c r="C2937" t="s">
        <v>65</v>
      </c>
      <c r="D2937" t="str">
        <f>_xlfn.XLOOKUP(C2937,'Carrier Name Rename'!A:A,'Carrier Name Rename'!B:B)</f>
        <v>Continental Air Lines Inc.</v>
      </c>
      <c r="E2937" t="s">
        <v>23</v>
      </c>
      <c r="F2937" t="s">
        <v>24</v>
      </c>
      <c r="G2937">
        <v>322</v>
      </c>
      <c r="H2937">
        <v>31</v>
      </c>
      <c r="I2937">
        <v>12.58</v>
      </c>
      <c r="J2937">
        <v>0</v>
      </c>
      <c r="K2937">
        <v>14.38</v>
      </c>
      <c r="L2937">
        <v>1</v>
      </c>
      <c r="M2937">
        <v>3.04</v>
      </c>
      <c r="N2937">
        <v>0</v>
      </c>
      <c r="O2937">
        <v>0</v>
      </c>
      <c r="P2937">
        <v>947</v>
      </c>
      <c r="Q2937">
        <v>356</v>
      </c>
      <c r="R2937">
        <v>0</v>
      </c>
      <c r="S2937">
        <v>375</v>
      </c>
      <c r="T2937">
        <v>24</v>
      </c>
      <c r="U2937">
        <v>192</v>
      </c>
      <c r="V2937" s="1">
        <f t="shared" si="135"/>
        <v>9.6299999999999997E-2</v>
      </c>
      <c r="W2937" s="1">
        <f t="shared" si="136"/>
        <v>0</v>
      </c>
      <c r="X2937" s="1">
        <f t="shared" si="137"/>
        <v>0</v>
      </c>
    </row>
    <row r="2938" spans="1:24" x14ac:dyDescent="0.25">
      <c r="A2938">
        <v>2004</v>
      </c>
      <c r="B2938">
        <v>10</v>
      </c>
      <c r="C2938" t="s">
        <v>37</v>
      </c>
      <c r="D2938" t="str">
        <f>_xlfn.XLOOKUP(C2938,'Carrier Name Rename'!A:A,'Carrier Name Rename'!B:B)</f>
        <v>Delta Air Lines Inc.</v>
      </c>
      <c r="E2938" t="s">
        <v>23</v>
      </c>
      <c r="F2938" t="s">
        <v>24</v>
      </c>
      <c r="G2938">
        <v>513</v>
      </c>
      <c r="H2938">
        <v>71</v>
      </c>
      <c r="I2938">
        <v>23.66</v>
      </c>
      <c r="J2938">
        <v>1</v>
      </c>
      <c r="K2938">
        <v>30.6</v>
      </c>
      <c r="L2938">
        <v>0</v>
      </c>
      <c r="M2938">
        <v>15.74</v>
      </c>
      <c r="N2938">
        <v>3</v>
      </c>
      <c r="O2938">
        <v>0</v>
      </c>
      <c r="P2938">
        <v>3474</v>
      </c>
      <c r="Q2938">
        <v>1474</v>
      </c>
      <c r="R2938">
        <v>48</v>
      </c>
      <c r="S2938">
        <v>1011</v>
      </c>
      <c r="T2938">
        <v>0</v>
      </c>
      <c r="U2938">
        <v>941</v>
      </c>
      <c r="V2938" s="1">
        <f t="shared" si="135"/>
        <v>0.1384</v>
      </c>
      <c r="W2938" s="1">
        <f t="shared" si="136"/>
        <v>5.7999999999999996E-3</v>
      </c>
      <c r="X2938" s="1">
        <f t="shared" si="137"/>
        <v>0</v>
      </c>
    </row>
    <row r="2939" spans="1:24" x14ac:dyDescent="0.25">
      <c r="A2939">
        <v>2004</v>
      </c>
      <c r="B2939">
        <v>10</v>
      </c>
      <c r="C2939" t="s">
        <v>21</v>
      </c>
      <c r="D2939" t="str">
        <f>_xlfn.XLOOKUP(C2939,'Carrier Name Rename'!A:A,'Carrier Name Rename'!B:B)</f>
        <v>Hawaiian Airlines Inc.</v>
      </c>
      <c r="E2939" t="s">
        <v>23</v>
      </c>
      <c r="F2939" t="s">
        <v>24</v>
      </c>
      <c r="G2939">
        <v>48</v>
      </c>
      <c r="H2939">
        <v>20</v>
      </c>
      <c r="I2939">
        <v>19</v>
      </c>
      <c r="J2939">
        <v>0</v>
      </c>
      <c r="K2939">
        <v>0</v>
      </c>
      <c r="L2939">
        <v>0</v>
      </c>
      <c r="M2939">
        <v>1</v>
      </c>
      <c r="N2939">
        <v>0</v>
      </c>
      <c r="O2939">
        <v>0</v>
      </c>
      <c r="P2939">
        <v>860</v>
      </c>
      <c r="Q2939">
        <v>692</v>
      </c>
      <c r="R2939">
        <v>0</v>
      </c>
      <c r="S2939">
        <v>0</v>
      </c>
      <c r="T2939">
        <v>0</v>
      </c>
      <c r="U2939">
        <v>168</v>
      </c>
      <c r="V2939" s="1">
        <f t="shared" si="135"/>
        <v>0.41670000000000001</v>
      </c>
      <c r="W2939" s="1">
        <f t="shared" si="136"/>
        <v>0</v>
      </c>
      <c r="X2939" s="1">
        <f t="shared" si="137"/>
        <v>0</v>
      </c>
    </row>
    <row r="2940" spans="1:24" x14ac:dyDescent="0.25">
      <c r="A2940">
        <v>2004</v>
      </c>
      <c r="B2940">
        <v>10</v>
      </c>
      <c r="C2940" t="s">
        <v>73</v>
      </c>
      <c r="D2940" t="str">
        <f>_xlfn.XLOOKUP(C2940,'Carrier Name Rename'!A:A,'Carrier Name Rename'!B:B)</f>
        <v>America West Airlines Inc.</v>
      </c>
      <c r="E2940" t="s">
        <v>23</v>
      </c>
      <c r="F2940" t="s">
        <v>24</v>
      </c>
      <c r="G2940">
        <v>280</v>
      </c>
      <c r="H2940">
        <v>51</v>
      </c>
      <c r="I2940">
        <v>14.95</v>
      </c>
      <c r="J2940">
        <v>0</v>
      </c>
      <c r="K2940">
        <v>22.97</v>
      </c>
      <c r="L2940">
        <v>0</v>
      </c>
      <c r="M2940">
        <v>13.08</v>
      </c>
      <c r="N2940">
        <v>1</v>
      </c>
      <c r="O2940">
        <v>0</v>
      </c>
      <c r="P2940">
        <v>2042</v>
      </c>
      <c r="Q2940">
        <v>742</v>
      </c>
      <c r="R2940">
        <v>0</v>
      </c>
      <c r="S2940">
        <v>732</v>
      </c>
      <c r="T2940">
        <v>0</v>
      </c>
      <c r="U2940">
        <v>568</v>
      </c>
      <c r="V2940" s="1">
        <f t="shared" si="135"/>
        <v>0.18210000000000001</v>
      </c>
      <c r="W2940" s="1">
        <f t="shared" si="136"/>
        <v>3.5999999999999999E-3</v>
      </c>
      <c r="X2940" s="1">
        <f t="shared" si="137"/>
        <v>0</v>
      </c>
    </row>
    <row r="2941" spans="1:24" x14ac:dyDescent="0.25">
      <c r="A2941">
        <v>2004</v>
      </c>
      <c r="B2941">
        <v>10</v>
      </c>
      <c r="C2941" t="s">
        <v>67</v>
      </c>
      <c r="D2941" t="str">
        <f>_xlfn.XLOOKUP(C2941,'Carrier Name Rename'!A:A,'Carrier Name Rename'!B:B)</f>
        <v>Northwest Airlines Inc.</v>
      </c>
      <c r="E2941" t="s">
        <v>23</v>
      </c>
      <c r="F2941" t="s">
        <v>24</v>
      </c>
      <c r="G2941">
        <v>370</v>
      </c>
      <c r="H2941">
        <v>46</v>
      </c>
      <c r="I2941">
        <v>14.39</v>
      </c>
      <c r="J2941">
        <v>0</v>
      </c>
      <c r="K2941">
        <v>24.95</v>
      </c>
      <c r="L2941">
        <v>0.92</v>
      </c>
      <c r="M2941">
        <v>5.74</v>
      </c>
      <c r="N2941">
        <v>2</v>
      </c>
      <c r="O2941">
        <v>1</v>
      </c>
      <c r="P2941">
        <v>1472</v>
      </c>
      <c r="Q2941">
        <v>490</v>
      </c>
      <c r="R2941">
        <v>0</v>
      </c>
      <c r="S2941">
        <v>653</v>
      </c>
      <c r="T2941">
        <v>80</v>
      </c>
      <c r="U2941">
        <v>249</v>
      </c>
      <c r="V2941" s="1">
        <f t="shared" si="135"/>
        <v>0.12429999999999999</v>
      </c>
      <c r="W2941" s="1">
        <f t="shared" si="136"/>
        <v>5.4000000000000003E-3</v>
      </c>
      <c r="X2941" s="1">
        <f t="shared" si="137"/>
        <v>2.7000000000000001E-3</v>
      </c>
    </row>
    <row r="2942" spans="1:24" x14ac:dyDescent="0.25">
      <c r="A2942">
        <v>2004</v>
      </c>
      <c r="B2942">
        <v>10</v>
      </c>
      <c r="C2942" t="s">
        <v>27</v>
      </c>
      <c r="D2942" t="str">
        <f>_xlfn.XLOOKUP(C2942,'Carrier Name Rename'!A:A,'Carrier Name Rename'!B:B)</f>
        <v>SkyWest Airlines Inc.</v>
      </c>
      <c r="E2942" t="s">
        <v>23</v>
      </c>
      <c r="F2942" t="s">
        <v>24</v>
      </c>
      <c r="G2942">
        <v>382</v>
      </c>
      <c r="H2942">
        <v>46</v>
      </c>
      <c r="I2942">
        <v>21</v>
      </c>
      <c r="J2942">
        <v>7</v>
      </c>
      <c r="K2942">
        <v>8</v>
      </c>
      <c r="L2942">
        <v>0</v>
      </c>
      <c r="M2942">
        <v>10</v>
      </c>
      <c r="N2942">
        <v>6</v>
      </c>
      <c r="O2942">
        <v>0</v>
      </c>
      <c r="P2942">
        <v>2706</v>
      </c>
      <c r="Q2942">
        <v>628</v>
      </c>
      <c r="R2942">
        <v>803</v>
      </c>
      <c r="S2942">
        <v>411</v>
      </c>
      <c r="T2942">
        <v>0</v>
      </c>
      <c r="U2942">
        <v>864</v>
      </c>
      <c r="V2942" s="1">
        <f t="shared" si="135"/>
        <v>0.12039999999999999</v>
      </c>
      <c r="W2942" s="1">
        <f t="shared" si="136"/>
        <v>1.5699999999999999E-2</v>
      </c>
      <c r="X2942" s="1">
        <f t="shared" si="137"/>
        <v>0</v>
      </c>
    </row>
    <row r="2943" spans="1:24" x14ac:dyDescent="0.25">
      <c r="A2943">
        <v>2004</v>
      </c>
      <c r="B2943">
        <v>10</v>
      </c>
      <c r="C2943" t="s">
        <v>79</v>
      </c>
      <c r="D2943" t="str">
        <f>_xlfn.XLOOKUP(C2943,'Carrier Name Rename'!A:A,'Carrier Name Rename'!B:B)</f>
        <v>ATA Airlines d/b/a ATA</v>
      </c>
      <c r="E2943" t="s">
        <v>23</v>
      </c>
      <c r="F2943" t="s">
        <v>24</v>
      </c>
      <c r="G2943">
        <v>124</v>
      </c>
      <c r="H2943">
        <v>15</v>
      </c>
      <c r="I2943">
        <v>3.72</v>
      </c>
      <c r="J2943">
        <v>0</v>
      </c>
      <c r="K2943">
        <v>7.89</v>
      </c>
      <c r="L2943">
        <v>0</v>
      </c>
      <c r="M2943">
        <v>3.4</v>
      </c>
      <c r="N2943">
        <v>0</v>
      </c>
      <c r="O2943">
        <v>0</v>
      </c>
      <c r="P2943">
        <v>631</v>
      </c>
      <c r="Q2943">
        <v>100</v>
      </c>
      <c r="R2943">
        <v>0</v>
      </c>
      <c r="S2943">
        <v>340</v>
      </c>
      <c r="T2943">
        <v>0</v>
      </c>
      <c r="U2943">
        <v>191</v>
      </c>
      <c r="V2943" s="1">
        <f t="shared" si="135"/>
        <v>0.121</v>
      </c>
      <c r="W2943" s="1">
        <f t="shared" si="136"/>
        <v>0</v>
      </c>
      <c r="X2943" s="1">
        <f t="shared" si="137"/>
        <v>0</v>
      </c>
    </row>
    <row r="2944" spans="1:24" x14ac:dyDescent="0.25">
      <c r="A2944">
        <v>2004</v>
      </c>
      <c r="B2944">
        <v>10</v>
      </c>
      <c r="C2944" t="s">
        <v>41</v>
      </c>
      <c r="D2944" t="str">
        <f>_xlfn.XLOOKUP(C2944,'Carrier Name Rename'!A:A,'Carrier Name Rename'!B:B)</f>
        <v>United Air Lines Inc.</v>
      </c>
      <c r="E2944" t="s">
        <v>23</v>
      </c>
      <c r="F2944" t="s">
        <v>24</v>
      </c>
      <c r="G2944">
        <v>1052</v>
      </c>
      <c r="H2944">
        <v>148</v>
      </c>
      <c r="I2944">
        <v>40.56</v>
      </c>
      <c r="J2944">
        <v>1</v>
      </c>
      <c r="K2944">
        <v>61.32</v>
      </c>
      <c r="L2944">
        <v>0</v>
      </c>
      <c r="M2944">
        <v>45.13</v>
      </c>
      <c r="N2944">
        <v>5</v>
      </c>
      <c r="O2944">
        <v>0</v>
      </c>
      <c r="P2944">
        <v>6806</v>
      </c>
      <c r="Q2944">
        <v>2141</v>
      </c>
      <c r="R2944">
        <v>65</v>
      </c>
      <c r="S2944">
        <v>1775</v>
      </c>
      <c r="T2944">
        <v>0</v>
      </c>
      <c r="U2944">
        <v>2825</v>
      </c>
      <c r="V2944" s="1">
        <f t="shared" si="135"/>
        <v>0.14069999999999999</v>
      </c>
      <c r="W2944" s="1">
        <f t="shared" si="136"/>
        <v>4.7999999999999996E-3</v>
      </c>
      <c r="X2944" s="1">
        <f t="shared" si="137"/>
        <v>0</v>
      </c>
    </row>
    <row r="2945" spans="1:24" x14ac:dyDescent="0.25">
      <c r="A2945">
        <v>2004</v>
      </c>
      <c r="B2945">
        <v>10</v>
      </c>
      <c r="C2945" t="s">
        <v>61</v>
      </c>
      <c r="D2945" t="str">
        <f>_xlfn.XLOOKUP(C2945,'Carrier Name Rename'!A:A,'Carrier Name Rename'!B:B)</f>
        <v>US Airways Inc.</v>
      </c>
      <c r="E2945" t="s">
        <v>23</v>
      </c>
      <c r="F2945" t="s">
        <v>24</v>
      </c>
      <c r="G2945">
        <v>180</v>
      </c>
      <c r="H2945">
        <v>47</v>
      </c>
      <c r="I2945">
        <v>19.27</v>
      </c>
      <c r="J2945">
        <v>1.37</v>
      </c>
      <c r="K2945">
        <v>17.28</v>
      </c>
      <c r="L2945">
        <v>0</v>
      </c>
      <c r="M2945">
        <v>9.09</v>
      </c>
      <c r="N2945">
        <v>0</v>
      </c>
      <c r="O2945">
        <v>0</v>
      </c>
      <c r="P2945">
        <v>1896</v>
      </c>
      <c r="Q2945">
        <v>877</v>
      </c>
      <c r="R2945">
        <v>101</v>
      </c>
      <c r="S2945">
        <v>507</v>
      </c>
      <c r="T2945">
        <v>0</v>
      </c>
      <c r="U2945">
        <v>411</v>
      </c>
      <c r="V2945" s="1">
        <f t="shared" si="135"/>
        <v>0.2611</v>
      </c>
      <c r="W2945" s="1">
        <f t="shared" si="136"/>
        <v>0</v>
      </c>
      <c r="X2945" s="1">
        <f t="shared" si="137"/>
        <v>0</v>
      </c>
    </row>
    <row r="2946" spans="1:24" x14ac:dyDescent="0.25">
      <c r="A2946">
        <v>2004</v>
      </c>
      <c r="B2946">
        <v>10</v>
      </c>
      <c r="C2946" t="s">
        <v>43</v>
      </c>
      <c r="D2946" t="str">
        <f>_xlfn.XLOOKUP(C2946,'Carrier Name Rename'!A:A,'Carrier Name Rename'!B:B)</f>
        <v>Southwest Airlines Co.</v>
      </c>
      <c r="E2946" t="s">
        <v>23</v>
      </c>
      <c r="F2946" t="s">
        <v>24</v>
      </c>
      <c r="G2946">
        <v>1073</v>
      </c>
      <c r="H2946">
        <v>198</v>
      </c>
      <c r="I2946">
        <v>37.15</v>
      </c>
      <c r="J2946">
        <v>3.88</v>
      </c>
      <c r="K2946">
        <v>16.48</v>
      </c>
      <c r="L2946">
        <v>0.3</v>
      </c>
      <c r="M2946">
        <v>140.19</v>
      </c>
      <c r="N2946">
        <v>6</v>
      </c>
      <c r="O2946">
        <v>2</v>
      </c>
      <c r="P2946">
        <v>8238</v>
      </c>
      <c r="Q2946">
        <v>1288</v>
      </c>
      <c r="R2946">
        <v>167</v>
      </c>
      <c r="S2946">
        <v>571</v>
      </c>
      <c r="T2946">
        <v>13</v>
      </c>
      <c r="U2946">
        <v>6199</v>
      </c>
      <c r="V2946" s="1">
        <f t="shared" si="135"/>
        <v>0.1845</v>
      </c>
      <c r="W2946" s="1">
        <f t="shared" si="136"/>
        <v>5.5999999999999999E-3</v>
      </c>
      <c r="X2946" s="1">
        <f t="shared" si="137"/>
        <v>1.9E-3</v>
      </c>
    </row>
    <row r="2947" spans="1:24" x14ac:dyDescent="0.25">
      <c r="A2947">
        <v>2004</v>
      </c>
      <c r="B2947">
        <v>9</v>
      </c>
      <c r="C2947" t="s">
        <v>31</v>
      </c>
      <c r="D2947" t="str">
        <f>_xlfn.XLOOKUP(C2947,'Carrier Name Rename'!A:A,'Carrier Name Rename'!B:B)</f>
        <v>American Airlines Inc.</v>
      </c>
      <c r="E2947" t="s">
        <v>23</v>
      </c>
      <c r="F2947" t="s">
        <v>24</v>
      </c>
      <c r="G2947">
        <v>576</v>
      </c>
      <c r="H2947">
        <v>50</v>
      </c>
      <c r="I2947">
        <v>23.53</v>
      </c>
      <c r="J2947">
        <v>1.41</v>
      </c>
      <c r="K2947">
        <v>15.18</v>
      </c>
      <c r="L2947">
        <v>0</v>
      </c>
      <c r="M2947">
        <v>9.8800000000000008</v>
      </c>
      <c r="N2947">
        <v>0</v>
      </c>
      <c r="O2947">
        <v>3</v>
      </c>
      <c r="P2947">
        <v>3161</v>
      </c>
      <c r="Q2947">
        <v>1459</v>
      </c>
      <c r="R2947">
        <v>216</v>
      </c>
      <c r="S2947">
        <v>477</v>
      </c>
      <c r="T2947">
        <v>0</v>
      </c>
      <c r="U2947">
        <v>1009</v>
      </c>
      <c r="V2947" s="1">
        <f t="shared" ref="V2947:V3010" si="138">ROUND(H2947/G2947,4)</f>
        <v>8.6800000000000002E-2</v>
      </c>
      <c r="W2947" s="1">
        <f t="shared" ref="W2947:W3010" si="139">ROUND(N2947/G2947,4)</f>
        <v>0</v>
      </c>
      <c r="X2947" s="1">
        <f t="shared" ref="X2947:X3010" si="140">ROUND(O2947/G2947,4)</f>
        <v>5.1999999999999998E-3</v>
      </c>
    </row>
    <row r="2948" spans="1:24" x14ac:dyDescent="0.25">
      <c r="A2948">
        <v>2004</v>
      </c>
      <c r="B2948">
        <v>9</v>
      </c>
      <c r="C2948" t="s">
        <v>33</v>
      </c>
      <c r="D2948" t="str">
        <f>_xlfn.XLOOKUP(C2948,'Carrier Name Rename'!A:A,'Carrier Name Rename'!B:B)</f>
        <v>Alaska Airlines Inc.</v>
      </c>
      <c r="E2948" t="s">
        <v>23</v>
      </c>
      <c r="F2948" t="s">
        <v>24</v>
      </c>
      <c r="G2948">
        <v>4171</v>
      </c>
      <c r="H2948">
        <v>713</v>
      </c>
      <c r="I2948">
        <v>158.84</v>
      </c>
      <c r="J2948">
        <v>7</v>
      </c>
      <c r="K2948">
        <v>239.51</v>
      </c>
      <c r="L2948">
        <v>10.62</v>
      </c>
      <c r="M2948">
        <v>297.04000000000002</v>
      </c>
      <c r="N2948">
        <v>57</v>
      </c>
      <c r="O2948">
        <v>6</v>
      </c>
      <c r="P2948">
        <v>32299</v>
      </c>
      <c r="Q2948">
        <v>9390</v>
      </c>
      <c r="R2948">
        <v>569</v>
      </c>
      <c r="S2948">
        <v>7671</v>
      </c>
      <c r="T2948">
        <v>416</v>
      </c>
      <c r="U2948">
        <v>14253</v>
      </c>
      <c r="V2948" s="1">
        <f t="shared" si="138"/>
        <v>0.1709</v>
      </c>
      <c r="W2948" s="1">
        <f t="shared" si="139"/>
        <v>1.37E-2</v>
      </c>
      <c r="X2948" s="1">
        <f t="shared" si="140"/>
        <v>1.4E-3</v>
      </c>
    </row>
    <row r="2949" spans="1:24" x14ac:dyDescent="0.25">
      <c r="A2949">
        <v>2004</v>
      </c>
      <c r="B2949">
        <v>9</v>
      </c>
      <c r="C2949" t="s">
        <v>35</v>
      </c>
      <c r="D2949" t="str">
        <f>_xlfn.XLOOKUP(C2949,'Carrier Name Rename'!A:A,'Carrier Name Rename'!B:B)</f>
        <v>JetBlue Airways</v>
      </c>
      <c r="E2949" t="s">
        <v>23</v>
      </c>
      <c r="F2949" t="s">
        <v>24</v>
      </c>
      <c r="G2949">
        <v>30</v>
      </c>
      <c r="H2949">
        <v>3</v>
      </c>
      <c r="I2949">
        <v>1.2</v>
      </c>
      <c r="J2949">
        <v>0</v>
      </c>
      <c r="K2949">
        <v>1.8</v>
      </c>
      <c r="L2949">
        <v>0</v>
      </c>
      <c r="M2949">
        <v>0</v>
      </c>
      <c r="N2949">
        <v>0</v>
      </c>
      <c r="O2949">
        <v>0</v>
      </c>
      <c r="P2949">
        <v>109</v>
      </c>
      <c r="Q2949">
        <v>65</v>
      </c>
      <c r="R2949">
        <v>0</v>
      </c>
      <c r="S2949">
        <v>44</v>
      </c>
      <c r="T2949">
        <v>0</v>
      </c>
      <c r="U2949">
        <v>0</v>
      </c>
      <c r="V2949" s="1">
        <f t="shared" si="138"/>
        <v>0.1</v>
      </c>
      <c r="W2949" s="1">
        <f t="shared" si="139"/>
        <v>0</v>
      </c>
      <c r="X2949" s="1">
        <f t="shared" si="140"/>
        <v>0</v>
      </c>
    </row>
    <row r="2950" spans="1:24" x14ac:dyDescent="0.25">
      <c r="A2950">
        <v>2004</v>
      </c>
      <c r="B2950">
        <v>9</v>
      </c>
      <c r="C2950" t="s">
        <v>65</v>
      </c>
      <c r="D2950" t="str">
        <f>_xlfn.XLOOKUP(C2950,'Carrier Name Rename'!A:A,'Carrier Name Rename'!B:B)</f>
        <v>Continental Air Lines Inc.</v>
      </c>
      <c r="E2950" t="s">
        <v>23</v>
      </c>
      <c r="F2950" t="s">
        <v>24</v>
      </c>
      <c r="G2950">
        <v>355</v>
      </c>
      <c r="H2950">
        <v>41</v>
      </c>
      <c r="I2950">
        <v>8.1199999999999992</v>
      </c>
      <c r="J2950">
        <v>0</v>
      </c>
      <c r="K2950">
        <v>26.26</v>
      </c>
      <c r="L2950">
        <v>0</v>
      </c>
      <c r="M2950">
        <v>6.61</v>
      </c>
      <c r="N2950">
        <v>0</v>
      </c>
      <c r="O2950">
        <v>0</v>
      </c>
      <c r="P2950">
        <v>1482</v>
      </c>
      <c r="Q2950">
        <v>520</v>
      </c>
      <c r="R2950">
        <v>0</v>
      </c>
      <c r="S2950">
        <v>730</v>
      </c>
      <c r="T2950">
        <v>0</v>
      </c>
      <c r="U2950">
        <v>232</v>
      </c>
      <c r="V2950" s="1">
        <f t="shared" si="138"/>
        <v>0.11550000000000001</v>
      </c>
      <c r="W2950" s="1">
        <f t="shared" si="139"/>
        <v>0</v>
      </c>
      <c r="X2950" s="1">
        <f t="shared" si="140"/>
        <v>0</v>
      </c>
    </row>
    <row r="2951" spans="1:24" x14ac:dyDescent="0.25">
      <c r="A2951">
        <v>2004</v>
      </c>
      <c r="B2951">
        <v>9</v>
      </c>
      <c r="C2951" t="s">
        <v>37</v>
      </c>
      <c r="D2951" t="str">
        <f>_xlfn.XLOOKUP(C2951,'Carrier Name Rename'!A:A,'Carrier Name Rename'!B:B)</f>
        <v>Delta Air Lines Inc.</v>
      </c>
      <c r="E2951" t="s">
        <v>23</v>
      </c>
      <c r="F2951" t="s">
        <v>24</v>
      </c>
      <c r="G2951">
        <v>531</v>
      </c>
      <c r="H2951">
        <v>110</v>
      </c>
      <c r="I2951">
        <v>29.5</v>
      </c>
      <c r="J2951">
        <v>4.59</v>
      </c>
      <c r="K2951">
        <v>54.46</v>
      </c>
      <c r="L2951">
        <v>0</v>
      </c>
      <c r="M2951">
        <v>21.44</v>
      </c>
      <c r="N2951">
        <v>2</v>
      </c>
      <c r="O2951">
        <v>0</v>
      </c>
      <c r="P2951">
        <v>4704</v>
      </c>
      <c r="Q2951">
        <v>1430</v>
      </c>
      <c r="R2951">
        <v>611</v>
      </c>
      <c r="S2951">
        <v>1620</v>
      </c>
      <c r="T2951">
        <v>0</v>
      </c>
      <c r="U2951">
        <v>1043</v>
      </c>
      <c r="V2951" s="1">
        <f t="shared" si="138"/>
        <v>0.2072</v>
      </c>
      <c r="W2951" s="1">
        <f t="shared" si="139"/>
        <v>3.8E-3</v>
      </c>
      <c r="X2951" s="1">
        <f t="shared" si="140"/>
        <v>0</v>
      </c>
    </row>
    <row r="2952" spans="1:24" x14ac:dyDescent="0.25">
      <c r="A2952">
        <v>2004</v>
      </c>
      <c r="B2952">
        <v>9</v>
      </c>
      <c r="C2952" t="s">
        <v>21</v>
      </c>
      <c r="D2952" t="str">
        <f>_xlfn.XLOOKUP(C2952,'Carrier Name Rename'!A:A,'Carrier Name Rename'!B:B)</f>
        <v>Hawaiian Airlines Inc.</v>
      </c>
      <c r="E2952" t="s">
        <v>23</v>
      </c>
      <c r="F2952" t="s">
        <v>24</v>
      </c>
      <c r="G2952">
        <v>51</v>
      </c>
      <c r="H2952">
        <v>9</v>
      </c>
      <c r="I2952">
        <v>8</v>
      </c>
      <c r="J2952">
        <v>0</v>
      </c>
      <c r="K2952">
        <v>0</v>
      </c>
      <c r="L2952">
        <v>0</v>
      </c>
      <c r="M2952">
        <v>1</v>
      </c>
      <c r="N2952">
        <v>0</v>
      </c>
      <c r="O2952">
        <v>0</v>
      </c>
      <c r="P2952">
        <v>228</v>
      </c>
      <c r="Q2952">
        <v>198</v>
      </c>
      <c r="R2952">
        <v>0</v>
      </c>
      <c r="S2952">
        <v>0</v>
      </c>
      <c r="T2952">
        <v>0</v>
      </c>
      <c r="U2952">
        <v>30</v>
      </c>
      <c r="V2952" s="1">
        <f t="shared" si="138"/>
        <v>0.17649999999999999</v>
      </c>
      <c r="W2952" s="1">
        <f t="shared" si="139"/>
        <v>0</v>
      </c>
      <c r="X2952" s="1">
        <f t="shared" si="140"/>
        <v>0</v>
      </c>
    </row>
    <row r="2953" spans="1:24" x14ac:dyDescent="0.25">
      <c r="A2953">
        <v>2004</v>
      </c>
      <c r="B2953">
        <v>9</v>
      </c>
      <c r="C2953" t="s">
        <v>73</v>
      </c>
      <c r="D2953" t="str">
        <f>_xlfn.XLOOKUP(C2953,'Carrier Name Rename'!A:A,'Carrier Name Rename'!B:B)</f>
        <v>America West Airlines Inc.</v>
      </c>
      <c r="E2953" t="s">
        <v>23</v>
      </c>
      <c r="F2953" t="s">
        <v>24</v>
      </c>
      <c r="G2953">
        <v>270</v>
      </c>
      <c r="H2953">
        <v>50</v>
      </c>
      <c r="I2953">
        <v>17.82</v>
      </c>
      <c r="J2953">
        <v>0</v>
      </c>
      <c r="K2953">
        <v>23.94</v>
      </c>
      <c r="L2953">
        <v>0</v>
      </c>
      <c r="M2953">
        <v>8.24</v>
      </c>
      <c r="N2953">
        <v>1</v>
      </c>
      <c r="O2953">
        <v>1</v>
      </c>
      <c r="P2953">
        <v>1889</v>
      </c>
      <c r="Q2953">
        <v>875</v>
      </c>
      <c r="R2953">
        <v>0</v>
      </c>
      <c r="S2953">
        <v>617</v>
      </c>
      <c r="T2953">
        <v>0</v>
      </c>
      <c r="U2953">
        <v>397</v>
      </c>
      <c r="V2953" s="1">
        <f t="shared" si="138"/>
        <v>0.1852</v>
      </c>
      <c r="W2953" s="1">
        <f t="shared" si="139"/>
        <v>3.7000000000000002E-3</v>
      </c>
      <c r="X2953" s="1">
        <f t="shared" si="140"/>
        <v>3.7000000000000002E-3</v>
      </c>
    </row>
    <row r="2954" spans="1:24" x14ac:dyDescent="0.25">
      <c r="A2954">
        <v>2004</v>
      </c>
      <c r="B2954">
        <v>9</v>
      </c>
      <c r="C2954" t="s">
        <v>67</v>
      </c>
      <c r="D2954" t="str">
        <f>_xlfn.XLOOKUP(C2954,'Carrier Name Rename'!A:A,'Carrier Name Rename'!B:B)</f>
        <v>Northwest Airlines Inc.</v>
      </c>
      <c r="E2954" t="s">
        <v>23</v>
      </c>
      <c r="F2954" t="s">
        <v>24</v>
      </c>
      <c r="G2954">
        <v>360</v>
      </c>
      <c r="H2954">
        <v>54</v>
      </c>
      <c r="I2954">
        <v>28.24</v>
      </c>
      <c r="J2954">
        <v>2.39</v>
      </c>
      <c r="K2954">
        <v>18.579999999999998</v>
      </c>
      <c r="L2954">
        <v>0</v>
      </c>
      <c r="M2954">
        <v>4.79</v>
      </c>
      <c r="N2954">
        <v>0</v>
      </c>
      <c r="O2954">
        <v>0</v>
      </c>
      <c r="P2954">
        <v>2146</v>
      </c>
      <c r="Q2954">
        <v>1339</v>
      </c>
      <c r="R2954">
        <v>112</v>
      </c>
      <c r="S2954">
        <v>472</v>
      </c>
      <c r="T2954">
        <v>0</v>
      </c>
      <c r="U2954">
        <v>223</v>
      </c>
      <c r="V2954" s="1">
        <f t="shared" si="138"/>
        <v>0.15</v>
      </c>
      <c r="W2954" s="1">
        <f t="shared" si="139"/>
        <v>0</v>
      </c>
      <c r="X2954" s="1">
        <f t="shared" si="140"/>
        <v>0</v>
      </c>
    </row>
    <row r="2955" spans="1:24" x14ac:dyDescent="0.25">
      <c r="A2955">
        <v>2004</v>
      </c>
      <c r="B2955">
        <v>9</v>
      </c>
      <c r="C2955" t="s">
        <v>27</v>
      </c>
      <c r="D2955" t="str">
        <f>_xlfn.XLOOKUP(C2955,'Carrier Name Rename'!A:A,'Carrier Name Rename'!B:B)</f>
        <v>SkyWest Airlines Inc.</v>
      </c>
      <c r="E2955" t="s">
        <v>23</v>
      </c>
      <c r="F2955" t="s">
        <v>24</v>
      </c>
      <c r="G2955">
        <v>401</v>
      </c>
      <c r="H2955">
        <v>47</v>
      </c>
      <c r="I2955">
        <v>20</v>
      </c>
      <c r="J2955">
        <v>9</v>
      </c>
      <c r="K2955">
        <v>11</v>
      </c>
      <c r="L2955">
        <v>0</v>
      </c>
      <c r="M2955">
        <v>7</v>
      </c>
      <c r="N2955">
        <v>9</v>
      </c>
      <c r="O2955">
        <v>0</v>
      </c>
      <c r="P2955">
        <v>2502</v>
      </c>
      <c r="Q2955">
        <v>462</v>
      </c>
      <c r="R2955">
        <v>1311</v>
      </c>
      <c r="S2955">
        <v>397</v>
      </c>
      <c r="T2955">
        <v>0</v>
      </c>
      <c r="U2955">
        <v>332</v>
      </c>
      <c r="V2955" s="1">
        <f t="shared" si="138"/>
        <v>0.1172</v>
      </c>
      <c r="W2955" s="1">
        <f t="shared" si="139"/>
        <v>2.24E-2</v>
      </c>
      <c r="X2955" s="1">
        <f t="shared" si="140"/>
        <v>0</v>
      </c>
    </row>
    <row r="2956" spans="1:24" x14ac:dyDescent="0.25">
      <c r="A2956">
        <v>2004</v>
      </c>
      <c r="B2956">
        <v>9</v>
      </c>
      <c r="C2956" t="s">
        <v>79</v>
      </c>
      <c r="D2956" t="str">
        <f>_xlfn.XLOOKUP(C2956,'Carrier Name Rename'!A:A,'Carrier Name Rename'!B:B)</f>
        <v>ATA Airlines d/b/a ATA</v>
      </c>
      <c r="E2956" t="s">
        <v>23</v>
      </c>
      <c r="F2956" t="s">
        <v>24</v>
      </c>
      <c r="G2956">
        <v>117</v>
      </c>
      <c r="H2956">
        <v>10</v>
      </c>
      <c r="I2956">
        <v>3.51</v>
      </c>
      <c r="J2956">
        <v>1</v>
      </c>
      <c r="K2956">
        <v>4.42</v>
      </c>
      <c r="L2956">
        <v>0</v>
      </c>
      <c r="M2956">
        <v>1.06</v>
      </c>
      <c r="N2956">
        <v>0</v>
      </c>
      <c r="O2956">
        <v>0</v>
      </c>
      <c r="P2956">
        <v>566</v>
      </c>
      <c r="Q2956">
        <v>139</v>
      </c>
      <c r="R2956">
        <v>89</v>
      </c>
      <c r="S2956">
        <v>307</v>
      </c>
      <c r="T2956">
        <v>0</v>
      </c>
      <c r="U2956">
        <v>31</v>
      </c>
      <c r="V2956" s="1">
        <f t="shared" si="138"/>
        <v>8.5500000000000007E-2</v>
      </c>
      <c r="W2956" s="1">
        <f t="shared" si="139"/>
        <v>0</v>
      </c>
      <c r="X2956" s="1">
        <f t="shared" si="140"/>
        <v>0</v>
      </c>
    </row>
    <row r="2957" spans="1:24" x14ac:dyDescent="0.25">
      <c r="A2957">
        <v>2004</v>
      </c>
      <c r="B2957">
        <v>9</v>
      </c>
      <c r="C2957" t="s">
        <v>41</v>
      </c>
      <c r="D2957" t="str">
        <f>_xlfn.XLOOKUP(C2957,'Carrier Name Rename'!A:A,'Carrier Name Rename'!B:B)</f>
        <v>United Air Lines Inc.</v>
      </c>
      <c r="E2957" t="s">
        <v>23</v>
      </c>
      <c r="F2957" t="s">
        <v>24</v>
      </c>
      <c r="G2957">
        <v>1086</v>
      </c>
      <c r="H2957">
        <v>150</v>
      </c>
      <c r="I2957">
        <v>37.020000000000003</v>
      </c>
      <c r="J2957">
        <v>2.58</v>
      </c>
      <c r="K2957">
        <v>67.010000000000005</v>
      </c>
      <c r="L2957">
        <v>2.35</v>
      </c>
      <c r="M2957">
        <v>41.04</v>
      </c>
      <c r="N2957">
        <v>3</v>
      </c>
      <c r="O2957">
        <v>0</v>
      </c>
      <c r="P2957">
        <v>7076</v>
      </c>
      <c r="Q2957">
        <v>1926</v>
      </c>
      <c r="R2957">
        <v>300</v>
      </c>
      <c r="S2957">
        <v>1865</v>
      </c>
      <c r="T2957">
        <v>357</v>
      </c>
      <c r="U2957">
        <v>2628</v>
      </c>
      <c r="V2957" s="1">
        <f t="shared" si="138"/>
        <v>0.1381</v>
      </c>
      <c r="W2957" s="1">
        <f t="shared" si="139"/>
        <v>2.8E-3</v>
      </c>
      <c r="X2957" s="1">
        <f t="shared" si="140"/>
        <v>0</v>
      </c>
    </row>
    <row r="2958" spans="1:24" x14ac:dyDescent="0.25">
      <c r="A2958">
        <v>2004</v>
      </c>
      <c r="B2958">
        <v>9</v>
      </c>
      <c r="C2958" t="s">
        <v>61</v>
      </c>
      <c r="D2958" t="str">
        <f>_xlfn.XLOOKUP(C2958,'Carrier Name Rename'!A:A,'Carrier Name Rename'!B:B)</f>
        <v>US Airways Inc.</v>
      </c>
      <c r="E2958" t="s">
        <v>23</v>
      </c>
      <c r="F2958" t="s">
        <v>24</v>
      </c>
      <c r="G2958">
        <v>189</v>
      </c>
      <c r="H2958">
        <v>24</v>
      </c>
      <c r="I2958">
        <v>11.87</v>
      </c>
      <c r="J2958">
        <v>1</v>
      </c>
      <c r="K2958">
        <v>3.31</v>
      </c>
      <c r="L2958">
        <v>0</v>
      </c>
      <c r="M2958">
        <v>7.81</v>
      </c>
      <c r="N2958">
        <v>0</v>
      </c>
      <c r="O2958">
        <v>1</v>
      </c>
      <c r="P2958">
        <v>1083</v>
      </c>
      <c r="Q2958">
        <v>507</v>
      </c>
      <c r="R2958">
        <v>18</v>
      </c>
      <c r="S2958">
        <v>171</v>
      </c>
      <c r="T2958">
        <v>0</v>
      </c>
      <c r="U2958">
        <v>387</v>
      </c>
      <c r="V2958" s="1">
        <f t="shared" si="138"/>
        <v>0.127</v>
      </c>
      <c r="W2958" s="1">
        <f t="shared" si="139"/>
        <v>0</v>
      </c>
      <c r="X2958" s="1">
        <f t="shared" si="140"/>
        <v>5.3E-3</v>
      </c>
    </row>
    <row r="2959" spans="1:24" x14ac:dyDescent="0.25">
      <c r="A2959">
        <v>2004</v>
      </c>
      <c r="B2959">
        <v>9</v>
      </c>
      <c r="C2959" t="s">
        <v>43</v>
      </c>
      <c r="D2959" t="str">
        <f>_xlfn.XLOOKUP(C2959,'Carrier Name Rename'!A:A,'Carrier Name Rename'!B:B)</f>
        <v>Southwest Airlines Co.</v>
      </c>
      <c r="E2959" t="s">
        <v>23</v>
      </c>
      <c r="F2959" t="s">
        <v>24</v>
      </c>
      <c r="G2959">
        <v>1048</v>
      </c>
      <c r="H2959">
        <v>188</v>
      </c>
      <c r="I2959">
        <v>28.72</v>
      </c>
      <c r="J2959">
        <v>3.56</v>
      </c>
      <c r="K2959">
        <v>49.93</v>
      </c>
      <c r="L2959">
        <v>0</v>
      </c>
      <c r="M2959">
        <v>105.79</v>
      </c>
      <c r="N2959">
        <v>3</v>
      </c>
      <c r="O2959">
        <v>1</v>
      </c>
      <c r="P2959">
        <v>7518</v>
      </c>
      <c r="Q2959">
        <v>1121</v>
      </c>
      <c r="R2959">
        <v>132</v>
      </c>
      <c r="S2959">
        <v>1348</v>
      </c>
      <c r="T2959">
        <v>0</v>
      </c>
      <c r="U2959">
        <v>4917</v>
      </c>
      <c r="V2959" s="1">
        <f t="shared" si="138"/>
        <v>0.1794</v>
      </c>
      <c r="W2959" s="1">
        <f t="shared" si="139"/>
        <v>2.8999999999999998E-3</v>
      </c>
      <c r="X2959" s="1">
        <f t="shared" si="140"/>
        <v>1E-3</v>
      </c>
    </row>
    <row r="2960" spans="1:24" x14ac:dyDescent="0.25">
      <c r="A2960">
        <v>2004</v>
      </c>
      <c r="B2960">
        <v>8</v>
      </c>
      <c r="C2960" t="s">
        <v>31</v>
      </c>
      <c r="D2960" t="str">
        <f>_xlfn.XLOOKUP(C2960,'Carrier Name Rename'!A:A,'Carrier Name Rename'!B:B)</f>
        <v>American Airlines Inc.</v>
      </c>
      <c r="E2960" t="s">
        <v>23</v>
      </c>
      <c r="F2960" t="s">
        <v>24</v>
      </c>
      <c r="G2960">
        <v>682</v>
      </c>
      <c r="H2960">
        <v>181</v>
      </c>
      <c r="I2960">
        <v>53.56</v>
      </c>
      <c r="J2960">
        <v>16.96</v>
      </c>
      <c r="K2960">
        <v>48.32</v>
      </c>
      <c r="L2960">
        <v>0</v>
      </c>
      <c r="M2960">
        <v>62.16</v>
      </c>
      <c r="N2960">
        <v>1</v>
      </c>
      <c r="O2960">
        <v>0</v>
      </c>
      <c r="P2960">
        <v>11946</v>
      </c>
      <c r="Q2960">
        <v>3032</v>
      </c>
      <c r="R2960">
        <v>2121</v>
      </c>
      <c r="S2960">
        <v>1949</v>
      </c>
      <c r="T2960">
        <v>0</v>
      </c>
      <c r="U2960">
        <v>4844</v>
      </c>
      <c r="V2960" s="1">
        <f t="shared" si="138"/>
        <v>0.26540000000000002</v>
      </c>
      <c r="W2960" s="1">
        <f t="shared" si="139"/>
        <v>1.5E-3</v>
      </c>
      <c r="X2960" s="1">
        <f t="shared" si="140"/>
        <v>0</v>
      </c>
    </row>
    <row r="2961" spans="1:24" x14ac:dyDescent="0.25">
      <c r="A2961">
        <v>2004</v>
      </c>
      <c r="B2961">
        <v>8</v>
      </c>
      <c r="C2961" t="s">
        <v>33</v>
      </c>
      <c r="D2961" t="str">
        <f>_xlfn.XLOOKUP(C2961,'Carrier Name Rename'!A:A,'Carrier Name Rename'!B:B)</f>
        <v>Alaska Airlines Inc.</v>
      </c>
      <c r="E2961" t="s">
        <v>23</v>
      </c>
      <c r="F2961" t="s">
        <v>24</v>
      </c>
      <c r="G2961">
        <v>4696</v>
      </c>
      <c r="H2961">
        <v>1078</v>
      </c>
      <c r="I2961">
        <v>250.89</v>
      </c>
      <c r="J2961">
        <v>7.98</v>
      </c>
      <c r="K2961">
        <v>301.06</v>
      </c>
      <c r="L2961">
        <v>6.12</v>
      </c>
      <c r="M2961">
        <v>511.96</v>
      </c>
      <c r="N2961">
        <v>59</v>
      </c>
      <c r="O2961">
        <v>4</v>
      </c>
      <c r="P2961">
        <v>52302</v>
      </c>
      <c r="Q2961">
        <v>15730</v>
      </c>
      <c r="R2961">
        <v>456</v>
      </c>
      <c r="S2961">
        <v>9165</v>
      </c>
      <c r="T2961">
        <v>135</v>
      </c>
      <c r="U2961">
        <v>26816</v>
      </c>
      <c r="V2961" s="1">
        <f t="shared" si="138"/>
        <v>0.2296</v>
      </c>
      <c r="W2961" s="1">
        <f t="shared" si="139"/>
        <v>1.26E-2</v>
      </c>
      <c r="X2961" s="1">
        <f t="shared" si="140"/>
        <v>8.9999999999999998E-4</v>
      </c>
    </row>
    <row r="2962" spans="1:24" x14ac:dyDescent="0.25">
      <c r="A2962">
        <v>2004</v>
      </c>
      <c r="B2962">
        <v>8</v>
      </c>
      <c r="C2962" t="s">
        <v>35</v>
      </c>
      <c r="D2962" t="str">
        <f>_xlfn.XLOOKUP(C2962,'Carrier Name Rename'!A:A,'Carrier Name Rename'!B:B)</f>
        <v>JetBlue Airways</v>
      </c>
      <c r="E2962" t="s">
        <v>23</v>
      </c>
      <c r="F2962" t="s">
        <v>24</v>
      </c>
      <c r="G2962">
        <v>31</v>
      </c>
      <c r="H2962">
        <v>15</v>
      </c>
      <c r="I2962">
        <v>4.28</v>
      </c>
      <c r="J2962">
        <v>0.97</v>
      </c>
      <c r="K2962">
        <v>7.82</v>
      </c>
      <c r="L2962">
        <v>0</v>
      </c>
      <c r="M2962">
        <v>1.93</v>
      </c>
      <c r="N2962">
        <v>0</v>
      </c>
      <c r="O2962">
        <v>0</v>
      </c>
      <c r="P2962">
        <v>732</v>
      </c>
      <c r="Q2962">
        <v>158</v>
      </c>
      <c r="R2962">
        <v>104</v>
      </c>
      <c r="S2962">
        <v>408</v>
      </c>
      <c r="T2962">
        <v>0</v>
      </c>
      <c r="U2962">
        <v>62</v>
      </c>
      <c r="V2962" s="1">
        <f t="shared" si="138"/>
        <v>0.4839</v>
      </c>
      <c r="W2962" s="1">
        <f t="shared" si="139"/>
        <v>0</v>
      </c>
      <c r="X2962" s="1">
        <f t="shared" si="140"/>
        <v>0</v>
      </c>
    </row>
    <row r="2963" spans="1:24" x14ac:dyDescent="0.25">
      <c r="A2963">
        <v>2004</v>
      </c>
      <c r="B2963">
        <v>8</v>
      </c>
      <c r="C2963" t="s">
        <v>65</v>
      </c>
      <c r="D2963" t="str">
        <f>_xlfn.XLOOKUP(C2963,'Carrier Name Rename'!A:A,'Carrier Name Rename'!B:B)</f>
        <v>Continental Air Lines Inc.</v>
      </c>
      <c r="E2963" t="s">
        <v>23</v>
      </c>
      <c r="F2963" t="s">
        <v>24</v>
      </c>
      <c r="G2963">
        <v>400</v>
      </c>
      <c r="H2963">
        <v>97</v>
      </c>
      <c r="I2963">
        <v>22.05</v>
      </c>
      <c r="J2963">
        <v>0.84</v>
      </c>
      <c r="K2963">
        <v>52.01</v>
      </c>
      <c r="L2963">
        <v>0</v>
      </c>
      <c r="M2963">
        <v>22.1</v>
      </c>
      <c r="N2963">
        <v>0</v>
      </c>
      <c r="O2963">
        <v>0</v>
      </c>
      <c r="P2963">
        <v>4028</v>
      </c>
      <c r="Q2963">
        <v>1103</v>
      </c>
      <c r="R2963">
        <v>35</v>
      </c>
      <c r="S2963">
        <v>2008</v>
      </c>
      <c r="T2963">
        <v>0</v>
      </c>
      <c r="U2963">
        <v>882</v>
      </c>
      <c r="V2963" s="1">
        <f t="shared" si="138"/>
        <v>0.24249999999999999</v>
      </c>
      <c r="W2963" s="1">
        <f t="shared" si="139"/>
        <v>0</v>
      </c>
      <c r="X2963" s="1">
        <f t="shared" si="140"/>
        <v>0</v>
      </c>
    </row>
    <row r="2964" spans="1:24" x14ac:dyDescent="0.25">
      <c r="A2964">
        <v>2004</v>
      </c>
      <c r="B2964">
        <v>8</v>
      </c>
      <c r="C2964" t="s">
        <v>37</v>
      </c>
      <c r="D2964" t="str">
        <f>_xlfn.XLOOKUP(C2964,'Carrier Name Rename'!A:A,'Carrier Name Rename'!B:B)</f>
        <v>Delta Air Lines Inc.</v>
      </c>
      <c r="E2964" t="s">
        <v>23</v>
      </c>
      <c r="F2964" t="s">
        <v>24</v>
      </c>
      <c r="G2964">
        <v>548</v>
      </c>
      <c r="H2964">
        <v>164</v>
      </c>
      <c r="I2964">
        <v>37</v>
      </c>
      <c r="J2964">
        <v>3.07</v>
      </c>
      <c r="K2964">
        <v>97.34</v>
      </c>
      <c r="L2964">
        <v>0</v>
      </c>
      <c r="M2964">
        <v>26.59</v>
      </c>
      <c r="N2964">
        <v>0</v>
      </c>
      <c r="O2964">
        <v>0</v>
      </c>
      <c r="P2964">
        <v>7195</v>
      </c>
      <c r="Q2964">
        <v>1838</v>
      </c>
      <c r="R2964">
        <v>145</v>
      </c>
      <c r="S2964">
        <v>3433</v>
      </c>
      <c r="T2964">
        <v>0</v>
      </c>
      <c r="U2964">
        <v>1779</v>
      </c>
      <c r="V2964" s="1">
        <f t="shared" si="138"/>
        <v>0.29930000000000001</v>
      </c>
      <c r="W2964" s="1">
        <f t="shared" si="139"/>
        <v>0</v>
      </c>
      <c r="X2964" s="1">
        <f t="shared" si="140"/>
        <v>0</v>
      </c>
    </row>
    <row r="2965" spans="1:24" x14ac:dyDescent="0.25">
      <c r="A2965">
        <v>2004</v>
      </c>
      <c r="B2965">
        <v>8</v>
      </c>
      <c r="C2965" t="s">
        <v>21</v>
      </c>
      <c r="D2965" t="str">
        <f>_xlfn.XLOOKUP(C2965,'Carrier Name Rename'!A:A,'Carrier Name Rename'!B:B)</f>
        <v>Hawaiian Airlines Inc.</v>
      </c>
      <c r="E2965" t="s">
        <v>23</v>
      </c>
      <c r="F2965" t="s">
        <v>24</v>
      </c>
      <c r="G2965">
        <v>62</v>
      </c>
      <c r="H2965">
        <v>11</v>
      </c>
      <c r="I2965">
        <v>9</v>
      </c>
      <c r="J2965">
        <v>2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613</v>
      </c>
      <c r="Q2965">
        <v>553</v>
      </c>
      <c r="R2965">
        <v>60</v>
      </c>
      <c r="S2965">
        <v>0</v>
      </c>
      <c r="T2965">
        <v>0</v>
      </c>
      <c r="U2965">
        <v>0</v>
      </c>
      <c r="V2965" s="1">
        <f t="shared" si="138"/>
        <v>0.1774</v>
      </c>
      <c r="W2965" s="1">
        <f t="shared" si="139"/>
        <v>0</v>
      </c>
      <c r="X2965" s="1">
        <f t="shared" si="140"/>
        <v>0</v>
      </c>
    </row>
    <row r="2966" spans="1:24" x14ac:dyDescent="0.25">
      <c r="A2966">
        <v>2004</v>
      </c>
      <c r="B2966">
        <v>8</v>
      </c>
      <c r="C2966" t="s">
        <v>73</v>
      </c>
      <c r="D2966" t="str">
        <f>_xlfn.XLOOKUP(C2966,'Carrier Name Rename'!A:A,'Carrier Name Rename'!B:B)</f>
        <v>America West Airlines Inc.</v>
      </c>
      <c r="E2966" t="s">
        <v>23</v>
      </c>
      <c r="F2966" t="s">
        <v>24</v>
      </c>
      <c r="G2966">
        <v>279</v>
      </c>
      <c r="H2966">
        <v>81</v>
      </c>
      <c r="I2966">
        <v>27.65</v>
      </c>
      <c r="J2966">
        <v>0</v>
      </c>
      <c r="K2966">
        <v>33.82</v>
      </c>
      <c r="L2966">
        <v>0</v>
      </c>
      <c r="M2966">
        <v>19.53</v>
      </c>
      <c r="N2966">
        <v>2</v>
      </c>
      <c r="O2966">
        <v>0</v>
      </c>
      <c r="P2966">
        <v>3226</v>
      </c>
      <c r="Q2966">
        <v>1263</v>
      </c>
      <c r="R2966">
        <v>0</v>
      </c>
      <c r="S2966">
        <v>1011</v>
      </c>
      <c r="T2966">
        <v>0</v>
      </c>
      <c r="U2966">
        <v>952</v>
      </c>
      <c r="V2966" s="1">
        <f t="shared" si="138"/>
        <v>0.2903</v>
      </c>
      <c r="W2966" s="1">
        <f t="shared" si="139"/>
        <v>7.1999999999999998E-3</v>
      </c>
      <c r="X2966" s="1">
        <f t="shared" si="140"/>
        <v>0</v>
      </c>
    </row>
    <row r="2967" spans="1:24" x14ac:dyDescent="0.25">
      <c r="A2967">
        <v>2004</v>
      </c>
      <c r="B2967">
        <v>8</v>
      </c>
      <c r="C2967" t="s">
        <v>67</v>
      </c>
      <c r="D2967" t="str">
        <f>_xlfn.XLOOKUP(C2967,'Carrier Name Rename'!A:A,'Carrier Name Rename'!B:B)</f>
        <v>Northwest Airlines Inc.</v>
      </c>
      <c r="E2967" t="s">
        <v>23</v>
      </c>
      <c r="F2967" t="s">
        <v>24</v>
      </c>
      <c r="G2967">
        <v>494</v>
      </c>
      <c r="H2967">
        <v>107</v>
      </c>
      <c r="I2967">
        <v>50.8</v>
      </c>
      <c r="J2967">
        <v>0.73</v>
      </c>
      <c r="K2967">
        <v>43.12</v>
      </c>
      <c r="L2967">
        <v>0</v>
      </c>
      <c r="M2967">
        <v>12.35</v>
      </c>
      <c r="N2967">
        <v>4</v>
      </c>
      <c r="O2967">
        <v>2</v>
      </c>
      <c r="P2967">
        <v>4331</v>
      </c>
      <c r="Q2967">
        <v>2544</v>
      </c>
      <c r="R2967">
        <v>19</v>
      </c>
      <c r="S2967">
        <v>1228</v>
      </c>
      <c r="T2967">
        <v>0</v>
      </c>
      <c r="U2967">
        <v>540</v>
      </c>
      <c r="V2967" s="1">
        <f t="shared" si="138"/>
        <v>0.21659999999999999</v>
      </c>
      <c r="W2967" s="1">
        <f t="shared" si="139"/>
        <v>8.0999999999999996E-3</v>
      </c>
      <c r="X2967" s="1">
        <f t="shared" si="140"/>
        <v>4.0000000000000001E-3</v>
      </c>
    </row>
    <row r="2968" spans="1:24" x14ac:dyDescent="0.25">
      <c r="A2968">
        <v>2004</v>
      </c>
      <c r="B2968">
        <v>8</v>
      </c>
      <c r="C2968" t="s">
        <v>27</v>
      </c>
      <c r="D2968" t="str">
        <f>_xlfn.XLOOKUP(C2968,'Carrier Name Rename'!A:A,'Carrier Name Rename'!B:B)</f>
        <v>SkyWest Airlines Inc.</v>
      </c>
      <c r="E2968" t="s">
        <v>23</v>
      </c>
      <c r="F2968" t="s">
        <v>24</v>
      </c>
      <c r="G2968">
        <v>426</v>
      </c>
      <c r="H2968">
        <v>48</v>
      </c>
      <c r="I2968">
        <v>22</v>
      </c>
      <c r="J2968">
        <v>4</v>
      </c>
      <c r="K2968">
        <v>15</v>
      </c>
      <c r="L2968">
        <v>0</v>
      </c>
      <c r="M2968">
        <v>7</v>
      </c>
      <c r="N2968">
        <v>1</v>
      </c>
      <c r="O2968">
        <v>0</v>
      </c>
      <c r="P2968">
        <v>1623</v>
      </c>
      <c r="Q2968">
        <v>571</v>
      </c>
      <c r="R2968">
        <v>415</v>
      </c>
      <c r="S2968">
        <v>388</v>
      </c>
      <c r="T2968">
        <v>0</v>
      </c>
      <c r="U2968">
        <v>249</v>
      </c>
      <c r="V2968" s="1">
        <f t="shared" si="138"/>
        <v>0.11269999999999999</v>
      </c>
      <c r="W2968" s="1">
        <f t="shared" si="139"/>
        <v>2.3E-3</v>
      </c>
      <c r="X2968" s="1">
        <f t="shared" si="140"/>
        <v>0</v>
      </c>
    </row>
    <row r="2969" spans="1:24" x14ac:dyDescent="0.25">
      <c r="A2969">
        <v>2004</v>
      </c>
      <c r="B2969">
        <v>8</v>
      </c>
      <c r="C2969" t="s">
        <v>79</v>
      </c>
      <c r="D2969" t="str">
        <f>_xlfn.XLOOKUP(C2969,'Carrier Name Rename'!A:A,'Carrier Name Rename'!B:B)</f>
        <v>ATA Airlines d/b/a ATA</v>
      </c>
      <c r="E2969" t="s">
        <v>23</v>
      </c>
      <c r="F2969" t="s">
        <v>24</v>
      </c>
      <c r="G2969">
        <v>150</v>
      </c>
      <c r="H2969">
        <v>27</v>
      </c>
      <c r="I2969">
        <v>12.32</v>
      </c>
      <c r="J2969">
        <v>0</v>
      </c>
      <c r="K2969">
        <v>8.75</v>
      </c>
      <c r="L2969">
        <v>0</v>
      </c>
      <c r="M2969">
        <v>5.94</v>
      </c>
      <c r="N2969">
        <v>0</v>
      </c>
      <c r="O2969">
        <v>0</v>
      </c>
      <c r="P2969">
        <v>968</v>
      </c>
      <c r="Q2969">
        <v>358</v>
      </c>
      <c r="R2969">
        <v>0</v>
      </c>
      <c r="S2969">
        <v>393</v>
      </c>
      <c r="T2969">
        <v>0</v>
      </c>
      <c r="U2969">
        <v>217</v>
      </c>
      <c r="V2969" s="1">
        <f t="shared" si="138"/>
        <v>0.18</v>
      </c>
      <c r="W2969" s="1">
        <f t="shared" si="139"/>
        <v>0</v>
      </c>
      <c r="X2969" s="1">
        <f t="shared" si="140"/>
        <v>0</v>
      </c>
    </row>
    <row r="2970" spans="1:24" x14ac:dyDescent="0.25">
      <c r="A2970">
        <v>2004</v>
      </c>
      <c r="B2970">
        <v>8</v>
      </c>
      <c r="C2970" t="s">
        <v>41</v>
      </c>
      <c r="D2970" t="str">
        <f>_xlfn.XLOOKUP(C2970,'Carrier Name Rename'!A:A,'Carrier Name Rename'!B:B)</f>
        <v>United Air Lines Inc.</v>
      </c>
      <c r="E2970" t="s">
        <v>23</v>
      </c>
      <c r="F2970" t="s">
        <v>24</v>
      </c>
      <c r="G2970">
        <v>1290</v>
      </c>
      <c r="H2970">
        <v>234</v>
      </c>
      <c r="I2970">
        <v>62.17</v>
      </c>
      <c r="J2970">
        <v>3.37</v>
      </c>
      <c r="K2970">
        <v>85.53</v>
      </c>
      <c r="L2970">
        <v>0</v>
      </c>
      <c r="M2970">
        <v>82.93</v>
      </c>
      <c r="N2970">
        <v>7</v>
      </c>
      <c r="O2970">
        <v>0</v>
      </c>
      <c r="P2970">
        <v>11793</v>
      </c>
      <c r="Q2970">
        <v>2951</v>
      </c>
      <c r="R2970">
        <v>269</v>
      </c>
      <c r="S2970">
        <v>2452</v>
      </c>
      <c r="T2970">
        <v>0</v>
      </c>
      <c r="U2970">
        <v>6121</v>
      </c>
      <c r="V2970" s="1">
        <f t="shared" si="138"/>
        <v>0.18140000000000001</v>
      </c>
      <c r="W2970" s="1">
        <f t="shared" si="139"/>
        <v>5.4000000000000003E-3</v>
      </c>
      <c r="X2970" s="1">
        <f t="shared" si="140"/>
        <v>0</v>
      </c>
    </row>
    <row r="2971" spans="1:24" x14ac:dyDescent="0.25">
      <c r="A2971">
        <v>2004</v>
      </c>
      <c r="B2971">
        <v>8</v>
      </c>
      <c r="C2971" t="s">
        <v>61</v>
      </c>
      <c r="D2971" t="str">
        <f>_xlfn.XLOOKUP(C2971,'Carrier Name Rename'!A:A,'Carrier Name Rename'!B:B)</f>
        <v>US Airways Inc.</v>
      </c>
      <c r="E2971" t="s">
        <v>23</v>
      </c>
      <c r="F2971" t="s">
        <v>24</v>
      </c>
      <c r="G2971">
        <v>268</v>
      </c>
      <c r="H2971">
        <v>92</v>
      </c>
      <c r="I2971">
        <v>34.659999999999997</v>
      </c>
      <c r="J2971">
        <v>5.21</v>
      </c>
      <c r="K2971">
        <v>25.76</v>
      </c>
      <c r="L2971">
        <v>0</v>
      </c>
      <c r="M2971">
        <v>26.37</v>
      </c>
      <c r="N2971">
        <v>1</v>
      </c>
      <c r="O2971">
        <v>1</v>
      </c>
      <c r="P2971">
        <v>6053</v>
      </c>
      <c r="Q2971">
        <v>1712</v>
      </c>
      <c r="R2971">
        <v>539</v>
      </c>
      <c r="S2971">
        <v>1400</v>
      </c>
      <c r="T2971">
        <v>0</v>
      </c>
      <c r="U2971">
        <v>2402</v>
      </c>
      <c r="V2971" s="1">
        <f t="shared" si="138"/>
        <v>0.34329999999999999</v>
      </c>
      <c r="W2971" s="1">
        <f t="shared" si="139"/>
        <v>3.7000000000000002E-3</v>
      </c>
      <c r="X2971" s="1">
        <f t="shared" si="140"/>
        <v>3.7000000000000002E-3</v>
      </c>
    </row>
    <row r="2972" spans="1:24" x14ac:dyDescent="0.25">
      <c r="A2972">
        <v>2004</v>
      </c>
      <c r="B2972">
        <v>8</v>
      </c>
      <c r="C2972" t="s">
        <v>43</v>
      </c>
      <c r="D2972" t="str">
        <f>_xlfn.XLOOKUP(C2972,'Carrier Name Rename'!A:A,'Carrier Name Rename'!B:B)</f>
        <v>Southwest Airlines Co.</v>
      </c>
      <c r="E2972" t="s">
        <v>23</v>
      </c>
      <c r="F2972" t="s">
        <v>24</v>
      </c>
      <c r="G2972">
        <v>1082</v>
      </c>
      <c r="H2972">
        <v>306</v>
      </c>
      <c r="I2972">
        <v>59.81</v>
      </c>
      <c r="J2972">
        <v>1.42</v>
      </c>
      <c r="K2972">
        <v>52.12</v>
      </c>
      <c r="L2972">
        <v>1.51</v>
      </c>
      <c r="M2972">
        <v>191.14</v>
      </c>
      <c r="N2972">
        <v>0</v>
      </c>
      <c r="O2972">
        <v>0</v>
      </c>
      <c r="P2972">
        <v>12079</v>
      </c>
      <c r="Q2972">
        <v>2170</v>
      </c>
      <c r="R2972">
        <v>37</v>
      </c>
      <c r="S2972">
        <v>1460</v>
      </c>
      <c r="T2972">
        <v>35</v>
      </c>
      <c r="U2972">
        <v>8377</v>
      </c>
      <c r="V2972" s="1">
        <f t="shared" si="138"/>
        <v>0.2828</v>
      </c>
      <c r="W2972" s="1">
        <f t="shared" si="139"/>
        <v>0</v>
      </c>
      <c r="X2972" s="1">
        <f t="shared" si="140"/>
        <v>0</v>
      </c>
    </row>
    <row r="2973" spans="1:24" x14ac:dyDescent="0.25">
      <c r="A2973">
        <v>2004</v>
      </c>
      <c r="B2973">
        <v>7</v>
      </c>
      <c r="C2973" t="s">
        <v>67</v>
      </c>
      <c r="D2973" t="str">
        <f>_xlfn.XLOOKUP(C2973,'Carrier Name Rename'!A:A,'Carrier Name Rename'!B:B)</f>
        <v>Northwest Airlines Inc.</v>
      </c>
      <c r="E2973" t="s">
        <v>23</v>
      </c>
      <c r="F2973" t="s">
        <v>24</v>
      </c>
      <c r="G2973">
        <v>496</v>
      </c>
      <c r="H2973">
        <v>125</v>
      </c>
      <c r="I2973">
        <v>57.43</v>
      </c>
      <c r="J2973">
        <v>0.53</v>
      </c>
      <c r="K2973">
        <v>52</v>
      </c>
      <c r="L2973">
        <v>0</v>
      </c>
      <c r="M2973">
        <v>15.04</v>
      </c>
      <c r="N2973">
        <v>1</v>
      </c>
      <c r="O2973">
        <v>0</v>
      </c>
      <c r="P2973">
        <v>4726</v>
      </c>
      <c r="Q2973">
        <v>2520</v>
      </c>
      <c r="R2973">
        <v>12</v>
      </c>
      <c r="S2973">
        <v>1482</v>
      </c>
      <c r="T2973">
        <v>0</v>
      </c>
      <c r="U2973">
        <v>712</v>
      </c>
      <c r="V2973" s="1">
        <f t="shared" si="138"/>
        <v>0.252</v>
      </c>
      <c r="W2973" s="1">
        <f t="shared" si="139"/>
        <v>2E-3</v>
      </c>
      <c r="X2973" s="1">
        <f t="shared" si="140"/>
        <v>0</v>
      </c>
    </row>
    <row r="2974" spans="1:24" x14ac:dyDescent="0.25">
      <c r="A2974">
        <v>2004</v>
      </c>
      <c r="B2974">
        <v>7</v>
      </c>
      <c r="C2974" t="s">
        <v>27</v>
      </c>
      <c r="D2974" t="str">
        <f>_xlfn.XLOOKUP(C2974,'Carrier Name Rename'!A:A,'Carrier Name Rename'!B:B)</f>
        <v>SkyWest Airlines Inc.</v>
      </c>
      <c r="E2974" t="s">
        <v>23</v>
      </c>
      <c r="F2974" t="s">
        <v>24</v>
      </c>
      <c r="G2974">
        <v>418</v>
      </c>
      <c r="H2974">
        <v>41</v>
      </c>
      <c r="I2974">
        <v>29</v>
      </c>
      <c r="J2974">
        <v>2</v>
      </c>
      <c r="K2974">
        <v>3</v>
      </c>
      <c r="L2974">
        <v>1</v>
      </c>
      <c r="M2974">
        <v>6</v>
      </c>
      <c r="N2974">
        <v>7</v>
      </c>
      <c r="O2974">
        <v>0</v>
      </c>
      <c r="P2974">
        <v>1832</v>
      </c>
      <c r="Q2974">
        <v>1468</v>
      </c>
      <c r="R2974">
        <v>34</v>
      </c>
      <c r="S2974">
        <v>66</v>
      </c>
      <c r="T2974">
        <v>41</v>
      </c>
      <c r="U2974">
        <v>223</v>
      </c>
      <c r="V2974" s="1">
        <f t="shared" si="138"/>
        <v>9.8100000000000007E-2</v>
      </c>
      <c r="W2974" s="1">
        <f t="shared" si="139"/>
        <v>1.67E-2</v>
      </c>
      <c r="X2974" s="1">
        <f t="shared" si="140"/>
        <v>0</v>
      </c>
    </row>
    <row r="2975" spans="1:24" x14ac:dyDescent="0.25">
      <c r="A2975">
        <v>2004</v>
      </c>
      <c r="B2975">
        <v>7</v>
      </c>
      <c r="C2975" t="s">
        <v>79</v>
      </c>
      <c r="D2975" t="str">
        <f>_xlfn.XLOOKUP(C2975,'Carrier Name Rename'!A:A,'Carrier Name Rename'!B:B)</f>
        <v>ATA Airlines d/b/a ATA</v>
      </c>
      <c r="E2975" t="s">
        <v>23</v>
      </c>
      <c r="F2975" t="s">
        <v>24</v>
      </c>
      <c r="G2975">
        <v>149</v>
      </c>
      <c r="H2975">
        <v>48</v>
      </c>
      <c r="I2975">
        <v>25.73</v>
      </c>
      <c r="J2975">
        <v>0</v>
      </c>
      <c r="K2975">
        <v>11.69</v>
      </c>
      <c r="L2975">
        <v>0.59</v>
      </c>
      <c r="M2975">
        <v>9.98</v>
      </c>
      <c r="N2975">
        <v>0</v>
      </c>
      <c r="O2975">
        <v>0</v>
      </c>
      <c r="P2975">
        <v>2599</v>
      </c>
      <c r="Q2975">
        <v>1440</v>
      </c>
      <c r="R2975">
        <v>0</v>
      </c>
      <c r="S2975">
        <v>514</v>
      </c>
      <c r="T2975">
        <v>16</v>
      </c>
      <c r="U2975">
        <v>629</v>
      </c>
      <c r="V2975" s="1">
        <f t="shared" si="138"/>
        <v>0.3221</v>
      </c>
      <c r="W2975" s="1">
        <f t="shared" si="139"/>
        <v>0</v>
      </c>
      <c r="X2975" s="1">
        <f t="shared" si="140"/>
        <v>0</v>
      </c>
    </row>
    <row r="2976" spans="1:24" x14ac:dyDescent="0.25">
      <c r="A2976">
        <v>2004</v>
      </c>
      <c r="B2976">
        <v>7</v>
      </c>
      <c r="C2976" t="s">
        <v>41</v>
      </c>
      <c r="D2976" t="str">
        <f>_xlfn.XLOOKUP(C2976,'Carrier Name Rename'!A:A,'Carrier Name Rename'!B:B)</f>
        <v>United Air Lines Inc.</v>
      </c>
      <c r="E2976" t="s">
        <v>23</v>
      </c>
      <c r="F2976" t="s">
        <v>24</v>
      </c>
      <c r="G2976">
        <v>1288</v>
      </c>
      <c r="H2976">
        <v>250</v>
      </c>
      <c r="I2976">
        <v>78.13</v>
      </c>
      <c r="J2976">
        <v>7.42</v>
      </c>
      <c r="K2976">
        <v>62.73</v>
      </c>
      <c r="L2976">
        <v>0</v>
      </c>
      <c r="M2976">
        <v>101.72</v>
      </c>
      <c r="N2976">
        <v>2</v>
      </c>
      <c r="O2976">
        <v>0</v>
      </c>
      <c r="P2976">
        <v>13251</v>
      </c>
      <c r="Q2976">
        <v>3370</v>
      </c>
      <c r="R2976">
        <v>487</v>
      </c>
      <c r="S2976">
        <v>2119</v>
      </c>
      <c r="T2976">
        <v>0</v>
      </c>
      <c r="U2976">
        <v>7275</v>
      </c>
      <c r="V2976" s="1">
        <f t="shared" si="138"/>
        <v>0.19409999999999999</v>
      </c>
      <c r="W2976" s="1">
        <f t="shared" si="139"/>
        <v>1.6000000000000001E-3</v>
      </c>
      <c r="X2976" s="1">
        <f t="shared" si="140"/>
        <v>0</v>
      </c>
    </row>
    <row r="2977" spans="1:24" x14ac:dyDescent="0.25">
      <c r="A2977">
        <v>2004</v>
      </c>
      <c r="B2977">
        <v>7</v>
      </c>
      <c r="C2977" t="s">
        <v>61</v>
      </c>
      <c r="D2977" t="str">
        <f>_xlfn.XLOOKUP(C2977,'Carrier Name Rename'!A:A,'Carrier Name Rename'!B:B)</f>
        <v>US Airways Inc.</v>
      </c>
      <c r="E2977" t="s">
        <v>23</v>
      </c>
      <c r="F2977" t="s">
        <v>24</v>
      </c>
      <c r="G2977">
        <v>244</v>
      </c>
      <c r="H2977">
        <v>89</v>
      </c>
      <c r="I2977">
        <v>34.799999999999997</v>
      </c>
      <c r="J2977">
        <v>3.59</v>
      </c>
      <c r="K2977">
        <v>23.84</v>
      </c>
      <c r="L2977">
        <v>0</v>
      </c>
      <c r="M2977">
        <v>26.77</v>
      </c>
      <c r="N2977">
        <v>0</v>
      </c>
      <c r="O2977">
        <v>0</v>
      </c>
      <c r="P2977">
        <v>5888</v>
      </c>
      <c r="Q2977">
        <v>1692</v>
      </c>
      <c r="R2977">
        <v>696</v>
      </c>
      <c r="S2977">
        <v>1393</v>
      </c>
      <c r="T2977">
        <v>0</v>
      </c>
      <c r="U2977">
        <v>2107</v>
      </c>
      <c r="V2977" s="1">
        <f t="shared" si="138"/>
        <v>0.36480000000000001</v>
      </c>
      <c r="W2977" s="1">
        <f t="shared" si="139"/>
        <v>0</v>
      </c>
      <c r="X2977" s="1">
        <f t="shared" si="140"/>
        <v>0</v>
      </c>
    </row>
    <row r="2978" spans="1:24" x14ac:dyDescent="0.25">
      <c r="A2978">
        <v>2004</v>
      </c>
      <c r="B2978">
        <v>7</v>
      </c>
      <c r="C2978" t="s">
        <v>43</v>
      </c>
      <c r="D2978" t="str">
        <f>_xlfn.XLOOKUP(C2978,'Carrier Name Rename'!A:A,'Carrier Name Rename'!B:B)</f>
        <v>Southwest Airlines Co.</v>
      </c>
      <c r="E2978" t="s">
        <v>23</v>
      </c>
      <c r="F2978" t="s">
        <v>24</v>
      </c>
      <c r="G2978">
        <v>1082</v>
      </c>
      <c r="H2978">
        <v>207</v>
      </c>
      <c r="I2978">
        <v>45.89</v>
      </c>
      <c r="J2978">
        <v>1</v>
      </c>
      <c r="K2978">
        <v>16.559999999999999</v>
      </c>
      <c r="L2978">
        <v>0.11</v>
      </c>
      <c r="M2978">
        <v>143.44</v>
      </c>
      <c r="N2978">
        <v>0</v>
      </c>
      <c r="O2978">
        <v>0</v>
      </c>
      <c r="P2978">
        <v>8604</v>
      </c>
      <c r="Q2978">
        <v>1676</v>
      </c>
      <c r="R2978">
        <v>21</v>
      </c>
      <c r="S2978">
        <v>546</v>
      </c>
      <c r="T2978">
        <v>6</v>
      </c>
      <c r="U2978">
        <v>6355</v>
      </c>
      <c r="V2978" s="1">
        <f t="shared" si="138"/>
        <v>0.1913</v>
      </c>
      <c r="W2978" s="1">
        <f t="shared" si="139"/>
        <v>0</v>
      </c>
      <c r="X2978" s="1">
        <f t="shared" si="140"/>
        <v>0</v>
      </c>
    </row>
    <row r="2979" spans="1:24" x14ac:dyDescent="0.25">
      <c r="A2979">
        <v>2004</v>
      </c>
      <c r="B2979">
        <v>7</v>
      </c>
      <c r="C2979" t="s">
        <v>31</v>
      </c>
      <c r="D2979" t="str">
        <f>_xlfn.XLOOKUP(C2979,'Carrier Name Rename'!A:A,'Carrier Name Rename'!B:B)</f>
        <v>American Airlines Inc.</v>
      </c>
      <c r="E2979" t="s">
        <v>23</v>
      </c>
      <c r="F2979" t="s">
        <v>24</v>
      </c>
      <c r="G2979">
        <v>680</v>
      </c>
      <c r="H2979">
        <v>158</v>
      </c>
      <c r="I2979">
        <v>46.68</v>
      </c>
      <c r="J2979">
        <v>14.89</v>
      </c>
      <c r="K2979">
        <v>52.7</v>
      </c>
      <c r="L2979">
        <v>0</v>
      </c>
      <c r="M2979">
        <v>43.73</v>
      </c>
      <c r="N2979">
        <v>2</v>
      </c>
      <c r="O2979">
        <v>1</v>
      </c>
      <c r="P2979">
        <v>9499</v>
      </c>
      <c r="Q2979">
        <v>2702</v>
      </c>
      <c r="R2979">
        <v>1062</v>
      </c>
      <c r="S2979">
        <v>2326</v>
      </c>
      <c r="T2979">
        <v>0</v>
      </c>
      <c r="U2979">
        <v>3409</v>
      </c>
      <c r="V2979" s="1">
        <f t="shared" si="138"/>
        <v>0.2324</v>
      </c>
      <c r="W2979" s="1">
        <f t="shared" si="139"/>
        <v>2.8999999999999998E-3</v>
      </c>
      <c r="X2979" s="1">
        <f t="shared" si="140"/>
        <v>1.5E-3</v>
      </c>
    </row>
    <row r="2980" spans="1:24" x14ac:dyDescent="0.25">
      <c r="A2980">
        <v>2004</v>
      </c>
      <c r="B2980">
        <v>7</v>
      </c>
      <c r="C2980" t="s">
        <v>33</v>
      </c>
      <c r="D2980" t="str">
        <f>_xlfn.XLOOKUP(C2980,'Carrier Name Rename'!A:A,'Carrier Name Rename'!B:B)</f>
        <v>Alaska Airlines Inc.</v>
      </c>
      <c r="E2980" t="s">
        <v>23</v>
      </c>
      <c r="F2980" t="s">
        <v>24</v>
      </c>
      <c r="G2980">
        <v>4691</v>
      </c>
      <c r="H2980">
        <v>945</v>
      </c>
      <c r="I2980">
        <v>259.83999999999997</v>
      </c>
      <c r="J2980">
        <v>4.78</v>
      </c>
      <c r="K2980">
        <v>158.83000000000001</v>
      </c>
      <c r="L2980">
        <v>7.65</v>
      </c>
      <c r="M2980">
        <v>513.89</v>
      </c>
      <c r="N2980">
        <v>42</v>
      </c>
      <c r="O2980">
        <v>4</v>
      </c>
      <c r="P2980">
        <v>46451</v>
      </c>
      <c r="Q2980">
        <v>14506</v>
      </c>
      <c r="R2980">
        <v>340</v>
      </c>
      <c r="S2980">
        <v>4855</v>
      </c>
      <c r="T2980">
        <v>190</v>
      </c>
      <c r="U2980">
        <v>26560</v>
      </c>
      <c r="V2980" s="1">
        <f t="shared" si="138"/>
        <v>0.2014</v>
      </c>
      <c r="W2980" s="1">
        <f t="shared" si="139"/>
        <v>8.9999999999999993E-3</v>
      </c>
      <c r="X2980" s="1">
        <f t="shared" si="140"/>
        <v>8.9999999999999998E-4</v>
      </c>
    </row>
    <row r="2981" spans="1:24" x14ac:dyDescent="0.25">
      <c r="A2981">
        <v>2004</v>
      </c>
      <c r="B2981">
        <v>7</v>
      </c>
      <c r="C2981" t="s">
        <v>35</v>
      </c>
      <c r="D2981" t="str">
        <f>_xlfn.XLOOKUP(C2981,'Carrier Name Rename'!A:A,'Carrier Name Rename'!B:B)</f>
        <v>JetBlue Airways</v>
      </c>
      <c r="E2981" t="s">
        <v>23</v>
      </c>
      <c r="F2981" t="s">
        <v>24</v>
      </c>
      <c r="G2981">
        <v>31</v>
      </c>
      <c r="H2981">
        <v>17</v>
      </c>
      <c r="I2981">
        <v>2.73</v>
      </c>
      <c r="J2981">
        <v>0</v>
      </c>
      <c r="K2981">
        <v>9.0500000000000007</v>
      </c>
      <c r="L2981">
        <v>0</v>
      </c>
      <c r="M2981">
        <v>5.22</v>
      </c>
      <c r="N2981">
        <v>0</v>
      </c>
      <c r="O2981">
        <v>0</v>
      </c>
      <c r="P2981">
        <v>885</v>
      </c>
      <c r="Q2981">
        <v>191</v>
      </c>
      <c r="R2981">
        <v>0</v>
      </c>
      <c r="S2981">
        <v>451</v>
      </c>
      <c r="T2981">
        <v>0</v>
      </c>
      <c r="U2981">
        <v>243</v>
      </c>
      <c r="V2981" s="1">
        <f t="shared" si="138"/>
        <v>0.5484</v>
      </c>
      <c r="W2981" s="1">
        <f t="shared" si="139"/>
        <v>0</v>
      </c>
      <c r="X2981" s="1">
        <f t="shared" si="140"/>
        <v>0</v>
      </c>
    </row>
    <row r="2982" spans="1:24" x14ac:dyDescent="0.25">
      <c r="A2982">
        <v>2004</v>
      </c>
      <c r="B2982">
        <v>7</v>
      </c>
      <c r="C2982" t="s">
        <v>65</v>
      </c>
      <c r="D2982" t="str">
        <f>_xlfn.XLOOKUP(C2982,'Carrier Name Rename'!A:A,'Carrier Name Rename'!B:B)</f>
        <v>Continental Air Lines Inc.</v>
      </c>
      <c r="E2982" t="s">
        <v>23</v>
      </c>
      <c r="F2982" t="s">
        <v>24</v>
      </c>
      <c r="G2982">
        <v>403</v>
      </c>
      <c r="H2982">
        <v>102</v>
      </c>
      <c r="I2982">
        <v>34.270000000000003</v>
      </c>
      <c r="J2982">
        <v>0.1</v>
      </c>
      <c r="K2982">
        <v>48.36</v>
      </c>
      <c r="L2982">
        <v>0</v>
      </c>
      <c r="M2982">
        <v>19.27</v>
      </c>
      <c r="N2982">
        <v>0</v>
      </c>
      <c r="O2982">
        <v>0</v>
      </c>
      <c r="P2982">
        <v>5160</v>
      </c>
      <c r="Q2982">
        <v>1909</v>
      </c>
      <c r="R2982">
        <v>8</v>
      </c>
      <c r="S2982">
        <v>2077</v>
      </c>
      <c r="T2982">
        <v>0</v>
      </c>
      <c r="U2982">
        <v>1166</v>
      </c>
      <c r="V2982" s="1">
        <f t="shared" si="138"/>
        <v>0.25309999999999999</v>
      </c>
      <c r="W2982" s="1">
        <f t="shared" si="139"/>
        <v>0</v>
      </c>
      <c r="X2982" s="1">
        <f t="shared" si="140"/>
        <v>0</v>
      </c>
    </row>
    <row r="2983" spans="1:24" x14ac:dyDescent="0.25">
      <c r="A2983">
        <v>2004</v>
      </c>
      <c r="B2983">
        <v>7</v>
      </c>
      <c r="C2983" t="s">
        <v>37</v>
      </c>
      <c r="D2983" t="str">
        <f>_xlfn.XLOOKUP(C2983,'Carrier Name Rename'!A:A,'Carrier Name Rename'!B:B)</f>
        <v>Delta Air Lines Inc.</v>
      </c>
      <c r="E2983" t="s">
        <v>23</v>
      </c>
      <c r="F2983" t="s">
        <v>24</v>
      </c>
      <c r="G2983">
        <v>547</v>
      </c>
      <c r="H2983">
        <v>173</v>
      </c>
      <c r="I2983">
        <v>57.83</v>
      </c>
      <c r="J2983">
        <v>4.25</v>
      </c>
      <c r="K2983">
        <v>87.98</v>
      </c>
      <c r="L2983">
        <v>1.8</v>
      </c>
      <c r="M2983">
        <v>21.15</v>
      </c>
      <c r="N2983">
        <v>0</v>
      </c>
      <c r="O2983">
        <v>0</v>
      </c>
      <c r="P2983">
        <v>7162</v>
      </c>
      <c r="Q2983">
        <v>2571</v>
      </c>
      <c r="R2983">
        <v>150</v>
      </c>
      <c r="S2983">
        <v>3280</v>
      </c>
      <c r="T2983">
        <v>70</v>
      </c>
      <c r="U2983">
        <v>1091</v>
      </c>
      <c r="V2983" s="1">
        <f t="shared" si="138"/>
        <v>0.31630000000000003</v>
      </c>
      <c r="W2983" s="1">
        <f t="shared" si="139"/>
        <v>0</v>
      </c>
      <c r="X2983" s="1">
        <f t="shared" si="140"/>
        <v>0</v>
      </c>
    </row>
    <row r="2984" spans="1:24" x14ac:dyDescent="0.25">
      <c r="A2984">
        <v>2004</v>
      </c>
      <c r="B2984">
        <v>7</v>
      </c>
      <c r="C2984" t="s">
        <v>21</v>
      </c>
      <c r="D2984" t="str">
        <f>_xlfn.XLOOKUP(C2984,'Carrier Name Rename'!A:A,'Carrier Name Rename'!B:B)</f>
        <v>Hawaiian Airlines Inc.</v>
      </c>
      <c r="E2984" t="s">
        <v>23</v>
      </c>
      <c r="F2984" t="s">
        <v>24</v>
      </c>
      <c r="G2984">
        <v>62</v>
      </c>
      <c r="H2984">
        <v>12</v>
      </c>
      <c r="I2984">
        <v>10.3</v>
      </c>
      <c r="J2984">
        <v>0</v>
      </c>
      <c r="K2984">
        <v>0</v>
      </c>
      <c r="L2984">
        <v>0</v>
      </c>
      <c r="M2984">
        <v>1.7</v>
      </c>
      <c r="N2984">
        <v>0</v>
      </c>
      <c r="O2984">
        <v>0</v>
      </c>
      <c r="P2984">
        <v>723</v>
      </c>
      <c r="Q2984">
        <v>595</v>
      </c>
      <c r="R2984">
        <v>0</v>
      </c>
      <c r="S2984">
        <v>0</v>
      </c>
      <c r="T2984">
        <v>0</v>
      </c>
      <c r="U2984">
        <v>128</v>
      </c>
      <c r="V2984" s="1">
        <f t="shared" si="138"/>
        <v>0.19350000000000001</v>
      </c>
      <c r="W2984" s="1">
        <f t="shared" si="139"/>
        <v>0</v>
      </c>
      <c r="X2984" s="1">
        <f t="shared" si="140"/>
        <v>0</v>
      </c>
    </row>
    <row r="2985" spans="1:24" x14ac:dyDescent="0.25">
      <c r="A2985">
        <v>2004</v>
      </c>
      <c r="B2985">
        <v>7</v>
      </c>
      <c r="C2985" t="s">
        <v>73</v>
      </c>
      <c r="D2985" t="str">
        <f>_xlfn.XLOOKUP(C2985,'Carrier Name Rename'!A:A,'Carrier Name Rename'!B:B)</f>
        <v>America West Airlines Inc.</v>
      </c>
      <c r="E2985" t="s">
        <v>23</v>
      </c>
      <c r="F2985" t="s">
        <v>24</v>
      </c>
      <c r="G2985">
        <v>279</v>
      </c>
      <c r="H2985">
        <v>67</v>
      </c>
      <c r="I2985">
        <v>34.17</v>
      </c>
      <c r="J2985">
        <v>0</v>
      </c>
      <c r="K2985">
        <v>13.65</v>
      </c>
      <c r="L2985">
        <v>0</v>
      </c>
      <c r="M2985">
        <v>19.18</v>
      </c>
      <c r="N2985">
        <v>2</v>
      </c>
      <c r="O2985">
        <v>0</v>
      </c>
      <c r="P2985">
        <v>2727</v>
      </c>
      <c r="Q2985">
        <v>1380</v>
      </c>
      <c r="R2985">
        <v>0</v>
      </c>
      <c r="S2985">
        <v>364</v>
      </c>
      <c r="T2985">
        <v>0</v>
      </c>
      <c r="U2985">
        <v>983</v>
      </c>
      <c r="V2985" s="1">
        <f t="shared" si="138"/>
        <v>0.24010000000000001</v>
      </c>
      <c r="W2985" s="1">
        <f t="shared" si="139"/>
        <v>7.1999999999999998E-3</v>
      </c>
      <c r="X2985" s="1">
        <f t="shared" si="140"/>
        <v>0</v>
      </c>
    </row>
    <row r="2986" spans="1:24" x14ac:dyDescent="0.25">
      <c r="A2986">
        <v>2004</v>
      </c>
      <c r="B2986">
        <v>6</v>
      </c>
      <c r="C2986" t="s">
        <v>31</v>
      </c>
      <c r="D2986" t="str">
        <f>_xlfn.XLOOKUP(C2986,'Carrier Name Rename'!A:A,'Carrier Name Rename'!B:B)</f>
        <v>American Airlines Inc.</v>
      </c>
      <c r="E2986" t="s">
        <v>23</v>
      </c>
      <c r="F2986" t="s">
        <v>24</v>
      </c>
      <c r="G2986">
        <v>631</v>
      </c>
      <c r="H2986">
        <v>180</v>
      </c>
      <c r="I2986">
        <v>32.369999999999997</v>
      </c>
      <c r="J2986">
        <v>24.23</v>
      </c>
      <c r="K2986">
        <v>69.45</v>
      </c>
      <c r="L2986">
        <v>0.86</v>
      </c>
      <c r="M2986">
        <v>53.09</v>
      </c>
      <c r="N2986">
        <v>3</v>
      </c>
      <c r="O2986">
        <v>1</v>
      </c>
      <c r="P2986">
        <v>11068</v>
      </c>
      <c r="Q2986">
        <v>2082</v>
      </c>
      <c r="R2986">
        <v>2180</v>
      </c>
      <c r="S2986">
        <v>2424</v>
      </c>
      <c r="T2986">
        <v>42</v>
      </c>
      <c r="U2986">
        <v>4340</v>
      </c>
      <c r="V2986" s="1">
        <f t="shared" si="138"/>
        <v>0.2853</v>
      </c>
      <c r="W2986" s="1">
        <f t="shared" si="139"/>
        <v>4.7999999999999996E-3</v>
      </c>
      <c r="X2986" s="1">
        <f t="shared" si="140"/>
        <v>1.6000000000000001E-3</v>
      </c>
    </row>
    <row r="2987" spans="1:24" x14ac:dyDescent="0.25">
      <c r="A2987">
        <v>2004</v>
      </c>
      <c r="B2987">
        <v>6</v>
      </c>
      <c r="C2987" t="s">
        <v>33</v>
      </c>
      <c r="D2987" t="str">
        <f>_xlfn.XLOOKUP(C2987,'Carrier Name Rename'!A:A,'Carrier Name Rename'!B:B)</f>
        <v>Alaska Airlines Inc.</v>
      </c>
      <c r="E2987" t="s">
        <v>23</v>
      </c>
      <c r="F2987" t="s">
        <v>24</v>
      </c>
      <c r="G2987">
        <v>4478</v>
      </c>
      <c r="H2987">
        <v>1065</v>
      </c>
      <c r="I2987">
        <v>284.07</v>
      </c>
      <c r="J2987">
        <v>2.7</v>
      </c>
      <c r="K2987">
        <v>285.93</v>
      </c>
      <c r="L2987">
        <v>10.19</v>
      </c>
      <c r="M2987">
        <v>482.11</v>
      </c>
      <c r="N2987">
        <v>92</v>
      </c>
      <c r="O2987">
        <v>3</v>
      </c>
      <c r="P2987">
        <v>50964</v>
      </c>
      <c r="Q2987">
        <v>15061</v>
      </c>
      <c r="R2987">
        <v>373</v>
      </c>
      <c r="S2987">
        <v>8307</v>
      </c>
      <c r="T2987">
        <v>348</v>
      </c>
      <c r="U2987">
        <v>26875</v>
      </c>
      <c r="V2987" s="1">
        <f t="shared" si="138"/>
        <v>0.23780000000000001</v>
      </c>
      <c r="W2987" s="1">
        <f t="shared" si="139"/>
        <v>2.0500000000000001E-2</v>
      </c>
      <c r="X2987" s="1">
        <f t="shared" si="140"/>
        <v>6.9999999999999999E-4</v>
      </c>
    </row>
    <row r="2988" spans="1:24" x14ac:dyDescent="0.25">
      <c r="A2988">
        <v>2004</v>
      </c>
      <c r="B2988">
        <v>6</v>
      </c>
      <c r="C2988" t="s">
        <v>35</v>
      </c>
      <c r="D2988" t="str">
        <f>_xlfn.XLOOKUP(C2988,'Carrier Name Rename'!A:A,'Carrier Name Rename'!B:B)</f>
        <v>JetBlue Airways</v>
      </c>
      <c r="E2988" t="s">
        <v>23</v>
      </c>
      <c r="F2988" t="s">
        <v>24</v>
      </c>
      <c r="G2988">
        <v>30</v>
      </c>
      <c r="H2988">
        <v>12</v>
      </c>
      <c r="I2988">
        <v>1.96</v>
      </c>
      <c r="J2988">
        <v>0.72</v>
      </c>
      <c r="K2988">
        <v>5.37</v>
      </c>
      <c r="L2988">
        <v>0</v>
      </c>
      <c r="M2988">
        <v>3.95</v>
      </c>
      <c r="N2988">
        <v>0</v>
      </c>
      <c r="O2988">
        <v>0</v>
      </c>
      <c r="P2988">
        <v>543</v>
      </c>
      <c r="Q2988">
        <v>131</v>
      </c>
      <c r="R2988">
        <v>46</v>
      </c>
      <c r="S2988">
        <v>252</v>
      </c>
      <c r="T2988">
        <v>0</v>
      </c>
      <c r="U2988">
        <v>114</v>
      </c>
      <c r="V2988" s="1">
        <f t="shared" si="138"/>
        <v>0.4</v>
      </c>
      <c r="W2988" s="1">
        <f t="shared" si="139"/>
        <v>0</v>
      </c>
      <c r="X2988" s="1">
        <f t="shared" si="140"/>
        <v>0</v>
      </c>
    </row>
    <row r="2989" spans="1:24" x14ac:dyDescent="0.25">
      <c r="A2989">
        <v>2004</v>
      </c>
      <c r="B2989">
        <v>6</v>
      </c>
      <c r="C2989" t="s">
        <v>65</v>
      </c>
      <c r="D2989" t="str">
        <f>_xlfn.XLOOKUP(C2989,'Carrier Name Rename'!A:A,'Carrier Name Rename'!B:B)</f>
        <v>Continental Air Lines Inc.</v>
      </c>
      <c r="E2989" t="s">
        <v>23</v>
      </c>
      <c r="F2989" t="s">
        <v>24</v>
      </c>
      <c r="G2989">
        <v>381</v>
      </c>
      <c r="H2989">
        <v>143</v>
      </c>
      <c r="I2989">
        <v>34.56</v>
      </c>
      <c r="J2989">
        <v>6.86</v>
      </c>
      <c r="K2989">
        <v>72.48</v>
      </c>
      <c r="L2989">
        <v>0.11</v>
      </c>
      <c r="M2989">
        <v>28.99</v>
      </c>
      <c r="N2989">
        <v>0</v>
      </c>
      <c r="O2989">
        <v>1</v>
      </c>
      <c r="P2989">
        <v>7676</v>
      </c>
      <c r="Q2989">
        <v>1618</v>
      </c>
      <c r="R2989">
        <v>704</v>
      </c>
      <c r="S2989">
        <v>3360</v>
      </c>
      <c r="T2989">
        <v>9</v>
      </c>
      <c r="U2989">
        <v>1985</v>
      </c>
      <c r="V2989" s="1">
        <f t="shared" si="138"/>
        <v>0.37530000000000002</v>
      </c>
      <c r="W2989" s="1">
        <f t="shared" si="139"/>
        <v>0</v>
      </c>
      <c r="X2989" s="1">
        <f t="shared" si="140"/>
        <v>2.5999999999999999E-3</v>
      </c>
    </row>
    <row r="2990" spans="1:24" x14ac:dyDescent="0.25">
      <c r="A2990">
        <v>2004</v>
      </c>
      <c r="B2990">
        <v>6</v>
      </c>
      <c r="C2990" t="s">
        <v>37</v>
      </c>
      <c r="D2990" t="str">
        <f>_xlfn.XLOOKUP(C2990,'Carrier Name Rename'!A:A,'Carrier Name Rename'!B:B)</f>
        <v>Delta Air Lines Inc.</v>
      </c>
      <c r="E2990" t="s">
        <v>23</v>
      </c>
      <c r="F2990" t="s">
        <v>24</v>
      </c>
      <c r="G2990">
        <v>537</v>
      </c>
      <c r="H2990">
        <v>185</v>
      </c>
      <c r="I2990">
        <v>44.4</v>
      </c>
      <c r="J2990">
        <v>3.91</v>
      </c>
      <c r="K2990">
        <v>103.23</v>
      </c>
      <c r="L2990">
        <v>0</v>
      </c>
      <c r="M2990">
        <v>33.450000000000003</v>
      </c>
      <c r="N2990">
        <v>2</v>
      </c>
      <c r="O2990">
        <v>1</v>
      </c>
      <c r="P2990">
        <v>8325</v>
      </c>
      <c r="Q2990">
        <v>2326</v>
      </c>
      <c r="R2990">
        <v>537</v>
      </c>
      <c r="S2990">
        <v>3507</v>
      </c>
      <c r="T2990">
        <v>0</v>
      </c>
      <c r="U2990">
        <v>1955</v>
      </c>
      <c r="V2990" s="1">
        <f t="shared" si="138"/>
        <v>0.34449999999999997</v>
      </c>
      <c r="W2990" s="1">
        <f t="shared" si="139"/>
        <v>3.7000000000000002E-3</v>
      </c>
      <c r="X2990" s="1">
        <f t="shared" si="140"/>
        <v>1.9E-3</v>
      </c>
    </row>
    <row r="2991" spans="1:24" x14ac:dyDescent="0.25">
      <c r="A2991">
        <v>2004</v>
      </c>
      <c r="B2991">
        <v>6</v>
      </c>
      <c r="C2991" t="s">
        <v>21</v>
      </c>
      <c r="D2991" t="str">
        <f>_xlfn.XLOOKUP(C2991,'Carrier Name Rename'!A:A,'Carrier Name Rename'!B:B)</f>
        <v>Hawaiian Airlines Inc.</v>
      </c>
      <c r="E2991" t="s">
        <v>23</v>
      </c>
      <c r="F2991" t="s">
        <v>24</v>
      </c>
      <c r="G2991">
        <v>56</v>
      </c>
      <c r="H2991">
        <v>10</v>
      </c>
      <c r="I2991">
        <v>7.91</v>
      </c>
      <c r="J2991">
        <v>0</v>
      </c>
      <c r="K2991">
        <v>0</v>
      </c>
      <c r="L2991">
        <v>0.43</v>
      </c>
      <c r="M2991">
        <v>1.65</v>
      </c>
      <c r="N2991">
        <v>0</v>
      </c>
      <c r="O2991">
        <v>0</v>
      </c>
      <c r="P2991">
        <v>550</v>
      </c>
      <c r="Q2991">
        <v>398</v>
      </c>
      <c r="R2991">
        <v>0</v>
      </c>
      <c r="S2991">
        <v>0</v>
      </c>
      <c r="T2991">
        <v>20</v>
      </c>
      <c r="U2991">
        <v>132</v>
      </c>
      <c r="V2991" s="1">
        <f t="shared" si="138"/>
        <v>0.17860000000000001</v>
      </c>
      <c r="W2991" s="1">
        <f t="shared" si="139"/>
        <v>0</v>
      </c>
      <c r="X2991" s="1">
        <f t="shared" si="140"/>
        <v>0</v>
      </c>
    </row>
    <row r="2992" spans="1:24" x14ac:dyDescent="0.25">
      <c r="A2992">
        <v>2004</v>
      </c>
      <c r="B2992">
        <v>6</v>
      </c>
      <c r="C2992" t="s">
        <v>73</v>
      </c>
      <c r="D2992" t="str">
        <f>_xlfn.XLOOKUP(C2992,'Carrier Name Rename'!A:A,'Carrier Name Rename'!B:B)</f>
        <v>America West Airlines Inc.</v>
      </c>
      <c r="E2992" t="s">
        <v>23</v>
      </c>
      <c r="F2992" t="s">
        <v>24</v>
      </c>
      <c r="G2992">
        <v>270</v>
      </c>
      <c r="H2992">
        <v>87</v>
      </c>
      <c r="I2992">
        <v>40.67</v>
      </c>
      <c r="J2992">
        <v>0</v>
      </c>
      <c r="K2992">
        <v>30.34</v>
      </c>
      <c r="L2992">
        <v>0</v>
      </c>
      <c r="M2992">
        <v>15.98</v>
      </c>
      <c r="N2992">
        <v>0</v>
      </c>
      <c r="O2992">
        <v>1</v>
      </c>
      <c r="P2992">
        <v>3269</v>
      </c>
      <c r="Q2992">
        <v>1724</v>
      </c>
      <c r="R2992">
        <v>0</v>
      </c>
      <c r="S2992">
        <v>821</v>
      </c>
      <c r="T2992">
        <v>0</v>
      </c>
      <c r="U2992">
        <v>724</v>
      </c>
      <c r="V2992" s="1">
        <f t="shared" si="138"/>
        <v>0.32219999999999999</v>
      </c>
      <c r="W2992" s="1">
        <f t="shared" si="139"/>
        <v>0</v>
      </c>
      <c r="X2992" s="1">
        <f t="shared" si="140"/>
        <v>3.7000000000000002E-3</v>
      </c>
    </row>
    <row r="2993" spans="1:24" x14ac:dyDescent="0.25">
      <c r="A2993">
        <v>2004</v>
      </c>
      <c r="B2993">
        <v>6</v>
      </c>
      <c r="C2993" t="s">
        <v>67</v>
      </c>
      <c r="D2993" t="str">
        <f>_xlfn.XLOOKUP(C2993,'Carrier Name Rename'!A:A,'Carrier Name Rename'!B:B)</f>
        <v>Northwest Airlines Inc.</v>
      </c>
      <c r="E2993" t="s">
        <v>23</v>
      </c>
      <c r="F2993" t="s">
        <v>24</v>
      </c>
      <c r="G2993">
        <v>444</v>
      </c>
      <c r="H2993">
        <v>144</v>
      </c>
      <c r="I2993">
        <v>56.27</v>
      </c>
      <c r="J2993">
        <v>4.12</v>
      </c>
      <c r="K2993">
        <v>68.64</v>
      </c>
      <c r="L2993">
        <v>0</v>
      </c>
      <c r="M2993">
        <v>14.96</v>
      </c>
      <c r="N2993">
        <v>2</v>
      </c>
      <c r="O2993">
        <v>1</v>
      </c>
      <c r="P2993">
        <v>5351</v>
      </c>
      <c r="Q2993">
        <v>2380</v>
      </c>
      <c r="R2993">
        <v>234</v>
      </c>
      <c r="S2993">
        <v>1805</v>
      </c>
      <c r="T2993">
        <v>0</v>
      </c>
      <c r="U2993">
        <v>932</v>
      </c>
      <c r="V2993" s="1">
        <f t="shared" si="138"/>
        <v>0.32429999999999998</v>
      </c>
      <c r="W2993" s="1">
        <f t="shared" si="139"/>
        <v>4.4999999999999997E-3</v>
      </c>
      <c r="X2993" s="1">
        <f t="shared" si="140"/>
        <v>2.3E-3</v>
      </c>
    </row>
    <row r="2994" spans="1:24" x14ac:dyDescent="0.25">
      <c r="A2994">
        <v>2004</v>
      </c>
      <c r="B2994">
        <v>6</v>
      </c>
      <c r="C2994" t="s">
        <v>27</v>
      </c>
      <c r="D2994" t="str">
        <f>_xlfn.XLOOKUP(C2994,'Carrier Name Rename'!A:A,'Carrier Name Rename'!B:B)</f>
        <v>SkyWest Airlines Inc.</v>
      </c>
      <c r="E2994" t="s">
        <v>23</v>
      </c>
      <c r="F2994" t="s">
        <v>24</v>
      </c>
      <c r="G2994">
        <v>411</v>
      </c>
      <c r="H2994">
        <v>24</v>
      </c>
      <c r="I2994">
        <v>13</v>
      </c>
      <c r="J2994">
        <v>3</v>
      </c>
      <c r="K2994">
        <v>2</v>
      </c>
      <c r="L2994">
        <v>0</v>
      </c>
      <c r="M2994">
        <v>6</v>
      </c>
      <c r="N2994">
        <v>1</v>
      </c>
      <c r="O2994">
        <v>0</v>
      </c>
      <c r="P2994">
        <v>602</v>
      </c>
      <c r="Q2994">
        <v>299</v>
      </c>
      <c r="R2994">
        <v>66</v>
      </c>
      <c r="S2994">
        <v>54</v>
      </c>
      <c r="T2994">
        <v>0</v>
      </c>
      <c r="U2994">
        <v>183</v>
      </c>
      <c r="V2994" s="1">
        <f t="shared" si="138"/>
        <v>5.8400000000000001E-2</v>
      </c>
      <c r="W2994" s="1">
        <f t="shared" si="139"/>
        <v>2.3999999999999998E-3</v>
      </c>
      <c r="X2994" s="1">
        <f t="shared" si="140"/>
        <v>0</v>
      </c>
    </row>
    <row r="2995" spans="1:24" x14ac:dyDescent="0.25">
      <c r="A2995">
        <v>2004</v>
      </c>
      <c r="B2995">
        <v>6</v>
      </c>
      <c r="C2995" t="s">
        <v>79</v>
      </c>
      <c r="D2995" t="str">
        <f>_xlfn.XLOOKUP(C2995,'Carrier Name Rename'!A:A,'Carrier Name Rename'!B:B)</f>
        <v>ATA Airlines d/b/a ATA</v>
      </c>
      <c r="E2995" t="s">
        <v>23</v>
      </c>
      <c r="F2995" t="s">
        <v>24</v>
      </c>
      <c r="G2995">
        <v>126</v>
      </c>
      <c r="H2995">
        <v>24</v>
      </c>
      <c r="I2995">
        <v>8.7799999999999994</v>
      </c>
      <c r="J2995">
        <v>0</v>
      </c>
      <c r="K2995">
        <v>7.86</v>
      </c>
      <c r="L2995">
        <v>0</v>
      </c>
      <c r="M2995">
        <v>7.36</v>
      </c>
      <c r="N2995">
        <v>1</v>
      </c>
      <c r="O2995">
        <v>0</v>
      </c>
      <c r="P2995">
        <v>1099</v>
      </c>
      <c r="Q2995">
        <v>509</v>
      </c>
      <c r="R2995">
        <v>0</v>
      </c>
      <c r="S2995">
        <v>267</v>
      </c>
      <c r="T2995">
        <v>0</v>
      </c>
      <c r="U2995">
        <v>323</v>
      </c>
      <c r="V2995" s="1">
        <f t="shared" si="138"/>
        <v>0.1905</v>
      </c>
      <c r="W2995" s="1">
        <f t="shared" si="139"/>
        <v>7.9000000000000008E-3</v>
      </c>
      <c r="X2995" s="1">
        <f t="shared" si="140"/>
        <v>0</v>
      </c>
    </row>
    <row r="2996" spans="1:24" x14ac:dyDescent="0.25">
      <c r="A2996">
        <v>2004</v>
      </c>
      <c r="B2996">
        <v>6</v>
      </c>
      <c r="C2996" t="s">
        <v>41</v>
      </c>
      <c r="D2996" t="str">
        <f>_xlfn.XLOOKUP(C2996,'Carrier Name Rename'!A:A,'Carrier Name Rename'!B:B)</f>
        <v>United Air Lines Inc.</v>
      </c>
      <c r="E2996" t="s">
        <v>23</v>
      </c>
      <c r="F2996" t="s">
        <v>24</v>
      </c>
      <c r="G2996">
        <v>1211</v>
      </c>
      <c r="H2996">
        <v>282</v>
      </c>
      <c r="I2996">
        <v>89.65</v>
      </c>
      <c r="J2996">
        <v>3.2</v>
      </c>
      <c r="K2996">
        <v>96.35</v>
      </c>
      <c r="L2996">
        <v>0</v>
      </c>
      <c r="M2996">
        <v>92.8</v>
      </c>
      <c r="N2996">
        <v>7</v>
      </c>
      <c r="O2996">
        <v>0</v>
      </c>
      <c r="P2996">
        <v>11953</v>
      </c>
      <c r="Q2996">
        <v>3814</v>
      </c>
      <c r="R2996">
        <v>152</v>
      </c>
      <c r="S2996">
        <v>2819</v>
      </c>
      <c r="T2996">
        <v>0</v>
      </c>
      <c r="U2996">
        <v>5168</v>
      </c>
      <c r="V2996" s="1">
        <f t="shared" si="138"/>
        <v>0.2329</v>
      </c>
      <c r="W2996" s="1">
        <f t="shared" si="139"/>
        <v>5.7999999999999996E-3</v>
      </c>
      <c r="X2996" s="1">
        <f t="shared" si="140"/>
        <v>0</v>
      </c>
    </row>
    <row r="2997" spans="1:24" x14ac:dyDescent="0.25">
      <c r="A2997">
        <v>2004</v>
      </c>
      <c r="B2997">
        <v>6</v>
      </c>
      <c r="C2997" t="s">
        <v>61</v>
      </c>
      <c r="D2997" t="str">
        <f>_xlfn.XLOOKUP(C2997,'Carrier Name Rename'!A:A,'Carrier Name Rename'!B:B)</f>
        <v>US Airways Inc.</v>
      </c>
      <c r="E2997" t="s">
        <v>23</v>
      </c>
      <c r="F2997" t="s">
        <v>24</v>
      </c>
      <c r="G2997">
        <v>225</v>
      </c>
      <c r="H2997">
        <v>84</v>
      </c>
      <c r="I2997">
        <v>29.07</v>
      </c>
      <c r="J2997">
        <v>4.49</v>
      </c>
      <c r="K2997">
        <v>32.25</v>
      </c>
      <c r="L2997">
        <v>0</v>
      </c>
      <c r="M2997">
        <v>18.190000000000001</v>
      </c>
      <c r="N2997">
        <v>0</v>
      </c>
      <c r="O2997">
        <v>1</v>
      </c>
      <c r="P2997">
        <v>4740</v>
      </c>
      <c r="Q2997">
        <v>1254</v>
      </c>
      <c r="R2997">
        <v>473</v>
      </c>
      <c r="S2997">
        <v>1664</v>
      </c>
      <c r="T2997">
        <v>0</v>
      </c>
      <c r="U2997">
        <v>1349</v>
      </c>
      <c r="V2997" s="1">
        <f t="shared" si="138"/>
        <v>0.37330000000000002</v>
      </c>
      <c r="W2997" s="1">
        <f t="shared" si="139"/>
        <v>0</v>
      </c>
      <c r="X2997" s="1">
        <f t="shared" si="140"/>
        <v>4.4000000000000003E-3</v>
      </c>
    </row>
    <row r="2998" spans="1:24" x14ac:dyDescent="0.25">
      <c r="A2998">
        <v>2004</v>
      </c>
      <c r="B2998">
        <v>6</v>
      </c>
      <c r="C2998" t="s">
        <v>43</v>
      </c>
      <c r="D2998" t="str">
        <f>_xlfn.XLOOKUP(C2998,'Carrier Name Rename'!A:A,'Carrier Name Rename'!B:B)</f>
        <v>Southwest Airlines Co.</v>
      </c>
      <c r="E2998" t="s">
        <v>23</v>
      </c>
      <c r="F2998" t="s">
        <v>24</v>
      </c>
      <c r="G2998">
        <v>1047</v>
      </c>
      <c r="H2998">
        <v>237</v>
      </c>
      <c r="I2998">
        <v>50.52</v>
      </c>
      <c r="J2998">
        <v>0.71</v>
      </c>
      <c r="K2998">
        <v>26.84</v>
      </c>
      <c r="L2998">
        <v>1.58</v>
      </c>
      <c r="M2998">
        <v>157.34</v>
      </c>
      <c r="N2998">
        <v>0</v>
      </c>
      <c r="O2998">
        <v>0</v>
      </c>
      <c r="P2998">
        <v>9188</v>
      </c>
      <c r="Q2998">
        <v>2008</v>
      </c>
      <c r="R2998">
        <v>25</v>
      </c>
      <c r="S2998">
        <v>747</v>
      </c>
      <c r="T2998">
        <v>32</v>
      </c>
      <c r="U2998">
        <v>6376</v>
      </c>
      <c r="V2998" s="1">
        <f t="shared" si="138"/>
        <v>0.22639999999999999</v>
      </c>
      <c r="W2998" s="1">
        <f t="shared" si="139"/>
        <v>0</v>
      </c>
      <c r="X2998" s="1">
        <f t="shared" si="140"/>
        <v>0</v>
      </c>
    </row>
    <row r="2999" spans="1:24" x14ac:dyDescent="0.25">
      <c r="A2999">
        <v>2004</v>
      </c>
      <c r="B2999">
        <v>5</v>
      </c>
      <c r="C2999" t="s">
        <v>31</v>
      </c>
      <c r="D2999" t="str">
        <f>_xlfn.XLOOKUP(C2999,'Carrier Name Rename'!A:A,'Carrier Name Rename'!B:B)</f>
        <v>American Airlines Inc.</v>
      </c>
      <c r="E2999" t="s">
        <v>23</v>
      </c>
      <c r="F2999" t="s">
        <v>24</v>
      </c>
      <c r="G2999">
        <v>578</v>
      </c>
      <c r="H2999">
        <v>125</v>
      </c>
      <c r="I2999">
        <v>26.37</v>
      </c>
      <c r="J2999">
        <v>12.27</v>
      </c>
      <c r="K2999">
        <v>51.92</v>
      </c>
      <c r="L2999">
        <v>0</v>
      </c>
      <c r="M2999">
        <v>34.44</v>
      </c>
      <c r="N2999">
        <v>4</v>
      </c>
      <c r="O2999">
        <v>1</v>
      </c>
      <c r="P2999">
        <v>7804</v>
      </c>
      <c r="Q2999">
        <v>1122</v>
      </c>
      <c r="R2999">
        <v>1185</v>
      </c>
      <c r="S2999">
        <v>2633</v>
      </c>
      <c r="T2999">
        <v>0</v>
      </c>
      <c r="U2999">
        <v>2864</v>
      </c>
      <c r="V2999" s="1">
        <f t="shared" si="138"/>
        <v>0.21629999999999999</v>
      </c>
      <c r="W2999" s="1">
        <f t="shared" si="139"/>
        <v>6.8999999999999999E-3</v>
      </c>
      <c r="X2999" s="1">
        <f t="shared" si="140"/>
        <v>1.6999999999999999E-3</v>
      </c>
    </row>
    <row r="3000" spans="1:24" x14ac:dyDescent="0.25">
      <c r="A3000">
        <v>2004</v>
      </c>
      <c r="B3000">
        <v>5</v>
      </c>
      <c r="C3000" t="s">
        <v>33</v>
      </c>
      <c r="D3000" t="str">
        <f>_xlfn.XLOOKUP(C3000,'Carrier Name Rename'!A:A,'Carrier Name Rename'!B:B)</f>
        <v>Alaska Airlines Inc.</v>
      </c>
      <c r="E3000" t="s">
        <v>23</v>
      </c>
      <c r="F3000" t="s">
        <v>24</v>
      </c>
      <c r="G3000">
        <v>4259</v>
      </c>
      <c r="H3000">
        <v>772</v>
      </c>
      <c r="I3000">
        <v>196.44</v>
      </c>
      <c r="J3000">
        <v>5.75</v>
      </c>
      <c r="K3000">
        <v>250.37</v>
      </c>
      <c r="L3000">
        <v>8.65</v>
      </c>
      <c r="M3000">
        <v>310.79000000000002</v>
      </c>
      <c r="N3000">
        <v>58</v>
      </c>
      <c r="O3000">
        <v>6</v>
      </c>
      <c r="P3000">
        <v>34282</v>
      </c>
      <c r="Q3000">
        <v>11107</v>
      </c>
      <c r="R3000">
        <v>234</v>
      </c>
      <c r="S3000">
        <v>7810</v>
      </c>
      <c r="T3000">
        <v>250</v>
      </c>
      <c r="U3000">
        <v>14881</v>
      </c>
      <c r="V3000" s="1">
        <f t="shared" si="138"/>
        <v>0.18129999999999999</v>
      </c>
      <c r="W3000" s="1">
        <f t="shared" si="139"/>
        <v>1.3599999999999999E-2</v>
      </c>
      <c r="X3000" s="1">
        <f t="shared" si="140"/>
        <v>1.4E-3</v>
      </c>
    </row>
    <row r="3001" spans="1:24" x14ac:dyDescent="0.25">
      <c r="A3001">
        <v>2004</v>
      </c>
      <c r="B3001">
        <v>5</v>
      </c>
      <c r="C3001" t="s">
        <v>35</v>
      </c>
      <c r="D3001" t="str">
        <f>_xlfn.XLOOKUP(C3001,'Carrier Name Rename'!A:A,'Carrier Name Rename'!B:B)</f>
        <v>JetBlue Airways</v>
      </c>
      <c r="E3001" t="s">
        <v>23</v>
      </c>
      <c r="F3001" t="s">
        <v>24</v>
      </c>
      <c r="G3001">
        <v>31</v>
      </c>
      <c r="H3001">
        <v>14</v>
      </c>
      <c r="I3001">
        <v>3.92</v>
      </c>
      <c r="J3001">
        <v>0.39</v>
      </c>
      <c r="K3001">
        <v>8.39</v>
      </c>
      <c r="L3001">
        <v>0</v>
      </c>
      <c r="M3001">
        <v>1.3</v>
      </c>
      <c r="N3001">
        <v>0</v>
      </c>
      <c r="O3001">
        <v>0</v>
      </c>
      <c r="P3001">
        <v>565</v>
      </c>
      <c r="Q3001">
        <v>110</v>
      </c>
      <c r="R3001">
        <v>30</v>
      </c>
      <c r="S3001">
        <v>342</v>
      </c>
      <c r="T3001">
        <v>0</v>
      </c>
      <c r="U3001">
        <v>83</v>
      </c>
      <c r="V3001" s="1">
        <f t="shared" si="138"/>
        <v>0.4516</v>
      </c>
      <c r="W3001" s="1">
        <f t="shared" si="139"/>
        <v>0</v>
      </c>
      <c r="X3001" s="1">
        <f t="shared" si="140"/>
        <v>0</v>
      </c>
    </row>
    <row r="3002" spans="1:24" x14ac:dyDescent="0.25">
      <c r="A3002">
        <v>2004</v>
      </c>
      <c r="B3002">
        <v>5</v>
      </c>
      <c r="C3002" t="s">
        <v>65</v>
      </c>
      <c r="D3002" t="str">
        <f>_xlfn.XLOOKUP(C3002,'Carrier Name Rename'!A:A,'Carrier Name Rename'!B:B)</f>
        <v>Continental Air Lines Inc.</v>
      </c>
      <c r="E3002" t="s">
        <v>23</v>
      </c>
      <c r="F3002" t="s">
        <v>24</v>
      </c>
      <c r="G3002">
        <v>358</v>
      </c>
      <c r="H3002">
        <v>91</v>
      </c>
      <c r="I3002">
        <v>13.68</v>
      </c>
      <c r="J3002">
        <v>3.13</v>
      </c>
      <c r="K3002">
        <v>61.09</v>
      </c>
      <c r="L3002">
        <v>0.74</v>
      </c>
      <c r="M3002">
        <v>12.36</v>
      </c>
      <c r="N3002">
        <v>0</v>
      </c>
      <c r="O3002">
        <v>0</v>
      </c>
      <c r="P3002">
        <v>5420</v>
      </c>
      <c r="Q3002">
        <v>525</v>
      </c>
      <c r="R3002">
        <v>228</v>
      </c>
      <c r="S3002">
        <v>2876</v>
      </c>
      <c r="T3002">
        <v>17</v>
      </c>
      <c r="U3002">
        <v>1774</v>
      </c>
      <c r="V3002" s="1">
        <f t="shared" si="138"/>
        <v>0.25419999999999998</v>
      </c>
      <c r="W3002" s="1">
        <f t="shared" si="139"/>
        <v>0</v>
      </c>
      <c r="X3002" s="1">
        <f t="shared" si="140"/>
        <v>0</v>
      </c>
    </row>
    <row r="3003" spans="1:24" x14ac:dyDescent="0.25">
      <c r="A3003">
        <v>2004</v>
      </c>
      <c r="B3003">
        <v>5</v>
      </c>
      <c r="C3003" t="s">
        <v>37</v>
      </c>
      <c r="D3003" t="str">
        <f>_xlfn.XLOOKUP(C3003,'Carrier Name Rename'!A:A,'Carrier Name Rename'!B:B)</f>
        <v>Delta Air Lines Inc.</v>
      </c>
      <c r="E3003" t="s">
        <v>23</v>
      </c>
      <c r="F3003" t="s">
        <v>24</v>
      </c>
      <c r="G3003">
        <v>496</v>
      </c>
      <c r="H3003">
        <v>126</v>
      </c>
      <c r="I3003">
        <v>29.48</v>
      </c>
      <c r="J3003">
        <v>2.37</v>
      </c>
      <c r="K3003">
        <v>68.12</v>
      </c>
      <c r="L3003">
        <v>0</v>
      </c>
      <c r="M3003">
        <v>26.02</v>
      </c>
      <c r="N3003">
        <v>0</v>
      </c>
      <c r="O3003">
        <v>0</v>
      </c>
      <c r="P3003">
        <v>5960</v>
      </c>
      <c r="Q3003">
        <v>1779</v>
      </c>
      <c r="R3003">
        <v>101</v>
      </c>
      <c r="S3003">
        <v>2425</v>
      </c>
      <c r="T3003">
        <v>0</v>
      </c>
      <c r="U3003">
        <v>1655</v>
      </c>
      <c r="V3003" s="1">
        <f t="shared" si="138"/>
        <v>0.254</v>
      </c>
      <c r="W3003" s="1">
        <f t="shared" si="139"/>
        <v>0</v>
      </c>
      <c r="X3003" s="1">
        <f t="shared" si="140"/>
        <v>0</v>
      </c>
    </row>
    <row r="3004" spans="1:24" x14ac:dyDescent="0.25">
      <c r="A3004">
        <v>2004</v>
      </c>
      <c r="B3004">
        <v>5</v>
      </c>
      <c r="C3004" t="s">
        <v>21</v>
      </c>
      <c r="D3004" t="str">
        <f>_xlfn.XLOOKUP(C3004,'Carrier Name Rename'!A:A,'Carrier Name Rename'!B:B)</f>
        <v>Hawaiian Airlines Inc.</v>
      </c>
      <c r="E3004" t="s">
        <v>23</v>
      </c>
      <c r="F3004" t="s">
        <v>24</v>
      </c>
      <c r="G3004">
        <v>63</v>
      </c>
      <c r="H3004">
        <v>12</v>
      </c>
      <c r="I3004">
        <v>11.67</v>
      </c>
      <c r="J3004">
        <v>0</v>
      </c>
      <c r="K3004">
        <v>0</v>
      </c>
      <c r="L3004">
        <v>0</v>
      </c>
      <c r="M3004">
        <v>0.33</v>
      </c>
      <c r="N3004">
        <v>1</v>
      </c>
      <c r="O3004">
        <v>0</v>
      </c>
      <c r="P3004">
        <v>462</v>
      </c>
      <c r="Q3004">
        <v>454</v>
      </c>
      <c r="R3004">
        <v>0</v>
      </c>
      <c r="S3004">
        <v>0</v>
      </c>
      <c r="T3004">
        <v>0</v>
      </c>
      <c r="U3004">
        <v>8</v>
      </c>
      <c r="V3004" s="1">
        <f t="shared" si="138"/>
        <v>0.1905</v>
      </c>
      <c r="W3004" s="1">
        <f t="shared" si="139"/>
        <v>1.5900000000000001E-2</v>
      </c>
      <c r="X3004" s="1">
        <f t="shared" si="140"/>
        <v>0</v>
      </c>
    </row>
    <row r="3005" spans="1:24" x14ac:dyDescent="0.25">
      <c r="A3005">
        <v>2004</v>
      </c>
      <c r="B3005">
        <v>5</v>
      </c>
      <c r="C3005" t="s">
        <v>73</v>
      </c>
      <c r="D3005" t="str">
        <f>_xlfn.XLOOKUP(C3005,'Carrier Name Rename'!A:A,'Carrier Name Rename'!B:B)</f>
        <v>America West Airlines Inc.</v>
      </c>
      <c r="E3005" t="s">
        <v>23</v>
      </c>
      <c r="F3005" t="s">
        <v>24</v>
      </c>
      <c r="G3005">
        <v>278</v>
      </c>
      <c r="H3005">
        <v>76</v>
      </c>
      <c r="I3005">
        <v>25.98</v>
      </c>
      <c r="J3005">
        <v>0</v>
      </c>
      <c r="K3005">
        <v>27.58</v>
      </c>
      <c r="L3005">
        <v>2</v>
      </c>
      <c r="M3005">
        <v>20.43</v>
      </c>
      <c r="N3005">
        <v>0</v>
      </c>
      <c r="O3005">
        <v>0</v>
      </c>
      <c r="P3005">
        <v>3272</v>
      </c>
      <c r="Q3005">
        <v>1163</v>
      </c>
      <c r="R3005">
        <v>0</v>
      </c>
      <c r="S3005">
        <v>704</v>
      </c>
      <c r="T3005">
        <v>46</v>
      </c>
      <c r="U3005">
        <v>1359</v>
      </c>
      <c r="V3005" s="1">
        <f t="shared" si="138"/>
        <v>0.27339999999999998</v>
      </c>
      <c r="W3005" s="1">
        <f t="shared" si="139"/>
        <v>0</v>
      </c>
      <c r="X3005" s="1">
        <f t="shared" si="140"/>
        <v>0</v>
      </c>
    </row>
    <row r="3006" spans="1:24" x14ac:dyDescent="0.25">
      <c r="A3006">
        <v>2004</v>
      </c>
      <c r="B3006">
        <v>5</v>
      </c>
      <c r="C3006" t="s">
        <v>67</v>
      </c>
      <c r="D3006" t="str">
        <f>_xlfn.XLOOKUP(C3006,'Carrier Name Rename'!A:A,'Carrier Name Rename'!B:B)</f>
        <v>Northwest Airlines Inc.</v>
      </c>
      <c r="E3006" t="s">
        <v>23</v>
      </c>
      <c r="F3006" t="s">
        <v>24</v>
      </c>
      <c r="G3006">
        <v>372</v>
      </c>
      <c r="H3006">
        <v>85</v>
      </c>
      <c r="I3006">
        <v>30.64</v>
      </c>
      <c r="J3006">
        <v>1.69</v>
      </c>
      <c r="K3006">
        <v>46.74</v>
      </c>
      <c r="L3006">
        <v>0</v>
      </c>
      <c r="M3006">
        <v>5.93</v>
      </c>
      <c r="N3006">
        <v>0</v>
      </c>
      <c r="O3006">
        <v>3</v>
      </c>
      <c r="P3006">
        <v>2885</v>
      </c>
      <c r="Q3006">
        <v>1030</v>
      </c>
      <c r="R3006">
        <v>137</v>
      </c>
      <c r="S3006">
        <v>1322</v>
      </c>
      <c r="T3006">
        <v>0</v>
      </c>
      <c r="U3006">
        <v>396</v>
      </c>
      <c r="V3006" s="1">
        <f t="shared" si="138"/>
        <v>0.22850000000000001</v>
      </c>
      <c r="W3006" s="1">
        <f t="shared" si="139"/>
        <v>0</v>
      </c>
      <c r="X3006" s="1">
        <f t="shared" si="140"/>
        <v>8.0999999999999996E-3</v>
      </c>
    </row>
    <row r="3007" spans="1:24" x14ac:dyDescent="0.25">
      <c r="A3007">
        <v>2004</v>
      </c>
      <c r="B3007">
        <v>5</v>
      </c>
      <c r="C3007" t="s">
        <v>81</v>
      </c>
      <c r="D3007" t="str">
        <f>_xlfn.XLOOKUP(C3007,'Carrier Name Rename'!A:A,'Carrier Name Rename'!B:B)</f>
        <v>Comair Inc.</v>
      </c>
      <c r="E3007" t="s">
        <v>23</v>
      </c>
      <c r="F3007" t="s">
        <v>24</v>
      </c>
      <c r="G3007">
        <v>31</v>
      </c>
      <c r="H3007">
        <v>9</v>
      </c>
      <c r="I3007">
        <v>5.45</v>
      </c>
      <c r="J3007">
        <v>0</v>
      </c>
      <c r="K3007">
        <v>3.55</v>
      </c>
      <c r="L3007">
        <v>0</v>
      </c>
      <c r="M3007">
        <v>0</v>
      </c>
      <c r="N3007">
        <v>1</v>
      </c>
      <c r="O3007">
        <v>0</v>
      </c>
      <c r="P3007">
        <v>235</v>
      </c>
      <c r="Q3007">
        <v>166</v>
      </c>
      <c r="R3007">
        <v>0</v>
      </c>
      <c r="S3007">
        <v>69</v>
      </c>
      <c r="T3007">
        <v>0</v>
      </c>
      <c r="U3007">
        <v>0</v>
      </c>
      <c r="V3007" s="1">
        <f t="shared" si="138"/>
        <v>0.2903</v>
      </c>
      <c r="W3007" s="1">
        <f t="shared" si="139"/>
        <v>3.2300000000000002E-2</v>
      </c>
      <c r="X3007" s="1">
        <f t="shared" si="140"/>
        <v>0</v>
      </c>
    </row>
    <row r="3008" spans="1:24" x14ac:dyDescent="0.25">
      <c r="A3008">
        <v>2004</v>
      </c>
      <c r="B3008">
        <v>5</v>
      </c>
      <c r="C3008" t="s">
        <v>27</v>
      </c>
      <c r="D3008" t="str">
        <f>_xlfn.XLOOKUP(C3008,'Carrier Name Rename'!A:A,'Carrier Name Rename'!B:B)</f>
        <v>SkyWest Airlines Inc.</v>
      </c>
      <c r="E3008" t="s">
        <v>23</v>
      </c>
      <c r="F3008" t="s">
        <v>24</v>
      </c>
      <c r="G3008">
        <v>425</v>
      </c>
      <c r="H3008">
        <v>28</v>
      </c>
      <c r="I3008">
        <v>18</v>
      </c>
      <c r="J3008">
        <v>1</v>
      </c>
      <c r="K3008">
        <v>3</v>
      </c>
      <c r="L3008">
        <v>0</v>
      </c>
      <c r="M3008">
        <v>6</v>
      </c>
      <c r="N3008">
        <v>5</v>
      </c>
      <c r="O3008">
        <v>0</v>
      </c>
      <c r="P3008">
        <v>1048</v>
      </c>
      <c r="Q3008">
        <v>667</v>
      </c>
      <c r="R3008">
        <v>22</v>
      </c>
      <c r="S3008">
        <v>132</v>
      </c>
      <c r="T3008">
        <v>0</v>
      </c>
      <c r="U3008">
        <v>227</v>
      </c>
      <c r="V3008" s="1">
        <f t="shared" si="138"/>
        <v>6.59E-2</v>
      </c>
      <c r="W3008" s="1">
        <f t="shared" si="139"/>
        <v>1.18E-2</v>
      </c>
      <c r="X3008" s="1">
        <f t="shared" si="140"/>
        <v>0</v>
      </c>
    </row>
    <row r="3009" spans="1:24" x14ac:dyDescent="0.25">
      <c r="A3009">
        <v>2004</v>
      </c>
      <c r="B3009">
        <v>5</v>
      </c>
      <c r="C3009" t="s">
        <v>79</v>
      </c>
      <c r="D3009" t="str">
        <f>_xlfn.XLOOKUP(C3009,'Carrier Name Rename'!A:A,'Carrier Name Rename'!B:B)</f>
        <v>ATA Airlines d/b/a ATA</v>
      </c>
      <c r="E3009" t="s">
        <v>23</v>
      </c>
      <c r="F3009" t="s">
        <v>24</v>
      </c>
      <c r="G3009">
        <v>116</v>
      </c>
      <c r="H3009">
        <v>25</v>
      </c>
      <c r="I3009">
        <v>8.48</v>
      </c>
      <c r="J3009">
        <v>0.26</v>
      </c>
      <c r="K3009">
        <v>12.47</v>
      </c>
      <c r="L3009">
        <v>0</v>
      </c>
      <c r="M3009">
        <v>3.79</v>
      </c>
      <c r="N3009">
        <v>0</v>
      </c>
      <c r="O3009">
        <v>0</v>
      </c>
      <c r="P3009">
        <v>881</v>
      </c>
      <c r="Q3009">
        <v>302</v>
      </c>
      <c r="R3009">
        <v>12</v>
      </c>
      <c r="S3009">
        <v>368</v>
      </c>
      <c r="T3009">
        <v>0</v>
      </c>
      <c r="U3009">
        <v>199</v>
      </c>
      <c r="V3009" s="1">
        <f t="shared" si="138"/>
        <v>0.2155</v>
      </c>
      <c r="W3009" s="1">
        <f t="shared" si="139"/>
        <v>0</v>
      </c>
      <c r="X3009" s="1">
        <f t="shared" si="140"/>
        <v>0</v>
      </c>
    </row>
    <row r="3010" spans="1:24" x14ac:dyDescent="0.25">
      <c r="A3010">
        <v>2004</v>
      </c>
      <c r="B3010">
        <v>5</v>
      </c>
      <c r="C3010" t="s">
        <v>41</v>
      </c>
      <c r="D3010" t="str">
        <f>_xlfn.XLOOKUP(C3010,'Carrier Name Rename'!A:A,'Carrier Name Rename'!B:B)</f>
        <v>United Air Lines Inc.</v>
      </c>
      <c r="E3010" t="s">
        <v>23</v>
      </c>
      <c r="F3010" t="s">
        <v>24</v>
      </c>
      <c r="G3010">
        <v>1103</v>
      </c>
      <c r="H3010">
        <v>270</v>
      </c>
      <c r="I3010">
        <v>74.150000000000006</v>
      </c>
      <c r="J3010">
        <v>7.69</v>
      </c>
      <c r="K3010">
        <v>101.4</v>
      </c>
      <c r="L3010">
        <v>0</v>
      </c>
      <c r="M3010">
        <v>86.77</v>
      </c>
      <c r="N3010">
        <v>7</v>
      </c>
      <c r="O3010">
        <v>0</v>
      </c>
      <c r="P3010">
        <v>15063</v>
      </c>
      <c r="Q3010">
        <v>4230</v>
      </c>
      <c r="R3010">
        <v>517</v>
      </c>
      <c r="S3010">
        <v>3827</v>
      </c>
      <c r="T3010">
        <v>0</v>
      </c>
      <c r="U3010">
        <v>6489</v>
      </c>
      <c r="V3010" s="1">
        <f t="shared" si="138"/>
        <v>0.24479999999999999</v>
      </c>
      <c r="W3010" s="1">
        <f t="shared" si="139"/>
        <v>6.3E-3</v>
      </c>
      <c r="X3010" s="1">
        <f t="shared" si="140"/>
        <v>0</v>
      </c>
    </row>
    <row r="3011" spans="1:24" x14ac:dyDescent="0.25">
      <c r="A3011">
        <v>2004</v>
      </c>
      <c r="B3011">
        <v>5</v>
      </c>
      <c r="C3011" t="s">
        <v>61</v>
      </c>
      <c r="D3011" t="str">
        <f>_xlfn.XLOOKUP(C3011,'Carrier Name Rename'!A:A,'Carrier Name Rename'!B:B)</f>
        <v>US Airways Inc.</v>
      </c>
      <c r="E3011" t="s">
        <v>23</v>
      </c>
      <c r="F3011" t="s">
        <v>24</v>
      </c>
      <c r="G3011">
        <v>148</v>
      </c>
      <c r="H3011">
        <v>30</v>
      </c>
      <c r="I3011">
        <v>5.91</v>
      </c>
      <c r="J3011">
        <v>3.21</v>
      </c>
      <c r="K3011">
        <v>11.48</v>
      </c>
      <c r="L3011">
        <v>0</v>
      </c>
      <c r="M3011">
        <v>9.4</v>
      </c>
      <c r="N3011">
        <v>0</v>
      </c>
      <c r="O3011">
        <v>1</v>
      </c>
      <c r="P3011">
        <v>1777</v>
      </c>
      <c r="Q3011">
        <v>209</v>
      </c>
      <c r="R3011">
        <v>447</v>
      </c>
      <c r="S3011">
        <v>643</v>
      </c>
      <c r="T3011">
        <v>0</v>
      </c>
      <c r="U3011">
        <v>478</v>
      </c>
      <c r="V3011" s="1">
        <f t="shared" ref="V3011:V3074" si="141">ROUND(H3011/G3011,4)</f>
        <v>0.20269999999999999</v>
      </c>
      <c r="W3011" s="1">
        <f t="shared" ref="W3011:W3074" si="142">ROUND(N3011/G3011,4)</f>
        <v>0</v>
      </c>
      <c r="X3011" s="1">
        <f t="shared" ref="X3011:X3074" si="143">ROUND(O3011/G3011,4)</f>
        <v>6.7999999999999996E-3</v>
      </c>
    </row>
    <row r="3012" spans="1:24" x14ac:dyDescent="0.25">
      <c r="A3012">
        <v>2004</v>
      </c>
      <c r="B3012">
        <v>5</v>
      </c>
      <c r="C3012" t="s">
        <v>43</v>
      </c>
      <c r="D3012" t="str">
        <f>_xlfn.XLOOKUP(C3012,'Carrier Name Rename'!A:A,'Carrier Name Rename'!B:B)</f>
        <v>Southwest Airlines Co.</v>
      </c>
      <c r="E3012" t="s">
        <v>23</v>
      </c>
      <c r="F3012" t="s">
        <v>24</v>
      </c>
      <c r="G3012">
        <v>1068</v>
      </c>
      <c r="H3012">
        <v>182</v>
      </c>
      <c r="I3012">
        <v>35.6</v>
      </c>
      <c r="J3012">
        <v>0.78</v>
      </c>
      <c r="K3012">
        <v>33.1</v>
      </c>
      <c r="L3012">
        <v>0.3</v>
      </c>
      <c r="M3012">
        <v>112.22</v>
      </c>
      <c r="N3012">
        <v>2</v>
      </c>
      <c r="O3012">
        <v>0</v>
      </c>
      <c r="P3012">
        <v>7057</v>
      </c>
      <c r="Q3012">
        <v>1174</v>
      </c>
      <c r="R3012">
        <v>47</v>
      </c>
      <c r="S3012">
        <v>847</v>
      </c>
      <c r="T3012">
        <v>12</v>
      </c>
      <c r="U3012">
        <v>4977</v>
      </c>
      <c r="V3012" s="1">
        <f t="shared" si="141"/>
        <v>0.1704</v>
      </c>
      <c r="W3012" s="1">
        <f t="shared" si="142"/>
        <v>1.9E-3</v>
      </c>
      <c r="X3012" s="1">
        <f t="shared" si="143"/>
        <v>0</v>
      </c>
    </row>
    <row r="3013" spans="1:24" x14ac:dyDescent="0.25">
      <c r="A3013">
        <v>2004</v>
      </c>
      <c r="B3013">
        <v>4</v>
      </c>
      <c r="C3013" t="s">
        <v>31</v>
      </c>
      <c r="D3013" t="str">
        <f>_xlfn.XLOOKUP(C3013,'Carrier Name Rename'!A:A,'Carrier Name Rename'!B:B)</f>
        <v>American Airlines Inc.</v>
      </c>
      <c r="E3013" t="s">
        <v>23</v>
      </c>
      <c r="F3013" t="s">
        <v>24</v>
      </c>
      <c r="G3013">
        <v>531</v>
      </c>
      <c r="H3013">
        <v>59</v>
      </c>
      <c r="I3013">
        <v>18.71</v>
      </c>
      <c r="J3013">
        <v>5.77</v>
      </c>
      <c r="K3013">
        <v>14.79</v>
      </c>
      <c r="L3013">
        <v>0</v>
      </c>
      <c r="M3013">
        <v>19.73</v>
      </c>
      <c r="N3013">
        <v>0</v>
      </c>
      <c r="O3013">
        <v>3</v>
      </c>
      <c r="P3013">
        <v>3026</v>
      </c>
      <c r="Q3013">
        <v>992</v>
      </c>
      <c r="R3013">
        <v>427</v>
      </c>
      <c r="S3013">
        <v>654</v>
      </c>
      <c r="T3013">
        <v>0</v>
      </c>
      <c r="U3013">
        <v>953</v>
      </c>
      <c r="V3013" s="1">
        <f t="shared" si="141"/>
        <v>0.1111</v>
      </c>
      <c r="W3013" s="1">
        <f t="shared" si="142"/>
        <v>0</v>
      </c>
      <c r="X3013" s="1">
        <f t="shared" si="143"/>
        <v>5.5999999999999999E-3</v>
      </c>
    </row>
    <row r="3014" spans="1:24" x14ac:dyDescent="0.25">
      <c r="A3014">
        <v>2004</v>
      </c>
      <c r="B3014">
        <v>4</v>
      </c>
      <c r="C3014" t="s">
        <v>33</v>
      </c>
      <c r="D3014" t="str">
        <f>_xlfn.XLOOKUP(C3014,'Carrier Name Rename'!A:A,'Carrier Name Rename'!B:B)</f>
        <v>Alaska Airlines Inc.</v>
      </c>
      <c r="E3014" t="s">
        <v>23</v>
      </c>
      <c r="F3014" t="s">
        <v>24</v>
      </c>
      <c r="G3014">
        <v>3890</v>
      </c>
      <c r="H3014">
        <v>536</v>
      </c>
      <c r="I3014">
        <v>145.16999999999999</v>
      </c>
      <c r="J3014">
        <v>2.81</v>
      </c>
      <c r="K3014">
        <v>124.67</v>
      </c>
      <c r="L3014">
        <v>7.34</v>
      </c>
      <c r="M3014">
        <v>256.01</v>
      </c>
      <c r="N3014">
        <v>43</v>
      </c>
      <c r="O3014">
        <v>11</v>
      </c>
      <c r="P3014">
        <v>24312</v>
      </c>
      <c r="Q3014">
        <v>6478</v>
      </c>
      <c r="R3014">
        <v>140</v>
      </c>
      <c r="S3014">
        <v>4234</v>
      </c>
      <c r="T3014">
        <v>161</v>
      </c>
      <c r="U3014">
        <v>13299</v>
      </c>
      <c r="V3014" s="1">
        <f t="shared" si="141"/>
        <v>0.13780000000000001</v>
      </c>
      <c r="W3014" s="1">
        <f t="shared" si="142"/>
        <v>1.11E-2</v>
      </c>
      <c r="X3014" s="1">
        <f t="shared" si="143"/>
        <v>2.8E-3</v>
      </c>
    </row>
    <row r="3015" spans="1:24" x14ac:dyDescent="0.25">
      <c r="A3015">
        <v>2004</v>
      </c>
      <c r="B3015">
        <v>4</v>
      </c>
      <c r="C3015" t="s">
        <v>35</v>
      </c>
      <c r="D3015" t="str">
        <f>_xlfn.XLOOKUP(C3015,'Carrier Name Rename'!A:A,'Carrier Name Rename'!B:B)</f>
        <v>JetBlue Airways</v>
      </c>
      <c r="E3015" t="s">
        <v>23</v>
      </c>
      <c r="F3015" t="s">
        <v>24</v>
      </c>
      <c r="G3015">
        <v>30</v>
      </c>
      <c r="H3015">
        <v>1</v>
      </c>
      <c r="I3015">
        <v>0.09</v>
      </c>
      <c r="J3015">
        <v>0</v>
      </c>
      <c r="K3015">
        <v>0.04</v>
      </c>
      <c r="L3015">
        <v>0</v>
      </c>
      <c r="M3015">
        <v>0.87</v>
      </c>
      <c r="N3015">
        <v>0</v>
      </c>
      <c r="O3015">
        <v>0</v>
      </c>
      <c r="P3015">
        <v>23</v>
      </c>
      <c r="Q3015">
        <v>2</v>
      </c>
      <c r="R3015">
        <v>0</v>
      </c>
      <c r="S3015">
        <v>1</v>
      </c>
      <c r="T3015">
        <v>0</v>
      </c>
      <c r="U3015">
        <v>20</v>
      </c>
      <c r="V3015" s="1">
        <f t="shared" si="141"/>
        <v>3.3300000000000003E-2</v>
      </c>
      <c r="W3015" s="1">
        <f t="shared" si="142"/>
        <v>0</v>
      </c>
      <c r="X3015" s="1">
        <f t="shared" si="143"/>
        <v>0</v>
      </c>
    </row>
    <row r="3016" spans="1:24" x14ac:dyDescent="0.25">
      <c r="A3016">
        <v>2004</v>
      </c>
      <c r="B3016">
        <v>4</v>
      </c>
      <c r="C3016" t="s">
        <v>65</v>
      </c>
      <c r="D3016" t="str">
        <f>_xlfn.XLOOKUP(C3016,'Carrier Name Rename'!A:A,'Carrier Name Rename'!B:B)</f>
        <v>Continental Air Lines Inc.</v>
      </c>
      <c r="E3016" t="s">
        <v>23</v>
      </c>
      <c r="F3016" t="s">
        <v>24</v>
      </c>
      <c r="G3016">
        <v>329</v>
      </c>
      <c r="H3016">
        <v>61</v>
      </c>
      <c r="I3016">
        <v>11.63</v>
      </c>
      <c r="J3016">
        <v>1.53</v>
      </c>
      <c r="K3016">
        <v>33.450000000000003</v>
      </c>
      <c r="L3016">
        <v>0.02</v>
      </c>
      <c r="M3016">
        <v>14.37</v>
      </c>
      <c r="N3016">
        <v>0</v>
      </c>
      <c r="O3016">
        <v>0</v>
      </c>
      <c r="P3016">
        <v>2618</v>
      </c>
      <c r="Q3016">
        <v>693</v>
      </c>
      <c r="R3016">
        <v>40</v>
      </c>
      <c r="S3016">
        <v>959</v>
      </c>
      <c r="T3016">
        <v>2</v>
      </c>
      <c r="U3016">
        <v>924</v>
      </c>
      <c r="V3016" s="1">
        <f t="shared" si="141"/>
        <v>0.18540000000000001</v>
      </c>
      <c r="W3016" s="1">
        <f t="shared" si="142"/>
        <v>0</v>
      </c>
      <c r="X3016" s="1">
        <f t="shared" si="143"/>
        <v>0</v>
      </c>
    </row>
    <row r="3017" spans="1:24" x14ac:dyDescent="0.25">
      <c r="A3017">
        <v>2004</v>
      </c>
      <c r="B3017">
        <v>4</v>
      </c>
      <c r="C3017" t="s">
        <v>37</v>
      </c>
      <c r="D3017" t="str">
        <f>_xlfn.XLOOKUP(C3017,'Carrier Name Rename'!A:A,'Carrier Name Rename'!B:B)</f>
        <v>Delta Air Lines Inc.</v>
      </c>
      <c r="E3017" t="s">
        <v>23</v>
      </c>
      <c r="F3017" t="s">
        <v>24</v>
      </c>
      <c r="G3017">
        <v>475</v>
      </c>
      <c r="H3017">
        <v>66</v>
      </c>
      <c r="I3017">
        <v>19.72</v>
      </c>
      <c r="J3017">
        <v>0.95</v>
      </c>
      <c r="K3017">
        <v>34.21</v>
      </c>
      <c r="L3017">
        <v>0</v>
      </c>
      <c r="M3017">
        <v>11.12</v>
      </c>
      <c r="N3017">
        <v>0</v>
      </c>
      <c r="O3017">
        <v>0</v>
      </c>
      <c r="P3017">
        <v>2207</v>
      </c>
      <c r="Q3017">
        <v>815</v>
      </c>
      <c r="R3017">
        <v>71</v>
      </c>
      <c r="S3017">
        <v>954</v>
      </c>
      <c r="T3017">
        <v>0</v>
      </c>
      <c r="U3017">
        <v>367</v>
      </c>
      <c r="V3017" s="1">
        <f t="shared" si="141"/>
        <v>0.1389</v>
      </c>
      <c r="W3017" s="1">
        <f t="shared" si="142"/>
        <v>0</v>
      </c>
      <c r="X3017" s="1">
        <f t="shared" si="143"/>
        <v>0</v>
      </c>
    </row>
    <row r="3018" spans="1:24" x14ac:dyDescent="0.25">
      <c r="A3018">
        <v>2004</v>
      </c>
      <c r="B3018">
        <v>4</v>
      </c>
      <c r="C3018" t="s">
        <v>21</v>
      </c>
      <c r="D3018" t="str">
        <f>_xlfn.XLOOKUP(C3018,'Carrier Name Rename'!A:A,'Carrier Name Rename'!B:B)</f>
        <v>Hawaiian Airlines Inc.</v>
      </c>
      <c r="E3018" t="s">
        <v>23</v>
      </c>
      <c r="F3018" t="s">
        <v>24</v>
      </c>
      <c r="G3018">
        <v>81</v>
      </c>
      <c r="H3018">
        <v>11</v>
      </c>
      <c r="I3018">
        <v>10.63</v>
      </c>
      <c r="J3018">
        <v>0</v>
      </c>
      <c r="K3018">
        <v>0</v>
      </c>
      <c r="L3018">
        <v>0</v>
      </c>
      <c r="M3018">
        <v>0.37</v>
      </c>
      <c r="N3018">
        <v>0</v>
      </c>
      <c r="O3018">
        <v>0</v>
      </c>
      <c r="P3018">
        <v>352</v>
      </c>
      <c r="Q3018">
        <v>345</v>
      </c>
      <c r="R3018">
        <v>0</v>
      </c>
      <c r="S3018">
        <v>0</v>
      </c>
      <c r="T3018">
        <v>0</v>
      </c>
      <c r="U3018">
        <v>7</v>
      </c>
      <c r="V3018" s="1">
        <f t="shared" si="141"/>
        <v>0.1358</v>
      </c>
      <c r="W3018" s="1">
        <f t="shared" si="142"/>
        <v>0</v>
      </c>
      <c r="X3018" s="1">
        <f t="shared" si="143"/>
        <v>0</v>
      </c>
    </row>
    <row r="3019" spans="1:24" x14ac:dyDescent="0.25">
      <c r="A3019">
        <v>2004</v>
      </c>
      <c r="B3019">
        <v>4</v>
      </c>
      <c r="C3019" t="s">
        <v>73</v>
      </c>
      <c r="D3019" t="str">
        <f>_xlfn.XLOOKUP(C3019,'Carrier Name Rename'!A:A,'Carrier Name Rename'!B:B)</f>
        <v>America West Airlines Inc.</v>
      </c>
      <c r="E3019" t="s">
        <v>23</v>
      </c>
      <c r="F3019" t="s">
        <v>24</v>
      </c>
      <c r="G3019">
        <v>270</v>
      </c>
      <c r="H3019">
        <v>60</v>
      </c>
      <c r="I3019">
        <v>17.079999999999998</v>
      </c>
      <c r="J3019">
        <v>0</v>
      </c>
      <c r="K3019">
        <v>29.4</v>
      </c>
      <c r="L3019">
        <v>2.37</v>
      </c>
      <c r="M3019">
        <v>11.15</v>
      </c>
      <c r="N3019">
        <v>1</v>
      </c>
      <c r="O3019">
        <v>0</v>
      </c>
      <c r="P3019">
        <v>2268</v>
      </c>
      <c r="Q3019">
        <v>1027</v>
      </c>
      <c r="R3019">
        <v>0</v>
      </c>
      <c r="S3019">
        <v>710</v>
      </c>
      <c r="T3019">
        <v>57</v>
      </c>
      <c r="U3019">
        <v>474</v>
      </c>
      <c r="V3019" s="1">
        <f t="shared" si="141"/>
        <v>0.22220000000000001</v>
      </c>
      <c r="W3019" s="1">
        <f t="shared" si="142"/>
        <v>3.7000000000000002E-3</v>
      </c>
      <c r="X3019" s="1">
        <f t="shared" si="143"/>
        <v>0</v>
      </c>
    </row>
    <row r="3020" spans="1:24" x14ac:dyDescent="0.25">
      <c r="A3020">
        <v>2004</v>
      </c>
      <c r="B3020">
        <v>4</v>
      </c>
      <c r="C3020" t="s">
        <v>67</v>
      </c>
      <c r="D3020" t="str">
        <f>_xlfn.XLOOKUP(C3020,'Carrier Name Rename'!A:A,'Carrier Name Rename'!B:B)</f>
        <v>Northwest Airlines Inc.</v>
      </c>
      <c r="E3020" t="s">
        <v>23</v>
      </c>
      <c r="F3020" t="s">
        <v>24</v>
      </c>
      <c r="G3020">
        <v>330</v>
      </c>
      <c r="H3020">
        <v>56</v>
      </c>
      <c r="I3020">
        <v>14.03</v>
      </c>
      <c r="J3020">
        <v>2.56</v>
      </c>
      <c r="K3020">
        <v>32.270000000000003</v>
      </c>
      <c r="L3020">
        <v>0.28999999999999998</v>
      </c>
      <c r="M3020">
        <v>6.84</v>
      </c>
      <c r="N3020">
        <v>0</v>
      </c>
      <c r="O3020">
        <v>2</v>
      </c>
      <c r="P3020">
        <v>2818</v>
      </c>
      <c r="Q3020">
        <v>526</v>
      </c>
      <c r="R3020">
        <v>900</v>
      </c>
      <c r="S3020">
        <v>748</v>
      </c>
      <c r="T3020">
        <v>17</v>
      </c>
      <c r="U3020">
        <v>627</v>
      </c>
      <c r="V3020" s="1">
        <f t="shared" si="141"/>
        <v>0.16969999999999999</v>
      </c>
      <c r="W3020" s="1">
        <f t="shared" si="142"/>
        <v>0</v>
      </c>
      <c r="X3020" s="1">
        <f t="shared" si="143"/>
        <v>6.1000000000000004E-3</v>
      </c>
    </row>
    <row r="3021" spans="1:24" x14ac:dyDescent="0.25">
      <c r="A3021">
        <v>2004</v>
      </c>
      <c r="B3021">
        <v>4</v>
      </c>
      <c r="C3021" t="s">
        <v>81</v>
      </c>
      <c r="D3021" t="str">
        <f>_xlfn.XLOOKUP(C3021,'Carrier Name Rename'!A:A,'Carrier Name Rename'!B:B)</f>
        <v>Comair Inc.</v>
      </c>
      <c r="E3021" t="s">
        <v>23</v>
      </c>
      <c r="F3021" t="s">
        <v>24</v>
      </c>
      <c r="G3021">
        <v>30</v>
      </c>
      <c r="H3021">
        <v>5</v>
      </c>
      <c r="I3021">
        <v>3.01</v>
      </c>
      <c r="J3021">
        <v>0</v>
      </c>
      <c r="K3021">
        <v>1.99</v>
      </c>
      <c r="L3021">
        <v>0</v>
      </c>
      <c r="M3021">
        <v>0</v>
      </c>
      <c r="N3021">
        <v>0</v>
      </c>
      <c r="O3021">
        <v>0</v>
      </c>
      <c r="P3021">
        <v>263</v>
      </c>
      <c r="Q3021">
        <v>224</v>
      </c>
      <c r="R3021">
        <v>0</v>
      </c>
      <c r="S3021">
        <v>39</v>
      </c>
      <c r="T3021">
        <v>0</v>
      </c>
      <c r="U3021">
        <v>0</v>
      </c>
      <c r="V3021" s="1">
        <f t="shared" si="141"/>
        <v>0.16669999999999999</v>
      </c>
      <c r="W3021" s="1">
        <f t="shared" si="142"/>
        <v>0</v>
      </c>
      <c r="X3021" s="1">
        <f t="shared" si="143"/>
        <v>0</v>
      </c>
    </row>
    <row r="3022" spans="1:24" x14ac:dyDescent="0.25">
      <c r="A3022">
        <v>2004</v>
      </c>
      <c r="B3022">
        <v>4</v>
      </c>
      <c r="C3022" t="s">
        <v>27</v>
      </c>
      <c r="D3022" t="str">
        <f>_xlfn.XLOOKUP(C3022,'Carrier Name Rename'!A:A,'Carrier Name Rename'!B:B)</f>
        <v>SkyWest Airlines Inc.</v>
      </c>
      <c r="E3022" t="s">
        <v>23</v>
      </c>
      <c r="F3022" t="s">
        <v>24</v>
      </c>
      <c r="G3022">
        <v>382</v>
      </c>
      <c r="H3022">
        <v>33</v>
      </c>
      <c r="I3022">
        <v>21</v>
      </c>
      <c r="J3022">
        <v>2</v>
      </c>
      <c r="K3022">
        <v>2</v>
      </c>
      <c r="L3022">
        <v>1</v>
      </c>
      <c r="M3022">
        <v>7</v>
      </c>
      <c r="N3022">
        <v>2</v>
      </c>
      <c r="O3022">
        <v>0</v>
      </c>
      <c r="P3022">
        <v>1059</v>
      </c>
      <c r="Q3022">
        <v>716</v>
      </c>
      <c r="R3022">
        <v>45</v>
      </c>
      <c r="S3022">
        <v>33</v>
      </c>
      <c r="T3022">
        <v>16</v>
      </c>
      <c r="U3022">
        <v>249</v>
      </c>
      <c r="V3022" s="1">
        <f t="shared" si="141"/>
        <v>8.6400000000000005E-2</v>
      </c>
      <c r="W3022" s="1">
        <f t="shared" si="142"/>
        <v>5.1999999999999998E-3</v>
      </c>
      <c r="X3022" s="1">
        <f t="shared" si="143"/>
        <v>0</v>
      </c>
    </row>
    <row r="3023" spans="1:24" x14ac:dyDescent="0.25">
      <c r="A3023">
        <v>2004</v>
      </c>
      <c r="B3023">
        <v>4</v>
      </c>
      <c r="C3023" t="s">
        <v>79</v>
      </c>
      <c r="D3023" t="str">
        <f>_xlfn.XLOOKUP(C3023,'Carrier Name Rename'!A:A,'Carrier Name Rename'!B:B)</f>
        <v>ATA Airlines d/b/a ATA</v>
      </c>
      <c r="E3023" t="s">
        <v>23</v>
      </c>
      <c r="F3023" t="s">
        <v>24</v>
      </c>
      <c r="G3023">
        <v>116</v>
      </c>
      <c r="H3023">
        <v>18</v>
      </c>
      <c r="I3023">
        <v>4.68</v>
      </c>
      <c r="J3023">
        <v>0</v>
      </c>
      <c r="K3023">
        <v>11.43</v>
      </c>
      <c r="L3023">
        <v>0</v>
      </c>
      <c r="M3023">
        <v>1.9</v>
      </c>
      <c r="N3023">
        <v>0</v>
      </c>
      <c r="O3023">
        <v>0</v>
      </c>
      <c r="P3023">
        <v>517</v>
      </c>
      <c r="Q3023">
        <v>132</v>
      </c>
      <c r="R3023">
        <v>0</v>
      </c>
      <c r="S3023">
        <v>309</v>
      </c>
      <c r="T3023">
        <v>0</v>
      </c>
      <c r="U3023">
        <v>76</v>
      </c>
      <c r="V3023" s="1">
        <f t="shared" si="141"/>
        <v>0.1552</v>
      </c>
      <c r="W3023" s="1">
        <f t="shared" si="142"/>
        <v>0</v>
      </c>
      <c r="X3023" s="1">
        <f t="shared" si="143"/>
        <v>0</v>
      </c>
    </row>
    <row r="3024" spans="1:24" x14ac:dyDescent="0.25">
      <c r="A3024">
        <v>2004</v>
      </c>
      <c r="B3024">
        <v>4</v>
      </c>
      <c r="C3024" t="s">
        <v>41</v>
      </c>
      <c r="D3024" t="str">
        <f>_xlfn.XLOOKUP(C3024,'Carrier Name Rename'!A:A,'Carrier Name Rename'!B:B)</f>
        <v>United Air Lines Inc.</v>
      </c>
      <c r="E3024" t="s">
        <v>23</v>
      </c>
      <c r="F3024" t="s">
        <v>24</v>
      </c>
      <c r="G3024">
        <v>1029</v>
      </c>
      <c r="H3024">
        <v>98</v>
      </c>
      <c r="I3024">
        <v>31.47</v>
      </c>
      <c r="J3024">
        <v>0</v>
      </c>
      <c r="K3024">
        <v>27.34</v>
      </c>
      <c r="L3024">
        <v>0</v>
      </c>
      <c r="M3024">
        <v>39.19</v>
      </c>
      <c r="N3024">
        <v>2</v>
      </c>
      <c r="O3024">
        <v>0</v>
      </c>
      <c r="P3024">
        <v>4159</v>
      </c>
      <c r="Q3024">
        <v>1372</v>
      </c>
      <c r="R3024">
        <v>0</v>
      </c>
      <c r="S3024">
        <v>771</v>
      </c>
      <c r="T3024">
        <v>0</v>
      </c>
      <c r="U3024">
        <v>2016</v>
      </c>
      <c r="V3024" s="1">
        <f t="shared" si="141"/>
        <v>9.5200000000000007E-2</v>
      </c>
      <c r="W3024" s="1">
        <f t="shared" si="142"/>
        <v>1.9E-3</v>
      </c>
      <c r="X3024" s="1">
        <f t="shared" si="143"/>
        <v>0</v>
      </c>
    </row>
    <row r="3025" spans="1:24" x14ac:dyDescent="0.25">
      <c r="A3025">
        <v>2004</v>
      </c>
      <c r="B3025">
        <v>4</v>
      </c>
      <c r="C3025" t="s">
        <v>61</v>
      </c>
      <c r="D3025" t="str">
        <f>_xlfn.XLOOKUP(C3025,'Carrier Name Rename'!A:A,'Carrier Name Rename'!B:B)</f>
        <v>US Airways Inc.</v>
      </c>
      <c r="E3025" t="s">
        <v>23</v>
      </c>
      <c r="F3025" t="s">
        <v>24</v>
      </c>
      <c r="G3025">
        <v>120</v>
      </c>
      <c r="H3025">
        <v>22</v>
      </c>
      <c r="I3025">
        <v>10.78</v>
      </c>
      <c r="J3025">
        <v>0</v>
      </c>
      <c r="K3025">
        <v>5.66</v>
      </c>
      <c r="L3025">
        <v>0</v>
      </c>
      <c r="M3025">
        <v>5.56</v>
      </c>
      <c r="N3025">
        <v>0</v>
      </c>
      <c r="O3025">
        <v>0</v>
      </c>
      <c r="P3025">
        <v>850</v>
      </c>
      <c r="Q3025">
        <v>462</v>
      </c>
      <c r="R3025">
        <v>0</v>
      </c>
      <c r="S3025">
        <v>178</v>
      </c>
      <c r="T3025">
        <v>0</v>
      </c>
      <c r="U3025">
        <v>210</v>
      </c>
      <c r="V3025" s="1">
        <f t="shared" si="141"/>
        <v>0.18329999999999999</v>
      </c>
      <c r="W3025" s="1">
        <f t="shared" si="142"/>
        <v>0</v>
      </c>
      <c r="X3025" s="1">
        <f t="shared" si="143"/>
        <v>0</v>
      </c>
    </row>
    <row r="3026" spans="1:24" x14ac:dyDescent="0.25">
      <c r="A3026">
        <v>2004</v>
      </c>
      <c r="B3026">
        <v>4</v>
      </c>
      <c r="C3026" t="s">
        <v>43</v>
      </c>
      <c r="D3026" t="str">
        <f>_xlfn.XLOOKUP(C3026,'Carrier Name Rename'!A:A,'Carrier Name Rename'!B:B)</f>
        <v>Southwest Airlines Co.</v>
      </c>
      <c r="E3026" t="s">
        <v>23</v>
      </c>
      <c r="F3026" t="s">
        <v>24</v>
      </c>
      <c r="G3026">
        <v>1040</v>
      </c>
      <c r="H3026">
        <v>161</v>
      </c>
      <c r="I3026">
        <v>23.76</v>
      </c>
      <c r="J3026">
        <v>0</v>
      </c>
      <c r="K3026">
        <v>21.37</v>
      </c>
      <c r="L3026">
        <v>0.96</v>
      </c>
      <c r="M3026">
        <v>114.91</v>
      </c>
      <c r="N3026">
        <v>0</v>
      </c>
      <c r="O3026">
        <v>0</v>
      </c>
      <c r="P3026">
        <v>5782</v>
      </c>
      <c r="Q3026">
        <v>935</v>
      </c>
      <c r="R3026">
        <v>0</v>
      </c>
      <c r="S3026">
        <v>466</v>
      </c>
      <c r="T3026">
        <v>41</v>
      </c>
      <c r="U3026">
        <v>4340</v>
      </c>
      <c r="V3026" s="1">
        <f t="shared" si="141"/>
        <v>0.15479999999999999</v>
      </c>
      <c r="W3026" s="1">
        <f t="shared" si="142"/>
        <v>0</v>
      </c>
      <c r="X3026" s="1">
        <f t="shared" si="143"/>
        <v>0</v>
      </c>
    </row>
    <row r="3027" spans="1:24" x14ac:dyDescent="0.25">
      <c r="A3027">
        <v>2004</v>
      </c>
      <c r="B3027">
        <v>3</v>
      </c>
      <c r="C3027" t="s">
        <v>31</v>
      </c>
      <c r="D3027" t="str">
        <f>_xlfn.XLOOKUP(C3027,'Carrier Name Rename'!A:A,'Carrier Name Rename'!B:B)</f>
        <v>American Airlines Inc.</v>
      </c>
      <c r="E3027" t="s">
        <v>23</v>
      </c>
      <c r="F3027" t="s">
        <v>24</v>
      </c>
      <c r="G3027">
        <v>546</v>
      </c>
      <c r="H3027">
        <v>110</v>
      </c>
      <c r="I3027">
        <v>34.51</v>
      </c>
      <c r="J3027">
        <v>7.9</v>
      </c>
      <c r="K3027">
        <v>38.770000000000003</v>
      </c>
      <c r="L3027">
        <v>0</v>
      </c>
      <c r="M3027">
        <v>28.82</v>
      </c>
      <c r="N3027">
        <v>5</v>
      </c>
      <c r="O3027">
        <v>0</v>
      </c>
      <c r="P3027">
        <v>5741</v>
      </c>
      <c r="Q3027">
        <v>1828</v>
      </c>
      <c r="R3027">
        <v>466</v>
      </c>
      <c r="S3027">
        <v>1476</v>
      </c>
      <c r="T3027">
        <v>0</v>
      </c>
      <c r="U3027">
        <v>1971</v>
      </c>
      <c r="V3027" s="1">
        <f t="shared" si="141"/>
        <v>0.20150000000000001</v>
      </c>
      <c r="W3027" s="1">
        <f t="shared" si="142"/>
        <v>9.1999999999999998E-3</v>
      </c>
      <c r="X3027" s="1">
        <f t="shared" si="143"/>
        <v>0</v>
      </c>
    </row>
    <row r="3028" spans="1:24" x14ac:dyDescent="0.25">
      <c r="A3028">
        <v>2004</v>
      </c>
      <c r="B3028">
        <v>3</v>
      </c>
      <c r="C3028" t="s">
        <v>33</v>
      </c>
      <c r="D3028" t="str">
        <f>_xlfn.XLOOKUP(C3028,'Carrier Name Rename'!A:A,'Carrier Name Rename'!B:B)</f>
        <v>Alaska Airlines Inc.</v>
      </c>
      <c r="E3028" t="s">
        <v>23</v>
      </c>
      <c r="F3028" t="s">
        <v>24</v>
      </c>
      <c r="G3028">
        <v>3967</v>
      </c>
      <c r="H3028">
        <v>708</v>
      </c>
      <c r="I3028">
        <v>149.13999999999999</v>
      </c>
      <c r="J3028">
        <v>5.33</v>
      </c>
      <c r="K3028">
        <v>244.17</v>
      </c>
      <c r="L3028">
        <v>13.19</v>
      </c>
      <c r="M3028">
        <v>296.18</v>
      </c>
      <c r="N3028">
        <v>54</v>
      </c>
      <c r="O3028">
        <v>4</v>
      </c>
      <c r="P3028">
        <v>33557</v>
      </c>
      <c r="Q3028">
        <v>9174</v>
      </c>
      <c r="R3028">
        <v>381</v>
      </c>
      <c r="S3028">
        <v>7136</v>
      </c>
      <c r="T3028">
        <v>349</v>
      </c>
      <c r="U3028">
        <v>16517</v>
      </c>
      <c r="V3028" s="1">
        <f t="shared" si="141"/>
        <v>0.17849999999999999</v>
      </c>
      <c r="W3028" s="1">
        <f t="shared" si="142"/>
        <v>1.3599999999999999E-2</v>
      </c>
      <c r="X3028" s="1">
        <f t="shared" si="143"/>
        <v>1E-3</v>
      </c>
    </row>
    <row r="3029" spans="1:24" x14ac:dyDescent="0.25">
      <c r="A3029">
        <v>2004</v>
      </c>
      <c r="B3029">
        <v>3</v>
      </c>
      <c r="C3029" t="s">
        <v>35</v>
      </c>
      <c r="D3029" t="str">
        <f>_xlfn.XLOOKUP(C3029,'Carrier Name Rename'!A:A,'Carrier Name Rename'!B:B)</f>
        <v>JetBlue Airways</v>
      </c>
      <c r="E3029" t="s">
        <v>23</v>
      </c>
      <c r="F3029" t="s">
        <v>24</v>
      </c>
      <c r="G3029">
        <v>31</v>
      </c>
      <c r="H3029">
        <v>7</v>
      </c>
      <c r="I3029">
        <v>2.1800000000000002</v>
      </c>
      <c r="J3029">
        <v>0</v>
      </c>
      <c r="K3029">
        <v>2.4</v>
      </c>
      <c r="L3029">
        <v>0</v>
      </c>
      <c r="M3029">
        <v>2.4300000000000002</v>
      </c>
      <c r="N3029">
        <v>0</v>
      </c>
      <c r="O3029">
        <v>0</v>
      </c>
      <c r="P3029">
        <v>224</v>
      </c>
      <c r="Q3029">
        <v>55</v>
      </c>
      <c r="R3029">
        <v>0</v>
      </c>
      <c r="S3029">
        <v>98</v>
      </c>
      <c r="T3029">
        <v>0</v>
      </c>
      <c r="U3029">
        <v>71</v>
      </c>
      <c r="V3029" s="1">
        <f t="shared" si="141"/>
        <v>0.2258</v>
      </c>
      <c r="W3029" s="1">
        <f t="shared" si="142"/>
        <v>0</v>
      </c>
      <c r="X3029" s="1">
        <f t="shared" si="143"/>
        <v>0</v>
      </c>
    </row>
    <row r="3030" spans="1:24" x14ac:dyDescent="0.25">
      <c r="A3030">
        <v>2004</v>
      </c>
      <c r="B3030">
        <v>3</v>
      </c>
      <c r="C3030" t="s">
        <v>65</v>
      </c>
      <c r="D3030" t="str">
        <f>_xlfn.XLOOKUP(C3030,'Carrier Name Rename'!A:A,'Carrier Name Rename'!B:B)</f>
        <v>Continental Air Lines Inc.</v>
      </c>
      <c r="E3030" t="s">
        <v>23</v>
      </c>
      <c r="F3030" t="s">
        <v>24</v>
      </c>
      <c r="G3030">
        <v>341</v>
      </c>
      <c r="H3030">
        <v>72</v>
      </c>
      <c r="I3030">
        <v>15.07</v>
      </c>
      <c r="J3030">
        <v>1.78</v>
      </c>
      <c r="K3030">
        <v>43.75</v>
      </c>
      <c r="L3030">
        <v>0.63</v>
      </c>
      <c r="M3030">
        <v>10.77</v>
      </c>
      <c r="N3030">
        <v>0</v>
      </c>
      <c r="O3030">
        <v>0</v>
      </c>
      <c r="P3030">
        <v>2576</v>
      </c>
      <c r="Q3030">
        <v>723</v>
      </c>
      <c r="R3030">
        <v>78</v>
      </c>
      <c r="S3030">
        <v>1299</v>
      </c>
      <c r="T3030">
        <v>12</v>
      </c>
      <c r="U3030">
        <v>464</v>
      </c>
      <c r="V3030" s="1">
        <f t="shared" si="141"/>
        <v>0.21110000000000001</v>
      </c>
      <c r="W3030" s="1">
        <f t="shared" si="142"/>
        <v>0</v>
      </c>
      <c r="X3030" s="1">
        <f t="shared" si="143"/>
        <v>0</v>
      </c>
    </row>
    <row r="3031" spans="1:24" x14ac:dyDescent="0.25">
      <c r="A3031">
        <v>2004</v>
      </c>
      <c r="B3031">
        <v>3</v>
      </c>
      <c r="C3031" t="s">
        <v>37</v>
      </c>
      <c r="D3031" t="str">
        <f>_xlfn.XLOOKUP(C3031,'Carrier Name Rename'!A:A,'Carrier Name Rename'!B:B)</f>
        <v>Delta Air Lines Inc.</v>
      </c>
      <c r="E3031" t="s">
        <v>23</v>
      </c>
      <c r="F3031" t="s">
        <v>24</v>
      </c>
      <c r="G3031">
        <v>465</v>
      </c>
      <c r="H3031">
        <v>70</v>
      </c>
      <c r="I3031">
        <v>19.28</v>
      </c>
      <c r="J3031">
        <v>1.1000000000000001</v>
      </c>
      <c r="K3031">
        <v>38.729999999999997</v>
      </c>
      <c r="L3031">
        <v>0</v>
      </c>
      <c r="M3031">
        <v>10.88</v>
      </c>
      <c r="N3031">
        <v>1</v>
      </c>
      <c r="O3031">
        <v>1</v>
      </c>
      <c r="P3031">
        <v>3105</v>
      </c>
      <c r="Q3031">
        <v>1144</v>
      </c>
      <c r="R3031">
        <v>101</v>
      </c>
      <c r="S3031">
        <v>1112</v>
      </c>
      <c r="T3031">
        <v>0</v>
      </c>
      <c r="U3031">
        <v>748</v>
      </c>
      <c r="V3031" s="1">
        <f t="shared" si="141"/>
        <v>0.15049999999999999</v>
      </c>
      <c r="W3031" s="1">
        <f t="shared" si="142"/>
        <v>2.2000000000000001E-3</v>
      </c>
      <c r="X3031" s="1">
        <f t="shared" si="143"/>
        <v>2.2000000000000001E-3</v>
      </c>
    </row>
    <row r="3032" spans="1:24" x14ac:dyDescent="0.25">
      <c r="A3032">
        <v>2004</v>
      </c>
      <c r="B3032">
        <v>3</v>
      </c>
      <c r="C3032" t="s">
        <v>21</v>
      </c>
      <c r="D3032" t="str">
        <f>_xlfn.XLOOKUP(C3032,'Carrier Name Rename'!A:A,'Carrier Name Rename'!B:B)</f>
        <v>Hawaiian Airlines Inc.</v>
      </c>
      <c r="E3032" t="s">
        <v>23</v>
      </c>
      <c r="F3032" t="s">
        <v>24</v>
      </c>
      <c r="G3032">
        <v>90</v>
      </c>
      <c r="H3032">
        <v>12</v>
      </c>
      <c r="I3032">
        <v>12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866</v>
      </c>
      <c r="Q3032">
        <v>865</v>
      </c>
      <c r="R3032">
        <v>0</v>
      </c>
      <c r="S3032">
        <v>1</v>
      </c>
      <c r="T3032">
        <v>0</v>
      </c>
      <c r="U3032">
        <v>0</v>
      </c>
      <c r="V3032" s="1">
        <f t="shared" si="141"/>
        <v>0.1333</v>
      </c>
      <c r="W3032" s="1">
        <f t="shared" si="142"/>
        <v>0</v>
      </c>
      <c r="X3032" s="1">
        <f t="shared" si="143"/>
        <v>0</v>
      </c>
    </row>
    <row r="3033" spans="1:24" x14ac:dyDescent="0.25">
      <c r="A3033">
        <v>2004</v>
      </c>
      <c r="B3033">
        <v>3</v>
      </c>
      <c r="C3033" t="s">
        <v>73</v>
      </c>
      <c r="D3033" t="str">
        <f>_xlfn.XLOOKUP(C3033,'Carrier Name Rename'!A:A,'Carrier Name Rename'!B:B)</f>
        <v>America West Airlines Inc.</v>
      </c>
      <c r="E3033" t="s">
        <v>23</v>
      </c>
      <c r="F3033" t="s">
        <v>24</v>
      </c>
      <c r="G3033">
        <v>279</v>
      </c>
      <c r="H3033">
        <v>92</v>
      </c>
      <c r="I3033">
        <v>32.11</v>
      </c>
      <c r="J3033">
        <v>0.83</v>
      </c>
      <c r="K3033">
        <v>38.159999999999997</v>
      </c>
      <c r="L3033">
        <v>0.48</v>
      </c>
      <c r="M3033">
        <v>20.41</v>
      </c>
      <c r="N3033">
        <v>2</v>
      </c>
      <c r="O3033">
        <v>0</v>
      </c>
      <c r="P3033">
        <v>4684</v>
      </c>
      <c r="Q3033">
        <v>2009</v>
      </c>
      <c r="R3033">
        <v>105</v>
      </c>
      <c r="S3033">
        <v>1168</v>
      </c>
      <c r="T3033">
        <v>15</v>
      </c>
      <c r="U3033">
        <v>1387</v>
      </c>
      <c r="V3033" s="1">
        <f t="shared" si="141"/>
        <v>0.32969999999999999</v>
      </c>
      <c r="W3033" s="1">
        <f t="shared" si="142"/>
        <v>7.1999999999999998E-3</v>
      </c>
      <c r="X3033" s="1">
        <f t="shared" si="143"/>
        <v>0</v>
      </c>
    </row>
    <row r="3034" spans="1:24" x14ac:dyDescent="0.25">
      <c r="A3034">
        <v>2004</v>
      </c>
      <c r="B3034">
        <v>3</v>
      </c>
      <c r="C3034" t="s">
        <v>67</v>
      </c>
      <c r="D3034" t="str">
        <f>_xlfn.XLOOKUP(C3034,'Carrier Name Rename'!A:A,'Carrier Name Rename'!B:B)</f>
        <v>Northwest Airlines Inc.</v>
      </c>
      <c r="E3034" t="s">
        <v>23</v>
      </c>
      <c r="F3034" t="s">
        <v>24</v>
      </c>
      <c r="G3034">
        <v>341</v>
      </c>
      <c r="H3034">
        <v>111</v>
      </c>
      <c r="I3034">
        <v>32.04</v>
      </c>
      <c r="J3034">
        <v>1.47</v>
      </c>
      <c r="K3034">
        <v>67.87</v>
      </c>
      <c r="L3034">
        <v>0</v>
      </c>
      <c r="M3034">
        <v>9.6300000000000008</v>
      </c>
      <c r="N3034">
        <v>0</v>
      </c>
      <c r="O3034">
        <v>1</v>
      </c>
      <c r="P3034">
        <v>4539</v>
      </c>
      <c r="Q3034">
        <v>1838</v>
      </c>
      <c r="R3034">
        <v>106</v>
      </c>
      <c r="S3034">
        <v>2025</v>
      </c>
      <c r="T3034">
        <v>0</v>
      </c>
      <c r="U3034">
        <v>570</v>
      </c>
      <c r="V3034" s="1">
        <f t="shared" si="141"/>
        <v>0.32550000000000001</v>
      </c>
      <c r="W3034" s="1">
        <f t="shared" si="142"/>
        <v>0</v>
      </c>
      <c r="X3034" s="1">
        <f t="shared" si="143"/>
        <v>2.8999999999999998E-3</v>
      </c>
    </row>
    <row r="3035" spans="1:24" x14ac:dyDescent="0.25">
      <c r="A3035">
        <v>2004</v>
      </c>
      <c r="B3035">
        <v>3</v>
      </c>
      <c r="C3035" t="s">
        <v>81</v>
      </c>
      <c r="D3035" t="str">
        <f>_xlfn.XLOOKUP(C3035,'Carrier Name Rename'!A:A,'Carrier Name Rename'!B:B)</f>
        <v>Comair Inc.</v>
      </c>
      <c r="E3035" t="s">
        <v>23</v>
      </c>
      <c r="F3035" t="s">
        <v>24</v>
      </c>
      <c r="G3035">
        <v>31</v>
      </c>
      <c r="H3035">
        <v>8</v>
      </c>
      <c r="I3035">
        <v>5.31</v>
      </c>
      <c r="J3035">
        <v>1</v>
      </c>
      <c r="K3035">
        <v>1.69</v>
      </c>
      <c r="L3035">
        <v>0</v>
      </c>
      <c r="M3035">
        <v>0</v>
      </c>
      <c r="N3035">
        <v>0</v>
      </c>
      <c r="O3035">
        <v>0</v>
      </c>
      <c r="P3035">
        <v>380</v>
      </c>
      <c r="Q3035">
        <v>296</v>
      </c>
      <c r="R3035">
        <v>38</v>
      </c>
      <c r="S3035">
        <v>46</v>
      </c>
      <c r="T3035">
        <v>0</v>
      </c>
      <c r="U3035">
        <v>0</v>
      </c>
      <c r="V3035" s="1">
        <f t="shared" si="141"/>
        <v>0.2581</v>
      </c>
      <c r="W3035" s="1">
        <f t="shared" si="142"/>
        <v>0</v>
      </c>
      <c r="X3035" s="1">
        <f t="shared" si="143"/>
        <v>0</v>
      </c>
    </row>
    <row r="3036" spans="1:24" x14ac:dyDescent="0.25">
      <c r="A3036">
        <v>2004</v>
      </c>
      <c r="B3036">
        <v>3</v>
      </c>
      <c r="C3036" t="s">
        <v>27</v>
      </c>
      <c r="D3036" t="str">
        <f>_xlfn.XLOOKUP(C3036,'Carrier Name Rename'!A:A,'Carrier Name Rename'!B:B)</f>
        <v>SkyWest Airlines Inc.</v>
      </c>
      <c r="E3036" t="s">
        <v>23</v>
      </c>
      <c r="F3036" t="s">
        <v>24</v>
      </c>
      <c r="G3036">
        <v>395</v>
      </c>
      <c r="H3036">
        <v>33</v>
      </c>
      <c r="I3036">
        <v>25</v>
      </c>
      <c r="J3036">
        <v>4</v>
      </c>
      <c r="K3036">
        <v>2</v>
      </c>
      <c r="L3036">
        <v>0</v>
      </c>
      <c r="M3036">
        <v>2</v>
      </c>
      <c r="N3036">
        <v>12</v>
      </c>
      <c r="O3036">
        <v>0</v>
      </c>
      <c r="P3036">
        <v>1123</v>
      </c>
      <c r="Q3036">
        <v>923</v>
      </c>
      <c r="R3036">
        <v>92</v>
      </c>
      <c r="S3036">
        <v>60</v>
      </c>
      <c r="T3036">
        <v>0</v>
      </c>
      <c r="U3036">
        <v>48</v>
      </c>
      <c r="V3036" s="1">
        <f t="shared" si="141"/>
        <v>8.3500000000000005E-2</v>
      </c>
      <c r="W3036" s="1">
        <f t="shared" si="142"/>
        <v>3.04E-2</v>
      </c>
      <c r="X3036" s="1">
        <f t="shared" si="143"/>
        <v>0</v>
      </c>
    </row>
    <row r="3037" spans="1:24" x14ac:dyDescent="0.25">
      <c r="A3037">
        <v>2004</v>
      </c>
      <c r="B3037">
        <v>3</v>
      </c>
      <c r="C3037" t="s">
        <v>79</v>
      </c>
      <c r="D3037" t="str">
        <f>_xlfn.XLOOKUP(C3037,'Carrier Name Rename'!A:A,'Carrier Name Rename'!B:B)</f>
        <v>ATA Airlines d/b/a ATA</v>
      </c>
      <c r="E3037" t="s">
        <v>23</v>
      </c>
      <c r="F3037" t="s">
        <v>24</v>
      </c>
      <c r="G3037">
        <v>120</v>
      </c>
      <c r="H3037">
        <v>57</v>
      </c>
      <c r="I3037">
        <v>17.3</v>
      </c>
      <c r="J3037">
        <v>0</v>
      </c>
      <c r="K3037">
        <v>24.63</v>
      </c>
      <c r="L3037">
        <v>0</v>
      </c>
      <c r="M3037">
        <v>15.07</v>
      </c>
      <c r="N3037">
        <v>0</v>
      </c>
      <c r="O3037">
        <v>0</v>
      </c>
      <c r="P3037">
        <v>2243</v>
      </c>
      <c r="Q3037">
        <v>717</v>
      </c>
      <c r="R3037">
        <v>0</v>
      </c>
      <c r="S3037">
        <v>743</v>
      </c>
      <c r="T3037">
        <v>0</v>
      </c>
      <c r="U3037">
        <v>783</v>
      </c>
      <c r="V3037" s="1">
        <f t="shared" si="141"/>
        <v>0.47499999999999998</v>
      </c>
      <c r="W3037" s="1">
        <f t="shared" si="142"/>
        <v>0</v>
      </c>
      <c r="X3037" s="1">
        <f t="shared" si="143"/>
        <v>0</v>
      </c>
    </row>
    <row r="3038" spans="1:24" x14ac:dyDescent="0.25">
      <c r="A3038">
        <v>2004</v>
      </c>
      <c r="B3038">
        <v>3</v>
      </c>
      <c r="C3038" t="s">
        <v>41</v>
      </c>
      <c r="D3038" t="str">
        <f>_xlfn.XLOOKUP(C3038,'Carrier Name Rename'!A:A,'Carrier Name Rename'!B:B)</f>
        <v>United Air Lines Inc.</v>
      </c>
      <c r="E3038" t="s">
        <v>23</v>
      </c>
      <c r="F3038" t="s">
        <v>24</v>
      </c>
      <c r="G3038">
        <v>982</v>
      </c>
      <c r="H3038">
        <v>148</v>
      </c>
      <c r="I3038">
        <v>38.01</v>
      </c>
      <c r="J3038">
        <v>2.5299999999999998</v>
      </c>
      <c r="K3038">
        <v>60.64</v>
      </c>
      <c r="L3038">
        <v>0</v>
      </c>
      <c r="M3038">
        <v>46.82</v>
      </c>
      <c r="N3038">
        <v>1</v>
      </c>
      <c r="O3038">
        <v>1</v>
      </c>
      <c r="P3038">
        <v>6642</v>
      </c>
      <c r="Q3038">
        <v>1889</v>
      </c>
      <c r="R3038">
        <v>153</v>
      </c>
      <c r="S3038">
        <v>1716</v>
      </c>
      <c r="T3038">
        <v>0</v>
      </c>
      <c r="U3038">
        <v>2884</v>
      </c>
      <c r="V3038" s="1">
        <f t="shared" si="141"/>
        <v>0.1507</v>
      </c>
      <c r="W3038" s="1">
        <f t="shared" si="142"/>
        <v>1E-3</v>
      </c>
      <c r="X3038" s="1">
        <f t="shared" si="143"/>
        <v>1E-3</v>
      </c>
    </row>
    <row r="3039" spans="1:24" x14ac:dyDescent="0.25">
      <c r="A3039">
        <v>2004</v>
      </c>
      <c r="B3039">
        <v>3</v>
      </c>
      <c r="C3039" t="s">
        <v>61</v>
      </c>
      <c r="D3039" t="str">
        <f>_xlfn.XLOOKUP(C3039,'Carrier Name Rename'!A:A,'Carrier Name Rename'!B:B)</f>
        <v>US Airways Inc.</v>
      </c>
      <c r="E3039" t="s">
        <v>23</v>
      </c>
      <c r="F3039" t="s">
        <v>24</v>
      </c>
      <c r="G3039">
        <v>123</v>
      </c>
      <c r="H3039">
        <v>26</v>
      </c>
      <c r="I3039">
        <v>8.6999999999999993</v>
      </c>
      <c r="J3039">
        <v>0</v>
      </c>
      <c r="K3039">
        <v>9.4499999999999993</v>
      </c>
      <c r="L3039">
        <v>0</v>
      </c>
      <c r="M3039">
        <v>7.86</v>
      </c>
      <c r="N3039">
        <v>0</v>
      </c>
      <c r="O3039">
        <v>0</v>
      </c>
      <c r="P3039">
        <v>950</v>
      </c>
      <c r="Q3039">
        <v>279</v>
      </c>
      <c r="R3039">
        <v>0</v>
      </c>
      <c r="S3039">
        <v>287</v>
      </c>
      <c r="T3039">
        <v>0</v>
      </c>
      <c r="U3039">
        <v>384</v>
      </c>
      <c r="V3039" s="1">
        <f t="shared" si="141"/>
        <v>0.2114</v>
      </c>
      <c r="W3039" s="1">
        <f t="shared" si="142"/>
        <v>0</v>
      </c>
      <c r="X3039" s="1">
        <f t="shared" si="143"/>
        <v>0</v>
      </c>
    </row>
    <row r="3040" spans="1:24" x14ac:dyDescent="0.25">
      <c r="A3040">
        <v>2004</v>
      </c>
      <c r="B3040">
        <v>3</v>
      </c>
      <c r="C3040" t="s">
        <v>43</v>
      </c>
      <c r="D3040" t="str">
        <f>_xlfn.XLOOKUP(C3040,'Carrier Name Rename'!A:A,'Carrier Name Rename'!B:B)</f>
        <v>Southwest Airlines Co.</v>
      </c>
      <c r="E3040" t="s">
        <v>23</v>
      </c>
      <c r="F3040" t="s">
        <v>24</v>
      </c>
      <c r="G3040">
        <v>1072</v>
      </c>
      <c r="H3040">
        <v>157</v>
      </c>
      <c r="I3040">
        <v>35.24</v>
      </c>
      <c r="J3040">
        <v>0.86</v>
      </c>
      <c r="K3040">
        <v>17.59</v>
      </c>
      <c r="L3040">
        <v>0</v>
      </c>
      <c r="M3040">
        <v>103.31</v>
      </c>
      <c r="N3040">
        <v>2</v>
      </c>
      <c r="O3040">
        <v>0</v>
      </c>
      <c r="P3040">
        <v>6083</v>
      </c>
      <c r="Q3040">
        <v>1235</v>
      </c>
      <c r="R3040">
        <v>22</v>
      </c>
      <c r="S3040">
        <v>528</v>
      </c>
      <c r="T3040">
        <v>0</v>
      </c>
      <c r="U3040">
        <v>4298</v>
      </c>
      <c r="V3040" s="1">
        <f t="shared" si="141"/>
        <v>0.14649999999999999</v>
      </c>
      <c r="W3040" s="1">
        <f t="shared" si="142"/>
        <v>1.9E-3</v>
      </c>
      <c r="X3040" s="1">
        <f t="shared" si="143"/>
        <v>0</v>
      </c>
    </row>
    <row r="3041" spans="1:24" x14ac:dyDescent="0.25">
      <c r="A3041">
        <v>2004</v>
      </c>
      <c r="B3041">
        <v>2</v>
      </c>
      <c r="C3041" t="s">
        <v>31</v>
      </c>
      <c r="D3041" t="str">
        <f>_xlfn.XLOOKUP(C3041,'Carrier Name Rename'!A:A,'Carrier Name Rename'!B:B)</f>
        <v>American Airlines Inc.</v>
      </c>
      <c r="E3041" t="s">
        <v>23</v>
      </c>
      <c r="F3041" t="s">
        <v>24</v>
      </c>
      <c r="G3041">
        <v>505</v>
      </c>
      <c r="H3041">
        <v>90</v>
      </c>
      <c r="I3041">
        <v>25.69</v>
      </c>
      <c r="J3041">
        <v>15.06</v>
      </c>
      <c r="K3041">
        <v>19.46</v>
      </c>
      <c r="L3041">
        <v>0.93</v>
      </c>
      <c r="M3041">
        <v>28.86</v>
      </c>
      <c r="N3041">
        <v>9</v>
      </c>
      <c r="O3041">
        <v>2</v>
      </c>
      <c r="P3041">
        <v>3944</v>
      </c>
      <c r="Q3041">
        <v>1237</v>
      </c>
      <c r="R3041">
        <v>612</v>
      </c>
      <c r="S3041">
        <v>776</v>
      </c>
      <c r="T3041">
        <v>14</v>
      </c>
      <c r="U3041">
        <v>1305</v>
      </c>
      <c r="V3041" s="1">
        <f t="shared" si="141"/>
        <v>0.1782</v>
      </c>
      <c r="W3041" s="1">
        <f t="shared" si="142"/>
        <v>1.78E-2</v>
      </c>
      <c r="X3041" s="1">
        <f t="shared" si="143"/>
        <v>4.0000000000000001E-3</v>
      </c>
    </row>
    <row r="3042" spans="1:24" x14ac:dyDescent="0.25">
      <c r="A3042">
        <v>2004</v>
      </c>
      <c r="B3042">
        <v>2</v>
      </c>
      <c r="C3042" t="s">
        <v>33</v>
      </c>
      <c r="D3042" t="str">
        <f>_xlfn.XLOOKUP(C3042,'Carrier Name Rename'!A:A,'Carrier Name Rename'!B:B)</f>
        <v>Alaska Airlines Inc.</v>
      </c>
      <c r="E3042" t="s">
        <v>23</v>
      </c>
      <c r="F3042" t="s">
        <v>24</v>
      </c>
      <c r="G3042">
        <v>3597</v>
      </c>
      <c r="H3042">
        <v>713</v>
      </c>
      <c r="I3042">
        <v>150.94</v>
      </c>
      <c r="J3042">
        <v>3.44</v>
      </c>
      <c r="K3042">
        <v>218.21</v>
      </c>
      <c r="L3042">
        <v>17.68</v>
      </c>
      <c r="M3042">
        <v>322.73</v>
      </c>
      <c r="N3042">
        <v>75</v>
      </c>
      <c r="O3042">
        <v>4</v>
      </c>
      <c r="P3042">
        <v>32993</v>
      </c>
      <c r="Q3042">
        <v>9022</v>
      </c>
      <c r="R3042">
        <v>85</v>
      </c>
      <c r="S3042">
        <v>5709</v>
      </c>
      <c r="T3042">
        <v>693</v>
      </c>
      <c r="U3042">
        <v>17484</v>
      </c>
      <c r="V3042" s="1">
        <f t="shared" si="141"/>
        <v>0.19819999999999999</v>
      </c>
      <c r="W3042" s="1">
        <f t="shared" si="142"/>
        <v>2.0899999999999998E-2</v>
      </c>
      <c r="X3042" s="1">
        <f t="shared" si="143"/>
        <v>1.1000000000000001E-3</v>
      </c>
    </row>
    <row r="3043" spans="1:24" x14ac:dyDescent="0.25">
      <c r="A3043">
        <v>2004</v>
      </c>
      <c r="B3043">
        <v>2</v>
      </c>
      <c r="C3043" t="s">
        <v>35</v>
      </c>
      <c r="D3043" t="str">
        <f>_xlfn.XLOOKUP(C3043,'Carrier Name Rename'!A:A,'Carrier Name Rename'!B:B)</f>
        <v>JetBlue Airways</v>
      </c>
      <c r="E3043" t="s">
        <v>23</v>
      </c>
      <c r="F3043" t="s">
        <v>24</v>
      </c>
      <c r="G3043">
        <v>29</v>
      </c>
      <c r="H3043">
        <v>4</v>
      </c>
      <c r="I3043">
        <v>3.38</v>
      </c>
      <c r="J3043">
        <v>0</v>
      </c>
      <c r="K3043">
        <v>0.63</v>
      </c>
      <c r="L3043">
        <v>0</v>
      </c>
      <c r="M3043">
        <v>0</v>
      </c>
      <c r="N3043">
        <v>0</v>
      </c>
      <c r="O3043">
        <v>0</v>
      </c>
      <c r="P3043">
        <v>76</v>
      </c>
      <c r="Q3043">
        <v>66</v>
      </c>
      <c r="R3043">
        <v>0</v>
      </c>
      <c r="S3043">
        <v>10</v>
      </c>
      <c r="T3043">
        <v>0</v>
      </c>
      <c r="U3043">
        <v>0</v>
      </c>
      <c r="V3043" s="1">
        <f t="shared" si="141"/>
        <v>0.13789999999999999</v>
      </c>
      <c r="W3043" s="1">
        <f t="shared" si="142"/>
        <v>0</v>
      </c>
      <c r="X3043" s="1">
        <f t="shared" si="143"/>
        <v>0</v>
      </c>
    </row>
    <row r="3044" spans="1:24" x14ac:dyDescent="0.25">
      <c r="A3044">
        <v>2004</v>
      </c>
      <c r="B3044">
        <v>2</v>
      </c>
      <c r="C3044" t="s">
        <v>65</v>
      </c>
      <c r="D3044" t="str">
        <f>_xlfn.XLOOKUP(C3044,'Carrier Name Rename'!A:A,'Carrier Name Rename'!B:B)</f>
        <v>Continental Air Lines Inc.</v>
      </c>
      <c r="E3044" t="s">
        <v>23</v>
      </c>
      <c r="F3044" t="s">
        <v>24</v>
      </c>
      <c r="G3044">
        <v>320</v>
      </c>
      <c r="H3044">
        <v>38</v>
      </c>
      <c r="I3044">
        <v>11.91</v>
      </c>
      <c r="J3044">
        <v>0.04</v>
      </c>
      <c r="K3044">
        <v>21</v>
      </c>
      <c r="L3044">
        <v>0.59</v>
      </c>
      <c r="M3044">
        <v>4.46</v>
      </c>
      <c r="N3044">
        <v>0</v>
      </c>
      <c r="O3044">
        <v>0</v>
      </c>
      <c r="P3044">
        <v>1438</v>
      </c>
      <c r="Q3044">
        <v>599</v>
      </c>
      <c r="R3044">
        <v>1</v>
      </c>
      <c r="S3044">
        <v>669</v>
      </c>
      <c r="T3044">
        <v>13</v>
      </c>
      <c r="U3044">
        <v>156</v>
      </c>
      <c r="V3044" s="1">
        <f t="shared" si="141"/>
        <v>0.1188</v>
      </c>
      <c r="W3044" s="1">
        <f t="shared" si="142"/>
        <v>0</v>
      </c>
      <c r="X3044" s="1">
        <f t="shared" si="143"/>
        <v>0</v>
      </c>
    </row>
    <row r="3045" spans="1:24" x14ac:dyDescent="0.25">
      <c r="A3045">
        <v>2004</v>
      </c>
      <c r="B3045">
        <v>2</v>
      </c>
      <c r="C3045" t="s">
        <v>37</v>
      </c>
      <c r="D3045" t="str">
        <f>_xlfn.XLOOKUP(C3045,'Carrier Name Rename'!A:A,'Carrier Name Rename'!B:B)</f>
        <v>Delta Air Lines Inc.</v>
      </c>
      <c r="E3045" t="s">
        <v>23</v>
      </c>
      <c r="F3045" t="s">
        <v>24</v>
      </c>
      <c r="G3045">
        <v>435</v>
      </c>
      <c r="H3045">
        <v>54</v>
      </c>
      <c r="I3045">
        <v>17.170000000000002</v>
      </c>
      <c r="J3045">
        <v>1.21</v>
      </c>
      <c r="K3045">
        <v>22.31</v>
      </c>
      <c r="L3045">
        <v>0</v>
      </c>
      <c r="M3045">
        <v>13.31</v>
      </c>
      <c r="N3045">
        <v>1</v>
      </c>
      <c r="O3045">
        <v>0</v>
      </c>
      <c r="P3045">
        <v>2132</v>
      </c>
      <c r="Q3045">
        <v>761</v>
      </c>
      <c r="R3045">
        <v>51</v>
      </c>
      <c r="S3045">
        <v>687</v>
      </c>
      <c r="T3045">
        <v>0</v>
      </c>
      <c r="U3045">
        <v>633</v>
      </c>
      <c r="V3045" s="1">
        <f t="shared" si="141"/>
        <v>0.1241</v>
      </c>
      <c r="W3045" s="1">
        <f t="shared" si="142"/>
        <v>2.3E-3</v>
      </c>
      <c r="X3045" s="1">
        <f t="shared" si="143"/>
        <v>0</v>
      </c>
    </row>
    <row r="3046" spans="1:24" x14ac:dyDescent="0.25">
      <c r="A3046">
        <v>2004</v>
      </c>
      <c r="B3046">
        <v>2</v>
      </c>
      <c r="C3046" t="s">
        <v>21</v>
      </c>
      <c r="D3046" t="str">
        <f>_xlfn.XLOOKUP(C3046,'Carrier Name Rename'!A:A,'Carrier Name Rename'!B:B)</f>
        <v>Hawaiian Airlines Inc.</v>
      </c>
      <c r="E3046" t="s">
        <v>23</v>
      </c>
      <c r="F3046" t="s">
        <v>24</v>
      </c>
      <c r="G3046">
        <v>46</v>
      </c>
      <c r="H3046">
        <v>9</v>
      </c>
      <c r="I3046">
        <v>5.38</v>
      </c>
      <c r="J3046">
        <v>1</v>
      </c>
      <c r="K3046">
        <v>0</v>
      </c>
      <c r="L3046">
        <v>0</v>
      </c>
      <c r="M3046">
        <v>2.63</v>
      </c>
      <c r="N3046">
        <v>0</v>
      </c>
      <c r="O3046">
        <v>0</v>
      </c>
      <c r="P3046">
        <v>525</v>
      </c>
      <c r="Q3046">
        <v>356</v>
      </c>
      <c r="R3046">
        <v>51</v>
      </c>
      <c r="S3046">
        <v>0</v>
      </c>
      <c r="T3046">
        <v>0</v>
      </c>
      <c r="U3046">
        <v>118</v>
      </c>
      <c r="V3046" s="1">
        <f t="shared" si="141"/>
        <v>0.19570000000000001</v>
      </c>
      <c r="W3046" s="1">
        <f t="shared" si="142"/>
        <v>0</v>
      </c>
      <c r="X3046" s="1">
        <f t="shared" si="143"/>
        <v>0</v>
      </c>
    </row>
    <row r="3047" spans="1:24" x14ac:dyDescent="0.25">
      <c r="A3047">
        <v>2004</v>
      </c>
      <c r="B3047">
        <v>2</v>
      </c>
      <c r="C3047" t="s">
        <v>73</v>
      </c>
      <c r="D3047" t="str">
        <f>_xlfn.XLOOKUP(C3047,'Carrier Name Rename'!A:A,'Carrier Name Rename'!B:B)</f>
        <v>America West Airlines Inc.</v>
      </c>
      <c r="E3047" t="s">
        <v>23</v>
      </c>
      <c r="F3047" t="s">
        <v>24</v>
      </c>
      <c r="G3047">
        <v>261</v>
      </c>
      <c r="H3047">
        <v>73</v>
      </c>
      <c r="I3047">
        <v>24.12</v>
      </c>
      <c r="J3047">
        <v>0</v>
      </c>
      <c r="K3047">
        <v>36.58</v>
      </c>
      <c r="L3047">
        <v>0.2</v>
      </c>
      <c r="M3047">
        <v>12.1</v>
      </c>
      <c r="N3047">
        <v>6</v>
      </c>
      <c r="O3047">
        <v>0</v>
      </c>
      <c r="P3047">
        <v>2872</v>
      </c>
      <c r="Q3047">
        <v>1198</v>
      </c>
      <c r="R3047">
        <v>0</v>
      </c>
      <c r="S3047">
        <v>1009</v>
      </c>
      <c r="T3047">
        <v>9</v>
      </c>
      <c r="U3047">
        <v>656</v>
      </c>
      <c r="V3047" s="1">
        <f t="shared" si="141"/>
        <v>0.2797</v>
      </c>
      <c r="W3047" s="1">
        <f t="shared" si="142"/>
        <v>2.3E-2</v>
      </c>
      <c r="X3047" s="1">
        <f t="shared" si="143"/>
        <v>0</v>
      </c>
    </row>
    <row r="3048" spans="1:24" x14ac:dyDescent="0.25">
      <c r="A3048">
        <v>2004</v>
      </c>
      <c r="B3048">
        <v>2</v>
      </c>
      <c r="C3048" t="s">
        <v>67</v>
      </c>
      <c r="D3048" t="str">
        <f>_xlfn.XLOOKUP(C3048,'Carrier Name Rename'!A:A,'Carrier Name Rename'!B:B)</f>
        <v>Northwest Airlines Inc.</v>
      </c>
      <c r="E3048" t="s">
        <v>23</v>
      </c>
      <c r="F3048" t="s">
        <v>24</v>
      </c>
      <c r="G3048">
        <v>318</v>
      </c>
      <c r="H3048">
        <v>52</v>
      </c>
      <c r="I3048">
        <v>15.87</v>
      </c>
      <c r="J3048">
        <v>0.35</v>
      </c>
      <c r="K3048">
        <v>26.93</v>
      </c>
      <c r="L3048">
        <v>1</v>
      </c>
      <c r="M3048">
        <v>7.84</v>
      </c>
      <c r="N3048">
        <v>1</v>
      </c>
      <c r="O3048">
        <v>0</v>
      </c>
      <c r="P3048">
        <v>1796</v>
      </c>
      <c r="Q3048">
        <v>702</v>
      </c>
      <c r="R3048">
        <v>7</v>
      </c>
      <c r="S3048">
        <v>743</v>
      </c>
      <c r="T3048">
        <v>72</v>
      </c>
      <c r="U3048">
        <v>272</v>
      </c>
      <c r="V3048" s="1">
        <f t="shared" si="141"/>
        <v>0.16350000000000001</v>
      </c>
      <c r="W3048" s="1">
        <f t="shared" si="142"/>
        <v>3.0999999999999999E-3</v>
      </c>
      <c r="X3048" s="1">
        <f t="shared" si="143"/>
        <v>0</v>
      </c>
    </row>
    <row r="3049" spans="1:24" x14ac:dyDescent="0.25">
      <c r="A3049">
        <v>2004</v>
      </c>
      <c r="B3049">
        <v>2</v>
      </c>
      <c r="C3049" t="s">
        <v>27</v>
      </c>
      <c r="D3049" t="str">
        <f>_xlfn.XLOOKUP(C3049,'Carrier Name Rename'!A:A,'Carrier Name Rename'!B:B)</f>
        <v>SkyWest Airlines Inc.</v>
      </c>
      <c r="E3049" t="s">
        <v>23</v>
      </c>
      <c r="F3049" t="s">
        <v>24</v>
      </c>
      <c r="G3049">
        <v>395</v>
      </c>
      <c r="H3049">
        <v>27</v>
      </c>
      <c r="I3049">
        <v>16</v>
      </c>
      <c r="J3049">
        <v>4</v>
      </c>
      <c r="K3049">
        <v>1</v>
      </c>
      <c r="L3049">
        <v>0</v>
      </c>
      <c r="M3049">
        <v>6</v>
      </c>
      <c r="N3049">
        <v>14</v>
      </c>
      <c r="O3049">
        <v>0</v>
      </c>
      <c r="P3049">
        <v>1216</v>
      </c>
      <c r="Q3049">
        <v>637</v>
      </c>
      <c r="R3049">
        <v>417</v>
      </c>
      <c r="S3049">
        <v>20</v>
      </c>
      <c r="T3049">
        <v>0</v>
      </c>
      <c r="U3049">
        <v>142</v>
      </c>
      <c r="V3049" s="1">
        <f t="shared" si="141"/>
        <v>6.8400000000000002E-2</v>
      </c>
      <c r="W3049" s="1">
        <f t="shared" si="142"/>
        <v>3.5400000000000001E-2</v>
      </c>
      <c r="X3049" s="1">
        <f t="shared" si="143"/>
        <v>0</v>
      </c>
    </row>
    <row r="3050" spans="1:24" x14ac:dyDescent="0.25">
      <c r="A3050">
        <v>2004</v>
      </c>
      <c r="B3050">
        <v>2</v>
      </c>
      <c r="C3050" t="s">
        <v>79</v>
      </c>
      <c r="D3050" t="str">
        <f>_xlfn.XLOOKUP(C3050,'Carrier Name Rename'!A:A,'Carrier Name Rename'!B:B)</f>
        <v>ATA Airlines d/b/a ATA</v>
      </c>
      <c r="E3050" t="s">
        <v>23</v>
      </c>
      <c r="F3050" t="s">
        <v>24</v>
      </c>
      <c r="G3050">
        <v>93</v>
      </c>
      <c r="H3050">
        <v>23</v>
      </c>
      <c r="I3050">
        <v>6.91</v>
      </c>
      <c r="J3050">
        <v>0</v>
      </c>
      <c r="K3050">
        <v>9.99</v>
      </c>
      <c r="L3050">
        <v>0</v>
      </c>
      <c r="M3050">
        <v>6.1</v>
      </c>
      <c r="N3050">
        <v>1</v>
      </c>
      <c r="O3050">
        <v>0</v>
      </c>
      <c r="P3050">
        <v>1139</v>
      </c>
      <c r="Q3050">
        <v>326</v>
      </c>
      <c r="R3050">
        <v>0</v>
      </c>
      <c r="S3050">
        <v>488</v>
      </c>
      <c r="T3050">
        <v>0</v>
      </c>
      <c r="U3050">
        <v>325</v>
      </c>
      <c r="V3050" s="1">
        <f t="shared" si="141"/>
        <v>0.24729999999999999</v>
      </c>
      <c r="W3050" s="1">
        <f t="shared" si="142"/>
        <v>1.0800000000000001E-2</v>
      </c>
      <c r="X3050" s="1">
        <f t="shared" si="143"/>
        <v>0</v>
      </c>
    </row>
    <row r="3051" spans="1:24" x14ac:dyDescent="0.25">
      <c r="A3051">
        <v>2004</v>
      </c>
      <c r="B3051">
        <v>2</v>
      </c>
      <c r="C3051" t="s">
        <v>41</v>
      </c>
      <c r="D3051" t="str">
        <f>_xlfn.XLOOKUP(C3051,'Carrier Name Rename'!A:A,'Carrier Name Rename'!B:B)</f>
        <v>United Air Lines Inc.</v>
      </c>
      <c r="E3051" t="s">
        <v>23</v>
      </c>
      <c r="F3051" t="s">
        <v>24</v>
      </c>
      <c r="G3051">
        <v>902</v>
      </c>
      <c r="H3051">
        <v>117</v>
      </c>
      <c r="I3051">
        <v>31.22</v>
      </c>
      <c r="J3051">
        <v>1.89</v>
      </c>
      <c r="K3051">
        <v>41.73</v>
      </c>
      <c r="L3051">
        <v>0</v>
      </c>
      <c r="M3051">
        <v>42.17</v>
      </c>
      <c r="N3051">
        <v>1</v>
      </c>
      <c r="O3051">
        <v>0</v>
      </c>
      <c r="P3051">
        <v>5237</v>
      </c>
      <c r="Q3051">
        <v>1637</v>
      </c>
      <c r="R3051">
        <v>117</v>
      </c>
      <c r="S3051">
        <v>1142</v>
      </c>
      <c r="T3051">
        <v>0</v>
      </c>
      <c r="U3051">
        <v>2341</v>
      </c>
      <c r="V3051" s="1">
        <f t="shared" si="141"/>
        <v>0.12970000000000001</v>
      </c>
      <c r="W3051" s="1">
        <f t="shared" si="142"/>
        <v>1.1000000000000001E-3</v>
      </c>
      <c r="X3051" s="1">
        <f t="shared" si="143"/>
        <v>0</v>
      </c>
    </row>
    <row r="3052" spans="1:24" x14ac:dyDescent="0.25">
      <c r="A3052">
        <v>2004</v>
      </c>
      <c r="B3052">
        <v>2</v>
      </c>
      <c r="C3052" t="s">
        <v>61</v>
      </c>
      <c r="D3052" t="str">
        <f>_xlfn.XLOOKUP(C3052,'Carrier Name Rename'!A:A,'Carrier Name Rename'!B:B)</f>
        <v>US Airways Inc.</v>
      </c>
      <c r="E3052" t="s">
        <v>23</v>
      </c>
      <c r="F3052" t="s">
        <v>24</v>
      </c>
      <c r="G3052">
        <v>116</v>
      </c>
      <c r="H3052">
        <v>11</v>
      </c>
      <c r="I3052">
        <v>2.96</v>
      </c>
      <c r="J3052">
        <v>0</v>
      </c>
      <c r="K3052">
        <v>0.81</v>
      </c>
      <c r="L3052">
        <v>0</v>
      </c>
      <c r="M3052">
        <v>7.22</v>
      </c>
      <c r="N3052">
        <v>0</v>
      </c>
      <c r="O3052">
        <v>4</v>
      </c>
      <c r="P3052">
        <v>395</v>
      </c>
      <c r="Q3052">
        <v>107</v>
      </c>
      <c r="R3052">
        <v>0</v>
      </c>
      <c r="S3052">
        <v>15</v>
      </c>
      <c r="T3052">
        <v>0</v>
      </c>
      <c r="U3052">
        <v>273</v>
      </c>
      <c r="V3052" s="1">
        <f t="shared" si="141"/>
        <v>9.4799999999999995E-2</v>
      </c>
      <c r="W3052" s="1">
        <f t="shared" si="142"/>
        <v>0</v>
      </c>
      <c r="X3052" s="1">
        <f t="shared" si="143"/>
        <v>3.4500000000000003E-2</v>
      </c>
    </row>
    <row r="3053" spans="1:24" x14ac:dyDescent="0.25">
      <c r="A3053">
        <v>2004</v>
      </c>
      <c r="B3053">
        <v>2</v>
      </c>
      <c r="C3053" t="s">
        <v>43</v>
      </c>
      <c r="D3053" t="str">
        <f>_xlfn.XLOOKUP(C3053,'Carrier Name Rename'!A:A,'Carrier Name Rename'!B:B)</f>
        <v>Southwest Airlines Co.</v>
      </c>
      <c r="E3053" t="s">
        <v>23</v>
      </c>
      <c r="F3053" t="s">
        <v>24</v>
      </c>
      <c r="G3053">
        <v>997</v>
      </c>
      <c r="H3053">
        <v>123</v>
      </c>
      <c r="I3053">
        <v>29.43</v>
      </c>
      <c r="J3053">
        <v>0</v>
      </c>
      <c r="K3053">
        <v>12.29</v>
      </c>
      <c r="L3053">
        <v>0</v>
      </c>
      <c r="M3053">
        <v>81.28</v>
      </c>
      <c r="N3053">
        <v>4</v>
      </c>
      <c r="O3053">
        <v>0</v>
      </c>
      <c r="P3053">
        <v>5891</v>
      </c>
      <c r="Q3053">
        <v>1224</v>
      </c>
      <c r="R3053">
        <v>0</v>
      </c>
      <c r="S3053">
        <v>301</v>
      </c>
      <c r="T3053">
        <v>0</v>
      </c>
      <c r="U3053">
        <v>4366</v>
      </c>
      <c r="V3053" s="1">
        <f t="shared" si="141"/>
        <v>0.1234</v>
      </c>
      <c r="W3053" s="1">
        <f t="shared" si="142"/>
        <v>4.0000000000000001E-3</v>
      </c>
      <c r="X3053" s="1">
        <f t="shared" si="143"/>
        <v>0</v>
      </c>
    </row>
    <row r="3054" spans="1:24" x14ac:dyDescent="0.25">
      <c r="A3054">
        <v>2004</v>
      </c>
      <c r="B3054">
        <v>1</v>
      </c>
      <c r="C3054" t="s">
        <v>37</v>
      </c>
      <c r="D3054" t="str">
        <f>_xlfn.XLOOKUP(C3054,'Carrier Name Rename'!A:A,'Carrier Name Rename'!B:B)</f>
        <v>Delta Air Lines Inc.</v>
      </c>
      <c r="E3054" t="s">
        <v>23</v>
      </c>
      <c r="F3054" t="s">
        <v>24</v>
      </c>
      <c r="G3054">
        <v>470</v>
      </c>
      <c r="H3054">
        <v>109</v>
      </c>
      <c r="I3054">
        <v>17.739999999999998</v>
      </c>
      <c r="J3054">
        <v>1.88</v>
      </c>
      <c r="K3054">
        <v>73.78</v>
      </c>
      <c r="L3054">
        <v>0</v>
      </c>
      <c r="M3054">
        <v>15.6</v>
      </c>
      <c r="N3054">
        <v>7</v>
      </c>
      <c r="O3054">
        <v>1</v>
      </c>
      <c r="P3054">
        <v>4587</v>
      </c>
      <c r="Q3054">
        <v>815</v>
      </c>
      <c r="R3054">
        <v>169</v>
      </c>
      <c r="S3054">
        <v>2835</v>
      </c>
      <c r="T3054">
        <v>0</v>
      </c>
      <c r="U3054">
        <v>768</v>
      </c>
      <c r="V3054" s="1">
        <f t="shared" si="141"/>
        <v>0.2319</v>
      </c>
      <c r="W3054" s="1">
        <f t="shared" si="142"/>
        <v>1.49E-2</v>
      </c>
      <c r="X3054" s="1">
        <f t="shared" si="143"/>
        <v>2.0999999999999999E-3</v>
      </c>
    </row>
    <row r="3055" spans="1:24" x14ac:dyDescent="0.25">
      <c r="A3055">
        <v>2004</v>
      </c>
      <c r="B3055">
        <v>1</v>
      </c>
      <c r="C3055" t="s">
        <v>21</v>
      </c>
      <c r="D3055" t="str">
        <f>_xlfn.XLOOKUP(C3055,'Carrier Name Rename'!A:A,'Carrier Name Rename'!B:B)</f>
        <v>Hawaiian Airlines Inc.</v>
      </c>
      <c r="E3055" t="s">
        <v>23</v>
      </c>
      <c r="F3055" t="s">
        <v>24</v>
      </c>
      <c r="G3055">
        <v>50</v>
      </c>
      <c r="H3055">
        <v>26</v>
      </c>
      <c r="I3055">
        <v>21.87</v>
      </c>
      <c r="J3055">
        <v>0.57999999999999996</v>
      </c>
      <c r="K3055">
        <v>0</v>
      </c>
      <c r="L3055">
        <v>0</v>
      </c>
      <c r="M3055">
        <v>3.55</v>
      </c>
      <c r="N3055">
        <v>0</v>
      </c>
      <c r="O3055">
        <v>0</v>
      </c>
      <c r="P3055">
        <v>1182</v>
      </c>
      <c r="Q3055">
        <v>1026</v>
      </c>
      <c r="R3055">
        <v>47</v>
      </c>
      <c r="S3055">
        <v>0</v>
      </c>
      <c r="T3055">
        <v>0</v>
      </c>
      <c r="U3055">
        <v>109</v>
      </c>
      <c r="V3055" s="1">
        <f t="shared" si="141"/>
        <v>0.52</v>
      </c>
      <c r="W3055" s="1">
        <f t="shared" si="142"/>
        <v>0</v>
      </c>
      <c r="X3055" s="1">
        <f t="shared" si="143"/>
        <v>0</v>
      </c>
    </row>
    <row r="3056" spans="1:24" x14ac:dyDescent="0.25">
      <c r="A3056">
        <v>2004</v>
      </c>
      <c r="B3056">
        <v>1</v>
      </c>
      <c r="C3056" t="s">
        <v>73</v>
      </c>
      <c r="D3056" t="str">
        <f>_xlfn.XLOOKUP(C3056,'Carrier Name Rename'!A:A,'Carrier Name Rename'!B:B)</f>
        <v>America West Airlines Inc.</v>
      </c>
      <c r="E3056" t="s">
        <v>23</v>
      </c>
      <c r="F3056" t="s">
        <v>24</v>
      </c>
      <c r="G3056">
        <v>277</v>
      </c>
      <c r="H3056">
        <v>79</v>
      </c>
      <c r="I3056">
        <v>17.829999999999998</v>
      </c>
      <c r="J3056">
        <v>1.57</v>
      </c>
      <c r="K3056">
        <v>49.23</v>
      </c>
      <c r="L3056">
        <v>0</v>
      </c>
      <c r="M3056">
        <v>10.37</v>
      </c>
      <c r="N3056">
        <v>11</v>
      </c>
      <c r="O3056">
        <v>0</v>
      </c>
      <c r="P3056">
        <v>3259</v>
      </c>
      <c r="Q3056">
        <v>999</v>
      </c>
      <c r="R3056">
        <v>97</v>
      </c>
      <c r="S3056">
        <v>1577</v>
      </c>
      <c r="T3056">
        <v>0</v>
      </c>
      <c r="U3056">
        <v>586</v>
      </c>
      <c r="V3056" s="1">
        <f t="shared" si="141"/>
        <v>0.28520000000000001</v>
      </c>
      <c r="W3056" s="1">
        <f t="shared" si="142"/>
        <v>3.9699999999999999E-2</v>
      </c>
      <c r="X3056" s="1">
        <f t="shared" si="143"/>
        <v>0</v>
      </c>
    </row>
    <row r="3057" spans="1:24" x14ac:dyDescent="0.25">
      <c r="A3057">
        <v>2004</v>
      </c>
      <c r="B3057">
        <v>1</v>
      </c>
      <c r="C3057" t="s">
        <v>67</v>
      </c>
      <c r="D3057" t="str">
        <f>_xlfn.XLOOKUP(C3057,'Carrier Name Rename'!A:A,'Carrier Name Rename'!B:B)</f>
        <v>Northwest Airlines Inc.</v>
      </c>
      <c r="E3057" t="s">
        <v>23</v>
      </c>
      <c r="F3057" t="s">
        <v>24</v>
      </c>
      <c r="G3057">
        <v>354</v>
      </c>
      <c r="H3057">
        <v>104</v>
      </c>
      <c r="I3057">
        <v>36.15</v>
      </c>
      <c r="J3057">
        <v>5.51</v>
      </c>
      <c r="K3057">
        <v>51.65</v>
      </c>
      <c r="L3057">
        <v>0</v>
      </c>
      <c r="M3057">
        <v>10.7</v>
      </c>
      <c r="N3057">
        <v>4</v>
      </c>
      <c r="O3057">
        <v>6</v>
      </c>
      <c r="P3057">
        <v>8937</v>
      </c>
      <c r="Q3057">
        <v>3598</v>
      </c>
      <c r="R3057">
        <v>1425</v>
      </c>
      <c r="S3057">
        <v>1913</v>
      </c>
      <c r="T3057">
        <v>0</v>
      </c>
      <c r="U3057">
        <v>2001</v>
      </c>
      <c r="V3057" s="1">
        <f t="shared" si="141"/>
        <v>0.29380000000000001</v>
      </c>
      <c r="W3057" s="1">
        <f t="shared" si="142"/>
        <v>1.1299999999999999E-2</v>
      </c>
      <c r="X3057" s="1">
        <f t="shared" si="143"/>
        <v>1.6899999999999998E-2</v>
      </c>
    </row>
    <row r="3058" spans="1:24" x14ac:dyDescent="0.25">
      <c r="A3058">
        <v>2004</v>
      </c>
      <c r="B3058">
        <v>1</v>
      </c>
      <c r="C3058" t="s">
        <v>27</v>
      </c>
      <c r="D3058" t="str">
        <f>_xlfn.XLOOKUP(C3058,'Carrier Name Rename'!A:A,'Carrier Name Rename'!B:B)</f>
        <v>SkyWest Airlines Inc.</v>
      </c>
      <c r="E3058" t="s">
        <v>23</v>
      </c>
      <c r="F3058" t="s">
        <v>24</v>
      </c>
      <c r="G3058">
        <v>422</v>
      </c>
      <c r="H3058">
        <v>98</v>
      </c>
      <c r="I3058">
        <v>43</v>
      </c>
      <c r="J3058">
        <v>22</v>
      </c>
      <c r="K3058">
        <v>9</v>
      </c>
      <c r="L3058">
        <v>0</v>
      </c>
      <c r="M3058">
        <v>24</v>
      </c>
      <c r="N3058">
        <v>55</v>
      </c>
      <c r="O3058">
        <v>3</v>
      </c>
      <c r="P3058">
        <v>6183</v>
      </c>
      <c r="Q3058">
        <v>1981</v>
      </c>
      <c r="R3058">
        <v>1707</v>
      </c>
      <c r="S3058">
        <v>691</v>
      </c>
      <c r="T3058">
        <v>0</v>
      </c>
      <c r="U3058">
        <v>1804</v>
      </c>
      <c r="V3058" s="1">
        <f t="shared" si="141"/>
        <v>0.23219999999999999</v>
      </c>
      <c r="W3058" s="1">
        <f t="shared" si="142"/>
        <v>0.1303</v>
      </c>
      <c r="X3058" s="1">
        <f t="shared" si="143"/>
        <v>7.1000000000000004E-3</v>
      </c>
    </row>
    <row r="3059" spans="1:24" x14ac:dyDescent="0.25">
      <c r="A3059">
        <v>2004</v>
      </c>
      <c r="B3059">
        <v>1</v>
      </c>
      <c r="C3059" t="s">
        <v>79</v>
      </c>
      <c r="D3059" t="str">
        <f>_xlfn.XLOOKUP(C3059,'Carrier Name Rename'!A:A,'Carrier Name Rename'!B:B)</f>
        <v>ATA Airlines d/b/a ATA</v>
      </c>
      <c r="E3059" t="s">
        <v>23</v>
      </c>
      <c r="F3059" t="s">
        <v>24</v>
      </c>
      <c r="G3059">
        <v>87</v>
      </c>
      <c r="H3059">
        <v>41</v>
      </c>
      <c r="I3059">
        <v>7.2</v>
      </c>
      <c r="J3059">
        <v>0.17</v>
      </c>
      <c r="K3059">
        <v>22.06</v>
      </c>
      <c r="L3059">
        <v>0</v>
      </c>
      <c r="M3059">
        <v>11.57</v>
      </c>
      <c r="N3059">
        <v>1</v>
      </c>
      <c r="O3059">
        <v>0</v>
      </c>
      <c r="P3059">
        <v>2658</v>
      </c>
      <c r="Q3059">
        <v>429</v>
      </c>
      <c r="R3059">
        <v>52</v>
      </c>
      <c r="S3059">
        <v>828</v>
      </c>
      <c r="T3059">
        <v>0</v>
      </c>
      <c r="U3059">
        <v>1349</v>
      </c>
      <c r="V3059" s="1">
        <f t="shared" si="141"/>
        <v>0.4713</v>
      </c>
      <c r="W3059" s="1">
        <f t="shared" si="142"/>
        <v>1.15E-2</v>
      </c>
      <c r="X3059" s="1">
        <f t="shared" si="143"/>
        <v>0</v>
      </c>
    </row>
    <row r="3060" spans="1:24" x14ac:dyDescent="0.25">
      <c r="A3060">
        <v>2004</v>
      </c>
      <c r="B3060">
        <v>1</v>
      </c>
      <c r="C3060" t="s">
        <v>41</v>
      </c>
      <c r="D3060" t="str">
        <f>_xlfn.XLOOKUP(C3060,'Carrier Name Rename'!A:A,'Carrier Name Rename'!B:B)</f>
        <v>United Air Lines Inc.</v>
      </c>
      <c r="E3060" t="s">
        <v>23</v>
      </c>
      <c r="F3060" t="s">
        <v>24</v>
      </c>
      <c r="G3060">
        <v>1026</v>
      </c>
      <c r="H3060">
        <v>297</v>
      </c>
      <c r="I3060">
        <v>89.16</v>
      </c>
      <c r="J3060">
        <v>4</v>
      </c>
      <c r="K3060">
        <v>120.56</v>
      </c>
      <c r="L3060">
        <v>0</v>
      </c>
      <c r="M3060">
        <v>83.29</v>
      </c>
      <c r="N3060">
        <v>7</v>
      </c>
      <c r="O3060">
        <v>2</v>
      </c>
      <c r="P3060">
        <v>14404</v>
      </c>
      <c r="Q3060">
        <v>4576</v>
      </c>
      <c r="R3060">
        <v>156</v>
      </c>
      <c r="S3060">
        <v>4057</v>
      </c>
      <c r="T3060">
        <v>0</v>
      </c>
      <c r="U3060">
        <v>5615</v>
      </c>
      <c r="V3060" s="1">
        <f t="shared" si="141"/>
        <v>0.28949999999999998</v>
      </c>
      <c r="W3060" s="1">
        <f t="shared" si="142"/>
        <v>6.7999999999999996E-3</v>
      </c>
      <c r="X3060" s="1">
        <f t="shared" si="143"/>
        <v>1.9E-3</v>
      </c>
    </row>
    <row r="3061" spans="1:24" x14ac:dyDescent="0.25">
      <c r="A3061">
        <v>2004</v>
      </c>
      <c r="B3061">
        <v>1</v>
      </c>
      <c r="C3061" t="s">
        <v>61</v>
      </c>
      <c r="D3061" t="str">
        <f>_xlfn.XLOOKUP(C3061,'Carrier Name Rename'!A:A,'Carrier Name Rename'!B:B)</f>
        <v>US Airways Inc.</v>
      </c>
      <c r="E3061" t="s">
        <v>23</v>
      </c>
      <c r="F3061" t="s">
        <v>24</v>
      </c>
      <c r="G3061">
        <v>142</v>
      </c>
      <c r="H3061">
        <v>50</v>
      </c>
      <c r="I3061">
        <v>7.47</v>
      </c>
      <c r="J3061">
        <v>0</v>
      </c>
      <c r="K3061">
        <v>23.12</v>
      </c>
      <c r="L3061">
        <v>0</v>
      </c>
      <c r="M3061">
        <v>19.420000000000002</v>
      </c>
      <c r="N3061">
        <v>0</v>
      </c>
      <c r="O3061">
        <v>3</v>
      </c>
      <c r="P3061">
        <v>2348</v>
      </c>
      <c r="Q3061">
        <v>325</v>
      </c>
      <c r="R3061">
        <v>0</v>
      </c>
      <c r="S3061">
        <v>903</v>
      </c>
      <c r="T3061">
        <v>0</v>
      </c>
      <c r="U3061">
        <v>1120</v>
      </c>
      <c r="V3061" s="1">
        <f t="shared" si="141"/>
        <v>0.35210000000000002</v>
      </c>
      <c r="W3061" s="1">
        <f t="shared" si="142"/>
        <v>0</v>
      </c>
      <c r="X3061" s="1">
        <f t="shared" si="143"/>
        <v>2.1100000000000001E-2</v>
      </c>
    </row>
    <row r="3062" spans="1:24" x14ac:dyDescent="0.25">
      <c r="A3062">
        <v>2004</v>
      </c>
      <c r="B3062">
        <v>1</v>
      </c>
      <c r="C3062" t="s">
        <v>43</v>
      </c>
      <c r="D3062" t="str">
        <f>_xlfn.XLOOKUP(C3062,'Carrier Name Rename'!A:A,'Carrier Name Rename'!B:B)</f>
        <v>Southwest Airlines Co.</v>
      </c>
      <c r="E3062" t="s">
        <v>23</v>
      </c>
      <c r="F3062" t="s">
        <v>24</v>
      </c>
      <c r="G3062">
        <v>1101</v>
      </c>
      <c r="H3062">
        <v>199</v>
      </c>
      <c r="I3062">
        <v>33.25</v>
      </c>
      <c r="J3062">
        <v>6.21</v>
      </c>
      <c r="K3062">
        <v>55.73</v>
      </c>
      <c r="L3062">
        <v>1.71</v>
      </c>
      <c r="M3062">
        <v>102.11</v>
      </c>
      <c r="N3062">
        <v>10</v>
      </c>
      <c r="O3062">
        <v>2</v>
      </c>
      <c r="P3062">
        <v>9176</v>
      </c>
      <c r="Q3062">
        <v>1530</v>
      </c>
      <c r="R3062">
        <v>600</v>
      </c>
      <c r="S3062">
        <v>2368</v>
      </c>
      <c r="T3062">
        <v>74</v>
      </c>
      <c r="U3062">
        <v>4604</v>
      </c>
      <c r="V3062" s="1">
        <f t="shared" si="141"/>
        <v>0.1807</v>
      </c>
      <c r="W3062" s="1">
        <f t="shared" si="142"/>
        <v>9.1000000000000004E-3</v>
      </c>
      <c r="X3062" s="1">
        <f t="shared" si="143"/>
        <v>1.8E-3</v>
      </c>
    </row>
    <row r="3063" spans="1:24" x14ac:dyDescent="0.25">
      <c r="A3063">
        <v>2004</v>
      </c>
      <c r="B3063">
        <v>1</v>
      </c>
      <c r="C3063" t="s">
        <v>31</v>
      </c>
      <c r="D3063" t="str">
        <f>_xlfn.XLOOKUP(C3063,'Carrier Name Rename'!A:A,'Carrier Name Rename'!B:B)</f>
        <v>American Airlines Inc.</v>
      </c>
      <c r="E3063" t="s">
        <v>23</v>
      </c>
      <c r="F3063" t="s">
        <v>24</v>
      </c>
      <c r="G3063">
        <v>538</v>
      </c>
      <c r="H3063">
        <v>156</v>
      </c>
      <c r="I3063">
        <v>34.97</v>
      </c>
      <c r="J3063">
        <v>30.13</v>
      </c>
      <c r="K3063">
        <v>61.92</v>
      </c>
      <c r="L3063">
        <v>2.19</v>
      </c>
      <c r="M3063">
        <v>26.78</v>
      </c>
      <c r="N3063">
        <v>15</v>
      </c>
      <c r="O3063">
        <v>2</v>
      </c>
      <c r="P3063">
        <v>9021</v>
      </c>
      <c r="Q3063">
        <v>2050</v>
      </c>
      <c r="R3063">
        <v>2089</v>
      </c>
      <c r="S3063">
        <v>2604</v>
      </c>
      <c r="T3063">
        <v>96</v>
      </c>
      <c r="U3063">
        <v>2182</v>
      </c>
      <c r="V3063" s="1">
        <f t="shared" si="141"/>
        <v>0.28999999999999998</v>
      </c>
      <c r="W3063" s="1">
        <f t="shared" si="142"/>
        <v>2.7900000000000001E-2</v>
      </c>
      <c r="X3063" s="1">
        <f t="shared" si="143"/>
        <v>3.7000000000000002E-3</v>
      </c>
    </row>
    <row r="3064" spans="1:24" x14ac:dyDescent="0.25">
      <c r="A3064">
        <v>2004</v>
      </c>
      <c r="B3064">
        <v>1</v>
      </c>
      <c r="C3064" t="s">
        <v>33</v>
      </c>
      <c r="D3064" t="str">
        <f>_xlfn.XLOOKUP(C3064,'Carrier Name Rename'!A:A,'Carrier Name Rename'!B:B)</f>
        <v>Alaska Airlines Inc.</v>
      </c>
      <c r="E3064" t="s">
        <v>23</v>
      </c>
      <c r="F3064" t="s">
        <v>24</v>
      </c>
      <c r="G3064">
        <v>3740</v>
      </c>
      <c r="H3064">
        <v>953</v>
      </c>
      <c r="I3064">
        <v>230.65</v>
      </c>
      <c r="J3064">
        <v>26.26</v>
      </c>
      <c r="K3064">
        <v>281.64999999999998</v>
      </c>
      <c r="L3064">
        <v>14.86</v>
      </c>
      <c r="M3064">
        <v>399.59</v>
      </c>
      <c r="N3064">
        <v>224</v>
      </c>
      <c r="O3064">
        <v>18</v>
      </c>
      <c r="P3064">
        <v>47707</v>
      </c>
      <c r="Q3064">
        <v>13089</v>
      </c>
      <c r="R3064">
        <v>1738</v>
      </c>
      <c r="S3064">
        <v>8963</v>
      </c>
      <c r="T3064">
        <v>595</v>
      </c>
      <c r="U3064">
        <v>23322</v>
      </c>
      <c r="V3064" s="1">
        <f t="shared" si="141"/>
        <v>0.25480000000000003</v>
      </c>
      <c r="W3064" s="1">
        <f t="shared" si="142"/>
        <v>5.9900000000000002E-2</v>
      </c>
      <c r="X3064" s="1">
        <f t="shared" si="143"/>
        <v>4.7999999999999996E-3</v>
      </c>
    </row>
    <row r="3065" spans="1:24" x14ac:dyDescent="0.25">
      <c r="A3065">
        <v>2004</v>
      </c>
      <c r="B3065">
        <v>1</v>
      </c>
      <c r="C3065" t="s">
        <v>35</v>
      </c>
      <c r="D3065" t="str">
        <f>_xlfn.XLOOKUP(C3065,'Carrier Name Rename'!A:A,'Carrier Name Rename'!B:B)</f>
        <v>JetBlue Airways</v>
      </c>
      <c r="E3065" t="s">
        <v>23</v>
      </c>
      <c r="F3065" t="s">
        <v>24</v>
      </c>
      <c r="G3065">
        <v>31</v>
      </c>
      <c r="H3065">
        <v>14</v>
      </c>
      <c r="I3065">
        <v>5.71</v>
      </c>
      <c r="J3065">
        <v>0</v>
      </c>
      <c r="K3065">
        <v>7.65</v>
      </c>
      <c r="L3065">
        <v>0</v>
      </c>
      <c r="M3065">
        <v>0.64</v>
      </c>
      <c r="N3065">
        <v>0</v>
      </c>
      <c r="O3065">
        <v>0</v>
      </c>
      <c r="P3065">
        <v>520</v>
      </c>
      <c r="Q3065">
        <v>224</v>
      </c>
      <c r="R3065">
        <v>0</v>
      </c>
      <c r="S3065">
        <v>280</v>
      </c>
      <c r="T3065">
        <v>0</v>
      </c>
      <c r="U3065">
        <v>16</v>
      </c>
      <c r="V3065" s="1">
        <f t="shared" si="141"/>
        <v>0.4516</v>
      </c>
      <c r="W3065" s="1">
        <f t="shared" si="142"/>
        <v>0</v>
      </c>
      <c r="X3065" s="1">
        <f t="shared" si="143"/>
        <v>0</v>
      </c>
    </row>
    <row r="3066" spans="1:24" x14ac:dyDescent="0.25">
      <c r="A3066">
        <v>2004</v>
      </c>
      <c r="B3066">
        <v>1</v>
      </c>
      <c r="C3066" t="s">
        <v>65</v>
      </c>
      <c r="D3066" t="str">
        <f>_xlfn.XLOOKUP(C3066,'Carrier Name Rename'!A:A,'Carrier Name Rename'!B:B)</f>
        <v>Continental Air Lines Inc.</v>
      </c>
      <c r="E3066" t="s">
        <v>23</v>
      </c>
      <c r="F3066" t="s">
        <v>24</v>
      </c>
      <c r="G3066">
        <v>348</v>
      </c>
      <c r="H3066">
        <v>85</v>
      </c>
      <c r="I3066">
        <v>13.67</v>
      </c>
      <c r="J3066">
        <v>4.72</v>
      </c>
      <c r="K3066">
        <v>53.86</v>
      </c>
      <c r="L3066">
        <v>0</v>
      </c>
      <c r="M3066">
        <v>12.75</v>
      </c>
      <c r="N3066">
        <v>1</v>
      </c>
      <c r="O3066">
        <v>0</v>
      </c>
      <c r="P3066">
        <v>3633</v>
      </c>
      <c r="Q3066">
        <v>704</v>
      </c>
      <c r="R3066">
        <v>302</v>
      </c>
      <c r="S3066">
        <v>1882</v>
      </c>
      <c r="T3066">
        <v>0</v>
      </c>
      <c r="U3066">
        <v>745</v>
      </c>
      <c r="V3066" s="1">
        <f t="shared" si="141"/>
        <v>0.24429999999999999</v>
      </c>
      <c r="W3066" s="1">
        <f t="shared" si="142"/>
        <v>2.8999999999999998E-3</v>
      </c>
      <c r="X3066" s="1">
        <f t="shared" si="143"/>
        <v>0</v>
      </c>
    </row>
    <row r="3067" spans="1:24" x14ac:dyDescent="0.25">
      <c r="A3067">
        <v>2003</v>
      </c>
      <c r="B3067">
        <v>12</v>
      </c>
      <c r="C3067" t="s">
        <v>31</v>
      </c>
      <c r="D3067" t="str">
        <f>_xlfn.XLOOKUP(C3067,'Carrier Name Rename'!A:A,'Carrier Name Rename'!B:B)</f>
        <v>American Airlines Inc.</v>
      </c>
      <c r="E3067" t="s">
        <v>23</v>
      </c>
      <c r="F3067" t="s">
        <v>24</v>
      </c>
      <c r="G3067">
        <v>515</v>
      </c>
      <c r="H3067">
        <v>128</v>
      </c>
      <c r="I3067">
        <v>41.05</v>
      </c>
      <c r="J3067">
        <v>15.44</v>
      </c>
      <c r="K3067">
        <v>42.04</v>
      </c>
      <c r="L3067">
        <v>0</v>
      </c>
      <c r="M3067">
        <v>29.46</v>
      </c>
      <c r="N3067">
        <v>4</v>
      </c>
      <c r="O3067">
        <v>0</v>
      </c>
      <c r="P3067">
        <v>6070</v>
      </c>
      <c r="Q3067">
        <v>2026</v>
      </c>
      <c r="R3067">
        <v>780</v>
      </c>
      <c r="S3067">
        <v>1474</v>
      </c>
      <c r="T3067">
        <v>0</v>
      </c>
      <c r="U3067">
        <v>1790</v>
      </c>
      <c r="V3067" s="1">
        <f t="shared" si="141"/>
        <v>0.2485</v>
      </c>
      <c r="W3067" s="1">
        <f t="shared" si="142"/>
        <v>7.7999999999999996E-3</v>
      </c>
      <c r="X3067" s="1">
        <f t="shared" si="143"/>
        <v>0</v>
      </c>
    </row>
    <row r="3068" spans="1:24" x14ac:dyDescent="0.25">
      <c r="A3068">
        <v>2003</v>
      </c>
      <c r="B3068">
        <v>12</v>
      </c>
      <c r="C3068" t="s">
        <v>33</v>
      </c>
      <c r="D3068" t="str">
        <f>_xlfn.XLOOKUP(C3068,'Carrier Name Rename'!A:A,'Carrier Name Rename'!B:B)</f>
        <v>Alaska Airlines Inc.</v>
      </c>
      <c r="E3068" t="s">
        <v>23</v>
      </c>
      <c r="F3068" t="s">
        <v>24</v>
      </c>
      <c r="G3068">
        <v>3739</v>
      </c>
      <c r="H3068">
        <v>920</v>
      </c>
      <c r="I3068">
        <v>197.95</v>
      </c>
      <c r="J3068">
        <v>14.3</v>
      </c>
      <c r="K3068">
        <v>274.11</v>
      </c>
      <c r="L3068">
        <v>7.88</v>
      </c>
      <c r="M3068">
        <v>425.76</v>
      </c>
      <c r="N3068">
        <v>46</v>
      </c>
      <c r="O3068">
        <v>11</v>
      </c>
      <c r="P3068">
        <v>41462</v>
      </c>
      <c r="Q3068">
        <v>9463</v>
      </c>
      <c r="R3068">
        <v>907</v>
      </c>
      <c r="S3068">
        <v>7929</v>
      </c>
      <c r="T3068">
        <v>174</v>
      </c>
      <c r="U3068">
        <v>22989</v>
      </c>
      <c r="V3068" s="1">
        <f t="shared" si="141"/>
        <v>0.24610000000000001</v>
      </c>
      <c r="W3068" s="1">
        <f t="shared" si="142"/>
        <v>1.23E-2</v>
      </c>
      <c r="X3068" s="1">
        <f t="shared" si="143"/>
        <v>2.8999999999999998E-3</v>
      </c>
    </row>
    <row r="3069" spans="1:24" x14ac:dyDescent="0.25">
      <c r="A3069">
        <v>2003</v>
      </c>
      <c r="B3069">
        <v>12</v>
      </c>
      <c r="C3069" t="s">
        <v>35</v>
      </c>
      <c r="D3069" t="str">
        <f>_xlfn.XLOOKUP(C3069,'Carrier Name Rename'!A:A,'Carrier Name Rename'!B:B)</f>
        <v>JetBlue Airways</v>
      </c>
      <c r="E3069" t="s">
        <v>23</v>
      </c>
      <c r="F3069" t="s">
        <v>24</v>
      </c>
      <c r="G3069">
        <v>31</v>
      </c>
      <c r="H3069">
        <v>3</v>
      </c>
      <c r="I3069">
        <v>0.83</v>
      </c>
      <c r="J3069">
        <v>0</v>
      </c>
      <c r="K3069">
        <v>2.0299999999999998</v>
      </c>
      <c r="L3069">
        <v>0</v>
      </c>
      <c r="M3069">
        <v>0.15</v>
      </c>
      <c r="N3069">
        <v>0</v>
      </c>
      <c r="O3069">
        <v>0</v>
      </c>
      <c r="P3069">
        <v>292</v>
      </c>
      <c r="Q3069">
        <v>98</v>
      </c>
      <c r="R3069">
        <v>0</v>
      </c>
      <c r="S3069">
        <v>166</v>
      </c>
      <c r="T3069">
        <v>0</v>
      </c>
      <c r="U3069">
        <v>28</v>
      </c>
      <c r="V3069" s="1">
        <f t="shared" si="141"/>
        <v>9.6799999999999997E-2</v>
      </c>
      <c r="W3069" s="1">
        <f t="shared" si="142"/>
        <v>0</v>
      </c>
      <c r="X3069" s="1">
        <f t="shared" si="143"/>
        <v>0</v>
      </c>
    </row>
    <row r="3070" spans="1:24" x14ac:dyDescent="0.25">
      <c r="A3070">
        <v>2003</v>
      </c>
      <c r="B3070">
        <v>12</v>
      </c>
      <c r="C3070" t="s">
        <v>65</v>
      </c>
      <c r="D3070" t="str">
        <f>_xlfn.XLOOKUP(C3070,'Carrier Name Rename'!A:A,'Carrier Name Rename'!B:B)</f>
        <v>Continental Air Lines Inc.</v>
      </c>
      <c r="E3070" t="s">
        <v>23</v>
      </c>
      <c r="F3070" t="s">
        <v>24</v>
      </c>
      <c r="G3070">
        <v>364</v>
      </c>
      <c r="H3070">
        <v>98</v>
      </c>
      <c r="I3070">
        <v>25.33</v>
      </c>
      <c r="J3070">
        <v>2.78</v>
      </c>
      <c r="K3070">
        <v>55.29</v>
      </c>
      <c r="L3070">
        <v>0.16</v>
      </c>
      <c r="M3070">
        <v>14.43</v>
      </c>
      <c r="N3070">
        <v>2</v>
      </c>
      <c r="O3070">
        <v>0</v>
      </c>
      <c r="P3070">
        <v>4294</v>
      </c>
      <c r="Q3070">
        <v>1344</v>
      </c>
      <c r="R3070">
        <v>189</v>
      </c>
      <c r="S3070">
        <v>2090</v>
      </c>
      <c r="T3070">
        <v>14</v>
      </c>
      <c r="U3070">
        <v>657</v>
      </c>
      <c r="V3070" s="1">
        <f t="shared" si="141"/>
        <v>0.26919999999999999</v>
      </c>
      <c r="W3070" s="1">
        <f t="shared" si="142"/>
        <v>5.4999999999999997E-3</v>
      </c>
      <c r="X3070" s="1">
        <f t="shared" si="143"/>
        <v>0</v>
      </c>
    </row>
    <row r="3071" spans="1:24" x14ac:dyDescent="0.25">
      <c r="A3071">
        <v>2003</v>
      </c>
      <c r="B3071">
        <v>12</v>
      </c>
      <c r="C3071" t="s">
        <v>37</v>
      </c>
      <c r="D3071" t="str">
        <f>_xlfn.XLOOKUP(C3071,'Carrier Name Rename'!A:A,'Carrier Name Rename'!B:B)</f>
        <v>Delta Air Lines Inc.</v>
      </c>
      <c r="E3071" t="s">
        <v>23</v>
      </c>
      <c r="F3071" t="s">
        <v>24</v>
      </c>
      <c r="G3071">
        <v>492</v>
      </c>
      <c r="H3071">
        <v>104</v>
      </c>
      <c r="I3071">
        <v>33.090000000000003</v>
      </c>
      <c r="J3071">
        <v>7.49</v>
      </c>
      <c r="K3071">
        <v>42.61</v>
      </c>
      <c r="L3071">
        <v>0</v>
      </c>
      <c r="M3071">
        <v>20.81</v>
      </c>
      <c r="N3071">
        <v>4</v>
      </c>
      <c r="O3071">
        <v>1</v>
      </c>
      <c r="P3071">
        <v>4616</v>
      </c>
      <c r="Q3071">
        <v>1495</v>
      </c>
      <c r="R3071">
        <v>460</v>
      </c>
      <c r="S3071">
        <v>1496</v>
      </c>
      <c r="T3071">
        <v>0</v>
      </c>
      <c r="U3071">
        <v>1165</v>
      </c>
      <c r="V3071" s="1">
        <f t="shared" si="141"/>
        <v>0.2114</v>
      </c>
      <c r="W3071" s="1">
        <f t="shared" si="142"/>
        <v>8.0999999999999996E-3</v>
      </c>
      <c r="X3071" s="1">
        <f t="shared" si="143"/>
        <v>2E-3</v>
      </c>
    </row>
    <row r="3072" spans="1:24" x14ac:dyDescent="0.25">
      <c r="A3072">
        <v>2003</v>
      </c>
      <c r="B3072">
        <v>12</v>
      </c>
      <c r="C3072" t="s">
        <v>21</v>
      </c>
      <c r="D3072" t="str">
        <f>_xlfn.XLOOKUP(C3072,'Carrier Name Rename'!A:A,'Carrier Name Rename'!B:B)</f>
        <v>Hawaiian Airlines Inc.</v>
      </c>
      <c r="E3072" t="s">
        <v>23</v>
      </c>
      <c r="F3072" t="s">
        <v>24</v>
      </c>
      <c r="G3072">
        <v>62</v>
      </c>
      <c r="H3072">
        <v>20</v>
      </c>
      <c r="I3072">
        <v>18.739999999999998</v>
      </c>
      <c r="J3072">
        <v>0</v>
      </c>
      <c r="K3072">
        <v>0.06</v>
      </c>
      <c r="L3072">
        <v>0</v>
      </c>
      <c r="M3072">
        <v>1.2</v>
      </c>
      <c r="N3072">
        <v>0</v>
      </c>
      <c r="O3072">
        <v>0</v>
      </c>
      <c r="P3072">
        <v>693</v>
      </c>
      <c r="Q3072">
        <v>656</v>
      </c>
      <c r="R3072">
        <v>0</v>
      </c>
      <c r="S3072">
        <v>1</v>
      </c>
      <c r="T3072">
        <v>0</v>
      </c>
      <c r="U3072">
        <v>36</v>
      </c>
      <c r="V3072" s="1">
        <f t="shared" si="141"/>
        <v>0.3226</v>
      </c>
      <c r="W3072" s="1">
        <f t="shared" si="142"/>
        <v>0</v>
      </c>
      <c r="X3072" s="1">
        <f t="shared" si="143"/>
        <v>0</v>
      </c>
    </row>
    <row r="3073" spans="1:24" x14ac:dyDescent="0.25">
      <c r="A3073">
        <v>2003</v>
      </c>
      <c r="B3073">
        <v>12</v>
      </c>
      <c r="C3073" t="s">
        <v>73</v>
      </c>
      <c r="D3073" t="str">
        <f>_xlfn.XLOOKUP(C3073,'Carrier Name Rename'!A:A,'Carrier Name Rename'!B:B)</f>
        <v>America West Airlines Inc.</v>
      </c>
      <c r="E3073" t="s">
        <v>23</v>
      </c>
      <c r="F3073" t="s">
        <v>24</v>
      </c>
      <c r="G3073">
        <v>277</v>
      </c>
      <c r="H3073">
        <v>57</v>
      </c>
      <c r="I3073">
        <v>24.95</v>
      </c>
      <c r="J3073">
        <v>0</v>
      </c>
      <c r="K3073">
        <v>25.86</v>
      </c>
      <c r="L3073">
        <v>0</v>
      </c>
      <c r="M3073">
        <v>6.2</v>
      </c>
      <c r="N3073">
        <v>2</v>
      </c>
      <c r="O3073">
        <v>0</v>
      </c>
      <c r="P3073">
        <v>2205</v>
      </c>
      <c r="Q3073">
        <v>1170</v>
      </c>
      <c r="R3073">
        <v>0</v>
      </c>
      <c r="S3073">
        <v>671</v>
      </c>
      <c r="T3073">
        <v>0</v>
      </c>
      <c r="U3073">
        <v>364</v>
      </c>
      <c r="V3073" s="1">
        <f t="shared" si="141"/>
        <v>0.20580000000000001</v>
      </c>
      <c r="W3073" s="1">
        <f t="shared" si="142"/>
        <v>7.1999999999999998E-3</v>
      </c>
      <c r="X3073" s="1">
        <f t="shared" si="143"/>
        <v>0</v>
      </c>
    </row>
    <row r="3074" spans="1:24" x14ac:dyDescent="0.25">
      <c r="A3074">
        <v>2003</v>
      </c>
      <c r="B3074">
        <v>12</v>
      </c>
      <c r="C3074" t="s">
        <v>67</v>
      </c>
      <c r="D3074" t="str">
        <f>_xlfn.XLOOKUP(C3074,'Carrier Name Rename'!A:A,'Carrier Name Rename'!B:B)</f>
        <v>Northwest Airlines Inc.</v>
      </c>
      <c r="E3074" t="s">
        <v>23</v>
      </c>
      <c r="F3074" t="s">
        <v>24</v>
      </c>
      <c r="G3074">
        <v>383</v>
      </c>
      <c r="H3074">
        <v>102</v>
      </c>
      <c r="I3074">
        <v>34.340000000000003</v>
      </c>
      <c r="J3074">
        <v>0</v>
      </c>
      <c r="K3074">
        <v>56.23</v>
      </c>
      <c r="L3074">
        <v>0</v>
      </c>
      <c r="M3074">
        <v>11.43</v>
      </c>
      <c r="N3074">
        <v>1</v>
      </c>
      <c r="O3074">
        <v>1</v>
      </c>
      <c r="P3074">
        <v>4018</v>
      </c>
      <c r="Q3074">
        <v>1796</v>
      </c>
      <c r="R3074">
        <v>0</v>
      </c>
      <c r="S3074">
        <v>1758</v>
      </c>
      <c r="T3074">
        <v>0</v>
      </c>
      <c r="U3074">
        <v>464</v>
      </c>
      <c r="V3074" s="1">
        <f t="shared" si="141"/>
        <v>0.26629999999999998</v>
      </c>
      <c r="W3074" s="1">
        <f t="shared" si="142"/>
        <v>2.5999999999999999E-3</v>
      </c>
      <c r="X3074" s="1">
        <f t="shared" si="143"/>
        <v>2.5999999999999999E-3</v>
      </c>
    </row>
    <row r="3075" spans="1:24" x14ac:dyDescent="0.25">
      <c r="A3075">
        <v>2003</v>
      </c>
      <c r="B3075">
        <v>12</v>
      </c>
      <c r="C3075" t="s">
        <v>27</v>
      </c>
      <c r="D3075" t="str">
        <f>_xlfn.XLOOKUP(C3075,'Carrier Name Rename'!A:A,'Carrier Name Rename'!B:B)</f>
        <v>SkyWest Airlines Inc.</v>
      </c>
      <c r="E3075" t="s">
        <v>23</v>
      </c>
      <c r="F3075" t="s">
        <v>24</v>
      </c>
      <c r="G3075">
        <v>390</v>
      </c>
      <c r="H3075">
        <v>83</v>
      </c>
      <c r="I3075">
        <v>44</v>
      </c>
      <c r="J3075">
        <v>12</v>
      </c>
      <c r="K3075">
        <v>9</v>
      </c>
      <c r="L3075">
        <v>0</v>
      </c>
      <c r="M3075">
        <v>18</v>
      </c>
      <c r="N3075">
        <v>14</v>
      </c>
      <c r="O3075">
        <v>0</v>
      </c>
      <c r="P3075">
        <v>2639</v>
      </c>
      <c r="Q3075">
        <v>1394</v>
      </c>
      <c r="R3075">
        <v>288</v>
      </c>
      <c r="S3075">
        <v>299</v>
      </c>
      <c r="T3075">
        <v>0</v>
      </c>
      <c r="U3075">
        <v>658</v>
      </c>
      <c r="V3075" s="1">
        <f t="shared" ref="V3075:V3138" si="144">ROUND(H3075/G3075,4)</f>
        <v>0.21279999999999999</v>
      </c>
      <c r="W3075" s="1">
        <f t="shared" ref="W3075:W3138" si="145">ROUND(N3075/G3075,4)</f>
        <v>3.5900000000000001E-2</v>
      </c>
      <c r="X3075" s="1">
        <f t="shared" ref="X3075:X3138" si="146">ROUND(O3075/G3075,4)</f>
        <v>0</v>
      </c>
    </row>
    <row r="3076" spans="1:24" x14ac:dyDescent="0.25">
      <c r="A3076">
        <v>2003</v>
      </c>
      <c r="B3076">
        <v>12</v>
      </c>
      <c r="C3076" t="s">
        <v>79</v>
      </c>
      <c r="D3076" t="str">
        <f>_xlfn.XLOOKUP(C3076,'Carrier Name Rename'!A:A,'Carrier Name Rename'!B:B)</f>
        <v>ATA Airlines d/b/a ATA</v>
      </c>
      <c r="E3076" t="s">
        <v>23</v>
      </c>
      <c r="F3076" t="s">
        <v>24</v>
      </c>
      <c r="G3076">
        <v>84</v>
      </c>
      <c r="H3076">
        <v>27</v>
      </c>
      <c r="I3076">
        <v>9.5299999999999994</v>
      </c>
      <c r="J3076">
        <v>0</v>
      </c>
      <c r="K3076">
        <v>11.76</v>
      </c>
      <c r="L3076">
        <v>0</v>
      </c>
      <c r="M3076">
        <v>5.72</v>
      </c>
      <c r="N3076">
        <v>0</v>
      </c>
      <c r="O3076">
        <v>0</v>
      </c>
      <c r="P3076">
        <v>1251</v>
      </c>
      <c r="Q3076">
        <v>449</v>
      </c>
      <c r="R3076">
        <v>0</v>
      </c>
      <c r="S3076">
        <v>594</v>
      </c>
      <c r="T3076">
        <v>0</v>
      </c>
      <c r="U3076">
        <v>208</v>
      </c>
      <c r="V3076" s="1">
        <f t="shared" si="144"/>
        <v>0.32140000000000002</v>
      </c>
      <c r="W3076" s="1">
        <f t="shared" si="145"/>
        <v>0</v>
      </c>
      <c r="X3076" s="1">
        <f t="shared" si="146"/>
        <v>0</v>
      </c>
    </row>
    <row r="3077" spans="1:24" x14ac:dyDescent="0.25">
      <c r="A3077">
        <v>2003</v>
      </c>
      <c r="B3077">
        <v>12</v>
      </c>
      <c r="C3077" t="s">
        <v>41</v>
      </c>
      <c r="D3077" t="str">
        <f>_xlfn.XLOOKUP(C3077,'Carrier Name Rename'!A:A,'Carrier Name Rename'!B:B)</f>
        <v>United Air Lines Inc.</v>
      </c>
      <c r="E3077" t="s">
        <v>23</v>
      </c>
      <c r="F3077" t="s">
        <v>24</v>
      </c>
      <c r="G3077">
        <v>1071</v>
      </c>
      <c r="H3077">
        <v>221</v>
      </c>
      <c r="I3077">
        <v>79.66</v>
      </c>
      <c r="J3077">
        <v>1.18</v>
      </c>
      <c r="K3077">
        <v>74.569999999999993</v>
      </c>
      <c r="L3077">
        <v>0</v>
      </c>
      <c r="M3077">
        <v>65.59</v>
      </c>
      <c r="N3077">
        <v>4</v>
      </c>
      <c r="O3077">
        <v>0</v>
      </c>
      <c r="P3077">
        <v>9856</v>
      </c>
      <c r="Q3077">
        <v>3392</v>
      </c>
      <c r="R3077">
        <v>88</v>
      </c>
      <c r="S3077">
        <v>2329</v>
      </c>
      <c r="T3077">
        <v>0</v>
      </c>
      <c r="U3077">
        <v>4047</v>
      </c>
      <c r="V3077" s="1">
        <f t="shared" si="144"/>
        <v>0.20630000000000001</v>
      </c>
      <c r="W3077" s="1">
        <f t="shared" si="145"/>
        <v>3.7000000000000002E-3</v>
      </c>
      <c r="X3077" s="1">
        <f t="shared" si="146"/>
        <v>0</v>
      </c>
    </row>
    <row r="3078" spans="1:24" x14ac:dyDescent="0.25">
      <c r="A3078">
        <v>2003</v>
      </c>
      <c r="B3078">
        <v>12</v>
      </c>
      <c r="C3078" t="s">
        <v>61</v>
      </c>
      <c r="D3078" t="str">
        <f>_xlfn.XLOOKUP(C3078,'Carrier Name Rename'!A:A,'Carrier Name Rename'!B:B)</f>
        <v>US Airways Inc.</v>
      </c>
      <c r="E3078" t="s">
        <v>23</v>
      </c>
      <c r="F3078" t="s">
        <v>24</v>
      </c>
      <c r="G3078">
        <v>141</v>
      </c>
      <c r="H3078">
        <v>48</v>
      </c>
      <c r="I3078">
        <v>10.7</v>
      </c>
      <c r="J3078">
        <v>0.27</v>
      </c>
      <c r="K3078">
        <v>16.47</v>
      </c>
      <c r="L3078">
        <v>0</v>
      </c>
      <c r="M3078">
        <v>20.56</v>
      </c>
      <c r="N3078">
        <v>0</v>
      </c>
      <c r="O3078">
        <v>0</v>
      </c>
      <c r="P3078">
        <v>2621</v>
      </c>
      <c r="Q3078">
        <v>512</v>
      </c>
      <c r="R3078">
        <v>46</v>
      </c>
      <c r="S3078">
        <v>778</v>
      </c>
      <c r="T3078">
        <v>0</v>
      </c>
      <c r="U3078">
        <v>1285</v>
      </c>
      <c r="V3078" s="1">
        <f t="shared" si="144"/>
        <v>0.34039999999999998</v>
      </c>
      <c r="W3078" s="1">
        <f t="shared" si="145"/>
        <v>0</v>
      </c>
      <c r="X3078" s="1">
        <f t="shared" si="146"/>
        <v>0</v>
      </c>
    </row>
    <row r="3079" spans="1:24" x14ac:dyDescent="0.25">
      <c r="A3079">
        <v>2003</v>
      </c>
      <c r="B3079">
        <v>12</v>
      </c>
      <c r="C3079" t="s">
        <v>43</v>
      </c>
      <c r="D3079" t="str">
        <f>_xlfn.XLOOKUP(C3079,'Carrier Name Rename'!A:A,'Carrier Name Rename'!B:B)</f>
        <v>Southwest Airlines Co.</v>
      </c>
      <c r="E3079" t="s">
        <v>23</v>
      </c>
      <c r="F3079" t="s">
        <v>24</v>
      </c>
      <c r="G3079">
        <v>1142</v>
      </c>
      <c r="H3079">
        <v>169</v>
      </c>
      <c r="I3079">
        <v>31.42</v>
      </c>
      <c r="J3079">
        <v>0.7</v>
      </c>
      <c r="K3079">
        <v>29.51</v>
      </c>
      <c r="L3079">
        <v>0.16</v>
      </c>
      <c r="M3079">
        <v>107.21</v>
      </c>
      <c r="N3079">
        <v>5</v>
      </c>
      <c r="O3079">
        <v>0</v>
      </c>
      <c r="P3079">
        <v>7157</v>
      </c>
      <c r="Q3079">
        <v>1289</v>
      </c>
      <c r="R3079">
        <v>79</v>
      </c>
      <c r="S3079">
        <v>778</v>
      </c>
      <c r="T3079">
        <v>7</v>
      </c>
      <c r="U3079">
        <v>5004</v>
      </c>
      <c r="V3079" s="1">
        <f t="shared" si="144"/>
        <v>0.14799999999999999</v>
      </c>
      <c r="W3079" s="1">
        <f t="shared" si="145"/>
        <v>4.4000000000000003E-3</v>
      </c>
      <c r="X3079" s="1">
        <f t="shared" si="146"/>
        <v>0</v>
      </c>
    </row>
    <row r="3080" spans="1:24" x14ac:dyDescent="0.25">
      <c r="A3080">
        <v>2003</v>
      </c>
      <c r="B3080">
        <v>11</v>
      </c>
      <c r="C3080" t="s">
        <v>31</v>
      </c>
      <c r="D3080" t="str">
        <f>_xlfn.XLOOKUP(C3080,'Carrier Name Rename'!A:A,'Carrier Name Rename'!B:B)</f>
        <v>American Airlines Inc.</v>
      </c>
      <c r="E3080" t="s">
        <v>23</v>
      </c>
      <c r="F3080" t="s">
        <v>24</v>
      </c>
      <c r="G3080">
        <v>485</v>
      </c>
      <c r="H3080">
        <v>139</v>
      </c>
      <c r="I3080">
        <v>24.28</v>
      </c>
      <c r="J3080">
        <v>3.88</v>
      </c>
      <c r="K3080">
        <v>82.11</v>
      </c>
      <c r="L3080">
        <v>0.87</v>
      </c>
      <c r="M3080">
        <v>27.87</v>
      </c>
      <c r="N3080">
        <v>2</v>
      </c>
      <c r="O3080">
        <v>3</v>
      </c>
      <c r="P3080">
        <v>5805</v>
      </c>
      <c r="Q3080">
        <v>1273</v>
      </c>
      <c r="R3080">
        <v>292</v>
      </c>
      <c r="S3080">
        <v>2671</v>
      </c>
      <c r="T3080">
        <v>13</v>
      </c>
      <c r="U3080">
        <v>1556</v>
      </c>
      <c r="V3080" s="1">
        <f t="shared" si="144"/>
        <v>0.28660000000000002</v>
      </c>
      <c r="W3080" s="1">
        <f t="shared" si="145"/>
        <v>4.1000000000000003E-3</v>
      </c>
      <c r="X3080" s="1">
        <f t="shared" si="146"/>
        <v>6.1999999999999998E-3</v>
      </c>
    </row>
    <row r="3081" spans="1:24" x14ac:dyDescent="0.25">
      <c r="A3081">
        <v>2003</v>
      </c>
      <c r="B3081">
        <v>11</v>
      </c>
      <c r="C3081" t="s">
        <v>33</v>
      </c>
      <c r="D3081" t="str">
        <f>_xlfn.XLOOKUP(C3081,'Carrier Name Rename'!A:A,'Carrier Name Rename'!B:B)</f>
        <v>Alaska Airlines Inc.</v>
      </c>
      <c r="E3081" t="s">
        <v>23</v>
      </c>
      <c r="F3081" t="s">
        <v>24</v>
      </c>
      <c r="G3081">
        <v>3543</v>
      </c>
      <c r="H3081">
        <v>741</v>
      </c>
      <c r="I3081">
        <v>152.63999999999999</v>
      </c>
      <c r="J3081">
        <v>9.81</v>
      </c>
      <c r="K3081">
        <v>253.74</v>
      </c>
      <c r="L3081">
        <v>4.91</v>
      </c>
      <c r="M3081">
        <v>319.89999999999998</v>
      </c>
      <c r="N3081">
        <v>52</v>
      </c>
      <c r="O3081">
        <v>8</v>
      </c>
      <c r="P3081">
        <v>34125</v>
      </c>
      <c r="Q3081">
        <v>8679</v>
      </c>
      <c r="R3081">
        <v>731</v>
      </c>
      <c r="S3081">
        <v>7633</v>
      </c>
      <c r="T3081">
        <v>124</v>
      </c>
      <c r="U3081">
        <v>16958</v>
      </c>
      <c r="V3081" s="1">
        <f t="shared" si="144"/>
        <v>0.20910000000000001</v>
      </c>
      <c r="W3081" s="1">
        <f t="shared" si="145"/>
        <v>1.47E-2</v>
      </c>
      <c r="X3081" s="1">
        <f t="shared" si="146"/>
        <v>2.3E-3</v>
      </c>
    </row>
    <row r="3082" spans="1:24" x14ac:dyDescent="0.25">
      <c r="A3082">
        <v>2003</v>
      </c>
      <c r="B3082">
        <v>11</v>
      </c>
      <c r="C3082" t="s">
        <v>35</v>
      </c>
      <c r="D3082" t="str">
        <f>_xlfn.XLOOKUP(C3082,'Carrier Name Rename'!A:A,'Carrier Name Rename'!B:B)</f>
        <v>JetBlue Airways</v>
      </c>
      <c r="E3082" t="s">
        <v>23</v>
      </c>
      <c r="F3082" t="s">
        <v>24</v>
      </c>
      <c r="G3082">
        <v>30</v>
      </c>
      <c r="H3082">
        <v>4</v>
      </c>
      <c r="I3082">
        <v>0.34</v>
      </c>
      <c r="J3082">
        <v>0</v>
      </c>
      <c r="K3082">
        <v>3</v>
      </c>
      <c r="L3082">
        <v>0</v>
      </c>
      <c r="M3082">
        <v>0.66</v>
      </c>
      <c r="N3082">
        <v>0</v>
      </c>
      <c r="O3082">
        <v>1</v>
      </c>
      <c r="P3082">
        <v>116</v>
      </c>
      <c r="Q3082">
        <v>10</v>
      </c>
      <c r="R3082">
        <v>0</v>
      </c>
      <c r="S3082">
        <v>87</v>
      </c>
      <c r="T3082">
        <v>0</v>
      </c>
      <c r="U3082">
        <v>19</v>
      </c>
      <c r="V3082" s="1">
        <f t="shared" si="144"/>
        <v>0.1333</v>
      </c>
      <c r="W3082" s="1">
        <f t="shared" si="145"/>
        <v>0</v>
      </c>
      <c r="X3082" s="1">
        <f t="shared" si="146"/>
        <v>3.3300000000000003E-2</v>
      </c>
    </row>
    <row r="3083" spans="1:24" x14ac:dyDescent="0.25">
      <c r="A3083">
        <v>2003</v>
      </c>
      <c r="B3083">
        <v>11</v>
      </c>
      <c r="C3083" t="s">
        <v>65</v>
      </c>
      <c r="D3083" t="str">
        <f>_xlfn.XLOOKUP(C3083,'Carrier Name Rename'!A:A,'Carrier Name Rename'!B:B)</f>
        <v>Continental Air Lines Inc.</v>
      </c>
      <c r="E3083" t="s">
        <v>23</v>
      </c>
      <c r="F3083" t="s">
        <v>24</v>
      </c>
      <c r="G3083">
        <v>347</v>
      </c>
      <c r="H3083">
        <v>84</v>
      </c>
      <c r="I3083">
        <v>12.15</v>
      </c>
      <c r="J3083">
        <v>2.14</v>
      </c>
      <c r="K3083">
        <v>61.76</v>
      </c>
      <c r="L3083">
        <v>0</v>
      </c>
      <c r="M3083">
        <v>7.95</v>
      </c>
      <c r="N3083">
        <v>0</v>
      </c>
      <c r="O3083">
        <v>0</v>
      </c>
      <c r="P3083">
        <v>3331</v>
      </c>
      <c r="Q3083">
        <v>865</v>
      </c>
      <c r="R3083">
        <v>71</v>
      </c>
      <c r="S3083">
        <v>1959</v>
      </c>
      <c r="T3083">
        <v>0</v>
      </c>
      <c r="U3083">
        <v>436</v>
      </c>
      <c r="V3083" s="1">
        <f t="shared" si="144"/>
        <v>0.24210000000000001</v>
      </c>
      <c r="W3083" s="1">
        <f t="shared" si="145"/>
        <v>0</v>
      </c>
      <c r="X3083" s="1">
        <f t="shared" si="146"/>
        <v>0</v>
      </c>
    </row>
    <row r="3084" spans="1:24" x14ac:dyDescent="0.25">
      <c r="A3084">
        <v>2003</v>
      </c>
      <c r="B3084">
        <v>11</v>
      </c>
      <c r="C3084" t="s">
        <v>37</v>
      </c>
      <c r="D3084" t="str">
        <f>_xlfn.XLOOKUP(C3084,'Carrier Name Rename'!A:A,'Carrier Name Rename'!B:B)</f>
        <v>Delta Air Lines Inc.</v>
      </c>
      <c r="E3084" t="s">
        <v>23</v>
      </c>
      <c r="F3084" t="s">
        <v>24</v>
      </c>
      <c r="G3084">
        <v>472</v>
      </c>
      <c r="H3084">
        <v>124</v>
      </c>
      <c r="I3084">
        <v>17</v>
      </c>
      <c r="J3084">
        <v>0.64</v>
      </c>
      <c r="K3084">
        <v>92.4</v>
      </c>
      <c r="L3084">
        <v>0</v>
      </c>
      <c r="M3084">
        <v>13.96</v>
      </c>
      <c r="N3084">
        <v>1</v>
      </c>
      <c r="O3084">
        <v>0</v>
      </c>
      <c r="P3084">
        <v>4155</v>
      </c>
      <c r="Q3084">
        <v>896</v>
      </c>
      <c r="R3084">
        <v>25</v>
      </c>
      <c r="S3084">
        <v>2591</v>
      </c>
      <c r="T3084">
        <v>0</v>
      </c>
      <c r="U3084">
        <v>643</v>
      </c>
      <c r="V3084" s="1">
        <f t="shared" si="144"/>
        <v>0.26269999999999999</v>
      </c>
      <c r="W3084" s="1">
        <f t="shared" si="145"/>
        <v>2.0999999999999999E-3</v>
      </c>
      <c r="X3084" s="1">
        <f t="shared" si="146"/>
        <v>0</v>
      </c>
    </row>
    <row r="3085" spans="1:24" x14ac:dyDescent="0.25">
      <c r="A3085">
        <v>2003</v>
      </c>
      <c r="B3085">
        <v>11</v>
      </c>
      <c r="C3085" t="s">
        <v>21</v>
      </c>
      <c r="D3085" t="str">
        <f>_xlfn.XLOOKUP(C3085,'Carrier Name Rename'!A:A,'Carrier Name Rename'!B:B)</f>
        <v>Hawaiian Airlines Inc.</v>
      </c>
      <c r="E3085" t="s">
        <v>23</v>
      </c>
      <c r="F3085" t="s">
        <v>24</v>
      </c>
      <c r="G3085">
        <v>51</v>
      </c>
      <c r="H3085">
        <v>26</v>
      </c>
      <c r="I3085">
        <v>21.81</v>
      </c>
      <c r="J3085">
        <v>0.41</v>
      </c>
      <c r="K3085">
        <v>7.0000000000000007E-2</v>
      </c>
      <c r="L3085">
        <v>0</v>
      </c>
      <c r="M3085">
        <v>3.71</v>
      </c>
      <c r="N3085">
        <v>0</v>
      </c>
      <c r="O3085">
        <v>0</v>
      </c>
      <c r="P3085">
        <v>1206</v>
      </c>
      <c r="Q3085">
        <v>852</v>
      </c>
      <c r="R3085">
        <v>41</v>
      </c>
      <c r="S3085">
        <v>2</v>
      </c>
      <c r="T3085">
        <v>0</v>
      </c>
      <c r="U3085">
        <v>311</v>
      </c>
      <c r="V3085" s="1">
        <f t="shared" si="144"/>
        <v>0.50980000000000003</v>
      </c>
      <c r="W3085" s="1">
        <f t="shared" si="145"/>
        <v>0</v>
      </c>
      <c r="X3085" s="1">
        <f t="shared" si="146"/>
        <v>0</v>
      </c>
    </row>
    <row r="3086" spans="1:24" x14ac:dyDescent="0.25">
      <c r="A3086">
        <v>2003</v>
      </c>
      <c r="B3086">
        <v>11</v>
      </c>
      <c r="C3086" t="s">
        <v>73</v>
      </c>
      <c r="D3086" t="str">
        <f>_xlfn.XLOOKUP(C3086,'Carrier Name Rename'!A:A,'Carrier Name Rename'!B:B)</f>
        <v>America West Airlines Inc.</v>
      </c>
      <c r="E3086" t="s">
        <v>23</v>
      </c>
      <c r="F3086" t="s">
        <v>24</v>
      </c>
      <c r="G3086">
        <v>265</v>
      </c>
      <c r="H3086">
        <v>55</v>
      </c>
      <c r="I3086">
        <v>14.76</v>
      </c>
      <c r="J3086">
        <v>0</v>
      </c>
      <c r="K3086">
        <v>30.82</v>
      </c>
      <c r="L3086">
        <v>0</v>
      </c>
      <c r="M3086">
        <v>9.41</v>
      </c>
      <c r="N3086">
        <v>0</v>
      </c>
      <c r="O3086">
        <v>1</v>
      </c>
      <c r="P3086">
        <v>2106</v>
      </c>
      <c r="Q3086">
        <v>840</v>
      </c>
      <c r="R3086">
        <v>0</v>
      </c>
      <c r="S3086">
        <v>861</v>
      </c>
      <c r="T3086">
        <v>0</v>
      </c>
      <c r="U3086">
        <v>405</v>
      </c>
      <c r="V3086" s="1">
        <f t="shared" si="144"/>
        <v>0.20749999999999999</v>
      </c>
      <c r="W3086" s="1">
        <f t="shared" si="145"/>
        <v>0</v>
      </c>
      <c r="X3086" s="1">
        <f t="shared" si="146"/>
        <v>3.8E-3</v>
      </c>
    </row>
    <row r="3087" spans="1:24" x14ac:dyDescent="0.25">
      <c r="A3087">
        <v>2003</v>
      </c>
      <c r="B3087">
        <v>11</v>
      </c>
      <c r="C3087" t="s">
        <v>67</v>
      </c>
      <c r="D3087" t="str">
        <f>_xlfn.XLOOKUP(C3087,'Carrier Name Rename'!A:A,'Carrier Name Rename'!B:B)</f>
        <v>Northwest Airlines Inc.</v>
      </c>
      <c r="E3087" t="s">
        <v>23</v>
      </c>
      <c r="F3087" t="s">
        <v>24</v>
      </c>
      <c r="G3087">
        <v>300</v>
      </c>
      <c r="H3087">
        <v>104</v>
      </c>
      <c r="I3087">
        <v>26.18</v>
      </c>
      <c r="J3087">
        <v>0.68</v>
      </c>
      <c r="K3087">
        <v>74.06</v>
      </c>
      <c r="L3087">
        <v>0.56999999999999995</v>
      </c>
      <c r="M3087">
        <v>2.52</v>
      </c>
      <c r="N3087">
        <v>2</v>
      </c>
      <c r="O3087">
        <v>4</v>
      </c>
      <c r="P3087">
        <v>4076</v>
      </c>
      <c r="Q3087">
        <v>1533</v>
      </c>
      <c r="R3087">
        <v>83</v>
      </c>
      <c r="S3087">
        <v>2313</v>
      </c>
      <c r="T3087">
        <v>13</v>
      </c>
      <c r="U3087">
        <v>134</v>
      </c>
      <c r="V3087" s="1">
        <f t="shared" si="144"/>
        <v>0.34670000000000001</v>
      </c>
      <c r="W3087" s="1">
        <f t="shared" si="145"/>
        <v>6.7000000000000002E-3</v>
      </c>
      <c r="X3087" s="1">
        <f t="shared" si="146"/>
        <v>1.3299999999999999E-2</v>
      </c>
    </row>
    <row r="3088" spans="1:24" x14ac:dyDescent="0.25">
      <c r="A3088">
        <v>2003</v>
      </c>
      <c r="B3088">
        <v>11</v>
      </c>
      <c r="C3088" t="s">
        <v>27</v>
      </c>
      <c r="D3088" t="str">
        <f>_xlfn.XLOOKUP(C3088,'Carrier Name Rename'!A:A,'Carrier Name Rename'!B:B)</f>
        <v>SkyWest Airlines Inc.</v>
      </c>
      <c r="E3088" t="s">
        <v>23</v>
      </c>
      <c r="F3088" t="s">
        <v>24</v>
      </c>
      <c r="G3088">
        <v>362</v>
      </c>
      <c r="H3088">
        <v>62</v>
      </c>
      <c r="I3088">
        <v>32</v>
      </c>
      <c r="J3088">
        <v>10</v>
      </c>
      <c r="K3088">
        <v>7</v>
      </c>
      <c r="L3088">
        <v>0</v>
      </c>
      <c r="M3088">
        <v>13</v>
      </c>
      <c r="N3088">
        <v>10</v>
      </c>
      <c r="O3088">
        <v>0</v>
      </c>
      <c r="P3088">
        <v>2103</v>
      </c>
      <c r="Q3088">
        <v>848</v>
      </c>
      <c r="R3088">
        <v>550</v>
      </c>
      <c r="S3088">
        <v>219</v>
      </c>
      <c r="T3088">
        <v>0</v>
      </c>
      <c r="U3088">
        <v>486</v>
      </c>
      <c r="V3088" s="1">
        <f t="shared" si="144"/>
        <v>0.17130000000000001</v>
      </c>
      <c r="W3088" s="1">
        <f t="shared" si="145"/>
        <v>2.76E-2</v>
      </c>
      <c r="X3088" s="1">
        <f t="shared" si="146"/>
        <v>0</v>
      </c>
    </row>
    <row r="3089" spans="1:24" x14ac:dyDescent="0.25">
      <c r="A3089">
        <v>2003</v>
      </c>
      <c r="B3089">
        <v>11</v>
      </c>
      <c r="C3089" t="s">
        <v>79</v>
      </c>
      <c r="D3089" t="str">
        <f>_xlfn.XLOOKUP(C3089,'Carrier Name Rename'!A:A,'Carrier Name Rename'!B:B)</f>
        <v>ATA Airlines d/b/a ATA</v>
      </c>
      <c r="E3089" t="s">
        <v>23</v>
      </c>
      <c r="F3089" t="s">
        <v>24</v>
      </c>
      <c r="G3089">
        <v>81</v>
      </c>
      <c r="H3089">
        <v>36</v>
      </c>
      <c r="I3089">
        <v>6.75</v>
      </c>
      <c r="J3089">
        <v>0</v>
      </c>
      <c r="K3089">
        <v>18.03</v>
      </c>
      <c r="L3089">
        <v>0</v>
      </c>
      <c r="M3089">
        <v>11.21</v>
      </c>
      <c r="N3089">
        <v>0</v>
      </c>
      <c r="O3089">
        <v>0</v>
      </c>
      <c r="P3089">
        <v>2009</v>
      </c>
      <c r="Q3089">
        <v>348</v>
      </c>
      <c r="R3089">
        <v>0</v>
      </c>
      <c r="S3089">
        <v>677</v>
      </c>
      <c r="T3089">
        <v>0</v>
      </c>
      <c r="U3089">
        <v>984</v>
      </c>
      <c r="V3089" s="1">
        <f t="shared" si="144"/>
        <v>0.44440000000000002</v>
      </c>
      <c r="W3089" s="1">
        <f t="shared" si="145"/>
        <v>0</v>
      </c>
      <c r="X3089" s="1">
        <f t="shared" si="146"/>
        <v>0</v>
      </c>
    </row>
    <row r="3090" spans="1:24" x14ac:dyDescent="0.25">
      <c r="A3090">
        <v>2003</v>
      </c>
      <c r="B3090">
        <v>11</v>
      </c>
      <c r="C3090" t="s">
        <v>41</v>
      </c>
      <c r="D3090" t="str">
        <f>_xlfn.XLOOKUP(C3090,'Carrier Name Rename'!A:A,'Carrier Name Rename'!B:B)</f>
        <v>United Air Lines Inc.</v>
      </c>
      <c r="E3090" t="s">
        <v>23</v>
      </c>
      <c r="F3090" t="s">
        <v>24</v>
      </c>
      <c r="G3090">
        <v>992</v>
      </c>
      <c r="H3090">
        <v>224</v>
      </c>
      <c r="I3090">
        <v>41.8</v>
      </c>
      <c r="J3090">
        <v>4.12</v>
      </c>
      <c r="K3090">
        <v>109.48</v>
      </c>
      <c r="L3090">
        <v>0</v>
      </c>
      <c r="M3090">
        <v>68.59</v>
      </c>
      <c r="N3090">
        <v>5</v>
      </c>
      <c r="O3090">
        <v>0</v>
      </c>
      <c r="P3090">
        <v>9010</v>
      </c>
      <c r="Q3090">
        <v>1694</v>
      </c>
      <c r="R3090">
        <v>198</v>
      </c>
      <c r="S3090">
        <v>3073</v>
      </c>
      <c r="T3090">
        <v>0</v>
      </c>
      <c r="U3090">
        <v>4045</v>
      </c>
      <c r="V3090" s="1">
        <f t="shared" si="144"/>
        <v>0.2258</v>
      </c>
      <c r="W3090" s="1">
        <f t="shared" si="145"/>
        <v>5.0000000000000001E-3</v>
      </c>
      <c r="X3090" s="1">
        <f t="shared" si="146"/>
        <v>0</v>
      </c>
    </row>
    <row r="3091" spans="1:24" x14ac:dyDescent="0.25">
      <c r="A3091">
        <v>2003</v>
      </c>
      <c r="B3091">
        <v>11</v>
      </c>
      <c r="C3091" t="s">
        <v>61</v>
      </c>
      <c r="D3091" t="str">
        <f>_xlfn.XLOOKUP(C3091,'Carrier Name Rename'!A:A,'Carrier Name Rename'!B:B)</f>
        <v>US Airways Inc.</v>
      </c>
      <c r="E3091" t="s">
        <v>23</v>
      </c>
      <c r="F3091" t="s">
        <v>24</v>
      </c>
      <c r="G3091">
        <v>138</v>
      </c>
      <c r="H3091">
        <v>49</v>
      </c>
      <c r="I3091">
        <v>6.36</v>
      </c>
      <c r="J3091">
        <v>0</v>
      </c>
      <c r="K3091">
        <v>32.659999999999997</v>
      </c>
      <c r="L3091">
        <v>0</v>
      </c>
      <c r="M3091">
        <v>9.98</v>
      </c>
      <c r="N3091">
        <v>0</v>
      </c>
      <c r="O3091">
        <v>0</v>
      </c>
      <c r="P3091">
        <v>2066</v>
      </c>
      <c r="Q3091">
        <v>317</v>
      </c>
      <c r="R3091">
        <v>0</v>
      </c>
      <c r="S3091">
        <v>1106</v>
      </c>
      <c r="T3091">
        <v>0</v>
      </c>
      <c r="U3091">
        <v>643</v>
      </c>
      <c r="V3091" s="1">
        <f t="shared" si="144"/>
        <v>0.35510000000000003</v>
      </c>
      <c r="W3091" s="1">
        <f t="shared" si="145"/>
        <v>0</v>
      </c>
      <c r="X3091" s="1">
        <f t="shared" si="146"/>
        <v>0</v>
      </c>
    </row>
    <row r="3092" spans="1:24" x14ac:dyDescent="0.25">
      <c r="A3092">
        <v>2003</v>
      </c>
      <c r="B3092">
        <v>11</v>
      </c>
      <c r="C3092" t="s">
        <v>43</v>
      </c>
      <c r="D3092" t="str">
        <f>_xlfn.XLOOKUP(C3092,'Carrier Name Rename'!A:A,'Carrier Name Rename'!B:B)</f>
        <v>Southwest Airlines Co.</v>
      </c>
      <c r="E3092" t="s">
        <v>23</v>
      </c>
      <c r="F3092" t="s">
        <v>24</v>
      </c>
      <c r="G3092">
        <v>1092</v>
      </c>
      <c r="H3092">
        <v>165</v>
      </c>
      <c r="I3092">
        <v>27.24</v>
      </c>
      <c r="J3092">
        <v>5.96</v>
      </c>
      <c r="K3092">
        <v>53.59</v>
      </c>
      <c r="L3092">
        <v>0</v>
      </c>
      <c r="M3092">
        <v>78.22</v>
      </c>
      <c r="N3092">
        <v>2</v>
      </c>
      <c r="O3092">
        <v>4</v>
      </c>
      <c r="P3092">
        <v>6485</v>
      </c>
      <c r="Q3092">
        <v>1082</v>
      </c>
      <c r="R3092">
        <v>232</v>
      </c>
      <c r="S3092">
        <v>1829</v>
      </c>
      <c r="T3092">
        <v>0</v>
      </c>
      <c r="U3092">
        <v>3342</v>
      </c>
      <c r="V3092" s="1">
        <f t="shared" si="144"/>
        <v>0.15110000000000001</v>
      </c>
      <c r="W3092" s="1">
        <f t="shared" si="145"/>
        <v>1.8E-3</v>
      </c>
      <c r="X3092" s="1">
        <f t="shared" si="146"/>
        <v>3.7000000000000002E-3</v>
      </c>
    </row>
    <row r="3093" spans="1:24" x14ac:dyDescent="0.25">
      <c r="A3093">
        <v>2003</v>
      </c>
      <c r="B3093">
        <v>10</v>
      </c>
      <c r="C3093" t="s">
        <v>31</v>
      </c>
      <c r="D3093" t="str">
        <f>_xlfn.XLOOKUP(C3093,'Carrier Name Rename'!A:A,'Carrier Name Rename'!B:B)</f>
        <v>American Airlines Inc.</v>
      </c>
      <c r="E3093" t="s">
        <v>23</v>
      </c>
      <c r="F3093" t="s">
        <v>24</v>
      </c>
      <c r="G3093">
        <v>597</v>
      </c>
      <c r="H3093">
        <v>106</v>
      </c>
      <c r="I3093">
        <v>21.69</v>
      </c>
      <c r="J3093">
        <v>1.21</v>
      </c>
      <c r="K3093">
        <v>73.239999999999995</v>
      </c>
      <c r="L3093">
        <v>0</v>
      </c>
      <c r="M3093">
        <v>9.85</v>
      </c>
      <c r="N3093">
        <v>1</v>
      </c>
      <c r="O3093">
        <v>1</v>
      </c>
      <c r="P3093">
        <v>4154</v>
      </c>
      <c r="Q3093">
        <v>1547</v>
      </c>
      <c r="R3093">
        <v>59</v>
      </c>
      <c r="S3093">
        <v>1994</v>
      </c>
      <c r="T3093">
        <v>0</v>
      </c>
      <c r="U3093">
        <v>554</v>
      </c>
      <c r="V3093" s="1">
        <f t="shared" si="144"/>
        <v>0.17760000000000001</v>
      </c>
      <c r="W3093" s="1">
        <f t="shared" si="145"/>
        <v>1.6999999999999999E-3</v>
      </c>
      <c r="X3093" s="1">
        <f t="shared" si="146"/>
        <v>1.6999999999999999E-3</v>
      </c>
    </row>
    <row r="3094" spans="1:24" x14ac:dyDescent="0.25">
      <c r="A3094">
        <v>2003</v>
      </c>
      <c r="B3094">
        <v>10</v>
      </c>
      <c r="C3094" t="s">
        <v>33</v>
      </c>
      <c r="D3094" t="str">
        <f>_xlfn.XLOOKUP(C3094,'Carrier Name Rename'!A:A,'Carrier Name Rename'!B:B)</f>
        <v>Alaska Airlines Inc.</v>
      </c>
      <c r="E3094" t="s">
        <v>23</v>
      </c>
      <c r="F3094" t="s">
        <v>24</v>
      </c>
      <c r="G3094">
        <v>3912</v>
      </c>
      <c r="H3094">
        <v>759</v>
      </c>
      <c r="I3094">
        <v>146.69</v>
      </c>
      <c r="J3094">
        <v>3.51</v>
      </c>
      <c r="K3094">
        <v>338.11</v>
      </c>
      <c r="L3094">
        <v>0.99</v>
      </c>
      <c r="M3094">
        <v>269.70999999999998</v>
      </c>
      <c r="N3094">
        <v>74</v>
      </c>
      <c r="O3094">
        <v>11</v>
      </c>
      <c r="P3094">
        <v>34533</v>
      </c>
      <c r="Q3094">
        <v>8814</v>
      </c>
      <c r="R3094">
        <v>140</v>
      </c>
      <c r="S3094">
        <v>10214</v>
      </c>
      <c r="T3094">
        <v>21</v>
      </c>
      <c r="U3094">
        <v>15344</v>
      </c>
      <c r="V3094" s="1">
        <f t="shared" si="144"/>
        <v>0.19400000000000001</v>
      </c>
      <c r="W3094" s="1">
        <f t="shared" si="145"/>
        <v>1.89E-2</v>
      </c>
      <c r="X3094" s="1">
        <f t="shared" si="146"/>
        <v>2.8E-3</v>
      </c>
    </row>
    <row r="3095" spans="1:24" x14ac:dyDescent="0.25">
      <c r="A3095">
        <v>2003</v>
      </c>
      <c r="B3095">
        <v>10</v>
      </c>
      <c r="C3095" t="s">
        <v>35</v>
      </c>
      <c r="D3095" t="str">
        <f>_xlfn.XLOOKUP(C3095,'Carrier Name Rename'!A:A,'Carrier Name Rename'!B:B)</f>
        <v>JetBlue Airways</v>
      </c>
      <c r="E3095" t="s">
        <v>23</v>
      </c>
      <c r="F3095" t="s">
        <v>24</v>
      </c>
      <c r="G3095">
        <v>31</v>
      </c>
      <c r="H3095">
        <v>9</v>
      </c>
      <c r="I3095">
        <v>2.67</v>
      </c>
      <c r="J3095">
        <v>0</v>
      </c>
      <c r="K3095">
        <v>5.09</v>
      </c>
      <c r="L3095">
        <v>0.24</v>
      </c>
      <c r="M3095">
        <v>1</v>
      </c>
      <c r="N3095">
        <v>0</v>
      </c>
      <c r="O3095">
        <v>0</v>
      </c>
      <c r="P3095">
        <v>419</v>
      </c>
      <c r="Q3095">
        <v>198</v>
      </c>
      <c r="R3095">
        <v>0</v>
      </c>
      <c r="S3095">
        <v>138</v>
      </c>
      <c r="T3095">
        <v>10</v>
      </c>
      <c r="U3095">
        <v>73</v>
      </c>
      <c r="V3095" s="1">
        <f t="shared" si="144"/>
        <v>0.2903</v>
      </c>
      <c r="W3095" s="1">
        <f t="shared" si="145"/>
        <v>0</v>
      </c>
      <c r="X3095" s="1">
        <f t="shared" si="146"/>
        <v>0</v>
      </c>
    </row>
    <row r="3096" spans="1:24" x14ac:dyDescent="0.25">
      <c r="A3096">
        <v>2003</v>
      </c>
      <c r="B3096">
        <v>10</v>
      </c>
      <c r="C3096" t="s">
        <v>65</v>
      </c>
      <c r="D3096" t="str">
        <f>_xlfn.XLOOKUP(C3096,'Carrier Name Rename'!A:A,'Carrier Name Rename'!B:B)</f>
        <v>Continental Air Lines Inc.</v>
      </c>
      <c r="E3096" t="s">
        <v>23</v>
      </c>
      <c r="F3096" t="s">
        <v>24</v>
      </c>
      <c r="G3096">
        <v>359</v>
      </c>
      <c r="H3096">
        <v>59</v>
      </c>
      <c r="I3096">
        <v>7.78</v>
      </c>
      <c r="J3096">
        <v>0.13</v>
      </c>
      <c r="K3096">
        <v>46.36</v>
      </c>
      <c r="L3096">
        <v>0.5</v>
      </c>
      <c r="M3096">
        <v>4.24</v>
      </c>
      <c r="N3096">
        <v>1</v>
      </c>
      <c r="O3096">
        <v>0</v>
      </c>
      <c r="P3096">
        <v>1702</v>
      </c>
      <c r="Q3096">
        <v>288</v>
      </c>
      <c r="R3096">
        <v>6</v>
      </c>
      <c r="S3096">
        <v>1217</v>
      </c>
      <c r="T3096">
        <v>9</v>
      </c>
      <c r="U3096">
        <v>182</v>
      </c>
      <c r="V3096" s="1">
        <f t="shared" si="144"/>
        <v>0.1643</v>
      </c>
      <c r="W3096" s="1">
        <f t="shared" si="145"/>
        <v>2.8E-3</v>
      </c>
      <c r="X3096" s="1">
        <f t="shared" si="146"/>
        <v>0</v>
      </c>
    </row>
    <row r="3097" spans="1:24" x14ac:dyDescent="0.25">
      <c r="A3097">
        <v>2003</v>
      </c>
      <c r="B3097">
        <v>10</v>
      </c>
      <c r="C3097" t="s">
        <v>37</v>
      </c>
      <c r="D3097" t="str">
        <f>_xlfn.XLOOKUP(C3097,'Carrier Name Rename'!A:A,'Carrier Name Rename'!B:B)</f>
        <v>Delta Air Lines Inc.</v>
      </c>
      <c r="E3097" t="s">
        <v>23</v>
      </c>
      <c r="F3097" t="s">
        <v>24</v>
      </c>
      <c r="G3097">
        <v>490</v>
      </c>
      <c r="H3097">
        <v>106</v>
      </c>
      <c r="I3097">
        <v>24.91</v>
      </c>
      <c r="J3097">
        <v>0.04</v>
      </c>
      <c r="K3097">
        <v>73.11</v>
      </c>
      <c r="L3097">
        <v>0</v>
      </c>
      <c r="M3097">
        <v>7.94</v>
      </c>
      <c r="N3097">
        <v>5</v>
      </c>
      <c r="O3097">
        <v>1</v>
      </c>
      <c r="P3097">
        <v>3788</v>
      </c>
      <c r="Q3097">
        <v>1160</v>
      </c>
      <c r="R3097">
        <v>5</v>
      </c>
      <c r="S3097">
        <v>2220</v>
      </c>
      <c r="T3097">
        <v>0</v>
      </c>
      <c r="U3097">
        <v>403</v>
      </c>
      <c r="V3097" s="1">
        <f t="shared" si="144"/>
        <v>0.21629999999999999</v>
      </c>
      <c r="W3097" s="1">
        <f t="shared" si="145"/>
        <v>1.0200000000000001E-2</v>
      </c>
      <c r="X3097" s="1">
        <f t="shared" si="146"/>
        <v>2E-3</v>
      </c>
    </row>
    <row r="3098" spans="1:24" x14ac:dyDescent="0.25">
      <c r="A3098">
        <v>2003</v>
      </c>
      <c r="B3098">
        <v>10</v>
      </c>
      <c r="C3098" t="s">
        <v>73</v>
      </c>
      <c r="D3098" t="str">
        <f>_xlfn.XLOOKUP(C3098,'Carrier Name Rename'!A:A,'Carrier Name Rename'!B:B)</f>
        <v>America West Airlines Inc.</v>
      </c>
      <c r="E3098" t="s">
        <v>23</v>
      </c>
      <c r="F3098" t="s">
        <v>24</v>
      </c>
      <c r="G3098">
        <v>279</v>
      </c>
      <c r="H3098">
        <v>44</v>
      </c>
      <c r="I3098">
        <v>18.079999999999998</v>
      </c>
      <c r="J3098">
        <v>0</v>
      </c>
      <c r="K3098">
        <v>21.3</v>
      </c>
      <c r="L3098">
        <v>0.4</v>
      </c>
      <c r="M3098">
        <v>4.22</v>
      </c>
      <c r="N3098">
        <v>2</v>
      </c>
      <c r="O3098">
        <v>0</v>
      </c>
      <c r="P3098">
        <v>1628</v>
      </c>
      <c r="Q3098">
        <v>863</v>
      </c>
      <c r="R3098">
        <v>0</v>
      </c>
      <c r="S3098">
        <v>590</v>
      </c>
      <c r="T3098">
        <v>6</v>
      </c>
      <c r="U3098">
        <v>169</v>
      </c>
      <c r="V3098" s="1">
        <f t="shared" si="144"/>
        <v>0.15770000000000001</v>
      </c>
      <c r="W3098" s="1">
        <f t="shared" si="145"/>
        <v>7.1999999999999998E-3</v>
      </c>
      <c r="X3098" s="1">
        <f t="shared" si="146"/>
        <v>0</v>
      </c>
    </row>
    <row r="3099" spans="1:24" x14ac:dyDescent="0.25">
      <c r="A3099">
        <v>2003</v>
      </c>
      <c r="B3099">
        <v>10</v>
      </c>
      <c r="C3099" t="s">
        <v>67</v>
      </c>
      <c r="D3099" t="str">
        <f>_xlfn.XLOOKUP(C3099,'Carrier Name Rename'!A:A,'Carrier Name Rename'!B:B)</f>
        <v>Northwest Airlines Inc.</v>
      </c>
      <c r="E3099" t="s">
        <v>23</v>
      </c>
      <c r="F3099" t="s">
        <v>24</v>
      </c>
      <c r="G3099">
        <v>335</v>
      </c>
      <c r="H3099">
        <v>90</v>
      </c>
      <c r="I3099">
        <v>27.99</v>
      </c>
      <c r="J3099">
        <v>0.77</v>
      </c>
      <c r="K3099">
        <v>60.01</v>
      </c>
      <c r="L3099">
        <v>0.21</v>
      </c>
      <c r="M3099">
        <v>1.02</v>
      </c>
      <c r="N3099">
        <v>0</v>
      </c>
      <c r="O3099">
        <v>0</v>
      </c>
      <c r="P3099">
        <v>3151</v>
      </c>
      <c r="Q3099">
        <v>1486</v>
      </c>
      <c r="R3099">
        <v>35</v>
      </c>
      <c r="S3099">
        <v>1576</v>
      </c>
      <c r="T3099">
        <v>15</v>
      </c>
      <c r="U3099">
        <v>39</v>
      </c>
      <c r="V3099" s="1">
        <f t="shared" si="144"/>
        <v>0.26869999999999999</v>
      </c>
      <c r="W3099" s="1">
        <f t="shared" si="145"/>
        <v>0</v>
      </c>
      <c r="X3099" s="1">
        <f t="shared" si="146"/>
        <v>0</v>
      </c>
    </row>
    <row r="3100" spans="1:24" x14ac:dyDescent="0.25">
      <c r="A3100">
        <v>2003</v>
      </c>
      <c r="B3100">
        <v>10</v>
      </c>
      <c r="C3100" t="s">
        <v>27</v>
      </c>
      <c r="D3100" t="str">
        <f>_xlfn.XLOOKUP(C3100,'Carrier Name Rename'!A:A,'Carrier Name Rename'!B:B)</f>
        <v>SkyWest Airlines Inc.</v>
      </c>
      <c r="E3100" t="s">
        <v>23</v>
      </c>
      <c r="F3100" t="s">
        <v>24</v>
      </c>
      <c r="G3100">
        <v>377</v>
      </c>
      <c r="H3100">
        <v>73</v>
      </c>
      <c r="I3100">
        <v>32</v>
      </c>
      <c r="J3100">
        <v>8</v>
      </c>
      <c r="K3100">
        <v>24</v>
      </c>
      <c r="L3100">
        <v>0</v>
      </c>
      <c r="M3100">
        <v>9</v>
      </c>
      <c r="N3100">
        <v>21</v>
      </c>
      <c r="O3100">
        <v>0</v>
      </c>
      <c r="P3100">
        <v>3995</v>
      </c>
      <c r="Q3100">
        <v>1482</v>
      </c>
      <c r="R3100">
        <v>810</v>
      </c>
      <c r="S3100">
        <v>1305</v>
      </c>
      <c r="T3100">
        <v>0</v>
      </c>
      <c r="U3100">
        <v>398</v>
      </c>
      <c r="V3100" s="1">
        <f t="shared" si="144"/>
        <v>0.19359999999999999</v>
      </c>
      <c r="W3100" s="1">
        <f t="shared" si="145"/>
        <v>5.57E-2</v>
      </c>
      <c r="X3100" s="1">
        <f t="shared" si="146"/>
        <v>0</v>
      </c>
    </row>
    <row r="3101" spans="1:24" x14ac:dyDescent="0.25">
      <c r="A3101">
        <v>2003</v>
      </c>
      <c r="B3101">
        <v>10</v>
      </c>
      <c r="C3101" t="s">
        <v>79</v>
      </c>
      <c r="D3101" t="str">
        <f>_xlfn.XLOOKUP(C3101,'Carrier Name Rename'!A:A,'Carrier Name Rename'!B:B)</f>
        <v>ATA Airlines d/b/a ATA</v>
      </c>
      <c r="E3101" t="s">
        <v>23</v>
      </c>
      <c r="F3101" t="s">
        <v>24</v>
      </c>
      <c r="G3101">
        <v>89</v>
      </c>
      <c r="H3101">
        <v>21</v>
      </c>
      <c r="I3101">
        <v>4.2300000000000004</v>
      </c>
      <c r="J3101">
        <v>0</v>
      </c>
      <c r="K3101">
        <v>16.77</v>
      </c>
      <c r="L3101">
        <v>0</v>
      </c>
      <c r="M3101">
        <v>0</v>
      </c>
      <c r="N3101">
        <v>0</v>
      </c>
      <c r="O3101">
        <v>0</v>
      </c>
      <c r="P3101">
        <v>734</v>
      </c>
      <c r="Q3101">
        <v>174</v>
      </c>
      <c r="R3101">
        <v>0</v>
      </c>
      <c r="S3101">
        <v>560</v>
      </c>
      <c r="T3101">
        <v>0</v>
      </c>
      <c r="U3101">
        <v>0</v>
      </c>
      <c r="V3101" s="1">
        <f t="shared" si="144"/>
        <v>0.23599999999999999</v>
      </c>
      <c r="W3101" s="1">
        <f t="shared" si="145"/>
        <v>0</v>
      </c>
      <c r="X3101" s="1">
        <f t="shared" si="146"/>
        <v>0</v>
      </c>
    </row>
    <row r="3102" spans="1:24" x14ac:dyDescent="0.25">
      <c r="A3102">
        <v>2003</v>
      </c>
      <c r="B3102">
        <v>10</v>
      </c>
      <c r="C3102" t="s">
        <v>41</v>
      </c>
      <c r="D3102" t="str">
        <f>_xlfn.XLOOKUP(C3102,'Carrier Name Rename'!A:A,'Carrier Name Rename'!B:B)</f>
        <v>United Air Lines Inc.</v>
      </c>
      <c r="E3102" t="s">
        <v>23</v>
      </c>
      <c r="F3102" t="s">
        <v>24</v>
      </c>
      <c r="G3102">
        <v>1131</v>
      </c>
      <c r="H3102">
        <v>251</v>
      </c>
      <c r="I3102">
        <v>41.05</v>
      </c>
      <c r="J3102">
        <v>1.4</v>
      </c>
      <c r="K3102">
        <v>162.75</v>
      </c>
      <c r="L3102">
        <v>0</v>
      </c>
      <c r="M3102">
        <v>45.81</v>
      </c>
      <c r="N3102">
        <v>3</v>
      </c>
      <c r="O3102">
        <v>0</v>
      </c>
      <c r="P3102">
        <v>9867</v>
      </c>
      <c r="Q3102">
        <v>1969</v>
      </c>
      <c r="R3102">
        <v>83</v>
      </c>
      <c r="S3102">
        <v>4882</v>
      </c>
      <c r="T3102">
        <v>0</v>
      </c>
      <c r="U3102">
        <v>2933</v>
      </c>
      <c r="V3102" s="1">
        <f t="shared" si="144"/>
        <v>0.22189999999999999</v>
      </c>
      <c r="W3102" s="1">
        <f t="shared" si="145"/>
        <v>2.7000000000000001E-3</v>
      </c>
      <c r="X3102" s="1">
        <f t="shared" si="146"/>
        <v>0</v>
      </c>
    </row>
    <row r="3103" spans="1:24" x14ac:dyDescent="0.25">
      <c r="A3103">
        <v>2003</v>
      </c>
      <c r="B3103">
        <v>10</v>
      </c>
      <c r="C3103" t="s">
        <v>61</v>
      </c>
      <c r="D3103" t="str">
        <f>_xlfn.XLOOKUP(C3103,'Carrier Name Rename'!A:A,'Carrier Name Rename'!B:B)</f>
        <v>US Airways Inc.</v>
      </c>
      <c r="E3103" t="s">
        <v>23</v>
      </c>
      <c r="F3103" t="s">
        <v>24</v>
      </c>
      <c r="G3103">
        <v>164</v>
      </c>
      <c r="H3103">
        <v>41</v>
      </c>
      <c r="I3103">
        <v>7.14</v>
      </c>
      <c r="J3103">
        <v>0</v>
      </c>
      <c r="K3103">
        <v>24.57</v>
      </c>
      <c r="L3103">
        <v>0</v>
      </c>
      <c r="M3103">
        <v>9.2899999999999991</v>
      </c>
      <c r="N3103">
        <v>0</v>
      </c>
      <c r="O3103">
        <v>0</v>
      </c>
      <c r="P3103">
        <v>1221</v>
      </c>
      <c r="Q3103">
        <v>209</v>
      </c>
      <c r="R3103">
        <v>0</v>
      </c>
      <c r="S3103">
        <v>681</v>
      </c>
      <c r="T3103">
        <v>0</v>
      </c>
      <c r="U3103">
        <v>331</v>
      </c>
      <c r="V3103" s="1">
        <f t="shared" si="144"/>
        <v>0.25</v>
      </c>
      <c r="W3103" s="1">
        <f t="shared" si="145"/>
        <v>0</v>
      </c>
      <c r="X3103" s="1">
        <f t="shared" si="146"/>
        <v>0</v>
      </c>
    </row>
    <row r="3104" spans="1:24" x14ac:dyDescent="0.25">
      <c r="A3104">
        <v>2003</v>
      </c>
      <c r="B3104">
        <v>10</v>
      </c>
      <c r="C3104" t="s">
        <v>43</v>
      </c>
      <c r="D3104" t="str">
        <f>_xlfn.XLOOKUP(C3104,'Carrier Name Rename'!A:A,'Carrier Name Rename'!B:B)</f>
        <v>Southwest Airlines Co.</v>
      </c>
      <c r="E3104" t="s">
        <v>23</v>
      </c>
      <c r="F3104" t="s">
        <v>24</v>
      </c>
      <c r="G3104">
        <v>1157</v>
      </c>
      <c r="H3104">
        <v>148</v>
      </c>
      <c r="I3104">
        <v>28.21</v>
      </c>
      <c r="J3104">
        <v>3.92</v>
      </c>
      <c r="K3104">
        <v>52.75</v>
      </c>
      <c r="L3104">
        <v>0.4</v>
      </c>
      <c r="M3104">
        <v>62.71</v>
      </c>
      <c r="N3104">
        <v>6</v>
      </c>
      <c r="O3104">
        <v>1</v>
      </c>
      <c r="P3104">
        <v>8231</v>
      </c>
      <c r="Q3104">
        <v>1810</v>
      </c>
      <c r="R3104">
        <v>143</v>
      </c>
      <c r="S3104">
        <v>1970</v>
      </c>
      <c r="T3104">
        <v>19</v>
      </c>
      <c r="U3104">
        <v>4289</v>
      </c>
      <c r="V3104" s="1">
        <f t="shared" si="144"/>
        <v>0.12790000000000001</v>
      </c>
      <c r="W3104" s="1">
        <f t="shared" si="145"/>
        <v>5.1999999999999998E-3</v>
      </c>
      <c r="X3104" s="1">
        <f t="shared" si="146"/>
        <v>8.9999999999999998E-4</v>
      </c>
    </row>
    <row r="3105" spans="1:24" x14ac:dyDescent="0.25">
      <c r="A3105">
        <v>2003</v>
      </c>
      <c r="B3105">
        <v>9</v>
      </c>
      <c r="C3105" t="s">
        <v>31</v>
      </c>
      <c r="D3105" t="str">
        <f>_xlfn.XLOOKUP(C3105,'Carrier Name Rename'!A:A,'Carrier Name Rename'!B:B)</f>
        <v>American Airlines Inc.</v>
      </c>
      <c r="E3105" t="s">
        <v>23</v>
      </c>
      <c r="F3105" t="s">
        <v>24</v>
      </c>
      <c r="G3105">
        <v>580</v>
      </c>
      <c r="H3105">
        <v>67</v>
      </c>
      <c r="I3105">
        <v>18.37</v>
      </c>
      <c r="J3105">
        <v>6.5</v>
      </c>
      <c r="K3105">
        <v>33.380000000000003</v>
      </c>
      <c r="L3105">
        <v>0</v>
      </c>
      <c r="M3105">
        <v>8.75</v>
      </c>
      <c r="N3105">
        <v>3</v>
      </c>
      <c r="O3105">
        <v>1</v>
      </c>
      <c r="P3105">
        <v>3303</v>
      </c>
      <c r="Q3105">
        <v>1117</v>
      </c>
      <c r="R3105">
        <v>324</v>
      </c>
      <c r="S3105">
        <v>1356</v>
      </c>
      <c r="T3105">
        <v>0</v>
      </c>
      <c r="U3105">
        <v>506</v>
      </c>
      <c r="V3105" s="1">
        <f t="shared" si="144"/>
        <v>0.11550000000000001</v>
      </c>
      <c r="W3105" s="1">
        <f t="shared" si="145"/>
        <v>5.1999999999999998E-3</v>
      </c>
      <c r="X3105" s="1">
        <f t="shared" si="146"/>
        <v>1.6999999999999999E-3</v>
      </c>
    </row>
    <row r="3106" spans="1:24" x14ac:dyDescent="0.25">
      <c r="A3106">
        <v>2003</v>
      </c>
      <c r="B3106">
        <v>9</v>
      </c>
      <c r="C3106" t="s">
        <v>33</v>
      </c>
      <c r="D3106" t="str">
        <f>_xlfn.XLOOKUP(C3106,'Carrier Name Rename'!A:A,'Carrier Name Rename'!B:B)</f>
        <v>Alaska Airlines Inc.</v>
      </c>
      <c r="E3106" t="s">
        <v>23</v>
      </c>
      <c r="F3106" t="s">
        <v>24</v>
      </c>
      <c r="G3106">
        <v>3928</v>
      </c>
      <c r="H3106">
        <v>421</v>
      </c>
      <c r="I3106">
        <v>118.19</v>
      </c>
      <c r="J3106">
        <v>5.21</v>
      </c>
      <c r="K3106">
        <v>123.69</v>
      </c>
      <c r="L3106">
        <v>2</v>
      </c>
      <c r="M3106">
        <v>171.92</v>
      </c>
      <c r="N3106">
        <v>67</v>
      </c>
      <c r="O3106">
        <v>7</v>
      </c>
      <c r="P3106">
        <v>20202</v>
      </c>
      <c r="Q3106">
        <v>7047</v>
      </c>
      <c r="R3106">
        <v>257</v>
      </c>
      <c r="S3106">
        <v>3874</v>
      </c>
      <c r="T3106">
        <v>57</v>
      </c>
      <c r="U3106">
        <v>8967</v>
      </c>
      <c r="V3106" s="1">
        <f t="shared" si="144"/>
        <v>0.1072</v>
      </c>
      <c r="W3106" s="1">
        <f t="shared" si="145"/>
        <v>1.7100000000000001E-2</v>
      </c>
      <c r="X3106" s="1">
        <f t="shared" si="146"/>
        <v>1.8E-3</v>
      </c>
    </row>
    <row r="3107" spans="1:24" x14ac:dyDescent="0.25">
      <c r="A3107">
        <v>2003</v>
      </c>
      <c r="B3107">
        <v>9</v>
      </c>
      <c r="C3107" t="s">
        <v>35</v>
      </c>
      <c r="D3107" t="str">
        <f>_xlfn.XLOOKUP(C3107,'Carrier Name Rename'!A:A,'Carrier Name Rename'!B:B)</f>
        <v>JetBlue Airways</v>
      </c>
      <c r="E3107" t="s">
        <v>23</v>
      </c>
      <c r="F3107" t="s">
        <v>24</v>
      </c>
      <c r="G3107">
        <v>30</v>
      </c>
      <c r="H3107">
        <v>4</v>
      </c>
      <c r="I3107">
        <v>1.1000000000000001</v>
      </c>
      <c r="J3107">
        <v>0</v>
      </c>
      <c r="K3107">
        <v>2.61</v>
      </c>
      <c r="L3107">
        <v>0</v>
      </c>
      <c r="M3107">
        <v>0.28999999999999998</v>
      </c>
      <c r="N3107">
        <v>0</v>
      </c>
      <c r="O3107">
        <v>0</v>
      </c>
      <c r="P3107">
        <v>97</v>
      </c>
      <c r="Q3107">
        <v>25</v>
      </c>
      <c r="R3107">
        <v>0</v>
      </c>
      <c r="S3107">
        <v>65</v>
      </c>
      <c r="T3107">
        <v>0</v>
      </c>
      <c r="U3107">
        <v>7</v>
      </c>
      <c r="V3107" s="1">
        <f t="shared" si="144"/>
        <v>0.1333</v>
      </c>
      <c r="W3107" s="1">
        <f t="shared" si="145"/>
        <v>0</v>
      </c>
      <c r="X3107" s="1">
        <f t="shared" si="146"/>
        <v>0</v>
      </c>
    </row>
    <row r="3108" spans="1:24" x14ac:dyDescent="0.25">
      <c r="A3108">
        <v>2003</v>
      </c>
      <c r="B3108">
        <v>9</v>
      </c>
      <c r="C3108" t="s">
        <v>65</v>
      </c>
      <c r="D3108" t="str">
        <f>_xlfn.XLOOKUP(C3108,'Carrier Name Rename'!A:A,'Carrier Name Rename'!B:B)</f>
        <v>Continental Air Lines Inc.</v>
      </c>
      <c r="E3108" t="s">
        <v>23</v>
      </c>
      <c r="F3108" t="s">
        <v>24</v>
      </c>
      <c r="G3108">
        <v>350</v>
      </c>
      <c r="H3108">
        <v>65</v>
      </c>
      <c r="I3108">
        <v>10.65</v>
      </c>
      <c r="J3108">
        <v>0</v>
      </c>
      <c r="K3108">
        <v>40.659999999999997</v>
      </c>
      <c r="L3108">
        <v>0</v>
      </c>
      <c r="M3108">
        <v>13.68</v>
      </c>
      <c r="N3108">
        <v>2</v>
      </c>
      <c r="O3108">
        <v>1</v>
      </c>
      <c r="P3108">
        <v>3080</v>
      </c>
      <c r="Q3108">
        <v>486</v>
      </c>
      <c r="R3108">
        <v>0</v>
      </c>
      <c r="S3108">
        <v>1731</v>
      </c>
      <c r="T3108">
        <v>0</v>
      </c>
      <c r="U3108">
        <v>863</v>
      </c>
      <c r="V3108" s="1">
        <f t="shared" si="144"/>
        <v>0.1857</v>
      </c>
      <c r="W3108" s="1">
        <f t="shared" si="145"/>
        <v>5.7000000000000002E-3</v>
      </c>
      <c r="X3108" s="1">
        <f t="shared" si="146"/>
        <v>2.8999999999999998E-3</v>
      </c>
    </row>
    <row r="3109" spans="1:24" x14ac:dyDescent="0.25">
      <c r="A3109">
        <v>2003</v>
      </c>
      <c r="B3109">
        <v>9</v>
      </c>
      <c r="C3109" t="s">
        <v>37</v>
      </c>
      <c r="D3109" t="str">
        <f>_xlfn.XLOOKUP(C3109,'Carrier Name Rename'!A:A,'Carrier Name Rename'!B:B)</f>
        <v>Delta Air Lines Inc.</v>
      </c>
      <c r="E3109" t="s">
        <v>23</v>
      </c>
      <c r="F3109" t="s">
        <v>24</v>
      </c>
      <c r="G3109">
        <v>478</v>
      </c>
      <c r="H3109">
        <v>70</v>
      </c>
      <c r="I3109">
        <v>18.95</v>
      </c>
      <c r="J3109">
        <v>1.1100000000000001</v>
      </c>
      <c r="K3109">
        <v>40.28</v>
      </c>
      <c r="L3109">
        <v>0</v>
      </c>
      <c r="M3109">
        <v>9.65</v>
      </c>
      <c r="N3109">
        <v>1</v>
      </c>
      <c r="O3109">
        <v>1</v>
      </c>
      <c r="P3109">
        <v>2761</v>
      </c>
      <c r="Q3109">
        <v>1157</v>
      </c>
      <c r="R3109">
        <v>56</v>
      </c>
      <c r="S3109">
        <v>1136</v>
      </c>
      <c r="T3109">
        <v>0</v>
      </c>
      <c r="U3109">
        <v>412</v>
      </c>
      <c r="V3109" s="1">
        <f t="shared" si="144"/>
        <v>0.1464</v>
      </c>
      <c r="W3109" s="1">
        <f t="shared" si="145"/>
        <v>2.0999999999999999E-3</v>
      </c>
      <c r="X3109" s="1">
        <f t="shared" si="146"/>
        <v>2.0999999999999999E-3</v>
      </c>
    </row>
    <row r="3110" spans="1:24" x14ac:dyDescent="0.25">
      <c r="A3110">
        <v>2003</v>
      </c>
      <c r="B3110">
        <v>9</v>
      </c>
      <c r="C3110" t="s">
        <v>73</v>
      </c>
      <c r="D3110" t="str">
        <f>_xlfn.XLOOKUP(C3110,'Carrier Name Rename'!A:A,'Carrier Name Rename'!B:B)</f>
        <v>America West Airlines Inc.</v>
      </c>
      <c r="E3110" t="s">
        <v>23</v>
      </c>
      <c r="F3110" t="s">
        <v>24</v>
      </c>
      <c r="G3110">
        <v>270</v>
      </c>
      <c r="H3110">
        <v>39</v>
      </c>
      <c r="I3110">
        <v>16.079999999999998</v>
      </c>
      <c r="J3110">
        <v>0.83</v>
      </c>
      <c r="K3110">
        <v>16.66</v>
      </c>
      <c r="L3110">
        <v>0</v>
      </c>
      <c r="M3110">
        <v>5.43</v>
      </c>
      <c r="N3110">
        <v>1</v>
      </c>
      <c r="O3110">
        <v>0</v>
      </c>
      <c r="P3110">
        <v>1467</v>
      </c>
      <c r="Q3110">
        <v>577</v>
      </c>
      <c r="R3110">
        <v>66</v>
      </c>
      <c r="S3110">
        <v>490</v>
      </c>
      <c r="T3110">
        <v>0</v>
      </c>
      <c r="U3110">
        <v>334</v>
      </c>
      <c r="V3110" s="1">
        <f t="shared" si="144"/>
        <v>0.1444</v>
      </c>
      <c r="W3110" s="1">
        <f t="shared" si="145"/>
        <v>3.7000000000000002E-3</v>
      </c>
      <c r="X3110" s="1">
        <f t="shared" si="146"/>
        <v>0</v>
      </c>
    </row>
    <row r="3111" spans="1:24" x14ac:dyDescent="0.25">
      <c r="A3111">
        <v>2003</v>
      </c>
      <c r="B3111">
        <v>9</v>
      </c>
      <c r="C3111" t="s">
        <v>67</v>
      </c>
      <c r="D3111" t="str">
        <f>_xlfn.XLOOKUP(C3111,'Carrier Name Rename'!A:A,'Carrier Name Rename'!B:B)</f>
        <v>Northwest Airlines Inc.</v>
      </c>
      <c r="E3111" t="s">
        <v>23</v>
      </c>
      <c r="F3111" t="s">
        <v>24</v>
      </c>
      <c r="G3111">
        <v>334</v>
      </c>
      <c r="H3111">
        <v>41</v>
      </c>
      <c r="I3111">
        <v>20.25</v>
      </c>
      <c r="J3111">
        <v>1.22</v>
      </c>
      <c r="K3111">
        <v>17.95</v>
      </c>
      <c r="L3111">
        <v>0</v>
      </c>
      <c r="M3111">
        <v>1.58</v>
      </c>
      <c r="N3111">
        <v>1</v>
      </c>
      <c r="O3111">
        <v>0</v>
      </c>
      <c r="P3111">
        <v>1913</v>
      </c>
      <c r="Q3111">
        <v>1276</v>
      </c>
      <c r="R3111">
        <v>24</v>
      </c>
      <c r="S3111">
        <v>568</v>
      </c>
      <c r="T3111">
        <v>0</v>
      </c>
      <c r="U3111">
        <v>45</v>
      </c>
      <c r="V3111" s="1">
        <f t="shared" si="144"/>
        <v>0.12280000000000001</v>
      </c>
      <c r="W3111" s="1">
        <f t="shared" si="145"/>
        <v>3.0000000000000001E-3</v>
      </c>
      <c r="X3111" s="1">
        <f t="shared" si="146"/>
        <v>0</v>
      </c>
    </row>
    <row r="3112" spans="1:24" x14ac:dyDescent="0.25">
      <c r="A3112">
        <v>2003</v>
      </c>
      <c r="B3112">
        <v>9</v>
      </c>
      <c r="C3112" t="s">
        <v>27</v>
      </c>
      <c r="D3112" t="str">
        <f>_xlfn.XLOOKUP(C3112,'Carrier Name Rename'!A:A,'Carrier Name Rename'!B:B)</f>
        <v>SkyWest Airlines Inc.</v>
      </c>
      <c r="E3112" t="s">
        <v>23</v>
      </c>
      <c r="F3112" t="s">
        <v>24</v>
      </c>
      <c r="G3112">
        <v>364</v>
      </c>
      <c r="H3112">
        <v>29</v>
      </c>
      <c r="I3112">
        <v>19</v>
      </c>
      <c r="J3112">
        <v>2</v>
      </c>
      <c r="K3112">
        <v>0</v>
      </c>
      <c r="L3112">
        <v>1</v>
      </c>
      <c r="M3112">
        <v>7</v>
      </c>
      <c r="N3112">
        <v>4</v>
      </c>
      <c r="O3112">
        <v>0</v>
      </c>
      <c r="P3112">
        <v>1179</v>
      </c>
      <c r="Q3112">
        <v>794</v>
      </c>
      <c r="R3112">
        <v>136</v>
      </c>
      <c r="S3112">
        <v>0</v>
      </c>
      <c r="T3112">
        <v>21</v>
      </c>
      <c r="U3112">
        <v>228</v>
      </c>
      <c r="V3112" s="1">
        <f t="shared" si="144"/>
        <v>7.9699999999999993E-2</v>
      </c>
      <c r="W3112" s="1">
        <f t="shared" si="145"/>
        <v>1.0999999999999999E-2</v>
      </c>
      <c r="X3112" s="1">
        <f t="shared" si="146"/>
        <v>0</v>
      </c>
    </row>
    <row r="3113" spans="1:24" x14ac:dyDescent="0.25">
      <c r="A3113">
        <v>2003</v>
      </c>
      <c r="B3113">
        <v>9</v>
      </c>
      <c r="C3113" t="s">
        <v>79</v>
      </c>
      <c r="D3113" t="str">
        <f>_xlfn.XLOOKUP(C3113,'Carrier Name Rename'!A:A,'Carrier Name Rename'!B:B)</f>
        <v>ATA Airlines d/b/a ATA</v>
      </c>
      <c r="E3113" t="s">
        <v>23</v>
      </c>
      <c r="F3113" t="s">
        <v>24</v>
      </c>
      <c r="G3113">
        <v>85</v>
      </c>
      <c r="H3113">
        <v>10</v>
      </c>
      <c r="I3113">
        <v>3.32</v>
      </c>
      <c r="J3113">
        <v>0</v>
      </c>
      <c r="K3113">
        <v>3.64</v>
      </c>
      <c r="L3113">
        <v>0</v>
      </c>
      <c r="M3113">
        <v>3.05</v>
      </c>
      <c r="N3113">
        <v>0</v>
      </c>
      <c r="O3113">
        <v>0</v>
      </c>
      <c r="P3113">
        <v>295</v>
      </c>
      <c r="Q3113">
        <v>91</v>
      </c>
      <c r="R3113">
        <v>0</v>
      </c>
      <c r="S3113">
        <v>86</v>
      </c>
      <c r="T3113">
        <v>0</v>
      </c>
      <c r="U3113">
        <v>118</v>
      </c>
      <c r="V3113" s="1">
        <f t="shared" si="144"/>
        <v>0.1176</v>
      </c>
      <c r="W3113" s="1">
        <f t="shared" si="145"/>
        <v>0</v>
      </c>
      <c r="X3113" s="1">
        <f t="shared" si="146"/>
        <v>0</v>
      </c>
    </row>
    <row r="3114" spans="1:24" x14ac:dyDescent="0.25">
      <c r="A3114">
        <v>2003</v>
      </c>
      <c r="B3114">
        <v>9</v>
      </c>
      <c r="C3114" t="s">
        <v>41</v>
      </c>
      <c r="D3114" t="str">
        <f>_xlfn.XLOOKUP(C3114,'Carrier Name Rename'!A:A,'Carrier Name Rename'!B:B)</f>
        <v>United Air Lines Inc.</v>
      </c>
      <c r="E3114" t="s">
        <v>23</v>
      </c>
      <c r="F3114" t="s">
        <v>24</v>
      </c>
      <c r="G3114">
        <v>1086</v>
      </c>
      <c r="H3114">
        <v>114</v>
      </c>
      <c r="I3114">
        <v>38.18</v>
      </c>
      <c r="J3114">
        <v>0.28999999999999998</v>
      </c>
      <c r="K3114">
        <v>39.700000000000003</v>
      </c>
      <c r="L3114">
        <v>0</v>
      </c>
      <c r="M3114">
        <v>35.83</v>
      </c>
      <c r="N3114">
        <v>3</v>
      </c>
      <c r="O3114">
        <v>1</v>
      </c>
      <c r="P3114">
        <v>5016</v>
      </c>
      <c r="Q3114">
        <v>1918</v>
      </c>
      <c r="R3114">
        <v>14</v>
      </c>
      <c r="S3114">
        <v>1066</v>
      </c>
      <c r="T3114">
        <v>0</v>
      </c>
      <c r="U3114">
        <v>2018</v>
      </c>
      <c r="V3114" s="1">
        <f t="shared" si="144"/>
        <v>0.105</v>
      </c>
      <c r="W3114" s="1">
        <f t="shared" si="145"/>
        <v>2.8E-3</v>
      </c>
      <c r="X3114" s="1">
        <f t="shared" si="146"/>
        <v>8.9999999999999998E-4</v>
      </c>
    </row>
    <row r="3115" spans="1:24" x14ac:dyDescent="0.25">
      <c r="A3115">
        <v>2003</v>
      </c>
      <c r="B3115">
        <v>9</v>
      </c>
      <c r="C3115" t="s">
        <v>61</v>
      </c>
      <c r="D3115" t="str">
        <f>_xlfn.XLOOKUP(C3115,'Carrier Name Rename'!A:A,'Carrier Name Rename'!B:B)</f>
        <v>US Airways Inc.</v>
      </c>
      <c r="E3115" t="s">
        <v>23</v>
      </c>
      <c r="F3115" t="s">
        <v>24</v>
      </c>
      <c r="G3115">
        <v>157</v>
      </c>
      <c r="H3115">
        <v>37</v>
      </c>
      <c r="I3115">
        <v>8.4499999999999993</v>
      </c>
      <c r="J3115">
        <v>0</v>
      </c>
      <c r="K3115">
        <v>13.79</v>
      </c>
      <c r="L3115">
        <v>0</v>
      </c>
      <c r="M3115">
        <v>14.76</v>
      </c>
      <c r="N3115">
        <v>0</v>
      </c>
      <c r="O3115">
        <v>0</v>
      </c>
      <c r="P3115">
        <v>1703</v>
      </c>
      <c r="Q3115">
        <v>357</v>
      </c>
      <c r="R3115">
        <v>0</v>
      </c>
      <c r="S3115">
        <v>476</v>
      </c>
      <c r="T3115">
        <v>0</v>
      </c>
      <c r="U3115">
        <v>870</v>
      </c>
      <c r="V3115" s="1">
        <f t="shared" si="144"/>
        <v>0.23569999999999999</v>
      </c>
      <c r="W3115" s="1">
        <f t="shared" si="145"/>
        <v>0</v>
      </c>
      <c r="X3115" s="1">
        <f t="shared" si="146"/>
        <v>0</v>
      </c>
    </row>
    <row r="3116" spans="1:24" x14ac:dyDescent="0.25">
      <c r="A3116">
        <v>2003</v>
      </c>
      <c r="B3116">
        <v>9</v>
      </c>
      <c r="C3116" t="s">
        <v>43</v>
      </c>
      <c r="D3116" t="str">
        <f>_xlfn.XLOOKUP(C3116,'Carrier Name Rename'!A:A,'Carrier Name Rename'!B:B)</f>
        <v>Southwest Airlines Co.</v>
      </c>
      <c r="E3116" t="s">
        <v>23</v>
      </c>
      <c r="F3116" t="s">
        <v>24</v>
      </c>
      <c r="G3116">
        <v>1124</v>
      </c>
      <c r="H3116">
        <v>75</v>
      </c>
      <c r="I3116">
        <v>20.89</v>
      </c>
      <c r="J3116">
        <v>1</v>
      </c>
      <c r="K3116">
        <v>18.12</v>
      </c>
      <c r="L3116">
        <v>0</v>
      </c>
      <c r="M3116">
        <v>34.99</v>
      </c>
      <c r="N3116">
        <v>4</v>
      </c>
      <c r="O3116">
        <v>5</v>
      </c>
      <c r="P3116">
        <v>2463</v>
      </c>
      <c r="Q3116">
        <v>722</v>
      </c>
      <c r="R3116">
        <v>45</v>
      </c>
      <c r="S3116">
        <v>462</v>
      </c>
      <c r="T3116">
        <v>0</v>
      </c>
      <c r="U3116">
        <v>1234</v>
      </c>
      <c r="V3116" s="1">
        <f t="shared" si="144"/>
        <v>6.6699999999999995E-2</v>
      </c>
      <c r="W3116" s="1">
        <f t="shared" si="145"/>
        <v>3.5999999999999999E-3</v>
      </c>
      <c r="X3116" s="1">
        <f t="shared" si="146"/>
        <v>4.4000000000000003E-3</v>
      </c>
    </row>
    <row r="3117" spans="1:24" x14ac:dyDescent="0.25">
      <c r="A3117">
        <v>2003</v>
      </c>
      <c r="B3117">
        <v>8</v>
      </c>
      <c r="C3117" t="s">
        <v>31</v>
      </c>
      <c r="D3117" t="str">
        <f>_xlfn.XLOOKUP(C3117,'Carrier Name Rename'!A:A,'Carrier Name Rename'!B:B)</f>
        <v>American Airlines Inc.</v>
      </c>
      <c r="E3117" t="s">
        <v>23</v>
      </c>
      <c r="F3117" t="s">
        <v>24</v>
      </c>
      <c r="G3117">
        <v>663</v>
      </c>
      <c r="H3117">
        <v>161</v>
      </c>
      <c r="I3117">
        <v>61.97</v>
      </c>
      <c r="J3117">
        <v>22.91</v>
      </c>
      <c r="K3117">
        <v>37.86</v>
      </c>
      <c r="L3117">
        <v>0.26</v>
      </c>
      <c r="M3117">
        <v>38</v>
      </c>
      <c r="N3117">
        <v>5</v>
      </c>
      <c r="O3117">
        <v>1</v>
      </c>
      <c r="P3117">
        <v>10078</v>
      </c>
      <c r="Q3117">
        <v>3415</v>
      </c>
      <c r="R3117">
        <v>2315</v>
      </c>
      <c r="S3117">
        <v>1424</v>
      </c>
      <c r="T3117">
        <v>9</v>
      </c>
      <c r="U3117">
        <v>2915</v>
      </c>
      <c r="V3117" s="1">
        <f t="shared" si="144"/>
        <v>0.24279999999999999</v>
      </c>
      <c r="W3117" s="1">
        <f t="shared" si="145"/>
        <v>7.4999999999999997E-3</v>
      </c>
      <c r="X3117" s="1">
        <f t="shared" si="146"/>
        <v>1.5E-3</v>
      </c>
    </row>
    <row r="3118" spans="1:24" x14ac:dyDescent="0.25">
      <c r="A3118">
        <v>2003</v>
      </c>
      <c r="B3118">
        <v>8</v>
      </c>
      <c r="C3118" t="s">
        <v>33</v>
      </c>
      <c r="D3118" t="str">
        <f>_xlfn.XLOOKUP(C3118,'Carrier Name Rename'!A:A,'Carrier Name Rename'!B:B)</f>
        <v>Alaska Airlines Inc.</v>
      </c>
      <c r="E3118" t="s">
        <v>23</v>
      </c>
      <c r="F3118" t="s">
        <v>24</v>
      </c>
      <c r="G3118">
        <v>4584</v>
      </c>
      <c r="H3118">
        <v>841</v>
      </c>
      <c r="I3118">
        <v>205.75</v>
      </c>
      <c r="J3118">
        <v>13.27</v>
      </c>
      <c r="K3118">
        <v>153.29</v>
      </c>
      <c r="L3118">
        <v>18.5</v>
      </c>
      <c r="M3118">
        <v>450.18</v>
      </c>
      <c r="N3118">
        <v>90</v>
      </c>
      <c r="O3118">
        <v>7</v>
      </c>
      <c r="P3118">
        <v>40282</v>
      </c>
      <c r="Q3118">
        <v>12485</v>
      </c>
      <c r="R3118">
        <v>651</v>
      </c>
      <c r="S3118">
        <v>4639</v>
      </c>
      <c r="T3118">
        <v>436</v>
      </c>
      <c r="U3118">
        <v>22071</v>
      </c>
      <c r="V3118" s="1">
        <f t="shared" si="144"/>
        <v>0.1835</v>
      </c>
      <c r="W3118" s="1">
        <f t="shared" si="145"/>
        <v>1.9599999999999999E-2</v>
      </c>
      <c r="X3118" s="1">
        <f t="shared" si="146"/>
        <v>1.5E-3</v>
      </c>
    </row>
    <row r="3119" spans="1:24" x14ac:dyDescent="0.25">
      <c r="A3119">
        <v>2003</v>
      </c>
      <c r="B3119">
        <v>8</v>
      </c>
      <c r="C3119" t="s">
        <v>35</v>
      </c>
      <c r="D3119" t="str">
        <f>_xlfn.XLOOKUP(C3119,'Carrier Name Rename'!A:A,'Carrier Name Rename'!B:B)</f>
        <v>JetBlue Airways</v>
      </c>
      <c r="E3119" t="s">
        <v>23</v>
      </c>
      <c r="F3119" t="s">
        <v>24</v>
      </c>
      <c r="G3119">
        <v>31</v>
      </c>
      <c r="H3119">
        <v>10</v>
      </c>
      <c r="I3119">
        <v>3.95</v>
      </c>
      <c r="J3119">
        <v>0</v>
      </c>
      <c r="K3119">
        <v>0.83</v>
      </c>
      <c r="L3119">
        <v>0</v>
      </c>
      <c r="M3119">
        <v>5.22</v>
      </c>
      <c r="N3119">
        <v>0</v>
      </c>
      <c r="O3119">
        <v>0</v>
      </c>
      <c r="P3119">
        <v>745</v>
      </c>
      <c r="Q3119">
        <v>366</v>
      </c>
      <c r="R3119">
        <v>0</v>
      </c>
      <c r="S3119">
        <v>23</v>
      </c>
      <c r="T3119">
        <v>0</v>
      </c>
      <c r="U3119">
        <v>356</v>
      </c>
      <c r="V3119" s="1">
        <f t="shared" si="144"/>
        <v>0.3226</v>
      </c>
      <c r="W3119" s="1">
        <f t="shared" si="145"/>
        <v>0</v>
      </c>
      <c r="X3119" s="1">
        <f t="shared" si="146"/>
        <v>0</v>
      </c>
    </row>
    <row r="3120" spans="1:24" x14ac:dyDescent="0.25">
      <c r="A3120">
        <v>2003</v>
      </c>
      <c r="B3120">
        <v>8</v>
      </c>
      <c r="C3120" t="s">
        <v>65</v>
      </c>
      <c r="D3120" t="str">
        <f>_xlfn.XLOOKUP(C3120,'Carrier Name Rename'!A:A,'Carrier Name Rename'!B:B)</f>
        <v>Continental Air Lines Inc.</v>
      </c>
      <c r="E3120" t="s">
        <v>23</v>
      </c>
      <c r="F3120" t="s">
        <v>24</v>
      </c>
      <c r="G3120">
        <v>393</v>
      </c>
      <c r="H3120">
        <v>56</v>
      </c>
      <c r="I3120">
        <v>12.25</v>
      </c>
      <c r="J3120">
        <v>1.74</v>
      </c>
      <c r="K3120">
        <v>31.4</v>
      </c>
      <c r="L3120">
        <v>0</v>
      </c>
      <c r="M3120">
        <v>10.61</v>
      </c>
      <c r="N3120">
        <v>0</v>
      </c>
      <c r="O3120">
        <v>0</v>
      </c>
      <c r="P3120">
        <v>3280</v>
      </c>
      <c r="Q3120">
        <v>841</v>
      </c>
      <c r="R3120">
        <v>46</v>
      </c>
      <c r="S3120">
        <v>1756</v>
      </c>
      <c r="T3120">
        <v>0</v>
      </c>
      <c r="U3120">
        <v>637</v>
      </c>
      <c r="V3120" s="1">
        <f t="shared" si="144"/>
        <v>0.14249999999999999</v>
      </c>
      <c r="W3120" s="1">
        <f t="shared" si="145"/>
        <v>0</v>
      </c>
      <c r="X3120" s="1">
        <f t="shared" si="146"/>
        <v>0</v>
      </c>
    </row>
    <row r="3121" spans="1:24" x14ac:dyDescent="0.25">
      <c r="A3121">
        <v>2003</v>
      </c>
      <c r="B3121">
        <v>8</v>
      </c>
      <c r="C3121" t="s">
        <v>37</v>
      </c>
      <c r="D3121" t="str">
        <f>_xlfn.XLOOKUP(C3121,'Carrier Name Rename'!A:A,'Carrier Name Rename'!B:B)</f>
        <v>Delta Air Lines Inc.</v>
      </c>
      <c r="E3121" t="s">
        <v>23</v>
      </c>
      <c r="F3121" t="s">
        <v>24</v>
      </c>
      <c r="G3121">
        <v>495</v>
      </c>
      <c r="H3121">
        <v>86</v>
      </c>
      <c r="I3121">
        <v>27.62</v>
      </c>
      <c r="J3121">
        <v>1.58</v>
      </c>
      <c r="K3121">
        <v>26.95</v>
      </c>
      <c r="L3121">
        <v>0</v>
      </c>
      <c r="M3121">
        <v>29.85</v>
      </c>
      <c r="N3121">
        <v>1</v>
      </c>
      <c r="O3121">
        <v>0</v>
      </c>
      <c r="P3121">
        <v>5454</v>
      </c>
      <c r="Q3121">
        <v>1364</v>
      </c>
      <c r="R3121">
        <v>61</v>
      </c>
      <c r="S3121">
        <v>1193</v>
      </c>
      <c r="T3121">
        <v>0</v>
      </c>
      <c r="U3121">
        <v>2836</v>
      </c>
      <c r="V3121" s="1">
        <f t="shared" si="144"/>
        <v>0.17369999999999999</v>
      </c>
      <c r="W3121" s="1">
        <f t="shared" si="145"/>
        <v>2E-3</v>
      </c>
      <c r="X3121" s="1">
        <f t="shared" si="146"/>
        <v>0</v>
      </c>
    </row>
    <row r="3122" spans="1:24" x14ac:dyDescent="0.25">
      <c r="A3122">
        <v>2003</v>
      </c>
      <c r="B3122">
        <v>8</v>
      </c>
      <c r="C3122" t="s">
        <v>73</v>
      </c>
      <c r="D3122" t="str">
        <f>_xlfn.XLOOKUP(C3122,'Carrier Name Rename'!A:A,'Carrier Name Rename'!B:B)</f>
        <v>America West Airlines Inc.</v>
      </c>
      <c r="E3122" t="s">
        <v>23</v>
      </c>
      <c r="F3122" t="s">
        <v>24</v>
      </c>
      <c r="G3122">
        <v>279</v>
      </c>
      <c r="H3122">
        <v>60</v>
      </c>
      <c r="I3122">
        <v>27.41</v>
      </c>
      <c r="J3122">
        <v>0</v>
      </c>
      <c r="K3122">
        <v>19.73</v>
      </c>
      <c r="L3122">
        <v>0</v>
      </c>
      <c r="M3122">
        <v>12.86</v>
      </c>
      <c r="N3122">
        <v>2</v>
      </c>
      <c r="O3122">
        <v>0</v>
      </c>
      <c r="P3122">
        <v>2731</v>
      </c>
      <c r="Q3122">
        <v>1496</v>
      </c>
      <c r="R3122">
        <v>0</v>
      </c>
      <c r="S3122">
        <v>551</v>
      </c>
      <c r="T3122">
        <v>0</v>
      </c>
      <c r="U3122">
        <v>684</v>
      </c>
      <c r="V3122" s="1">
        <f t="shared" si="144"/>
        <v>0.21510000000000001</v>
      </c>
      <c r="W3122" s="1">
        <f t="shared" si="145"/>
        <v>7.1999999999999998E-3</v>
      </c>
      <c r="X3122" s="1">
        <f t="shared" si="146"/>
        <v>0</v>
      </c>
    </row>
    <row r="3123" spans="1:24" x14ac:dyDescent="0.25">
      <c r="A3123">
        <v>2003</v>
      </c>
      <c r="B3123">
        <v>8</v>
      </c>
      <c r="C3123" t="s">
        <v>67</v>
      </c>
      <c r="D3123" t="str">
        <f>_xlfn.XLOOKUP(C3123,'Carrier Name Rename'!A:A,'Carrier Name Rename'!B:B)</f>
        <v>Northwest Airlines Inc.</v>
      </c>
      <c r="E3123" t="s">
        <v>23</v>
      </c>
      <c r="F3123" t="s">
        <v>24</v>
      </c>
      <c r="G3123">
        <v>496</v>
      </c>
      <c r="H3123">
        <v>83</v>
      </c>
      <c r="I3123">
        <v>46.43</v>
      </c>
      <c r="J3123">
        <v>2.41</v>
      </c>
      <c r="K3123">
        <v>23.4</v>
      </c>
      <c r="L3123">
        <v>0</v>
      </c>
      <c r="M3123">
        <v>10.76</v>
      </c>
      <c r="N3123">
        <v>3</v>
      </c>
      <c r="O3123">
        <v>0</v>
      </c>
      <c r="P3123">
        <v>4388</v>
      </c>
      <c r="Q3123">
        <v>2572</v>
      </c>
      <c r="R3123">
        <v>253</v>
      </c>
      <c r="S3123">
        <v>894</v>
      </c>
      <c r="T3123">
        <v>0</v>
      </c>
      <c r="U3123">
        <v>669</v>
      </c>
      <c r="V3123" s="1">
        <f t="shared" si="144"/>
        <v>0.1673</v>
      </c>
      <c r="W3123" s="1">
        <f t="shared" si="145"/>
        <v>6.0000000000000001E-3</v>
      </c>
      <c r="X3123" s="1">
        <f t="shared" si="146"/>
        <v>0</v>
      </c>
    </row>
    <row r="3124" spans="1:24" x14ac:dyDescent="0.25">
      <c r="A3124">
        <v>2003</v>
      </c>
      <c r="B3124">
        <v>8</v>
      </c>
      <c r="C3124" t="s">
        <v>27</v>
      </c>
      <c r="D3124" t="str">
        <f>_xlfn.XLOOKUP(C3124,'Carrier Name Rename'!A:A,'Carrier Name Rename'!B:B)</f>
        <v>SkyWest Airlines Inc.</v>
      </c>
      <c r="E3124" t="s">
        <v>23</v>
      </c>
      <c r="F3124" t="s">
        <v>24</v>
      </c>
      <c r="G3124">
        <v>372</v>
      </c>
      <c r="H3124">
        <v>41</v>
      </c>
      <c r="I3124">
        <v>23</v>
      </c>
      <c r="J3124">
        <v>2</v>
      </c>
      <c r="K3124">
        <v>4</v>
      </c>
      <c r="L3124">
        <v>2</v>
      </c>
      <c r="M3124">
        <v>10</v>
      </c>
      <c r="N3124">
        <v>5</v>
      </c>
      <c r="O3124">
        <v>0</v>
      </c>
      <c r="P3124">
        <v>1736</v>
      </c>
      <c r="Q3124">
        <v>806</v>
      </c>
      <c r="R3124">
        <v>36</v>
      </c>
      <c r="S3124">
        <v>104</v>
      </c>
      <c r="T3124">
        <v>203</v>
      </c>
      <c r="U3124">
        <v>587</v>
      </c>
      <c r="V3124" s="1">
        <f t="shared" si="144"/>
        <v>0.11020000000000001</v>
      </c>
      <c r="W3124" s="1">
        <f t="shared" si="145"/>
        <v>1.34E-2</v>
      </c>
      <c r="X3124" s="1">
        <f t="shared" si="146"/>
        <v>0</v>
      </c>
    </row>
    <row r="3125" spans="1:24" x14ac:dyDescent="0.25">
      <c r="A3125">
        <v>2003</v>
      </c>
      <c r="B3125">
        <v>8</v>
      </c>
      <c r="C3125" t="s">
        <v>79</v>
      </c>
      <c r="D3125" t="str">
        <f>_xlfn.XLOOKUP(C3125,'Carrier Name Rename'!A:A,'Carrier Name Rename'!B:B)</f>
        <v>ATA Airlines d/b/a ATA</v>
      </c>
      <c r="E3125" t="s">
        <v>23</v>
      </c>
      <c r="F3125" t="s">
        <v>24</v>
      </c>
      <c r="G3125">
        <v>86</v>
      </c>
      <c r="H3125">
        <v>13</v>
      </c>
      <c r="I3125">
        <v>4.47</v>
      </c>
      <c r="J3125">
        <v>0</v>
      </c>
      <c r="K3125">
        <v>2.2400000000000002</v>
      </c>
      <c r="L3125">
        <v>1</v>
      </c>
      <c r="M3125">
        <v>5.3</v>
      </c>
      <c r="N3125">
        <v>0</v>
      </c>
      <c r="O3125">
        <v>0</v>
      </c>
      <c r="P3125">
        <v>743</v>
      </c>
      <c r="Q3125">
        <v>192</v>
      </c>
      <c r="R3125">
        <v>0</v>
      </c>
      <c r="S3125">
        <v>132</v>
      </c>
      <c r="T3125">
        <v>106</v>
      </c>
      <c r="U3125">
        <v>313</v>
      </c>
      <c r="V3125" s="1">
        <f t="shared" si="144"/>
        <v>0.1512</v>
      </c>
      <c r="W3125" s="1">
        <f t="shared" si="145"/>
        <v>0</v>
      </c>
      <c r="X3125" s="1">
        <f t="shared" si="146"/>
        <v>0</v>
      </c>
    </row>
    <row r="3126" spans="1:24" x14ac:dyDescent="0.25">
      <c r="A3126">
        <v>2003</v>
      </c>
      <c r="B3126">
        <v>8</v>
      </c>
      <c r="C3126" t="s">
        <v>41</v>
      </c>
      <c r="D3126" t="str">
        <f>_xlfn.XLOOKUP(C3126,'Carrier Name Rename'!A:A,'Carrier Name Rename'!B:B)</f>
        <v>United Air Lines Inc.</v>
      </c>
      <c r="E3126" t="s">
        <v>23</v>
      </c>
      <c r="F3126" t="s">
        <v>24</v>
      </c>
      <c r="G3126">
        <v>1195</v>
      </c>
      <c r="H3126">
        <v>148</v>
      </c>
      <c r="I3126">
        <v>40.15</v>
      </c>
      <c r="J3126">
        <v>8.48</v>
      </c>
      <c r="K3126">
        <v>34.880000000000003</v>
      </c>
      <c r="L3126">
        <v>0</v>
      </c>
      <c r="M3126">
        <v>64.489999999999995</v>
      </c>
      <c r="N3126">
        <v>5</v>
      </c>
      <c r="O3126">
        <v>0</v>
      </c>
      <c r="P3126">
        <v>9807</v>
      </c>
      <c r="Q3126">
        <v>2410</v>
      </c>
      <c r="R3126">
        <v>696</v>
      </c>
      <c r="S3126">
        <v>1406</v>
      </c>
      <c r="T3126">
        <v>0</v>
      </c>
      <c r="U3126">
        <v>5295</v>
      </c>
      <c r="V3126" s="1">
        <f t="shared" si="144"/>
        <v>0.12379999999999999</v>
      </c>
      <c r="W3126" s="1">
        <f t="shared" si="145"/>
        <v>4.1999999999999997E-3</v>
      </c>
      <c r="X3126" s="1">
        <f t="shared" si="146"/>
        <v>0</v>
      </c>
    </row>
    <row r="3127" spans="1:24" x14ac:dyDescent="0.25">
      <c r="A3127">
        <v>2003</v>
      </c>
      <c r="B3127">
        <v>8</v>
      </c>
      <c r="C3127" t="s">
        <v>61</v>
      </c>
      <c r="D3127" t="str">
        <f>_xlfn.XLOOKUP(C3127,'Carrier Name Rename'!A:A,'Carrier Name Rename'!B:B)</f>
        <v>US Airways Inc.</v>
      </c>
      <c r="E3127" t="s">
        <v>23</v>
      </c>
      <c r="F3127" t="s">
        <v>24</v>
      </c>
      <c r="G3127">
        <v>242</v>
      </c>
      <c r="H3127">
        <v>78</v>
      </c>
      <c r="I3127">
        <v>15.44</v>
      </c>
      <c r="J3127">
        <v>4.38</v>
      </c>
      <c r="K3127">
        <v>21.73</v>
      </c>
      <c r="L3127">
        <v>0</v>
      </c>
      <c r="M3127">
        <v>36.44</v>
      </c>
      <c r="N3127">
        <v>0</v>
      </c>
      <c r="O3127">
        <v>1</v>
      </c>
      <c r="P3127">
        <v>4870</v>
      </c>
      <c r="Q3127">
        <v>658</v>
      </c>
      <c r="R3127">
        <v>252</v>
      </c>
      <c r="S3127">
        <v>1365</v>
      </c>
      <c r="T3127">
        <v>0</v>
      </c>
      <c r="U3127">
        <v>2595</v>
      </c>
      <c r="V3127" s="1">
        <f t="shared" si="144"/>
        <v>0.32229999999999998</v>
      </c>
      <c r="W3127" s="1">
        <f t="shared" si="145"/>
        <v>0</v>
      </c>
      <c r="X3127" s="1">
        <f t="shared" si="146"/>
        <v>4.1000000000000003E-3</v>
      </c>
    </row>
    <row r="3128" spans="1:24" x14ac:dyDescent="0.25">
      <c r="A3128">
        <v>2003</v>
      </c>
      <c r="B3128">
        <v>8</v>
      </c>
      <c r="C3128" t="s">
        <v>43</v>
      </c>
      <c r="D3128" t="str">
        <f>_xlfn.XLOOKUP(C3128,'Carrier Name Rename'!A:A,'Carrier Name Rename'!B:B)</f>
        <v>Southwest Airlines Co.</v>
      </c>
      <c r="E3128" t="s">
        <v>23</v>
      </c>
      <c r="F3128" t="s">
        <v>24</v>
      </c>
      <c r="G3128">
        <v>1179</v>
      </c>
      <c r="H3128">
        <v>84</v>
      </c>
      <c r="I3128">
        <v>15.48</v>
      </c>
      <c r="J3128">
        <v>1</v>
      </c>
      <c r="K3128">
        <v>8.0500000000000007</v>
      </c>
      <c r="L3128">
        <v>2.0499999999999998</v>
      </c>
      <c r="M3128">
        <v>57.42</v>
      </c>
      <c r="N3128">
        <v>2</v>
      </c>
      <c r="O3128">
        <v>3</v>
      </c>
      <c r="P3128">
        <v>3798</v>
      </c>
      <c r="Q3128">
        <v>500</v>
      </c>
      <c r="R3128">
        <v>30</v>
      </c>
      <c r="S3128">
        <v>175</v>
      </c>
      <c r="T3128">
        <v>85</v>
      </c>
      <c r="U3128">
        <v>3008</v>
      </c>
      <c r="V3128" s="1">
        <f t="shared" si="144"/>
        <v>7.1199999999999999E-2</v>
      </c>
      <c r="W3128" s="1">
        <f t="shared" si="145"/>
        <v>1.6999999999999999E-3</v>
      </c>
      <c r="X3128" s="1">
        <f t="shared" si="146"/>
        <v>2.5000000000000001E-3</v>
      </c>
    </row>
    <row r="3129" spans="1:24" x14ac:dyDescent="0.25">
      <c r="A3129">
        <v>2003</v>
      </c>
      <c r="B3129">
        <v>7</v>
      </c>
      <c r="C3129" t="s">
        <v>31</v>
      </c>
      <c r="D3129" t="str">
        <f>_xlfn.XLOOKUP(C3129,'Carrier Name Rename'!A:A,'Carrier Name Rename'!B:B)</f>
        <v>American Airlines Inc.</v>
      </c>
      <c r="E3129" t="s">
        <v>23</v>
      </c>
      <c r="F3129" t="s">
        <v>24</v>
      </c>
      <c r="G3129">
        <v>661</v>
      </c>
      <c r="H3129">
        <v>185</v>
      </c>
      <c r="I3129">
        <v>64.39</v>
      </c>
      <c r="J3129">
        <v>17.059999999999999</v>
      </c>
      <c r="K3129">
        <v>64.47</v>
      </c>
      <c r="L3129">
        <v>0.36</v>
      </c>
      <c r="M3129">
        <v>38.71</v>
      </c>
      <c r="N3129">
        <v>1</v>
      </c>
      <c r="O3129">
        <v>0</v>
      </c>
      <c r="P3129">
        <v>9234</v>
      </c>
      <c r="Q3129">
        <v>3112</v>
      </c>
      <c r="R3129">
        <v>1177</v>
      </c>
      <c r="S3129">
        <v>2481</v>
      </c>
      <c r="T3129">
        <v>8</v>
      </c>
      <c r="U3129">
        <v>2456</v>
      </c>
      <c r="V3129" s="1">
        <f t="shared" si="144"/>
        <v>0.27989999999999998</v>
      </c>
      <c r="W3129" s="1">
        <f t="shared" si="145"/>
        <v>1.5E-3</v>
      </c>
      <c r="X3129" s="1">
        <f t="shared" si="146"/>
        <v>0</v>
      </c>
    </row>
    <row r="3130" spans="1:24" x14ac:dyDescent="0.25">
      <c r="A3130">
        <v>2003</v>
      </c>
      <c r="B3130">
        <v>7</v>
      </c>
      <c r="C3130" t="s">
        <v>33</v>
      </c>
      <c r="D3130" t="str">
        <f>_xlfn.XLOOKUP(C3130,'Carrier Name Rename'!A:A,'Carrier Name Rename'!B:B)</f>
        <v>Alaska Airlines Inc.</v>
      </c>
      <c r="E3130" t="s">
        <v>23</v>
      </c>
      <c r="F3130" t="s">
        <v>24</v>
      </c>
      <c r="G3130">
        <v>4581</v>
      </c>
      <c r="H3130">
        <v>709</v>
      </c>
      <c r="I3130">
        <v>194.53</v>
      </c>
      <c r="J3130">
        <v>18.84</v>
      </c>
      <c r="K3130">
        <v>125.59</v>
      </c>
      <c r="L3130">
        <v>24.93</v>
      </c>
      <c r="M3130">
        <v>345.11</v>
      </c>
      <c r="N3130">
        <v>68</v>
      </c>
      <c r="O3130">
        <v>2</v>
      </c>
      <c r="P3130">
        <v>33110</v>
      </c>
      <c r="Q3130">
        <v>10325</v>
      </c>
      <c r="R3130">
        <v>1401</v>
      </c>
      <c r="S3130">
        <v>3673</v>
      </c>
      <c r="T3130">
        <v>603</v>
      </c>
      <c r="U3130">
        <v>17108</v>
      </c>
      <c r="V3130" s="1">
        <f t="shared" si="144"/>
        <v>0.15479999999999999</v>
      </c>
      <c r="W3130" s="1">
        <f t="shared" si="145"/>
        <v>1.4800000000000001E-2</v>
      </c>
      <c r="X3130" s="1">
        <f t="shared" si="146"/>
        <v>4.0000000000000002E-4</v>
      </c>
    </row>
    <row r="3131" spans="1:24" x14ac:dyDescent="0.25">
      <c r="A3131">
        <v>2003</v>
      </c>
      <c r="B3131">
        <v>7</v>
      </c>
      <c r="C3131" t="s">
        <v>35</v>
      </c>
      <c r="D3131" t="str">
        <f>_xlfn.XLOOKUP(C3131,'Carrier Name Rename'!A:A,'Carrier Name Rename'!B:B)</f>
        <v>JetBlue Airways</v>
      </c>
      <c r="E3131" t="s">
        <v>23</v>
      </c>
      <c r="F3131" t="s">
        <v>24</v>
      </c>
      <c r="G3131">
        <v>31</v>
      </c>
      <c r="H3131">
        <v>9</v>
      </c>
      <c r="I3131">
        <v>1.79</v>
      </c>
      <c r="J3131">
        <v>0</v>
      </c>
      <c r="K3131">
        <v>3.42</v>
      </c>
      <c r="L3131">
        <v>0</v>
      </c>
      <c r="M3131">
        <v>3.79</v>
      </c>
      <c r="N3131">
        <v>0</v>
      </c>
      <c r="O3131">
        <v>0</v>
      </c>
      <c r="P3131">
        <v>342</v>
      </c>
      <c r="Q3131">
        <v>42</v>
      </c>
      <c r="R3131">
        <v>0</v>
      </c>
      <c r="S3131">
        <v>169</v>
      </c>
      <c r="T3131">
        <v>0</v>
      </c>
      <c r="U3131">
        <v>131</v>
      </c>
      <c r="V3131" s="1">
        <f t="shared" si="144"/>
        <v>0.2903</v>
      </c>
      <c r="W3131" s="1">
        <f t="shared" si="145"/>
        <v>0</v>
      </c>
      <c r="X3131" s="1">
        <f t="shared" si="146"/>
        <v>0</v>
      </c>
    </row>
    <row r="3132" spans="1:24" x14ac:dyDescent="0.25">
      <c r="A3132">
        <v>2003</v>
      </c>
      <c r="B3132">
        <v>7</v>
      </c>
      <c r="C3132" t="s">
        <v>65</v>
      </c>
      <c r="D3132" t="str">
        <f>_xlfn.XLOOKUP(C3132,'Carrier Name Rename'!A:A,'Carrier Name Rename'!B:B)</f>
        <v>Continental Air Lines Inc.</v>
      </c>
      <c r="E3132" t="s">
        <v>23</v>
      </c>
      <c r="F3132" t="s">
        <v>24</v>
      </c>
      <c r="G3132">
        <v>396</v>
      </c>
      <c r="H3132">
        <v>76</v>
      </c>
      <c r="I3132">
        <v>18.05</v>
      </c>
      <c r="J3132">
        <v>0.56000000000000005</v>
      </c>
      <c r="K3132">
        <v>43.31</v>
      </c>
      <c r="L3132">
        <v>0.21</v>
      </c>
      <c r="M3132">
        <v>13.88</v>
      </c>
      <c r="N3132">
        <v>0</v>
      </c>
      <c r="O3132">
        <v>0</v>
      </c>
      <c r="P3132">
        <v>3286</v>
      </c>
      <c r="Q3132">
        <v>610</v>
      </c>
      <c r="R3132">
        <v>11</v>
      </c>
      <c r="S3132">
        <v>1672</v>
      </c>
      <c r="T3132">
        <v>6</v>
      </c>
      <c r="U3132">
        <v>987</v>
      </c>
      <c r="V3132" s="1">
        <f t="shared" si="144"/>
        <v>0.19189999999999999</v>
      </c>
      <c r="W3132" s="1">
        <f t="shared" si="145"/>
        <v>0</v>
      </c>
      <c r="X3132" s="1">
        <f t="shared" si="146"/>
        <v>0</v>
      </c>
    </row>
    <row r="3133" spans="1:24" x14ac:dyDescent="0.25">
      <c r="A3133">
        <v>2003</v>
      </c>
      <c r="B3133">
        <v>7</v>
      </c>
      <c r="C3133" t="s">
        <v>37</v>
      </c>
      <c r="D3133" t="str">
        <f>_xlfn.XLOOKUP(C3133,'Carrier Name Rename'!A:A,'Carrier Name Rename'!B:B)</f>
        <v>Delta Air Lines Inc.</v>
      </c>
      <c r="E3133" t="s">
        <v>23</v>
      </c>
      <c r="F3133" t="s">
        <v>24</v>
      </c>
      <c r="G3133">
        <v>491</v>
      </c>
      <c r="H3133">
        <v>89</v>
      </c>
      <c r="I3133">
        <v>31.34</v>
      </c>
      <c r="J3133">
        <v>2.72</v>
      </c>
      <c r="K3133">
        <v>33.159999999999997</v>
      </c>
      <c r="L3133">
        <v>0</v>
      </c>
      <c r="M3133">
        <v>21.78</v>
      </c>
      <c r="N3133">
        <v>0</v>
      </c>
      <c r="O3133">
        <v>1</v>
      </c>
      <c r="P3133">
        <v>4549</v>
      </c>
      <c r="Q3133">
        <v>1658</v>
      </c>
      <c r="R3133">
        <v>265</v>
      </c>
      <c r="S3133">
        <v>1148</v>
      </c>
      <c r="T3133">
        <v>0</v>
      </c>
      <c r="U3133">
        <v>1478</v>
      </c>
      <c r="V3133" s="1">
        <f t="shared" si="144"/>
        <v>0.18129999999999999</v>
      </c>
      <c r="W3133" s="1">
        <f t="shared" si="145"/>
        <v>0</v>
      </c>
      <c r="X3133" s="1">
        <f t="shared" si="146"/>
        <v>2E-3</v>
      </c>
    </row>
    <row r="3134" spans="1:24" x14ac:dyDescent="0.25">
      <c r="A3134">
        <v>2003</v>
      </c>
      <c r="B3134">
        <v>7</v>
      </c>
      <c r="C3134" t="s">
        <v>73</v>
      </c>
      <c r="D3134" t="str">
        <f>_xlfn.XLOOKUP(C3134,'Carrier Name Rename'!A:A,'Carrier Name Rename'!B:B)</f>
        <v>America West Airlines Inc.</v>
      </c>
      <c r="E3134" t="s">
        <v>23</v>
      </c>
      <c r="F3134" t="s">
        <v>24</v>
      </c>
      <c r="G3134">
        <v>279</v>
      </c>
      <c r="H3134">
        <v>55</v>
      </c>
      <c r="I3134">
        <v>22.62</v>
      </c>
      <c r="J3134">
        <v>1.61</v>
      </c>
      <c r="K3134">
        <v>15.24</v>
      </c>
      <c r="L3134">
        <v>0</v>
      </c>
      <c r="M3134">
        <v>15.52</v>
      </c>
      <c r="N3134">
        <v>1</v>
      </c>
      <c r="O3134">
        <v>0</v>
      </c>
      <c r="P3134">
        <v>3062</v>
      </c>
      <c r="Q3134">
        <v>1371</v>
      </c>
      <c r="R3134">
        <v>182</v>
      </c>
      <c r="S3134">
        <v>565</v>
      </c>
      <c r="T3134">
        <v>0</v>
      </c>
      <c r="U3134">
        <v>944</v>
      </c>
      <c r="V3134" s="1">
        <f t="shared" si="144"/>
        <v>0.1971</v>
      </c>
      <c r="W3134" s="1">
        <f t="shared" si="145"/>
        <v>3.5999999999999999E-3</v>
      </c>
      <c r="X3134" s="1">
        <f t="shared" si="146"/>
        <v>0</v>
      </c>
    </row>
    <row r="3135" spans="1:24" x14ac:dyDescent="0.25">
      <c r="A3135">
        <v>2003</v>
      </c>
      <c r="B3135">
        <v>7</v>
      </c>
      <c r="C3135" t="s">
        <v>67</v>
      </c>
      <c r="D3135" t="str">
        <f>_xlfn.XLOOKUP(C3135,'Carrier Name Rename'!A:A,'Carrier Name Rename'!B:B)</f>
        <v>Northwest Airlines Inc.</v>
      </c>
      <c r="E3135" t="s">
        <v>23</v>
      </c>
      <c r="F3135" t="s">
        <v>24</v>
      </c>
      <c r="G3135">
        <v>465</v>
      </c>
      <c r="H3135">
        <v>96</v>
      </c>
      <c r="I3135">
        <v>46.9</v>
      </c>
      <c r="J3135">
        <v>3.54</v>
      </c>
      <c r="K3135">
        <v>33.86</v>
      </c>
      <c r="L3135">
        <v>0.5</v>
      </c>
      <c r="M3135">
        <v>11.2</v>
      </c>
      <c r="N3135">
        <v>2</v>
      </c>
      <c r="O3135">
        <v>0</v>
      </c>
      <c r="P3135">
        <v>5105</v>
      </c>
      <c r="Q3135">
        <v>2585</v>
      </c>
      <c r="R3135">
        <v>151</v>
      </c>
      <c r="S3135">
        <v>1018</v>
      </c>
      <c r="T3135">
        <v>11</v>
      </c>
      <c r="U3135">
        <v>1340</v>
      </c>
      <c r="V3135" s="1">
        <f t="shared" si="144"/>
        <v>0.20649999999999999</v>
      </c>
      <c r="W3135" s="1">
        <f t="shared" si="145"/>
        <v>4.3E-3</v>
      </c>
      <c r="X3135" s="1">
        <f t="shared" si="146"/>
        <v>0</v>
      </c>
    </row>
    <row r="3136" spans="1:24" x14ac:dyDescent="0.25">
      <c r="A3136">
        <v>2003</v>
      </c>
      <c r="B3136">
        <v>7</v>
      </c>
      <c r="C3136" t="s">
        <v>27</v>
      </c>
      <c r="D3136" t="str">
        <f>_xlfn.XLOOKUP(C3136,'Carrier Name Rename'!A:A,'Carrier Name Rename'!B:B)</f>
        <v>SkyWest Airlines Inc.</v>
      </c>
      <c r="E3136" t="s">
        <v>23</v>
      </c>
      <c r="F3136" t="s">
        <v>24</v>
      </c>
      <c r="G3136">
        <v>376</v>
      </c>
      <c r="H3136">
        <v>28</v>
      </c>
      <c r="I3136">
        <v>20</v>
      </c>
      <c r="J3136">
        <v>1</v>
      </c>
      <c r="K3136">
        <v>1</v>
      </c>
      <c r="L3136">
        <v>0</v>
      </c>
      <c r="M3136">
        <v>6</v>
      </c>
      <c r="N3136">
        <v>2</v>
      </c>
      <c r="O3136">
        <v>0</v>
      </c>
      <c r="P3136">
        <v>721</v>
      </c>
      <c r="Q3136">
        <v>546</v>
      </c>
      <c r="R3136">
        <v>19</v>
      </c>
      <c r="S3136">
        <v>17</v>
      </c>
      <c r="T3136">
        <v>0</v>
      </c>
      <c r="U3136">
        <v>139</v>
      </c>
      <c r="V3136" s="1">
        <f t="shared" si="144"/>
        <v>7.4499999999999997E-2</v>
      </c>
      <c r="W3136" s="1">
        <f t="shared" si="145"/>
        <v>5.3E-3</v>
      </c>
      <c r="X3136" s="1">
        <f t="shared" si="146"/>
        <v>0</v>
      </c>
    </row>
    <row r="3137" spans="1:24" x14ac:dyDescent="0.25">
      <c r="A3137">
        <v>2003</v>
      </c>
      <c r="B3137">
        <v>7</v>
      </c>
      <c r="C3137" t="s">
        <v>79</v>
      </c>
      <c r="D3137" t="str">
        <f>_xlfn.XLOOKUP(C3137,'Carrier Name Rename'!A:A,'Carrier Name Rename'!B:B)</f>
        <v>ATA Airlines d/b/a ATA</v>
      </c>
      <c r="E3137" t="s">
        <v>23</v>
      </c>
      <c r="F3137" t="s">
        <v>24</v>
      </c>
      <c r="G3137">
        <v>87</v>
      </c>
      <c r="H3137">
        <v>24</v>
      </c>
      <c r="I3137">
        <v>6.78</v>
      </c>
      <c r="J3137">
        <v>0.64</v>
      </c>
      <c r="K3137">
        <v>10.17</v>
      </c>
      <c r="L3137">
        <v>0</v>
      </c>
      <c r="M3137">
        <v>6.42</v>
      </c>
      <c r="N3137">
        <v>1</v>
      </c>
      <c r="O3137">
        <v>0</v>
      </c>
      <c r="P3137">
        <v>1815</v>
      </c>
      <c r="Q3137">
        <v>387</v>
      </c>
      <c r="R3137">
        <v>44</v>
      </c>
      <c r="S3137">
        <v>441</v>
      </c>
      <c r="T3137">
        <v>0</v>
      </c>
      <c r="U3137">
        <v>943</v>
      </c>
      <c r="V3137" s="1">
        <f t="shared" si="144"/>
        <v>0.27589999999999998</v>
      </c>
      <c r="W3137" s="1">
        <f t="shared" si="145"/>
        <v>1.15E-2</v>
      </c>
      <c r="X3137" s="1">
        <f t="shared" si="146"/>
        <v>0</v>
      </c>
    </row>
    <row r="3138" spans="1:24" x14ac:dyDescent="0.25">
      <c r="A3138">
        <v>2003</v>
      </c>
      <c r="B3138">
        <v>7</v>
      </c>
      <c r="C3138" t="s">
        <v>41</v>
      </c>
      <c r="D3138" t="str">
        <f>_xlfn.XLOOKUP(C3138,'Carrier Name Rename'!A:A,'Carrier Name Rename'!B:B)</f>
        <v>United Air Lines Inc.</v>
      </c>
      <c r="E3138" t="s">
        <v>23</v>
      </c>
      <c r="F3138" t="s">
        <v>24</v>
      </c>
      <c r="G3138">
        <v>1205</v>
      </c>
      <c r="H3138">
        <v>177</v>
      </c>
      <c r="I3138">
        <v>47.56</v>
      </c>
      <c r="J3138">
        <v>9.23</v>
      </c>
      <c r="K3138">
        <v>48.69</v>
      </c>
      <c r="L3138">
        <v>0</v>
      </c>
      <c r="M3138">
        <v>71.52</v>
      </c>
      <c r="N3138">
        <v>3</v>
      </c>
      <c r="O3138">
        <v>0</v>
      </c>
      <c r="P3138">
        <v>10731</v>
      </c>
      <c r="Q3138">
        <v>2370</v>
      </c>
      <c r="R3138">
        <v>551</v>
      </c>
      <c r="S3138">
        <v>2029</v>
      </c>
      <c r="T3138">
        <v>0</v>
      </c>
      <c r="U3138">
        <v>5781</v>
      </c>
      <c r="V3138" s="1">
        <f t="shared" si="144"/>
        <v>0.1469</v>
      </c>
      <c r="W3138" s="1">
        <f t="shared" si="145"/>
        <v>2.5000000000000001E-3</v>
      </c>
      <c r="X3138" s="1">
        <f t="shared" si="146"/>
        <v>0</v>
      </c>
    </row>
    <row r="3139" spans="1:24" x14ac:dyDescent="0.25">
      <c r="A3139">
        <v>2003</v>
      </c>
      <c r="B3139">
        <v>7</v>
      </c>
      <c r="C3139" t="s">
        <v>61</v>
      </c>
      <c r="D3139" t="str">
        <f>_xlfn.XLOOKUP(C3139,'Carrier Name Rename'!A:A,'Carrier Name Rename'!B:B)</f>
        <v>US Airways Inc.</v>
      </c>
      <c r="E3139" t="s">
        <v>23</v>
      </c>
      <c r="F3139" t="s">
        <v>24</v>
      </c>
      <c r="G3139">
        <v>241</v>
      </c>
      <c r="H3139">
        <v>96</v>
      </c>
      <c r="I3139">
        <v>27.29</v>
      </c>
      <c r="J3139">
        <v>7.59</v>
      </c>
      <c r="K3139">
        <v>34.340000000000003</v>
      </c>
      <c r="L3139">
        <v>0</v>
      </c>
      <c r="M3139">
        <v>26.78</v>
      </c>
      <c r="N3139">
        <v>0</v>
      </c>
      <c r="O3139">
        <v>0</v>
      </c>
      <c r="P3139">
        <v>6021</v>
      </c>
      <c r="Q3139">
        <v>1198</v>
      </c>
      <c r="R3139">
        <v>786</v>
      </c>
      <c r="S3139">
        <v>2022</v>
      </c>
      <c r="T3139">
        <v>0</v>
      </c>
      <c r="U3139">
        <v>2015</v>
      </c>
      <c r="V3139" s="1">
        <f t="shared" ref="V3139:V3152" si="147">ROUND(H3139/G3139,4)</f>
        <v>0.39829999999999999</v>
      </c>
      <c r="W3139" s="1">
        <f t="shared" ref="W3139:W3152" si="148">ROUND(N3139/G3139,4)</f>
        <v>0</v>
      </c>
      <c r="X3139" s="1">
        <f t="shared" ref="X3139:X3152" si="149">ROUND(O3139/G3139,4)</f>
        <v>0</v>
      </c>
    </row>
    <row r="3140" spans="1:24" x14ac:dyDescent="0.25">
      <c r="A3140">
        <v>2003</v>
      </c>
      <c r="B3140">
        <v>7</v>
      </c>
      <c r="C3140" t="s">
        <v>43</v>
      </c>
      <c r="D3140" t="str">
        <f>_xlfn.XLOOKUP(C3140,'Carrier Name Rename'!A:A,'Carrier Name Rename'!B:B)</f>
        <v>Southwest Airlines Co.</v>
      </c>
      <c r="E3140" t="s">
        <v>23</v>
      </c>
      <c r="F3140" t="s">
        <v>24</v>
      </c>
      <c r="G3140">
        <v>1179</v>
      </c>
      <c r="H3140">
        <v>110</v>
      </c>
      <c r="I3140">
        <v>23.81</v>
      </c>
      <c r="J3140">
        <v>1.52</v>
      </c>
      <c r="K3140">
        <v>9.23</v>
      </c>
      <c r="L3140">
        <v>0.16</v>
      </c>
      <c r="M3140">
        <v>75.290000000000006</v>
      </c>
      <c r="N3140">
        <v>4</v>
      </c>
      <c r="O3140">
        <v>2</v>
      </c>
      <c r="P3140">
        <v>5244</v>
      </c>
      <c r="Q3140">
        <v>921</v>
      </c>
      <c r="R3140">
        <v>209</v>
      </c>
      <c r="S3140">
        <v>383</v>
      </c>
      <c r="T3140">
        <v>3</v>
      </c>
      <c r="U3140">
        <v>3728</v>
      </c>
      <c r="V3140" s="1">
        <f t="shared" si="147"/>
        <v>9.3299999999999994E-2</v>
      </c>
      <c r="W3140" s="1">
        <f t="shared" si="148"/>
        <v>3.3999999999999998E-3</v>
      </c>
      <c r="X3140" s="1">
        <f t="shared" si="149"/>
        <v>1.6999999999999999E-3</v>
      </c>
    </row>
    <row r="3141" spans="1:24" x14ac:dyDescent="0.25">
      <c r="A3141">
        <v>2003</v>
      </c>
      <c r="B3141">
        <v>6</v>
      </c>
      <c r="C3141" t="s">
        <v>73</v>
      </c>
      <c r="D3141" t="str">
        <f>_xlfn.XLOOKUP(C3141,'Carrier Name Rename'!A:A,'Carrier Name Rename'!B:B)</f>
        <v>America West Airlines Inc.</v>
      </c>
      <c r="E3141" t="s">
        <v>23</v>
      </c>
      <c r="F3141" t="s">
        <v>24</v>
      </c>
      <c r="G3141">
        <v>240</v>
      </c>
      <c r="H3141">
        <v>90</v>
      </c>
      <c r="I3141">
        <v>32.21</v>
      </c>
      <c r="J3141">
        <v>0</v>
      </c>
      <c r="K3141">
        <v>47.3</v>
      </c>
      <c r="L3141">
        <v>0</v>
      </c>
      <c r="M3141">
        <v>10.49</v>
      </c>
      <c r="N3141">
        <v>0</v>
      </c>
      <c r="O3141">
        <v>0</v>
      </c>
      <c r="P3141">
        <v>2658</v>
      </c>
      <c r="Q3141">
        <v>1145</v>
      </c>
      <c r="R3141">
        <v>0</v>
      </c>
      <c r="S3141">
        <v>1148</v>
      </c>
      <c r="T3141">
        <v>0</v>
      </c>
      <c r="U3141">
        <v>365</v>
      </c>
      <c r="V3141" s="1">
        <f t="shared" si="147"/>
        <v>0.375</v>
      </c>
      <c r="W3141" s="1">
        <f t="shared" si="148"/>
        <v>0</v>
      </c>
      <c r="X3141" s="1">
        <f t="shared" si="149"/>
        <v>0</v>
      </c>
    </row>
    <row r="3142" spans="1:24" x14ac:dyDescent="0.25">
      <c r="A3142">
        <v>2003</v>
      </c>
      <c r="B3142">
        <v>6</v>
      </c>
      <c r="C3142" t="s">
        <v>67</v>
      </c>
      <c r="D3142" t="str">
        <f>_xlfn.XLOOKUP(C3142,'Carrier Name Rename'!A:A,'Carrier Name Rename'!B:B)</f>
        <v>Northwest Airlines Inc.</v>
      </c>
      <c r="E3142" t="s">
        <v>23</v>
      </c>
      <c r="F3142" t="s">
        <v>24</v>
      </c>
      <c r="G3142">
        <v>403</v>
      </c>
      <c r="H3142">
        <v>68</v>
      </c>
      <c r="I3142">
        <v>33.520000000000003</v>
      </c>
      <c r="J3142">
        <v>1.56</v>
      </c>
      <c r="K3142">
        <v>26.59</v>
      </c>
      <c r="L3142">
        <v>0</v>
      </c>
      <c r="M3142">
        <v>6.32</v>
      </c>
      <c r="N3142">
        <v>1</v>
      </c>
      <c r="O3142">
        <v>0</v>
      </c>
      <c r="P3142">
        <v>3414</v>
      </c>
      <c r="Q3142">
        <v>2423</v>
      </c>
      <c r="R3142">
        <v>54</v>
      </c>
      <c r="S3142">
        <v>727</v>
      </c>
      <c r="T3142">
        <v>0</v>
      </c>
      <c r="U3142">
        <v>210</v>
      </c>
      <c r="V3142" s="1">
        <f t="shared" si="147"/>
        <v>0.16869999999999999</v>
      </c>
      <c r="W3142" s="1">
        <f t="shared" si="148"/>
        <v>2.5000000000000001E-3</v>
      </c>
      <c r="X3142" s="1">
        <f t="shared" si="149"/>
        <v>0</v>
      </c>
    </row>
    <row r="3143" spans="1:24" x14ac:dyDescent="0.25">
      <c r="A3143">
        <v>2003</v>
      </c>
      <c r="B3143">
        <v>6</v>
      </c>
      <c r="C3143" t="s">
        <v>27</v>
      </c>
      <c r="D3143" t="str">
        <f>_xlfn.XLOOKUP(C3143,'Carrier Name Rename'!A:A,'Carrier Name Rename'!B:B)</f>
        <v>SkyWest Airlines Inc.</v>
      </c>
      <c r="E3143" t="s">
        <v>23</v>
      </c>
      <c r="F3143" t="s">
        <v>24</v>
      </c>
      <c r="G3143">
        <v>365</v>
      </c>
      <c r="H3143">
        <v>19</v>
      </c>
      <c r="I3143">
        <v>14</v>
      </c>
      <c r="J3143">
        <v>1</v>
      </c>
      <c r="K3143">
        <v>1</v>
      </c>
      <c r="L3143">
        <v>0</v>
      </c>
      <c r="M3143">
        <v>3</v>
      </c>
      <c r="N3143">
        <v>0</v>
      </c>
      <c r="O3143">
        <v>0</v>
      </c>
      <c r="P3143">
        <v>457</v>
      </c>
      <c r="Q3143">
        <v>349</v>
      </c>
      <c r="R3143">
        <v>16</v>
      </c>
      <c r="S3143">
        <v>20</v>
      </c>
      <c r="T3143">
        <v>0</v>
      </c>
      <c r="U3143">
        <v>72</v>
      </c>
      <c r="V3143" s="1">
        <f t="shared" si="147"/>
        <v>5.21E-2</v>
      </c>
      <c r="W3143" s="1">
        <f t="shared" si="148"/>
        <v>0</v>
      </c>
      <c r="X3143" s="1">
        <f t="shared" si="149"/>
        <v>0</v>
      </c>
    </row>
    <row r="3144" spans="1:24" x14ac:dyDescent="0.25">
      <c r="A3144">
        <v>2003</v>
      </c>
      <c r="B3144">
        <v>6</v>
      </c>
      <c r="C3144" t="s">
        <v>79</v>
      </c>
      <c r="D3144" t="str">
        <f>_xlfn.XLOOKUP(C3144,'Carrier Name Rename'!A:A,'Carrier Name Rename'!B:B)</f>
        <v>ATA Airlines d/b/a ATA</v>
      </c>
      <c r="E3144" t="s">
        <v>23</v>
      </c>
      <c r="F3144" t="s">
        <v>24</v>
      </c>
      <c r="G3144">
        <v>86</v>
      </c>
      <c r="H3144">
        <v>14</v>
      </c>
      <c r="I3144">
        <v>6.67</v>
      </c>
      <c r="J3144">
        <v>0</v>
      </c>
      <c r="K3144">
        <v>3.61</v>
      </c>
      <c r="L3144">
        <v>0</v>
      </c>
      <c r="M3144">
        <v>3.72</v>
      </c>
      <c r="N3144">
        <v>0</v>
      </c>
      <c r="O3144">
        <v>0</v>
      </c>
      <c r="P3144">
        <v>501</v>
      </c>
      <c r="Q3144">
        <v>231</v>
      </c>
      <c r="R3144">
        <v>0</v>
      </c>
      <c r="S3144">
        <v>100</v>
      </c>
      <c r="T3144">
        <v>0</v>
      </c>
      <c r="U3144">
        <v>170</v>
      </c>
      <c r="V3144" s="1">
        <f t="shared" si="147"/>
        <v>0.1628</v>
      </c>
      <c r="W3144" s="1">
        <f t="shared" si="148"/>
        <v>0</v>
      </c>
      <c r="X3144" s="1">
        <f t="shared" si="149"/>
        <v>0</v>
      </c>
    </row>
    <row r="3145" spans="1:24" x14ac:dyDescent="0.25">
      <c r="A3145">
        <v>2003</v>
      </c>
      <c r="B3145">
        <v>6</v>
      </c>
      <c r="C3145" t="s">
        <v>41</v>
      </c>
      <c r="D3145" t="str">
        <f>_xlfn.XLOOKUP(C3145,'Carrier Name Rename'!A:A,'Carrier Name Rename'!B:B)</f>
        <v>United Air Lines Inc.</v>
      </c>
      <c r="E3145" t="s">
        <v>23</v>
      </c>
      <c r="F3145" t="s">
        <v>24</v>
      </c>
      <c r="G3145">
        <v>1082</v>
      </c>
      <c r="H3145">
        <v>139</v>
      </c>
      <c r="I3145">
        <v>41.35</v>
      </c>
      <c r="J3145">
        <v>8.82</v>
      </c>
      <c r="K3145">
        <v>37.31</v>
      </c>
      <c r="L3145">
        <v>1.86</v>
      </c>
      <c r="M3145">
        <v>49.66</v>
      </c>
      <c r="N3145">
        <v>1</v>
      </c>
      <c r="O3145">
        <v>1</v>
      </c>
      <c r="P3145">
        <v>7694</v>
      </c>
      <c r="Q3145">
        <v>2240</v>
      </c>
      <c r="R3145">
        <v>623</v>
      </c>
      <c r="S3145">
        <v>1191</v>
      </c>
      <c r="T3145">
        <v>311</v>
      </c>
      <c r="U3145">
        <v>3329</v>
      </c>
      <c r="V3145" s="1">
        <f t="shared" si="147"/>
        <v>0.1285</v>
      </c>
      <c r="W3145" s="1">
        <f t="shared" si="148"/>
        <v>8.9999999999999998E-4</v>
      </c>
      <c r="X3145" s="1">
        <f t="shared" si="149"/>
        <v>8.9999999999999998E-4</v>
      </c>
    </row>
    <row r="3146" spans="1:24" x14ac:dyDescent="0.25">
      <c r="A3146">
        <v>2003</v>
      </c>
      <c r="B3146">
        <v>6</v>
      </c>
      <c r="C3146" t="s">
        <v>61</v>
      </c>
      <c r="D3146" t="str">
        <f>_xlfn.XLOOKUP(C3146,'Carrier Name Rename'!A:A,'Carrier Name Rename'!B:B)</f>
        <v>US Airways Inc.</v>
      </c>
      <c r="E3146" t="s">
        <v>23</v>
      </c>
      <c r="F3146" t="s">
        <v>24</v>
      </c>
      <c r="G3146">
        <v>215</v>
      </c>
      <c r="H3146">
        <v>55</v>
      </c>
      <c r="I3146">
        <v>13.6</v>
      </c>
      <c r="J3146">
        <v>1.57</v>
      </c>
      <c r="K3146">
        <v>19.25</v>
      </c>
      <c r="L3146">
        <v>0</v>
      </c>
      <c r="M3146">
        <v>20.57</v>
      </c>
      <c r="N3146">
        <v>0</v>
      </c>
      <c r="O3146">
        <v>0</v>
      </c>
      <c r="P3146">
        <v>2596</v>
      </c>
      <c r="Q3146">
        <v>460</v>
      </c>
      <c r="R3146">
        <v>95</v>
      </c>
      <c r="S3146">
        <v>1089</v>
      </c>
      <c r="T3146">
        <v>0</v>
      </c>
      <c r="U3146">
        <v>952</v>
      </c>
      <c r="V3146" s="1">
        <f t="shared" si="147"/>
        <v>0.25580000000000003</v>
      </c>
      <c r="W3146" s="1">
        <f t="shared" si="148"/>
        <v>0</v>
      </c>
      <c r="X3146" s="1">
        <f t="shared" si="149"/>
        <v>0</v>
      </c>
    </row>
    <row r="3147" spans="1:24" x14ac:dyDescent="0.25">
      <c r="A3147">
        <v>2003</v>
      </c>
      <c r="B3147">
        <v>6</v>
      </c>
      <c r="C3147" t="s">
        <v>43</v>
      </c>
      <c r="D3147" t="str">
        <f>_xlfn.XLOOKUP(C3147,'Carrier Name Rename'!A:A,'Carrier Name Rename'!B:B)</f>
        <v>Southwest Airlines Co.</v>
      </c>
      <c r="E3147" t="s">
        <v>23</v>
      </c>
      <c r="F3147" t="s">
        <v>24</v>
      </c>
      <c r="G3147">
        <v>1138</v>
      </c>
      <c r="H3147">
        <v>129</v>
      </c>
      <c r="I3147">
        <v>25.4</v>
      </c>
      <c r="J3147">
        <v>0.27</v>
      </c>
      <c r="K3147">
        <v>14.57</v>
      </c>
      <c r="L3147">
        <v>1.04</v>
      </c>
      <c r="M3147">
        <v>87.72</v>
      </c>
      <c r="N3147">
        <v>0</v>
      </c>
      <c r="O3147">
        <v>0</v>
      </c>
      <c r="P3147">
        <v>4910</v>
      </c>
      <c r="Q3147">
        <v>835</v>
      </c>
      <c r="R3147">
        <v>12</v>
      </c>
      <c r="S3147">
        <v>435</v>
      </c>
      <c r="T3147">
        <v>24</v>
      </c>
      <c r="U3147">
        <v>3604</v>
      </c>
      <c r="V3147" s="1">
        <f t="shared" si="147"/>
        <v>0.1134</v>
      </c>
      <c r="W3147" s="1">
        <f t="shared" si="148"/>
        <v>0</v>
      </c>
      <c r="X3147" s="1">
        <f t="shared" si="149"/>
        <v>0</v>
      </c>
    </row>
    <row r="3148" spans="1:24" x14ac:dyDescent="0.25">
      <c r="A3148">
        <v>2003</v>
      </c>
      <c r="B3148">
        <v>6</v>
      </c>
      <c r="C3148" t="s">
        <v>31</v>
      </c>
      <c r="D3148" t="str">
        <f>_xlfn.XLOOKUP(C3148,'Carrier Name Rename'!A:A,'Carrier Name Rename'!B:B)</f>
        <v>American Airlines Inc.</v>
      </c>
      <c r="E3148" t="s">
        <v>23</v>
      </c>
      <c r="F3148" t="s">
        <v>24</v>
      </c>
      <c r="G3148">
        <v>606</v>
      </c>
      <c r="H3148">
        <v>124</v>
      </c>
      <c r="I3148">
        <v>48.22</v>
      </c>
      <c r="J3148">
        <v>11.28</v>
      </c>
      <c r="K3148">
        <v>35.83</v>
      </c>
      <c r="L3148">
        <v>2</v>
      </c>
      <c r="M3148">
        <v>26.67</v>
      </c>
      <c r="N3148">
        <v>3</v>
      </c>
      <c r="O3148">
        <v>0</v>
      </c>
      <c r="P3148">
        <v>7378</v>
      </c>
      <c r="Q3148">
        <v>2448</v>
      </c>
      <c r="R3148">
        <v>1565</v>
      </c>
      <c r="S3148">
        <v>1447</v>
      </c>
      <c r="T3148">
        <v>40</v>
      </c>
      <c r="U3148">
        <v>1878</v>
      </c>
      <c r="V3148" s="1">
        <f t="shared" si="147"/>
        <v>0.2046</v>
      </c>
      <c r="W3148" s="1">
        <f t="shared" si="148"/>
        <v>5.0000000000000001E-3</v>
      </c>
      <c r="X3148" s="1">
        <f t="shared" si="149"/>
        <v>0</v>
      </c>
    </row>
    <row r="3149" spans="1:24" x14ac:dyDescent="0.25">
      <c r="A3149">
        <v>2003</v>
      </c>
      <c r="B3149">
        <v>6</v>
      </c>
      <c r="C3149" t="s">
        <v>33</v>
      </c>
      <c r="D3149" t="str">
        <f>_xlfn.XLOOKUP(C3149,'Carrier Name Rename'!A:A,'Carrier Name Rename'!B:B)</f>
        <v>Alaska Airlines Inc.</v>
      </c>
      <c r="E3149" t="s">
        <v>23</v>
      </c>
      <c r="F3149" t="s">
        <v>24</v>
      </c>
      <c r="G3149">
        <v>4267</v>
      </c>
      <c r="H3149">
        <v>740</v>
      </c>
      <c r="I3149">
        <v>192.59</v>
      </c>
      <c r="J3149">
        <v>4.07</v>
      </c>
      <c r="K3149">
        <v>208.83</v>
      </c>
      <c r="L3149">
        <v>22.77</v>
      </c>
      <c r="M3149">
        <v>311.73</v>
      </c>
      <c r="N3149">
        <v>58</v>
      </c>
      <c r="O3149">
        <v>8</v>
      </c>
      <c r="P3149">
        <v>33252</v>
      </c>
      <c r="Q3149">
        <v>11009</v>
      </c>
      <c r="R3149">
        <v>212</v>
      </c>
      <c r="S3149">
        <v>5851</v>
      </c>
      <c r="T3149">
        <v>720</v>
      </c>
      <c r="U3149">
        <v>15460</v>
      </c>
      <c r="V3149" s="1">
        <f t="shared" si="147"/>
        <v>0.1734</v>
      </c>
      <c r="W3149" s="1">
        <f t="shared" si="148"/>
        <v>1.3599999999999999E-2</v>
      </c>
      <c r="X3149" s="1">
        <f t="shared" si="149"/>
        <v>1.9E-3</v>
      </c>
    </row>
    <row r="3150" spans="1:24" x14ac:dyDescent="0.25">
      <c r="A3150">
        <v>2003</v>
      </c>
      <c r="B3150">
        <v>6</v>
      </c>
      <c r="C3150" t="s">
        <v>35</v>
      </c>
      <c r="D3150" t="str">
        <f>_xlfn.XLOOKUP(C3150,'Carrier Name Rename'!A:A,'Carrier Name Rename'!B:B)</f>
        <v>JetBlue Airways</v>
      </c>
      <c r="E3150" t="s">
        <v>23</v>
      </c>
      <c r="F3150" t="s">
        <v>24</v>
      </c>
      <c r="G3150">
        <v>30</v>
      </c>
      <c r="H3150">
        <v>4</v>
      </c>
      <c r="I3150">
        <v>1.03</v>
      </c>
      <c r="J3150">
        <v>0</v>
      </c>
      <c r="K3150">
        <v>1.62</v>
      </c>
      <c r="L3150">
        <v>0.1</v>
      </c>
      <c r="M3150">
        <v>1.26</v>
      </c>
      <c r="N3150">
        <v>0</v>
      </c>
      <c r="O3150">
        <v>0</v>
      </c>
      <c r="P3150">
        <v>116</v>
      </c>
      <c r="Q3150">
        <v>40</v>
      </c>
      <c r="R3150">
        <v>0</v>
      </c>
      <c r="S3150">
        <v>33</v>
      </c>
      <c r="T3150">
        <v>2</v>
      </c>
      <c r="U3150">
        <v>41</v>
      </c>
      <c r="V3150" s="1">
        <f t="shared" si="147"/>
        <v>0.1333</v>
      </c>
      <c r="W3150" s="1">
        <f t="shared" si="148"/>
        <v>0</v>
      </c>
      <c r="X3150" s="1">
        <f t="shared" si="149"/>
        <v>0</v>
      </c>
    </row>
    <row r="3151" spans="1:24" x14ac:dyDescent="0.25">
      <c r="A3151">
        <v>2003</v>
      </c>
      <c r="B3151">
        <v>6</v>
      </c>
      <c r="C3151" t="s">
        <v>65</v>
      </c>
      <c r="D3151" t="str">
        <f>_xlfn.XLOOKUP(C3151,'Carrier Name Rename'!A:A,'Carrier Name Rename'!B:B)</f>
        <v>Continental Air Lines Inc.</v>
      </c>
      <c r="E3151" t="s">
        <v>23</v>
      </c>
      <c r="F3151" t="s">
        <v>24</v>
      </c>
      <c r="G3151">
        <v>334</v>
      </c>
      <c r="H3151">
        <v>50</v>
      </c>
      <c r="I3151">
        <v>13.15</v>
      </c>
      <c r="J3151">
        <v>4.28</v>
      </c>
      <c r="K3151">
        <v>23.4</v>
      </c>
      <c r="L3151">
        <v>0</v>
      </c>
      <c r="M3151">
        <v>9.17</v>
      </c>
      <c r="N3151">
        <v>0</v>
      </c>
      <c r="O3151">
        <v>0</v>
      </c>
      <c r="P3151">
        <v>1953</v>
      </c>
      <c r="Q3151">
        <v>489</v>
      </c>
      <c r="R3151">
        <v>209</v>
      </c>
      <c r="S3151">
        <v>796</v>
      </c>
      <c r="T3151">
        <v>0</v>
      </c>
      <c r="U3151">
        <v>459</v>
      </c>
      <c r="V3151" s="1">
        <f t="shared" si="147"/>
        <v>0.1497</v>
      </c>
      <c r="W3151" s="1">
        <f t="shared" si="148"/>
        <v>0</v>
      </c>
      <c r="X3151" s="1">
        <f t="shared" si="149"/>
        <v>0</v>
      </c>
    </row>
    <row r="3152" spans="1:24" x14ac:dyDescent="0.25">
      <c r="A3152">
        <v>2003</v>
      </c>
      <c r="B3152">
        <v>6</v>
      </c>
      <c r="C3152" t="s">
        <v>37</v>
      </c>
      <c r="D3152" t="str">
        <f>_xlfn.XLOOKUP(C3152,'Carrier Name Rename'!A:A,'Carrier Name Rename'!B:B)</f>
        <v>Delta Air Lines Inc.</v>
      </c>
      <c r="E3152" t="s">
        <v>23</v>
      </c>
      <c r="F3152" t="s">
        <v>24</v>
      </c>
      <c r="G3152">
        <v>480</v>
      </c>
      <c r="H3152">
        <v>84</v>
      </c>
      <c r="I3152">
        <v>25.69</v>
      </c>
      <c r="J3152">
        <v>3.09</v>
      </c>
      <c r="K3152">
        <v>33.96</v>
      </c>
      <c r="L3152">
        <v>0</v>
      </c>
      <c r="M3152">
        <v>21.26</v>
      </c>
      <c r="N3152">
        <v>0</v>
      </c>
      <c r="O3152">
        <v>0</v>
      </c>
      <c r="P3152">
        <v>3744</v>
      </c>
      <c r="Q3152">
        <v>978</v>
      </c>
      <c r="R3152">
        <v>164</v>
      </c>
      <c r="S3152">
        <v>1023</v>
      </c>
      <c r="T3152">
        <v>0</v>
      </c>
      <c r="U3152">
        <v>1579</v>
      </c>
      <c r="V3152" s="1">
        <f t="shared" si="147"/>
        <v>0.17499999999999999</v>
      </c>
      <c r="W3152" s="1">
        <f t="shared" si="148"/>
        <v>0</v>
      </c>
      <c r="X3152" s="1">
        <f t="shared" si="149"/>
        <v>0</v>
      </c>
    </row>
  </sheetData>
  <autoFilter ref="A1:X3152" xr:uid="{68DF4B34-352F-4FAA-BACE-C02D1080ED2D}"/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Focused Carriers</vt:lpstr>
      <vt:lpstr>Pivots</vt:lpstr>
      <vt:lpstr>Carrier Name Rename</vt:lpstr>
      <vt:lpstr>Airline_Delay_Cause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2025-08-09T16:50:09Z</dcterms:created>
  <dcterms:modified xsi:type="dcterms:W3CDTF">2025-08-09T17:09:07Z</dcterms:modified>
</cp:coreProperties>
</file>